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8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9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0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1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.xml" ContentType="application/vnd.ms-excel.controlproperties+xml"/>
  <Override PartName="/xl/drawings/drawing1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7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lric\Documents\Job Project\Universal tracker project_complete-20211215T190344Z-001\Universal tracker project_complete\"/>
    </mc:Choice>
  </mc:AlternateContent>
  <xr:revisionPtr revIDLastSave="0" documentId="13_ncr:1_{231211BB-DB77-4BB6-9935-9A0CC543CF06}" xr6:coauthVersionLast="47" xr6:coauthVersionMax="47" xr10:uidLastSave="{00000000-0000-0000-0000-000000000000}"/>
  <bookViews>
    <workbookView xWindow="-120" yWindow="-120" windowWidth="29040" windowHeight="17520" tabRatio="797" firstSheet="8" activeTab="20" xr2:uid="{65322FAB-9AF7-42C8-AC53-2F6C40944F6B}"/>
  </bookViews>
  <sheets>
    <sheet name="Data_Display" sheetId="31" r:id="rId1"/>
    <sheet name="List" sheetId="30" r:id="rId2"/>
    <sheet name="Support" sheetId="29" r:id="rId3"/>
    <sheet name="Data" sheetId="27" r:id="rId4"/>
    <sheet name="Launch Form" sheetId="26" r:id="rId5"/>
    <sheet name="Index" sheetId="6" r:id="rId6"/>
    <sheet name="Metrics" sheetId="24" r:id="rId7"/>
    <sheet name="Time_card_calculator" sheetId="18" r:id="rId8"/>
    <sheet name="Time_Card" sheetId="12" r:id="rId9"/>
    <sheet name="One on One" sheetId="16" r:id="rId10"/>
    <sheet name="Contact_Info" sheetId="13" r:id="rId11"/>
    <sheet name="Training" sheetId="11" r:id="rId12"/>
    <sheet name="WeekEnd_SignUp" sheetId="10" r:id="rId13"/>
    <sheet name="Mark Attendance" sheetId="4" r:id="rId14"/>
    <sheet name="Database" sheetId="3" r:id="rId15"/>
    <sheet name="Attendance Sheet" sheetId="1" r:id="rId16"/>
    <sheet name="Setting" sheetId="5" r:id="rId17"/>
    <sheet name="Employee Master" sheetId="2" r:id="rId18"/>
    <sheet name="Add Employee" sheetId="25" r:id="rId19"/>
    <sheet name="Occurances" sheetId="21" r:id="rId20"/>
    <sheet name="Settings" sheetId="23" r:id="rId21"/>
  </sheets>
  <functionGroups builtInGroupCount="19"/>
  <definedNames>
    <definedName name="_xlnm._FilterDatabase" localSheetId="10" hidden="1">Contact_Info!$A$2:$G$2</definedName>
    <definedName name="_xlnm._FilterDatabase" localSheetId="3" hidden="1">Data!$A$1:$K$1</definedName>
    <definedName name="_xlnm._FilterDatabase" localSheetId="14" hidden="1">Database!$A$1:$F$133</definedName>
    <definedName name="_xlnm._FilterDatabase" localSheetId="2" hidden="1">Support!$K$1:$L$4</definedName>
    <definedName name="_xlnm._FilterDatabase" localSheetId="8" hidden="1">Time_Card!$A$1:$J$1</definedName>
    <definedName name="_xlnm._FilterDatabase" localSheetId="7" hidden="1">Time_card_calculator!$A$1:$E$1</definedName>
    <definedName name="Attendance_List" localSheetId="0">OFFSET(Setting!$A$2,,,COUNTA(Setting!$A:$A)-1,1)</definedName>
    <definedName name="Attendance_List" localSheetId="1">OFFSET(Setting!$A$2,,,COUNTA(Setting!$A:$A)-1,1)</definedName>
    <definedName name="Attendance_List">OFFSET(Setting!$A$2,,,COUNTA(Setting!$A:$A)-1,1)</definedName>
    <definedName name="Month" localSheetId="0">OFFSET(Setting!$D$2,,,COUNTA(Setting!$D:$D)-1,1)</definedName>
    <definedName name="Month" localSheetId="1">OFFSET(Setting!$D$2,,,COUNTA(Setting!$D:$D)-1,1)</definedName>
    <definedName name="Month">OFFSET(Setting!$D$2,,,COUNTA(Setting!$D:$D)-1,1)</definedName>
    <definedName name="Ocurrance_List" localSheetId="0">OFFSET(Settings!$A$2,,,COUNTA(Settings!$A:$A)-1,1)</definedName>
    <definedName name="Ocurrance_List" localSheetId="1">OFFSET(Settings!$A$2,,,COUNTA(Settings!$A:$A)-1,1)</definedName>
    <definedName name="Ocurrance_List">OFFSET(Settings!$A$2,,,COUNTA(Settings!$A:$A)-1,1)</definedName>
    <definedName name="X_Department">OFFSET(Support!$N$1,1,0,COUNTA(Support!$N:$N)-1)</definedName>
    <definedName name="X_Issue_Owner">OFFSET(Support!$K$1,1,0,COUNTA(Support!$K:$K)-1)</definedName>
    <definedName name="X_Priority">OFFSET(Support!$H$1,1,0,COUNTA(Support!$H:$H)-1)</definedName>
    <definedName name="X_Project_Impact">OFFSET(Support!$E$1,1,0,COUNTA(Support!$E:$E)-1)</definedName>
    <definedName name="X_Status">OFFSET(Support!$Q$1,1,0,COUNTA(Support!$Q:$Q)-1)</definedName>
    <definedName name="Y_Department">OFFSET(Support!$N$1,1,1,COUNTA(Support!$N:$N)-1)</definedName>
    <definedName name="Y_Issue_Owner">OFFSET(Support!$K$1,1,1,COUNTA(Support!$K:$K)-1)</definedName>
    <definedName name="Y_Priority">OFFSET(Support!$H$1,1,1,COUNTA(Support!$H:$H)-1)</definedName>
    <definedName name="Y_Project_Impact">OFFSET(Support!$E$1,1,1,COUNTA(Support!$E:$E)-1)</definedName>
    <definedName name="Y_Status">OFFSET(Support!$Q$1,1,1,COUNTA(Support!$Q:$Q)-1)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30" l="1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2" i="30"/>
  <c r="B6" i="1"/>
  <c r="R3" i="29"/>
  <c r="O3" i="29"/>
  <c r="O4" i="29"/>
  <c r="L3" i="29"/>
  <c r="L4" i="29"/>
  <c r="L5" i="29"/>
  <c r="I3" i="29"/>
  <c r="I4" i="29"/>
  <c r="F3" i="29"/>
  <c r="F4" i="29"/>
  <c r="F5" i="29"/>
  <c r="R2" i="29"/>
  <c r="O2" i="29"/>
  <c r="L2" i="29"/>
  <c r="I2" i="29"/>
  <c r="F2" i="29"/>
  <c r="D2" i="29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3" i="13"/>
  <c r="A3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F3" i="13"/>
  <c r="E3" i="13"/>
  <c r="D3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11" i="21"/>
  <c r="AK12" i="21"/>
  <c r="AK13" i="21"/>
  <c r="AK14" i="21"/>
  <c r="AK15" i="21"/>
  <c r="AK16" i="21"/>
  <c r="AK17" i="21"/>
  <c r="AK18" i="21"/>
  <c r="AK19" i="21"/>
  <c r="AK20" i="21"/>
  <c r="AK21" i="21"/>
  <c r="AK22" i="21"/>
  <c r="AK23" i="21"/>
  <c r="AK24" i="21"/>
  <c r="AK25" i="21"/>
  <c r="AK26" i="21"/>
  <c r="AK27" i="21"/>
  <c r="AK28" i="21"/>
  <c r="AK29" i="21"/>
  <c r="AK30" i="21"/>
  <c r="AK31" i="21"/>
  <c r="AK32" i="21"/>
  <c r="AK33" i="21"/>
  <c r="AK34" i="21"/>
  <c r="AK35" i="21"/>
  <c r="AK36" i="21"/>
  <c r="AK37" i="21"/>
  <c r="AK38" i="21"/>
  <c r="AK39" i="21"/>
  <c r="AK40" i="21"/>
  <c r="AK41" i="21"/>
  <c r="AK42" i="21"/>
  <c r="AK43" i="21"/>
  <c r="AK44" i="21"/>
  <c r="AK45" i="21"/>
  <c r="AK46" i="21"/>
  <c r="AK47" i="21"/>
  <c r="AK48" i="21"/>
  <c r="AK49" i="21"/>
  <c r="AK50" i="21"/>
  <c r="AK51" i="21"/>
  <c r="AK52" i="21"/>
  <c r="AK53" i="21"/>
  <c r="AK54" i="21"/>
  <c r="AK55" i="21"/>
  <c r="AK56" i="21"/>
  <c r="AK57" i="21"/>
  <c r="AK58" i="21"/>
  <c r="AK59" i="21"/>
  <c r="AK60" i="21"/>
  <c r="AK61" i="21"/>
  <c r="AK62" i="21"/>
  <c r="AK11" i="21"/>
  <c r="AH12" i="21"/>
  <c r="AH13" i="21"/>
  <c r="AH14" i="21"/>
  <c r="AH15" i="21"/>
  <c r="AH16" i="21"/>
  <c r="AH17" i="21"/>
  <c r="AH18" i="21"/>
  <c r="AH19" i="21"/>
  <c r="AH20" i="21"/>
  <c r="AH21" i="21"/>
  <c r="AH22" i="21"/>
  <c r="AH23" i="21"/>
  <c r="AH24" i="21"/>
  <c r="AH25" i="21"/>
  <c r="AH26" i="21"/>
  <c r="AJ26" i="21" s="1"/>
  <c r="AH27" i="21"/>
  <c r="AJ27" i="21" s="1"/>
  <c r="AH28" i="21"/>
  <c r="AH29" i="21"/>
  <c r="AH30" i="21"/>
  <c r="AH31" i="21"/>
  <c r="AH32" i="21"/>
  <c r="AH33" i="21"/>
  <c r="AH34" i="21"/>
  <c r="AH35" i="21"/>
  <c r="AH36" i="21"/>
  <c r="AH37" i="21"/>
  <c r="AH38" i="21"/>
  <c r="AJ38" i="21" s="1"/>
  <c r="AH39" i="21"/>
  <c r="AH40" i="21"/>
  <c r="AH41" i="21"/>
  <c r="AH42" i="21"/>
  <c r="AH43" i="21"/>
  <c r="AJ43" i="21" s="1"/>
  <c r="AH44" i="21"/>
  <c r="AH45" i="21"/>
  <c r="AH46" i="21"/>
  <c r="AH47" i="21"/>
  <c r="AH48" i="21"/>
  <c r="AH49" i="21"/>
  <c r="AH50" i="21"/>
  <c r="AH51" i="21"/>
  <c r="AH52" i="21"/>
  <c r="AH53" i="21"/>
  <c r="AH54" i="21"/>
  <c r="AJ54" i="21" s="1"/>
  <c r="AH55" i="21"/>
  <c r="AH56" i="21"/>
  <c r="AH57" i="21"/>
  <c r="AH58" i="21"/>
  <c r="AJ58" i="21" s="1"/>
  <c r="AH59" i="21"/>
  <c r="AH60" i="21"/>
  <c r="AH61" i="21"/>
  <c r="AH62" i="21"/>
  <c r="AH63" i="21"/>
  <c r="AH11" i="21"/>
  <c r="AI12" i="21"/>
  <c r="AI13" i="21"/>
  <c r="AI14" i="21"/>
  <c r="AI15" i="21"/>
  <c r="AJ15" i="21" s="1"/>
  <c r="AI16" i="21"/>
  <c r="AJ16" i="21" s="1"/>
  <c r="AI17" i="21"/>
  <c r="AJ17" i="21" s="1"/>
  <c r="AI18" i="21"/>
  <c r="AI19" i="21"/>
  <c r="AI20" i="21"/>
  <c r="AI21" i="21"/>
  <c r="AI22" i="21"/>
  <c r="AI23" i="21"/>
  <c r="AI24" i="21"/>
  <c r="AI25" i="21"/>
  <c r="AI26" i="21"/>
  <c r="AI27" i="21"/>
  <c r="AI28" i="21"/>
  <c r="AI29" i="21"/>
  <c r="AI30" i="21"/>
  <c r="AI31" i="21"/>
  <c r="AJ31" i="21" s="1"/>
  <c r="AI32" i="21"/>
  <c r="AJ32" i="21" s="1"/>
  <c r="AI33" i="21"/>
  <c r="AJ33" i="21" s="1"/>
  <c r="AI34" i="21"/>
  <c r="AI35" i="21"/>
  <c r="AI36" i="21"/>
  <c r="AI37" i="21"/>
  <c r="AI38" i="21"/>
  <c r="AI39" i="21"/>
  <c r="AI40" i="21"/>
  <c r="AI41" i="21"/>
  <c r="AI42" i="21"/>
  <c r="AI43" i="21"/>
  <c r="AI44" i="21"/>
  <c r="AI45" i="21"/>
  <c r="AI46" i="21"/>
  <c r="AI47" i="21"/>
  <c r="AJ47" i="21" s="1"/>
  <c r="AI48" i="21"/>
  <c r="AJ48" i="21" s="1"/>
  <c r="AI49" i="21"/>
  <c r="AJ49" i="21" s="1"/>
  <c r="AI50" i="21"/>
  <c r="AI51" i="21"/>
  <c r="AI52" i="21"/>
  <c r="AI53" i="21"/>
  <c r="AI54" i="21"/>
  <c r="AI55" i="21"/>
  <c r="AI56" i="21"/>
  <c r="AI57" i="21"/>
  <c r="AI58" i="21"/>
  <c r="AI59" i="21"/>
  <c r="AI60" i="21"/>
  <c r="AI61" i="21"/>
  <c r="AI62" i="21"/>
  <c r="AI11" i="21"/>
  <c r="C10" i="21"/>
  <c r="F97" i="1"/>
  <c r="C32" i="1"/>
  <c r="C33" i="1"/>
  <c r="B32" i="1"/>
  <c r="B33" i="1"/>
  <c r="A32" i="1"/>
  <c r="A33" i="1"/>
  <c r="D3" i="18"/>
  <c r="D2" i="18"/>
  <c r="E2" i="18"/>
  <c r="E20" i="18"/>
  <c r="E21" i="18"/>
  <c r="E22" i="18"/>
  <c r="E23" i="18"/>
  <c r="E24" i="18"/>
  <c r="E25" i="18"/>
  <c r="E26" i="18"/>
  <c r="E27" i="18"/>
  <c r="E28" i="18"/>
  <c r="E29" i="18"/>
  <c r="E30" i="18"/>
  <c r="E3" i="18"/>
  <c r="D4" i="18"/>
  <c r="E4" i="18" s="1"/>
  <c r="D5" i="18"/>
  <c r="E5" i="18" s="1"/>
  <c r="D6" i="18"/>
  <c r="E6" i="18" s="1"/>
  <c r="D7" i="18"/>
  <c r="E7" i="18" s="1"/>
  <c r="D8" i="18"/>
  <c r="E8" i="18" s="1"/>
  <c r="D9" i="18"/>
  <c r="E9" i="18" s="1"/>
  <c r="D10" i="18"/>
  <c r="E10" i="18" s="1"/>
  <c r="D11" i="18"/>
  <c r="E11" i="18" s="1"/>
  <c r="D12" i="18"/>
  <c r="E12" i="18" s="1"/>
  <c r="D13" i="18"/>
  <c r="E13" i="18" s="1"/>
  <c r="D14" i="18"/>
  <c r="E14" i="18" s="1"/>
  <c r="D15" i="18"/>
  <c r="E15" i="18" s="1"/>
  <c r="D16" i="18"/>
  <c r="E16" i="18" s="1"/>
  <c r="D17" i="18"/>
  <c r="E17" i="18" s="1"/>
  <c r="D18" i="18"/>
  <c r="E18" i="18" s="1"/>
  <c r="D19" i="18"/>
  <c r="E19" i="18" s="1"/>
  <c r="D20" i="18"/>
  <c r="D21" i="18"/>
  <c r="D22" i="18"/>
  <c r="D23" i="18"/>
  <c r="D24" i="18"/>
  <c r="D25" i="18"/>
  <c r="D26" i="18"/>
  <c r="D27" i="18"/>
  <c r="D28" i="18"/>
  <c r="D29" i="18"/>
  <c r="D30" i="18"/>
  <c r="AJ13" i="21" l="1"/>
  <c r="AJ21" i="21"/>
  <c r="AJ59" i="21"/>
  <c r="AJ61" i="21"/>
  <c r="AJ29" i="21"/>
  <c r="AJ45" i="21"/>
  <c r="AJ55" i="21"/>
  <c r="AJ39" i="21"/>
  <c r="AJ23" i="21"/>
  <c r="AJ60" i="21"/>
  <c r="AJ44" i="21"/>
  <c r="AJ28" i="21"/>
  <c r="AJ12" i="21"/>
  <c r="AJ56" i="21"/>
  <c r="AJ40" i="21"/>
  <c r="AJ24" i="21"/>
  <c r="AJ22" i="21"/>
  <c r="AJ37" i="21"/>
  <c r="AJ52" i="21"/>
  <c r="AJ36" i="21"/>
  <c r="AJ20" i="21"/>
  <c r="AJ51" i="21"/>
  <c r="AJ35" i="21"/>
  <c r="AJ19" i="21"/>
  <c r="AJ53" i="21"/>
  <c r="AJ50" i="21"/>
  <c r="AJ18" i="21"/>
  <c r="AJ42" i="21"/>
  <c r="AJ34" i="21"/>
  <c r="AJ57" i="21"/>
  <c r="AJ41" i="21"/>
  <c r="AJ25" i="21"/>
  <c r="AJ62" i="21"/>
  <c r="AJ46" i="21"/>
  <c r="AJ30" i="21"/>
  <c r="AJ14" i="21"/>
  <c r="D10" i="21"/>
  <c r="E10" i="21" s="1"/>
  <c r="F10" i="21" s="1"/>
  <c r="G10" i="21" s="1"/>
  <c r="H10" i="21" s="1"/>
  <c r="I10" i="21" s="1"/>
  <c r="J10" i="21" s="1"/>
  <c r="K10" i="21" s="1"/>
  <c r="L10" i="21" s="1"/>
  <c r="M10" i="21" s="1"/>
  <c r="N10" i="21" s="1"/>
  <c r="O10" i="21" s="1"/>
  <c r="P10" i="21" s="1"/>
  <c r="Q10" i="21" s="1"/>
  <c r="R10" i="21" s="1"/>
  <c r="S10" i="21" s="1"/>
  <c r="T10" i="21" s="1"/>
  <c r="U10" i="21" s="1"/>
  <c r="V10" i="21" s="1"/>
  <c r="W10" i="21" s="1"/>
  <c r="X10" i="21" s="1"/>
  <c r="Y10" i="21" s="1"/>
  <c r="Z10" i="21" s="1"/>
  <c r="AA10" i="21" s="1"/>
  <c r="AB10" i="21" s="1"/>
  <c r="AC10" i="21" s="1"/>
  <c r="AF10" i="21" l="1"/>
  <c r="AE10" i="21"/>
  <c r="AD10" i="21"/>
  <c r="AG10" i="21" s="1"/>
  <c r="AJ11" i="21"/>
  <c r="J14" i="12" l="1"/>
  <c r="J12" i="12"/>
  <c r="J11" i="12"/>
  <c r="J5" i="12"/>
  <c r="J4" i="12"/>
  <c r="J3" i="12"/>
  <c r="J19" i="12"/>
  <c r="J24" i="12"/>
  <c r="J23" i="12"/>
  <c r="J15" i="12"/>
  <c r="J7" i="12"/>
  <c r="J21" i="12"/>
  <c r="J16" i="12"/>
  <c r="J8" i="12"/>
  <c r="J25" i="12"/>
  <c r="J18" i="12"/>
  <c r="J17" i="12"/>
  <c r="J9" i="12"/>
  <c r="J2" i="12"/>
  <c r="J13" i="12"/>
  <c r="J6" i="12"/>
  <c r="J10" i="12"/>
  <c r="J20" i="12"/>
  <c r="J22" i="12"/>
  <c r="J26" i="12"/>
  <c r="J27" i="12"/>
  <c r="J28" i="12"/>
  <c r="J29" i="12"/>
  <c r="J30" i="12"/>
  <c r="A29" i="1" l="1"/>
  <c r="B29" i="1"/>
  <c r="C29" i="1"/>
  <c r="A30" i="1"/>
  <c r="B30" i="1"/>
  <c r="C30" i="1"/>
  <c r="A31" i="1"/>
  <c r="B31" i="1"/>
  <c r="C31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C6" i="1"/>
  <c r="A6" i="1"/>
  <c r="E3" i="4"/>
  <c r="F3" i="4" s="1"/>
  <c r="G3" i="4" s="1"/>
  <c r="H3" i="4" s="1"/>
  <c r="I3" i="4" s="1"/>
  <c r="J3" i="4" s="1"/>
  <c r="G5" i="1"/>
  <c r="G32" i="1" l="1"/>
  <c r="G33" i="1"/>
  <c r="G14" i="1"/>
  <c r="G20" i="1"/>
  <c r="H5" i="1"/>
  <c r="G6" i="1"/>
  <c r="G13" i="1"/>
  <c r="G7" i="1"/>
  <c r="G15" i="1"/>
  <c r="G8" i="1"/>
  <c r="G16" i="1"/>
  <c r="G17" i="1"/>
  <c r="G10" i="1"/>
  <c r="G18" i="1"/>
  <c r="G9" i="1"/>
  <c r="G11" i="1"/>
  <c r="G19" i="1"/>
  <c r="G12" i="1"/>
  <c r="H33" i="1" l="1"/>
  <c r="H32" i="1"/>
  <c r="H8" i="1"/>
  <c r="H9" i="1"/>
  <c r="H18" i="1"/>
  <c r="H14" i="1"/>
  <c r="H11" i="1"/>
  <c r="H20" i="1"/>
  <c r="H16" i="1"/>
  <c r="H13" i="1"/>
  <c r="H6" i="1"/>
  <c r="H12" i="1"/>
  <c r="H17" i="1"/>
  <c r="I5" i="1"/>
  <c r="H15" i="1"/>
  <c r="H10" i="1"/>
  <c r="H7" i="1"/>
  <c r="H19" i="1"/>
  <c r="I33" i="1" l="1"/>
  <c r="I32" i="1"/>
  <c r="I6" i="1"/>
  <c r="I10" i="1"/>
  <c r="I9" i="1"/>
  <c r="I13" i="1"/>
  <c r="I18" i="1"/>
  <c r="I17" i="1"/>
  <c r="I14" i="1"/>
  <c r="I15" i="1"/>
  <c r="I8" i="1"/>
  <c r="I20" i="1"/>
  <c r="I16" i="1"/>
  <c r="I12" i="1"/>
  <c r="I11" i="1"/>
  <c r="J5" i="1"/>
  <c r="I19" i="1"/>
  <c r="I7" i="1"/>
  <c r="J33" i="1" l="1"/>
  <c r="J32" i="1"/>
  <c r="K5" i="1"/>
  <c r="L5" i="1" l="1"/>
  <c r="M5" i="1" s="1"/>
  <c r="K33" i="1"/>
  <c r="K32" i="1"/>
  <c r="M33" i="1" l="1"/>
  <c r="M32" i="1"/>
  <c r="L33" i="1"/>
  <c r="L32" i="1"/>
  <c r="N5" i="1"/>
  <c r="N33" i="1" l="1"/>
  <c r="N32" i="1"/>
  <c r="O5" i="1"/>
  <c r="O33" i="1" l="1"/>
  <c r="O32" i="1"/>
  <c r="P5" i="1"/>
  <c r="P33" i="1" l="1"/>
  <c r="P32" i="1"/>
  <c r="Q5" i="1"/>
  <c r="Q33" i="1" l="1"/>
  <c r="Q32" i="1"/>
  <c r="R5" i="1"/>
  <c r="R32" i="1" l="1"/>
  <c r="R33" i="1"/>
  <c r="S5" i="1"/>
  <c r="S33" i="1" l="1"/>
  <c r="S32" i="1"/>
  <c r="T5" i="1"/>
  <c r="T32" i="1" l="1"/>
  <c r="T33" i="1"/>
  <c r="U5" i="1"/>
  <c r="U33" i="1" l="1"/>
  <c r="U32" i="1"/>
  <c r="V5" i="1"/>
  <c r="V33" i="1" l="1"/>
  <c r="V32" i="1"/>
  <c r="W5" i="1"/>
  <c r="W32" i="1" l="1"/>
  <c r="W33" i="1"/>
  <c r="X5" i="1"/>
  <c r="X33" i="1" l="1"/>
  <c r="X32" i="1"/>
  <c r="Y5" i="1"/>
  <c r="Y33" i="1" l="1"/>
  <c r="Y32" i="1"/>
  <c r="Z5" i="1"/>
  <c r="Z33" i="1" l="1"/>
  <c r="Z32" i="1"/>
  <c r="AA5" i="1"/>
  <c r="AA33" i="1" l="1"/>
  <c r="AA32" i="1"/>
  <c r="AB5" i="1"/>
  <c r="AB33" i="1" l="1"/>
  <c r="AB32" i="1"/>
  <c r="AC5" i="1"/>
  <c r="AC32" i="1" l="1"/>
  <c r="AC33" i="1"/>
  <c r="AD5" i="1"/>
  <c r="AD33" i="1" l="1"/>
  <c r="AD32" i="1"/>
  <c r="AE5" i="1"/>
  <c r="AE33" i="1" l="1"/>
  <c r="AE32" i="1"/>
  <c r="AF5" i="1"/>
  <c r="AF33" i="1" l="1"/>
  <c r="AF32" i="1"/>
  <c r="AG5" i="1"/>
  <c r="AG32" i="1" l="1"/>
  <c r="AG33" i="1"/>
  <c r="AH5" i="1"/>
  <c r="AH32" i="1" l="1"/>
  <c r="AH33" i="1"/>
  <c r="AI5" i="1"/>
  <c r="AK5" i="1"/>
  <c r="AJ5" i="1"/>
  <c r="AK33" i="1" l="1"/>
  <c r="AK32" i="1"/>
  <c r="AI32" i="1"/>
  <c r="AI33" i="1"/>
  <c r="AJ33" i="1"/>
  <c r="AJ32" i="1"/>
  <c r="AK11" i="1"/>
  <c r="AK16" i="1"/>
  <c r="AJ9" i="1"/>
  <c r="AK9" i="1"/>
  <c r="AK19" i="1"/>
  <c r="AK13" i="1"/>
  <c r="J11" i="1"/>
  <c r="F33" i="1" l="1"/>
  <c r="F32" i="1"/>
  <c r="D32" i="1"/>
  <c r="E32" i="1"/>
  <c r="D33" i="1"/>
  <c r="E33" i="1"/>
  <c r="G70" i="1"/>
  <c r="G26" i="1"/>
  <c r="G44" i="1"/>
  <c r="G79" i="1"/>
  <c r="G58" i="1"/>
  <c r="G45" i="1"/>
  <c r="G24" i="1"/>
  <c r="G46" i="1"/>
  <c r="G41" i="1"/>
  <c r="G93" i="1"/>
  <c r="G34" i="1"/>
  <c r="G39" i="1"/>
  <c r="G43" i="1"/>
  <c r="G50" i="1"/>
  <c r="G82" i="1"/>
  <c r="G74" i="1"/>
  <c r="G68" i="1"/>
  <c r="G53" i="1"/>
  <c r="G47" i="1"/>
  <c r="G72" i="1"/>
  <c r="G86" i="1"/>
  <c r="G77" i="1"/>
  <c r="G92" i="1"/>
  <c r="G84" i="1"/>
  <c r="G31" i="1"/>
  <c r="G57" i="1"/>
  <c r="G29" i="1"/>
  <c r="G51" i="1"/>
  <c r="G60" i="1"/>
  <c r="G62" i="1"/>
  <c r="G36" i="1"/>
  <c r="G88" i="1"/>
  <c r="G91" i="1"/>
  <c r="G87" i="1"/>
  <c r="G30" i="1"/>
  <c r="G96" i="1"/>
  <c r="G59" i="1"/>
  <c r="G49" i="1"/>
  <c r="G28" i="1"/>
  <c r="G25" i="1"/>
  <c r="G89" i="1"/>
  <c r="G21" i="1"/>
  <c r="G55" i="1"/>
  <c r="G40" i="1"/>
  <c r="G94" i="1"/>
  <c r="G48" i="1"/>
  <c r="H59" i="1"/>
  <c r="G61" i="1"/>
  <c r="G66" i="1"/>
  <c r="G54" i="1"/>
  <c r="G37" i="1"/>
  <c r="G71" i="1"/>
  <c r="G81" i="1"/>
  <c r="G95" i="1"/>
  <c r="G78" i="1"/>
  <c r="G56" i="1"/>
  <c r="G27" i="1"/>
  <c r="G22" i="1"/>
  <c r="G38" i="1"/>
  <c r="G42" i="1"/>
  <c r="G90" i="1"/>
  <c r="G85" i="1"/>
  <c r="G52" i="1"/>
  <c r="G63" i="1"/>
  <c r="G76" i="1"/>
  <c r="G80" i="1"/>
  <c r="G65" i="1"/>
  <c r="G23" i="1"/>
  <c r="G69" i="1"/>
  <c r="G35" i="1"/>
  <c r="G75" i="1"/>
  <c r="G73" i="1"/>
  <c r="G83" i="1"/>
  <c r="G67" i="1"/>
  <c r="H64" i="1"/>
  <c r="H84" i="1"/>
  <c r="H26" i="1"/>
  <c r="I58" i="1"/>
  <c r="H24" i="1"/>
  <c r="H88" i="1"/>
  <c r="H78" i="1"/>
  <c r="H65" i="1"/>
  <c r="H70" i="1"/>
  <c r="H90" i="1"/>
  <c r="H85" i="1"/>
  <c r="H31" i="1"/>
  <c r="H55" i="1"/>
  <c r="H42" i="1"/>
  <c r="H93" i="1"/>
  <c r="H58" i="1"/>
  <c r="H43" i="1"/>
  <c r="H80" i="1"/>
  <c r="H56" i="1"/>
  <c r="H57" i="1"/>
  <c r="H41" i="1"/>
  <c r="H22" i="1"/>
  <c r="H67" i="1"/>
  <c r="H44" i="1"/>
  <c r="H73" i="1"/>
  <c r="H83" i="1"/>
  <c r="H36" i="1"/>
  <c r="H82" i="1"/>
  <c r="H53" i="1"/>
  <c r="H94" i="1"/>
  <c r="H25" i="1"/>
  <c r="H62" i="1"/>
  <c r="H37" i="1"/>
  <c r="H71" i="1"/>
  <c r="H60" i="1"/>
  <c r="H47" i="1"/>
  <c r="H40" i="1"/>
  <c r="H54" i="1"/>
  <c r="H52" i="1"/>
  <c r="H72" i="1"/>
  <c r="H87" i="1"/>
  <c r="H27" i="1"/>
  <c r="H34" i="1"/>
  <c r="H61" i="1"/>
  <c r="G64" i="1"/>
  <c r="H68" i="1"/>
  <c r="H86" i="1"/>
  <c r="H92" i="1"/>
  <c r="H29" i="1"/>
  <c r="H69" i="1"/>
  <c r="H77" i="1"/>
  <c r="H28" i="1"/>
  <c r="L76" i="1"/>
  <c r="H66" i="1"/>
  <c r="H30" i="1"/>
  <c r="H46" i="1"/>
  <c r="H79" i="1"/>
  <c r="H75" i="1"/>
  <c r="H76" i="1"/>
  <c r="L65" i="1"/>
  <c r="H89" i="1"/>
  <c r="H23" i="1"/>
  <c r="H51" i="1"/>
  <c r="H63" i="1"/>
  <c r="H48" i="1"/>
  <c r="H35" i="1"/>
  <c r="H39" i="1"/>
  <c r="H95" i="1"/>
  <c r="H74" i="1"/>
  <c r="H21" i="1"/>
  <c r="H81" i="1"/>
  <c r="H91" i="1"/>
  <c r="H50" i="1"/>
  <c r="H49" i="1"/>
  <c r="H45" i="1"/>
  <c r="H96" i="1"/>
  <c r="H38" i="1"/>
  <c r="J23" i="1"/>
  <c r="I54" i="1"/>
  <c r="J67" i="1"/>
  <c r="J53" i="1"/>
  <c r="I68" i="1"/>
  <c r="K41" i="1"/>
  <c r="K51" i="1"/>
  <c r="K43" i="1"/>
  <c r="I80" i="1"/>
  <c r="L43" i="1"/>
  <c r="I95" i="1"/>
  <c r="I59" i="1"/>
  <c r="L36" i="1"/>
  <c r="L29" i="1"/>
  <c r="J48" i="1"/>
  <c r="K76" i="1"/>
  <c r="K48" i="1"/>
  <c r="J30" i="1"/>
  <c r="I71" i="1"/>
  <c r="L79" i="1"/>
  <c r="L51" i="1"/>
  <c r="L59" i="1"/>
  <c r="I69" i="1"/>
  <c r="I43" i="1"/>
  <c r="J61" i="1"/>
  <c r="K50" i="1"/>
  <c r="K59" i="1"/>
  <c r="L40" i="1"/>
  <c r="J68" i="1"/>
  <c r="J95" i="1"/>
  <c r="I66" i="1"/>
  <c r="L89" i="1"/>
  <c r="L45" i="1"/>
  <c r="J82" i="1"/>
  <c r="L90" i="1"/>
  <c r="K93" i="1"/>
  <c r="L56" i="1"/>
  <c r="I48" i="1"/>
  <c r="I84" i="1"/>
  <c r="J29" i="1"/>
  <c r="L85" i="1"/>
  <c r="I88" i="1"/>
  <c r="L73" i="1"/>
  <c r="I57" i="1"/>
  <c r="J39" i="1"/>
  <c r="K70" i="1"/>
  <c r="J64" i="1"/>
  <c r="J22" i="1"/>
  <c r="L74" i="1"/>
  <c r="K26" i="1"/>
  <c r="L27" i="1"/>
  <c r="J59" i="1"/>
  <c r="I73" i="1"/>
  <c r="K34" i="1"/>
  <c r="L50" i="1"/>
  <c r="J27" i="1"/>
  <c r="J80" i="1"/>
  <c r="J83" i="1"/>
  <c r="J28" i="1"/>
  <c r="J84" i="1"/>
  <c r="J26" i="1"/>
  <c r="K86" i="1"/>
  <c r="J92" i="1"/>
  <c r="I61" i="1"/>
  <c r="J91" i="1"/>
  <c r="I31" i="1"/>
  <c r="K61" i="1"/>
  <c r="L34" i="1"/>
  <c r="I46" i="1"/>
  <c r="K53" i="1"/>
  <c r="K46" i="1"/>
  <c r="I22" i="1"/>
  <c r="J36" i="1"/>
  <c r="J60" i="1"/>
  <c r="J62" i="1"/>
  <c r="I92" i="1"/>
  <c r="I70" i="1"/>
  <c r="K35" i="1"/>
  <c r="K85" i="1"/>
  <c r="L94" i="1"/>
  <c r="I45" i="1"/>
  <c r="K88" i="1"/>
  <c r="J37" i="1"/>
  <c r="K90" i="1"/>
  <c r="K47" i="1"/>
  <c r="L49" i="1"/>
  <c r="J25" i="1"/>
  <c r="I37" i="1"/>
  <c r="J81" i="1"/>
  <c r="L67" i="1"/>
  <c r="L83" i="1"/>
  <c r="L35" i="1"/>
  <c r="L92" i="1"/>
  <c r="L26" i="1"/>
  <c r="I44" i="1"/>
  <c r="I82" i="1"/>
  <c r="K79" i="1"/>
  <c r="K29" i="1"/>
  <c r="I36" i="1"/>
  <c r="L42" i="1"/>
  <c r="L81" i="1"/>
  <c r="J55" i="1"/>
  <c r="J90" i="1"/>
  <c r="J89" i="1"/>
  <c r="L75" i="1"/>
  <c r="J77" i="1"/>
  <c r="L57" i="1"/>
  <c r="K37" i="1"/>
  <c r="K94" i="1"/>
  <c r="I56" i="1"/>
  <c r="L44" i="1"/>
  <c r="J88" i="1"/>
  <c r="L60" i="1"/>
  <c r="J93" i="1"/>
  <c r="K87" i="1"/>
  <c r="I64" i="1"/>
  <c r="L63" i="1"/>
  <c r="I91" i="1"/>
  <c r="L46" i="1"/>
  <c r="I55" i="1"/>
  <c r="K40" i="1"/>
  <c r="I39" i="1"/>
  <c r="I72" i="1"/>
  <c r="I93" i="1"/>
  <c r="J24" i="1"/>
  <c r="K23" i="1"/>
  <c r="J73" i="1"/>
  <c r="I63" i="1"/>
  <c r="L52" i="1"/>
  <c r="K21" i="1"/>
  <c r="K57" i="1"/>
  <c r="L58" i="1"/>
  <c r="J69" i="1"/>
  <c r="I47" i="1"/>
  <c r="J21" i="1"/>
  <c r="L25" i="1"/>
  <c r="K62" i="1"/>
  <c r="I86" i="1"/>
  <c r="K67" i="1"/>
  <c r="K56" i="1"/>
  <c r="K91" i="1"/>
  <c r="I38" i="1"/>
  <c r="L28" i="1"/>
  <c r="I76" i="1"/>
  <c r="J56" i="1"/>
  <c r="L66" i="1"/>
  <c r="K65" i="1"/>
  <c r="K39" i="1"/>
  <c r="L70" i="1"/>
  <c r="L38" i="1"/>
  <c r="K27" i="1"/>
  <c r="J41" i="1"/>
  <c r="K64" i="1"/>
  <c r="L91" i="1"/>
  <c r="K75" i="1"/>
  <c r="K31" i="1"/>
  <c r="J31" i="1"/>
  <c r="K92" i="1"/>
  <c r="I21" i="1"/>
  <c r="K42" i="1"/>
  <c r="K36" i="1"/>
  <c r="K71" i="1"/>
  <c r="J38" i="1"/>
  <c r="L68" i="1"/>
  <c r="K95" i="1"/>
  <c r="I62" i="1"/>
  <c r="J35" i="1"/>
  <c r="L30" i="1"/>
  <c r="K81" i="1"/>
  <c r="I74" i="1"/>
  <c r="L88" i="1"/>
  <c r="K52" i="1"/>
  <c r="I52" i="1"/>
  <c r="I94" i="1"/>
  <c r="K28" i="1"/>
  <c r="I85" i="1"/>
  <c r="I89" i="1"/>
  <c r="J43" i="1"/>
  <c r="J78" i="1"/>
  <c r="L69" i="1"/>
  <c r="L24" i="1"/>
  <c r="K68" i="1"/>
  <c r="J79" i="1"/>
  <c r="I40" i="1"/>
  <c r="L93" i="1"/>
  <c r="K25" i="1"/>
  <c r="J75" i="1"/>
  <c r="L41" i="1"/>
  <c r="K96" i="1"/>
  <c r="L95" i="1"/>
  <c r="J96" i="1"/>
  <c r="I24" i="1"/>
  <c r="I41" i="1"/>
  <c r="L77" i="1"/>
  <c r="L80" i="1"/>
  <c r="J49" i="1"/>
  <c r="J65" i="1"/>
  <c r="K89" i="1"/>
  <c r="K74" i="1"/>
  <c r="K38" i="1"/>
  <c r="I83" i="1"/>
  <c r="J63" i="1"/>
  <c r="I26" i="1"/>
  <c r="K73" i="1"/>
  <c r="I50" i="1"/>
  <c r="K22" i="1"/>
  <c r="J66" i="1"/>
  <c r="J58" i="1"/>
  <c r="I53" i="1"/>
  <c r="J34" i="1"/>
  <c r="K83" i="1"/>
  <c r="K69" i="1"/>
  <c r="M64" i="1"/>
  <c r="K44" i="1"/>
  <c r="J54" i="1"/>
  <c r="L82" i="1"/>
  <c r="L23" i="1"/>
  <c r="J51" i="1"/>
  <c r="I65" i="1"/>
  <c r="L47" i="1"/>
  <c r="I78" i="1"/>
  <c r="I29" i="1"/>
  <c r="K55" i="1"/>
  <c r="I87" i="1"/>
  <c r="L87" i="1"/>
  <c r="J72" i="1"/>
  <c r="J74" i="1"/>
  <c r="K24" i="1"/>
  <c r="J85" i="1"/>
  <c r="L78" i="1"/>
  <c r="L96" i="1"/>
  <c r="K78" i="1"/>
  <c r="L55" i="1"/>
  <c r="K84" i="1"/>
  <c r="K72" i="1"/>
  <c r="I67" i="1"/>
  <c r="I51" i="1"/>
  <c r="J76" i="1"/>
  <c r="I75" i="1"/>
  <c r="L21" i="1"/>
  <c r="J52" i="1"/>
  <c r="L86" i="1"/>
  <c r="I27" i="1"/>
  <c r="L61" i="1"/>
  <c r="L37" i="1"/>
  <c r="L62" i="1"/>
  <c r="K60" i="1"/>
  <c r="L39" i="1"/>
  <c r="L53" i="1"/>
  <c r="L22" i="1"/>
  <c r="I81" i="1"/>
  <c r="I60" i="1"/>
  <c r="J57" i="1"/>
  <c r="I25" i="1"/>
  <c r="K54" i="1"/>
  <c r="I42" i="1"/>
  <c r="I34" i="1"/>
  <c r="I35" i="1"/>
  <c r="J70" i="1"/>
  <c r="J44" i="1"/>
  <c r="J87" i="1"/>
  <c r="K58" i="1"/>
  <c r="K63" i="1"/>
  <c r="I77" i="1"/>
  <c r="I49" i="1"/>
  <c r="L71" i="1"/>
  <c r="L48" i="1"/>
  <c r="J71" i="1"/>
  <c r="L72" i="1"/>
  <c r="I30" i="1"/>
  <c r="K66" i="1"/>
  <c r="K30" i="1"/>
  <c r="J94" i="1"/>
  <c r="I28" i="1"/>
  <c r="L54" i="1"/>
  <c r="J45" i="1"/>
  <c r="I23" i="1"/>
  <c r="K45" i="1"/>
  <c r="I79" i="1"/>
  <c r="J42" i="1"/>
  <c r="L31" i="1"/>
  <c r="J40" i="1"/>
  <c r="I96" i="1"/>
  <c r="J47" i="1"/>
  <c r="J50" i="1"/>
  <c r="J46" i="1"/>
  <c r="J86" i="1"/>
  <c r="K80" i="1"/>
  <c r="I90" i="1"/>
  <c r="L84" i="1"/>
  <c r="M21" i="1"/>
  <c r="M23" i="1"/>
  <c r="M60" i="1"/>
  <c r="M27" i="1"/>
  <c r="M36" i="1"/>
  <c r="M29" i="1"/>
  <c r="M92" i="1"/>
  <c r="M78" i="1"/>
  <c r="M28" i="1"/>
  <c r="M49" i="1"/>
  <c r="M82" i="1"/>
  <c r="M83" i="1"/>
  <c r="M75" i="1"/>
  <c r="M53" i="1"/>
  <c r="M80" i="1"/>
  <c r="M58" i="1"/>
  <c r="M95" i="1"/>
  <c r="M81" i="1"/>
  <c r="M62" i="1"/>
  <c r="M35" i="1"/>
  <c r="M88" i="1"/>
  <c r="K77" i="1"/>
  <c r="M37" i="1"/>
  <c r="M67" i="1"/>
  <c r="M66" i="1"/>
  <c r="M46" i="1"/>
  <c r="M50" i="1"/>
  <c r="M54" i="1"/>
  <c r="M31" i="1"/>
  <c r="M65" i="1"/>
  <c r="M52" i="1"/>
  <c r="M30" i="1"/>
  <c r="M47" i="1"/>
  <c r="M25" i="1"/>
  <c r="M94" i="1"/>
  <c r="M93" i="1"/>
  <c r="M96" i="1"/>
  <c r="M51" i="1"/>
  <c r="M39" i="1"/>
  <c r="L64" i="1"/>
  <c r="M48" i="1"/>
  <c r="M40" i="1"/>
  <c r="M41" i="1"/>
  <c r="M91" i="1"/>
  <c r="M45" i="1"/>
  <c r="M72" i="1"/>
  <c r="M84" i="1"/>
  <c r="M61" i="1"/>
  <c r="M24" i="1"/>
  <c r="M85" i="1"/>
  <c r="M76" i="1"/>
  <c r="M70" i="1"/>
  <c r="M42" i="1"/>
  <c r="M63" i="1"/>
  <c r="M74" i="1"/>
  <c r="M90" i="1"/>
  <c r="M87" i="1"/>
  <c r="K82" i="1"/>
  <c r="M69" i="1"/>
  <c r="M55" i="1"/>
  <c r="M68" i="1"/>
  <c r="M34" i="1"/>
  <c r="M86" i="1"/>
  <c r="M56" i="1"/>
  <c r="M79" i="1"/>
  <c r="M38" i="1"/>
  <c r="M89" i="1"/>
  <c r="M26" i="1"/>
  <c r="M73" i="1"/>
  <c r="M44" i="1"/>
  <c r="M77" i="1"/>
  <c r="M59" i="1"/>
  <c r="K49" i="1"/>
  <c r="M43" i="1"/>
  <c r="N71" i="1"/>
  <c r="N21" i="1"/>
  <c r="N86" i="1"/>
  <c r="N28" i="1"/>
  <c r="N46" i="1"/>
  <c r="N31" i="1"/>
  <c r="N26" i="1"/>
  <c r="N78" i="1"/>
  <c r="N83" i="1"/>
  <c r="N89" i="1"/>
  <c r="N93" i="1"/>
  <c r="N22" i="1"/>
  <c r="N43" i="1"/>
  <c r="N27" i="1"/>
  <c r="N29" i="1"/>
  <c r="N69" i="1"/>
  <c r="N65" i="1"/>
  <c r="N68" i="1"/>
  <c r="N49" i="1"/>
  <c r="N70" i="1"/>
  <c r="N73" i="1"/>
  <c r="N45" i="1"/>
  <c r="N67" i="1"/>
  <c r="N24" i="1"/>
  <c r="N80" i="1"/>
  <c r="N57" i="1"/>
  <c r="N64" i="1"/>
  <c r="O88" i="1"/>
  <c r="N87" i="1"/>
  <c r="N63" i="1"/>
  <c r="N82" i="1"/>
  <c r="N42" i="1"/>
  <c r="M71" i="1"/>
  <c r="N76" i="1"/>
  <c r="N79" i="1"/>
  <c r="N60" i="1"/>
  <c r="N62" i="1"/>
  <c r="N94" i="1"/>
  <c r="N84" i="1"/>
  <c r="N41" i="1"/>
  <c r="N75" i="1"/>
  <c r="N53" i="1"/>
  <c r="N55" i="1"/>
  <c r="N54" i="1"/>
  <c r="N61" i="1"/>
  <c r="N91" i="1"/>
  <c r="N88" i="1"/>
  <c r="N77" i="1"/>
  <c r="N58" i="1"/>
  <c r="N72" i="1"/>
  <c r="N30" i="1"/>
  <c r="N50" i="1"/>
  <c r="N34" i="1"/>
  <c r="N96" i="1"/>
  <c r="N37" i="1"/>
  <c r="N90" i="1"/>
  <c r="M57" i="1"/>
  <c r="N56" i="1"/>
  <c r="N74" i="1"/>
  <c r="M22" i="1"/>
  <c r="N47" i="1"/>
  <c r="N38" i="1"/>
  <c r="O51" i="1"/>
  <c r="N40" i="1"/>
  <c r="N92" i="1"/>
  <c r="N44" i="1"/>
  <c r="N25" i="1"/>
  <c r="N81" i="1"/>
  <c r="N36" i="1"/>
  <c r="N51" i="1"/>
  <c r="N52" i="1"/>
  <c r="N48" i="1"/>
  <c r="N23" i="1"/>
  <c r="N39" i="1"/>
  <c r="N85" i="1"/>
  <c r="O76" i="1"/>
  <c r="O58" i="1"/>
  <c r="O43" i="1"/>
  <c r="O70" i="1"/>
  <c r="O72" i="1"/>
  <c r="O84" i="1"/>
  <c r="O74" i="1"/>
  <c r="O45" i="1"/>
  <c r="O65" i="1"/>
  <c r="O60" i="1"/>
  <c r="O83" i="1"/>
  <c r="O80" i="1"/>
  <c r="O56" i="1"/>
  <c r="O92" i="1"/>
  <c r="O94" i="1"/>
  <c r="O64" i="1"/>
  <c r="O91" i="1"/>
  <c r="N66" i="1"/>
  <c r="O77" i="1"/>
  <c r="O37" i="1"/>
  <c r="O59" i="1"/>
  <c r="O31" i="1"/>
  <c r="O85" i="1"/>
  <c r="O73" i="1"/>
  <c r="O30" i="1"/>
  <c r="O55" i="1"/>
  <c r="O24" i="1"/>
  <c r="O96" i="1"/>
  <c r="O81" i="1"/>
  <c r="O25" i="1"/>
  <c r="O22" i="1"/>
  <c r="O36" i="1"/>
  <c r="O90" i="1"/>
  <c r="O54" i="1"/>
  <c r="O87" i="1"/>
  <c r="O44" i="1"/>
  <c r="O82" i="1"/>
  <c r="O86" i="1"/>
  <c r="O78" i="1"/>
  <c r="O69" i="1"/>
  <c r="O50" i="1"/>
  <c r="O49" i="1"/>
  <c r="O95" i="1"/>
  <c r="O66" i="1"/>
  <c r="O38" i="1"/>
  <c r="O89" i="1"/>
  <c r="O27" i="1"/>
  <c r="O41" i="1"/>
  <c r="N35" i="1"/>
  <c r="O79" i="1"/>
  <c r="O52" i="1"/>
  <c r="O39" i="1"/>
  <c r="O42" i="1"/>
  <c r="O62" i="1"/>
  <c r="O53" i="1"/>
  <c r="O23" i="1"/>
  <c r="O46" i="1"/>
  <c r="N59" i="1"/>
  <c r="N95" i="1"/>
  <c r="O57" i="1"/>
  <c r="O34" i="1"/>
  <c r="P96" i="1"/>
  <c r="O75" i="1"/>
  <c r="O68" i="1"/>
  <c r="O48" i="1"/>
  <c r="O93" i="1"/>
  <c r="O47" i="1"/>
  <c r="O21" i="1"/>
  <c r="O28" i="1"/>
  <c r="O26" i="1"/>
  <c r="O71" i="1"/>
  <c r="P58" i="1"/>
  <c r="P81" i="1"/>
  <c r="P54" i="1"/>
  <c r="P52" i="1"/>
  <c r="P36" i="1"/>
  <c r="P76" i="1"/>
  <c r="P57" i="1"/>
  <c r="O63" i="1"/>
  <c r="P28" i="1"/>
  <c r="S45" i="1"/>
  <c r="P49" i="1"/>
  <c r="S80" i="1"/>
  <c r="P24" i="1"/>
  <c r="P35" i="1"/>
  <c r="S60" i="1"/>
  <c r="P21" i="1"/>
  <c r="O67" i="1"/>
  <c r="P63" i="1"/>
  <c r="P89" i="1"/>
  <c r="P88" i="1"/>
  <c r="P73" i="1"/>
  <c r="P69" i="1"/>
  <c r="O61" i="1"/>
  <c r="P65" i="1"/>
  <c r="P80" i="1"/>
  <c r="P22" i="1"/>
  <c r="O29" i="1"/>
  <c r="P94" i="1"/>
  <c r="P85" i="1"/>
  <c r="P50" i="1"/>
  <c r="P82" i="1"/>
  <c r="P74" i="1"/>
  <c r="P60" i="1"/>
  <c r="P78" i="1"/>
  <c r="P42" i="1"/>
  <c r="P68" i="1"/>
  <c r="P91" i="1"/>
  <c r="P41" i="1"/>
  <c r="P34" i="1"/>
  <c r="P48" i="1"/>
  <c r="P45" i="1"/>
  <c r="P84" i="1"/>
  <c r="O35" i="1"/>
  <c r="P46" i="1"/>
  <c r="P67" i="1"/>
  <c r="P30" i="1"/>
  <c r="S88" i="1"/>
  <c r="P86" i="1"/>
  <c r="P83" i="1"/>
  <c r="P51" i="1"/>
  <c r="R47" i="1"/>
  <c r="P29" i="1"/>
  <c r="O40" i="1"/>
  <c r="P55" i="1"/>
  <c r="P25" i="1"/>
  <c r="P40" i="1"/>
  <c r="P38" i="1"/>
  <c r="P59" i="1"/>
  <c r="P64" i="1"/>
  <c r="P75" i="1"/>
  <c r="P90" i="1"/>
  <c r="P62" i="1"/>
  <c r="P66" i="1"/>
  <c r="P53" i="1"/>
  <c r="P61" i="1"/>
  <c r="P27" i="1"/>
  <c r="P71" i="1"/>
  <c r="P95" i="1"/>
  <c r="P92" i="1"/>
  <c r="P93" i="1"/>
  <c r="P79" i="1"/>
  <c r="P37" i="1"/>
  <c r="P70" i="1"/>
  <c r="P31" i="1"/>
  <c r="P39" i="1"/>
  <c r="P87" i="1"/>
  <c r="S22" i="1"/>
  <c r="R60" i="1"/>
  <c r="S52" i="1"/>
  <c r="Q40" i="1"/>
  <c r="S36" i="1"/>
  <c r="P23" i="1"/>
  <c r="Q53" i="1"/>
  <c r="R45" i="1"/>
  <c r="Q90" i="1"/>
  <c r="Q38" i="1"/>
  <c r="Q69" i="1"/>
  <c r="R65" i="1"/>
  <c r="R22" i="1"/>
  <c r="Q43" i="1"/>
  <c r="S70" i="1"/>
  <c r="R29" i="1"/>
  <c r="S51" i="1"/>
  <c r="R72" i="1"/>
  <c r="S39" i="1"/>
  <c r="Q76" i="1"/>
  <c r="R54" i="1"/>
  <c r="S35" i="1"/>
  <c r="Q77" i="1"/>
  <c r="S53" i="1"/>
  <c r="Q50" i="1"/>
  <c r="Q48" i="1"/>
  <c r="R88" i="1"/>
  <c r="Q57" i="1"/>
  <c r="R23" i="1"/>
  <c r="S38" i="1"/>
  <c r="Q44" i="1"/>
  <c r="Q75" i="1"/>
  <c r="S34" i="1"/>
  <c r="Q45" i="1"/>
  <c r="S81" i="1"/>
  <c r="R90" i="1"/>
  <c r="S26" i="1"/>
  <c r="R44" i="1"/>
  <c r="S43" i="1"/>
  <c r="R89" i="1"/>
  <c r="S71" i="1"/>
  <c r="Q73" i="1"/>
  <c r="Q30" i="1"/>
  <c r="S89" i="1"/>
  <c r="Q34" i="1"/>
  <c r="R35" i="1"/>
  <c r="R67" i="1"/>
  <c r="S37" i="1"/>
  <c r="Q91" i="1"/>
  <c r="P72" i="1"/>
  <c r="R73" i="1"/>
  <c r="Q36" i="1"/>
  <c r="Q79" i="1"/>
  <c r="R92" i="1"/>
  <c r="S94" i="1"/>
  <c r="S84" i="1"/>
  <c r="Q82" i="1"/>
  <c r="R63" i="1"/>
  <c r="R77" i="1"/>
  <c r="Q39" i="1"/>
  <c r="R78" i="1"/>
  <c r="Q72" i="1"/>
  <c r="R57" i="1"/>
  <c r="Q68" i="1"/>
  <c r="Q49" i="1"/>
  <c r="S68" i="1"/>
  <c r="S31" i="1"/>
  <c r="S79" i="1"/>
  <c r="R51" i="1"/>
  <c r="R21" i="1"/>
  <c r="Q92" i="1"/>
  <c r="Q51" i="1"/>
  <c r="S96" i="1"/>
  <c r="Q93" i="1"/>
  <c r="P47" i="1"/>
  <c r="Q54" i="1"/>
  <c r="Q42" i="1"/>
  <c r="S92" i="1"/>
  <c r="S57" i="1"/>
  <c r="Q37" i="1"/>
  <c r="R31" i="1"/>
  <c r="S73" i="1"/>
  <c r="Q35" i="1"/>
  <c r="R53" i="1"/>
  <c r="R76" i="1"/>
  <c r="R79" i="1"/>
  <c r="R59" i="1"/>
  <c r="Q67" i="1"/>
  <c r="Q27" i="1"/>
  <c r="S30" i="1"/>
  <c r="R40" i="1"/>
  <c r="Q55" i="1"/>
  <c r="Q31" i="1"/>
  <c r="S82" i="1"/>
  <c r="R86" i="1"/>
  <c r="S78" i="1"/>
  <c r="R34" i="1"/>
  <c r="S21" i="1"/>
  <c r="S76" i="1"/>
  <c r="R41" i="1"/>
  <c r="S86" i="1"/>
  <c r="Q71" i="1"/>
  <c r="R37" i="1"/>
  <c r="R30" i="1"/>
  <c r="R83" i="1"/>
  <c r="S41" i="1"/>
  <c r="S42" i="1"/>
  <c r="R80" i="1"/>
  <c r="Q25" i="1"/>
  <c r="Q26" i="1"/>
  <c r="R85" i="1"/>
  <c r="S59" i="1"/>
  <c r="Q46" i="1"/>
  <c r="R43" i="1"/>
  <c r="R87" i="1"/>
  <c r="R91" i="1"/>
  <c r="Q81" i="1"/>
  <c r="R24" i="1"/>
  <c r="R46" i="1"/>
  <c r="R36" i="1"/>
  <c r="S95" i="1"/>
  <c r="S69" i="1"/>
  <c r="Q78" i="1"/>
  <c r="Q65" i="1"/>
  <c r="R27" i="1"/>
  <c r="Q85" i="1"/>
  <c r="Q59" i="1"/>
  <c r="S27" i="1"/>
  <c r="Q95" i="1"/>
  <c r="R28" i="1"/>
  <c r="S74" i="1"/>
  <c r="S67" i="1"/>
  <c r="R56" i="1"/>
  <c r="P44" i="1"/>
  <c r="Q84" i="1"/>
  <c r="Q23" i="1"/>
  <c r="R95" i="1"/>
  <c r="Q29" i="1"/>
  <c r="R48" i="1"/>
  <c r="R58" i="1"/>
  <c r="P77" i="1"/>
  <c r="S46" i="1"/>
  <c r="S58" i="1"/>
  <c r="R26" i="1"/>
  <c r="R42" i="1"/>
  <c r="S65" i="1"/>
  <c r="Q63" i="1"/>
  <c r="R61" i="1"/>
  <c r="R71" i="1"/>
  <c r="S48" i="1"/>
  <c r="R69" i="1"/>
  <c r="Q64" i="1"/>
  <c r="S83" i="1"/>
  <c r="S64" i="1"/>
  <c r="R64" i="1"/>
  <c r="S90" i="1"/>
  <c r="S55" i="1"/>
  <c r="R38" i="1"/>
  <c r="R66" i="1"/>
  <c r="Q94" i="1"/>
  <c r="Q87" i="1"/>
  <c r="Q61" i="1"/>
  <c r="S23" i="1"/>
  <c r="Q41" i="1"/>
  <c r="S66" i="1"/>
  <c r="R93" i="1"/>
  <c r="R75" i="1"/>
  <c r="R84" i="1"/>
  <c r="S40" i="1"/>
  <c r="R82" i="1"/>
  <c r="Q28" i="1"/>
  <c r="R74" i="1"/>
  <c r="R39" i="1"/>
  <c r="S75" i="1"/>
  <c r="Q83" i="1"/>
  <c r="Q86" i="1"/>
  <c r="S77" i="1"/>
  <c r="Q24" i="1"/>
  <c r="Q56" i="1"/>
  <c r="S63" i="1"/>
  <c r="S47" i="1"/>
  <c r="R94" i="1"/>
  <c r="Q96" i="1"/>
  <c r="Q66" i="1"/>
  <c r="Q80" i="1"/>
  <c r="S91" i="1"/>
  <c r="Q60" i="1"/>
  <c r="Q62" i="1"/>
  <c r="R81" i="1"/>
  <c r="P43" i="1"/>
  <c r="R62" i="1"/>
  <c r="R68" i="1"/>
  <c r="S24" i="1"/>
  <c r="Q58" i="1"/>
  <c r="R52" i="1"/>
  <c r="R70" i="1"/>
  <c r="P56" i="1"/>
  <c r="S29" i="1"/>
  <c r="S72" i="1"/>
  <c r="R96" i="1"/>
  <c r="S54" i="1"/>
  <c r="Q88" i="1"/>
  <c r="Q21" i="1"/>
  <c r="P26" i="1"/>
  <c r="Q89" i="1"/>
  <c r="Q22" i="1"/>
  <c r="Q52" i="1"/>
  <c r="Q74" i="1"/>
  <c r="Q47" i="1"/>
  <c r="S56" i="1"/>
  <c r="S49" i="1"/>
  <c r="T85" i="1"/>
  <c r="T88" i="1"/>
  <c r="T38" i="1"/>
  <c r="T89" i="1"/>
  <c r="T79" i="1"/>
  <c r="S62" i="1"/>
  <c r="T53" i="1"/>
  <c r="S87" i="1"/>
  <c r="T42" i="1"/>
  <c r="T82" i="1"/>
  <c r="T49" i="1"/>
  <c r="T21" i="1"/>
  <c r="T58" i="1"/>
  <c r="Q70" i="1"/>
  <c r="T70" i="1"/>
  <c r="T37" i="1"/>
  <c r="T94" i="1"/>
  <c r="S61" i="1"/>
  <c r="T47" i="1"/>
  <c r="T56" i="1"/>
  <c r="T78" i="1"/>
  <c r="T41" i="1"/>
  <c r="T36" i="1"/>
  <c r="T63" i="1"/>
  <c r="T23" i="1"/>
  <c r="T60" i="1"/>
  <c r="T95" i="1"/>
  <c r="T65" i="1"/>
  <c r="S44" i="1"/>
  <c r="T54" i="1"/>
  <c r="S28" i="1"/>
  <c r="T67" i="1"/>
  <c r="R55" i="1"/>
  <c r="S25" i="1"/>
  <c r="T62" i="1"/>
  <c r="T51" i="1"/>
  <c r="T72" i="1"/>
  <c r="T69" i="1"/>
  <c r="T28" i="1"/>
  <c r="T24" i="1"/>
  <c r="R25" i="1"/>
  <c r="T71" i="1"/>
  <c r="T43" i="1"/>
  <c r="R49" i="1"/>
  <c r="T87" i="1"/>
  <c r="T73" i="1"/>
  <c r="T91" i="1"/>
  <c r="T76" i="1"/>
  <c r="T48" i="1"/>
  <c r="T66" i="1"/>
  <c r="T45" i="1"/>
  <c r="S85" i="1"/>
  <c r="T75" i="1"/>
  <c r="T81" i="1"/>
  <c r="T39" i="1"/>
  <c r="T61" i="1"/>
  <c r="U23" i="1"/>
  <c r="T22" i="1"/>
  <c r="T35" i="1"/>
  <c r="T90" i="1"/>
  <c r="R50" i="1"/>
  <c r="T93" i="1"/>
  <c r="T50" i="1"/>
  <c r="T55" i="1"/>
  <c r="T26" i="1"/>
  <c r="T80" i="1"/>
  <c r="T64" i="1"/>
  <c r="S93" i="1"/>
  <c r="T84" i="1"/>
  <c r="S50" i="1"/>
  <c r="T40" i="1"/>
  <c r="T25" i="1"/>
  <c r="T77" i="1"/>
  <c r="T52" i="1"/>
  <c r="T57" i="1"/>
  <c r="T34" i="1"/>
  <c r="T96" i="1"/>
  <c r="T46" i="1"/>
  <c r="T44" i="1"/>
  <c r="T74" i="1"/>
  <c r="T29" i="1"/>
  <c r="T68" i="1"/>
  <c r="U55" i="1"/>
  <c r="U38" i="1"/>
  <c r="T30" i="1"/>
  <c r="U43" i="1"/>
  <c r="U77" i="1"/>
  <c r="U91" i="1"/>
  <c r="U80" i="1"/>
  <c r="U76" i="1"/>
  <c r="U89" i="1"/>
  <c r="U31" i="1"/>
  <c r="U92" i="1"/>
  <c r="U29" i="1"/>
  <c r="U73" i="1"/>
  <c r="U75" i="1"/>
  <c r="U35" i="1"/>
  <c r="U93" i="1"/>
  <c r="U51" i="1"/>
  <c r="V37" i="1"/>
  <c r="U82" i="1"/>
  <c r="U81" i="1"/>
  <c r="U46" i="1"/>
  <c r="U36" i="1"/>
  <c r="U44" i="1"/>
  <c r="U42" i="1"/>
  <c r="U47" i="1"/>
  <c r="T27" i="1"/>
  <c r="T92" i="1"/>
  <c r="U64" i="1"/>
  <c r="U74" i="1"/>
  <c r="U21" i="1"/>
  <c r="U90" i="1"/>
  <c r="U28" i="1"/>
  <c r="U71" i="1"/>
  <c r="U39" i="1"/>
  <c r="U54" i="1"/>
  <c r="U45" i="1"/>
  <c r="U78" i="1"/>
  <c r="U34" i="1"/>
  <c r="U67" i="1"/>
  <c r="U25" i="1"/>
  <c r="U22" i="1"/>
  <c r="U52" i="1"/>
  <c r="U87" i="1"/>
  <c r="T86" i="1"/>
  <c r="U69" i="1"/>
  <c r="U94" i="1"/>
  <c r="U24" i="1"/>
  <c r="U95" i="1"/>
  <c r="U59" i="1"/>
  <c r="U56" i="1"/>
  <c r="U49" i="1"/>
  <c r="U26" i="1"/>
  <c r="T59" i="1"/>
  <c r="T83" i="1"/>
  <c r="U61" i="1"/>
  <c r="U65" i="1"/>
  <c r="U85" i="1"/>
  <c r="U50" i="1"/>
  <c r="U27" i="1"/>
  <c r="U68" i="1"/>
  <c r="U53" i="1"/>
  <c r="T31" i="1"/>
  <c r="U63" i="1"/>
  <c r="U60" i="1"/>
  <c r="U72" i="1"/>
  <c r="U48" i="1"/>
  <c r="U58" i="1"/>
  <c r="U57" i="1"/>
  <c r="U79" i="1"/>
  <c r="U37" i="1"/>
  <c r="U62" i="1"/>
  <c r="U40" i="1"/>
  <c r="U96" i="1"/>
  <c r="U83" i="1"/>
  <c r="U88" i="1"/>
  <c r="V39" i="1"/>
  <c r="V72" i="1"/>
  <c r="V22" i="1"/>
  <c r="V55" i="1"/>
  <c r="V94" i="1"/>
  <c r="V64" i="1"/>
  <c r="V63" i="1"/>
  <c r="V92" i="1"/>
  <c r="V47" i="1"/>
  <c r="U30" i="1"/>
  <c r="V23" i="1"/>
  <c r="V77" i="1"/>
  <c r="V93" i="1"/>
  <c r="V51" i="1"/>
  <c r="V79" i="1"/>
  <c r="V75" i="1"/>
  <c r="V61" i="1"/>
  <c r="V59" i="1"/>
  <c r="V31" i="1"/>
  <c r="V81" i="1"/>
  <c r="V66" i="1"/>
  <c r="V71" i="1"/>
  <c r="V54" i="1"/>
  <c r="V48" i="1"/>
  <c r="U70" i="1"/>
  <c r="V46" i="1"/>
  <c r="V70" i="1"/>
  <c r="V82" i="1"/>
  <c r="V28" i="1"/>
  <c r="U41" i="1"/>
  <c r="V67" i="1"/>
  <c r="V50" i="1"/>
  <c r="V68" i="1"/>
  <c r="V21" i="1"/>
  <c r="V62" i="1"/>
  <c r="V73" i="1"/>
  <c r="V85" i="1"/>
  <c r="V80" i="1"/>
  <c r="V29" i="1"/>
  <c r="V69" i="1"/>
  <c r="V84" i="1"/>
  <c r="V49" i="1"/>
  <c r="V35" i="1"/>
  <c r="V60" i="1"/>
  <c r="V91" i="1"/>
  <c r="V27" i="1"/>
  <c r="V87" i="1"/>
  <c r="V24" i="1"/>
  <c r="V95" i="1"/>
  <c r="V88" i="1"/>
  <c r="V36" i="1"/>
  <c r="V83" i="1"/>
  <c r="V53" i="1"/>
  <c r="V56" i="1"/>
  <c r="V45" i="1"/>
  <c r="V89" i="1"/>
  <c r="U66" i="1"/>
  <c r="U86" i="1"/>
  <c r="V26" i="1"/>
  <c r="V86" i="1"/>
  <c r="V90" i="1"/>
  <c r="V34" i="1"/>
  <c r="V58" i="1"/>
  <c r="V42" i="1"/>
  <c r="V74" i="1"/>
  <c r="V41" i="1"/>
  <c r="V25" i="1"/>
  <c r="V52" i="1"/>
  <c r="V43" i="1"/>
  <c r="V76" i="1"/>
  <c r="V65" i="1"/>
  <c r="V44" i="1"/>
  <c r="V78" i="1"/>
  <c r="U84" i="1"/>
  <c r="W21" i="1"/>
  <c r="W92" i="1"/>
  <c r="W22" i="1"/>
  <c r="W25" i="1"/>
  <c r="W87" i="1"/>
  <c r="W68" i="1"/>
  <c r="W64" i="1"/>
  <c r="W96" i="1"/>
  <c r="W89" i="1"/>
  <c r="W63" i="1"/>
  <c r="Z35" i="1"/>
  <c r="W49" i="1"/>
  <c r="W72" i="1"/>
  <c r="W50" i="1"/>
  <c r="W61" i="1"/>
  <c r="W79" i="1"/>
  <c r="W95" i="1"/>
  <c r="Z42" i="1"/>
  <c r="W86" i="1"/>
  <c r="V57" i="1"/>
  <c r="W54" i="1"/>
  <c r="Z68" i="1"/>
  <c r="W44" i="1"/>
  <c r="W23" i="1"/>
  <c r="W93" i="1"/>
  <c r="W94" i="1"/>
  <c r="W59" i="1"/>
  <c r="W48" i="1"/>
  <c r="W26" i="1"/>
  <c r="W43" i="1"/>
  <c r="W83" i="1"/>
  <c r="W52" i="1"/>
  <c r="AA93" i="1"/>
  <c r="W69" i="1"/>
  <c r="W36" i="1"/>
  <c r="W31" i="1"/>
  <c r="W75" i="1"/>
  <c r="W27" i="1"/>
  <c r="Z48" i="1"/>
  <c r="W58" i="1"/>
  <c r="W39" i="1"/>
  <c r="V40" i="1"/>
  <c r="W51" i="1"/>
  <c r="W90" i="1"/>
  <c r="W71" i="1"/>
  <c r="W77" i="1"/>
  <c r="W53" i="1"/>
  <c r="W41" i="1"/>
  <c r="W34" i="1"/>
  <c r="W66" i="1"/>
  <c r="W57" i="1"/>
  <c r="W47" i="1"/>
  <c r="W35" i="1"/>
  <c r="W56" i="1"/>
  <c r="W85" i="1"/>
  <c r="W70" i="1"/>
  <c r="W84" i="1"/>
  <c r="W62" i="1"/>
  <c r="V38" i="1"/>
  <c r="W82" i="1"/>
  <c r="W30" i="1"/>
  <c r="W38" i="1"/>
  <c r="W67" i="1"/>
  <c r="W37" i="1"/>
  <c r="W78" i="1"/>
  <c r="W29" i="1"/>
  <c r="W40" i="1"/>
  <c r="W88" i="1"/>
  <c r="W60" i="1"/>
  <c r="V30" i="1"/>
  <c r="W91" i="1"/>
  <c r="V96" i="1"/>
  <c r="W81" i="1"/>
  <c r="W73" i="1"/>
  <c r="Z93" i="1"/>
  <c r="W74" i="1"/>
  <c r="W24" i="1"/>
  <c r="W42" i="1"/>
  <c r="W46" i="1"/>
  <c r="W45" i="1"/>
  <c r="W55" i="1"/>
  <c r="W80" i="1"/>
  <c r="Z86" i="1"/>
  <c r="Z77" i="1"/>
  <c r="Z31" i="1"/>
  <c r="X57" i="1"/>
  <c r="X76" i="1"/>
  <c r="X66" i="1"/>
  <c r="X23" i="1"/>
  <c r="Y95" i="1"/>
  <c r="Z41" i="1"/>
  <c r="X81" i="1"/>
  <c r="Z59" i="1"/>
  <c r="Y82" i="1"/>
  <c r="X30" i="1"/>
  <c r="Z73" i="1"/>
  <c r="Z51" i="1"/>
  <c r="Z80" i="1"/>
  <c r="Y38" i="1"/>
  <c r="Y52" i="1"/>
  <c r="X75" i="1"/>
  <c r="Y43" i="1"/>
  <c r="X73" i="1"/>
  <c r="Z58" i="1"/>
  <c r="X94" i="1"/>
  <c r="Y66" i="1"/>
  <c r="Y69" i="1"/>
  <c r="Y51" i="1"/>
  <c r="Y70" i="1"/>
  <c r="Y86" i="1"/>
  <c r="Y77" i="1"/>
  <c r="X42" i="1"/>
  <c r="Y75" i="1"/>
  <c r="Y72" i="1"/>
  <c r="Y54" i="1"/>
  <c r="Y60" i="1"/>
  <c r="Y67" i="1"/>
  <c r="Z52" i="1"/>
  <c r="X36" i="1"/>
  <c r="X26" i="1"/>
  <c r="Z50" i="1"/>
  <c r="Y84" i="1"/>
  <c r="Y29" i="1"/>
  <c r="Y37" i="1"/>
  <c r="Z92" i="1"/>
  <c r="X50" i="1"/>
  <c r="Z89" i="1"/>
  <c r="Y39" i="1"/>
  <c r="Y59" i="1"/>
  <c r="Y94" i="1"/>
  <c r="Z29" i="1"/>
  <c r="Y28" i="1"/>
  <c r="Y92" i="1"/>
  <c r="X83" i="1"/>
  <c r="Y30" i="1"/>
  <c r="Z88" i="1"/>
  <c r="Z24" i="1"/>
  <c r="Z75" i="1"/>
  <c r="X88" i="1"/>
  <c r="X60" i="1"/>
  <c r="X84" i="1"/>
  <c r="Z95" i="1"/>
  <c r="Z81" i="1"/>
  <c r="Y62" i="1"/>
  <c r="Z21" i="1"/>
  <c r="Y36" i="1"/>
  <c r="X44" i="1"/>
  <c r="Z84" i="1"/>
  <c r="Y78" i="1"/>
  <c r="Z87" i="1"/>
  <c r="Y63" i="1"/>
  <c r="Z43" i="1"/>
  <c r="Z90" i="1"/>
  <c r="Y64" i="1"/>
  <c r="X67" i="1"/>
  <c r="X79" i="1"/>
  <c r="W28" i="1"/>
  <c r="Y34" i="1"/>
  <c r="Y79" i="1"/>
  <c r="X56" i="1"/>
  <c r="Z83" i="1"/>
  <c r="X77" i="1"/>
  <c r="W65" i="1"/>
  <c r="Z44" i="1"/>
  <c r="X63" i="1"/>
  <c r="X70" i="1"/>
  <c r="X48" i="1"/>
  <c r="X74" i="1"/>
  <c r="Z79" i="1"/>
  <c r="X49" i="1"/>
  <c r="X80" i="1"/>
  <c r="Z61" i="1"/>
  <c r="X21" i="1"/>
  <c r="X91" i="1"/>
  <c r="Z66" i="1"/>
  <c r="Y80" i="1"/>
  <c r="Z22" i="1"/>
  <c r="Y83" i="1"/>
  <c r="Y74" i="1"/>
  <c r="Z67" i="1"/>
  <c r="Z30" i="1"/>
  <c r="X25" i="1"/>
  <c r="Z27" i="1"/>
  <c r="Z82" i="1"/>
  <c r="X69" i="1"/>
  <c r="X85" i="1"/>
  <c r="X34" i="1"/>
  <c r="Y57" i="1"/>
  <c r="Z78" i="1"/>
  <c r="X39" i="1"/>
  <c r="Y65" i="1"/>
  <c r="X51" i="1"/>
  <c r="Y21" i="1"/>
  <c r="X28" i="1"/>
  <c r="Y41" i="1"/>
  <c r="X43" i="1"/>
  <c r="X22" i="1"/>
  <c r="Y56" i="1"/>
  <c r="Z54" i="1"/>
  <c r="Z53" i="1"/>
  <c r="X89" i="1"/>
  <c r="X38" i="1"/>
  <c r="Y27" i="1"/>
  <c r="X40" i="1"/>
  <c r="Y91" i="1"/>
  <c r="X68" i="1"/>
  <c r="Y85" i="1"/>
  <c r="Z40" i="1"/>
  <c r="Y73" i="1"/>
  <c r="Z38" i="1"/>
  <c r="X82" i="1"/>
  <c r="Z64" i="1"/>
  <c r="Z39" i="1"/>
  <c r="Z46" i="1"/>
  <c r="Y53" i="1"/>
  <c r="X58" i="1"/>
  <c r="Z69" i="1"/>
  <c r="X24" i="1"/>
  <c r="Y81" i="1"/>
  <c r="X55" i="1"/>
  <c r="X35" i="1"/>
  <c r="X86" i="1"/>
  <c r="Y46" i="1"/>
  <c r="Z55" i="1"/>
  <c r="Z94" i="1"/>
  <c r="Y87" i="1"/>
  <c r="X31" i="1"/>
  <c r="X53" i="1"/>
  <c r="Y50" i="1"/>
  <c r="X54" i="1"/>
  <c r="AA58" i="1"/>
  <c r="Z76" i="1"/>
  <c r="Z91" i="1"/>
  <c r="X37" i="1"/>
  <c r="X96" i="1"/>
  <c r="Z49" i="1"/>
  <c r="X90" i="1"/>
  <c r="X59" i="1"/>
  <c r="X29" i="1"/>
  <c r="Y47" i="1"/>
  <c r="Z62" i="1"/>
  <c r="Y49" i="1"/>
  <c r="Z45" i="1"/>
  <c r="Z56" i="1"/>
  <c r="Z71" i="1"/>
  <c r="X45" i="1"/>
  <c r="W76" i="1"/>
  <c r="Y45" i="1"/>
  <c r="Y22" i="1"/>
  <c r="Z47" i="1"/>
  <c r="Y25" i="1"/>
  <c r="X52" i="1"/>
  <c r="Y42" i="1"/>
  <c r="Z37" i="1"/>
  <c r="Z34" i="1"/>
  <c r="X27" i="1"/>
  <c r="X92" i="1"/>
  <c r="X87" i="1"/>
  <c r="Y23" i="1"/>
  <c r="X72" i="1"/>
  <c r="Y89" i="1"/>
  <c r="X65" i="1"/>
  <c r="Y35" i="1"/>
  <c r="Z28" i="1"/>
  <c r="X46" i="1"/>
  <c r="X61" i="1"/>
  <c r="Z65" i="1"/>
  <c r="Y76" i="1"/>
  <c r="X62" i="1"/>
  <c r="X95" i="1"/>
  <c r="Y48" i="1"/>
  <c r="Y58" i="1"/>
  <c r="Z57" i="1"/>
  <c r="Y40" i="1"/>
  <c r="Y26" i="1"/>
  <c r="X93" i="1"/>
  <c r="X41" i="1"/>
  <c r="Y88" i="1"/>
  <c r="Y55" i="1"/>
  <c r="Z25" i="1"/>
  <c r="Y71" i="1"/>
  <c r="Y31" i="1"/>
  <c r="Y90" i="1"/>
  <c r="Y61" i="1"/>
  <c r="Y93" i="1"/>
  <c r="X64" i="1"/>
  <c r="Y68" i="1"/>
  <c r="X47" i="1"/>
  <c r="Z23" i="1"/>
  <c r="X71" i="1"/>
  <c r="Z96" i="1"/>
  <c r="Y44" i="1"/>
  <c r="Z63" i="1"/>
  <c r="X78" i="1"/>
  <c r="Z36" i="1"/>
  <c r="Y96" i="1"/>
  <c r="Y24" i="1"/>
  <c r="AA27" i="1"/>
  <c r="Z85" i="1"/>
  <c r="AA88" i="1"/>
  <c r="AA69" i="1"/>
  <c r="AA90" i="1"/>
  <c r="AA50" i="1"/>
  <c r="AA65" i="1"/>
  <c r="AA35" i="1"/>
  <c r="AA43" i="1"/>
  <c r="AA67" i="1"/>
  <c r="AA94" i="1"/>
  <c r="AA31" i="1"/>
  <c r="AA92" i="1"/>
  <c r="AB30" i="1"/>
  <c r="AA21" i="1"/>
  <c r="AA62" i="1"/>
  <c r="AA82" i="1"/>
  <c r="AA70" i="1"/>
  <c r="AA39" i="1"/>
  <c r="AB83" i="1"/>
  <c r="AA26" i="1"/>
  <c r="AA77" i="1"/>
  <c r="AA91" i="1"/>
  <c r="AA73" i="1"/>
  <c r="AA56" i="1"/>
  <c r="AA34" i="1"/>
  <c r="Z70" i="1"/>
  <c r="AA74" i="1"/>
  <c r="AA60" i="1"/>
  <c r="AB86" i="1"/>
  <c r="AA22" i="1"/>
  <c r="AA68" i="1"/>
  <c r="Z26" i="1"/>
  <c r="AA44" i="1"/>
  <c r="AA29" i="1"/>
  <c r="AA24" i="1"/>
  <c r="Z72" i="1"/>
  <c r="AA87" i="1"/>
  <c r="AA63" i="1"/>
  <c r="AA48" i="1"/>
  <c r="AA59" i="1"/>
  <c r="AA64" i="1"/>
  <c r="AA78" i="1"/>
  <c r="AA61" i="1"/>
  <c r="AA23" i="1"/>
  <c r="AA25" i="1"/>
  <c r="AA52" i="1"/>
  <c r="AA86" i="1"/>
  <c r="AA83" i="1"/>
  <c r="AA28" i="1"/>
  <c r="AA71" i="1"/>
  <c r="Z74" i="1"/>
  <c r="AA81" i="1"/>
  <c r="AA85" i="1"/>
  <c r="AA75" i="1"/>
  <c r="AA30" i="1"/>
  <c r="AA42" i="1"/>
  <c r="AA89" i="1"/>
  <c r="AA40" i="1"/>
  <c r="Z60" i="1"/>
  <c r="AA49" i="1"/>
  <c r="AA36" i="1"/>
  <c r="AA76" i="1"/>
  <c r="AA41" i="1"/>
  <c r="AA38" i="1"/>
  <c r="AA54" i="1"/>
  <c r="AA46" i="1"/>
  <c r="AA95" i="1"/>
  <c r="AA96" i="1"/>
  <c r="AA66" i="1"/>
  <c r="AA37" i="1"/>
  <c r="AA53" i="1"/>
  <c r="AA47" i="1"/>
  <c r="AA80" i="1"/>
  <c r="AA72" i="1"/>
  <c r="AA51" i="1"/>
  <c r="AB75" i="1"/>
  <c r="AB22" i="1"/>
  <c r="AB62" i="1"/>
  <c r="AB57" i="1"/>
  <c r="AB45" i="1"/>
  <c r="AB92" i="1"/>
  <c r="AB42" i="1"/>
  <c r="AB73" i="1"/>
  <c r="AB63" i="1"/>
  <c r="AB41" i="1"/>
  <c r="AB82" i="1"/>
  <c r="AB94" i="1"/>
  <c r="AB26" i="1"/>
  <c r="AB96" i="1"/>
  <c r="AB66" i="1"/>
  <c r="AB36" i="1"/>
  <c r="AB85" i="1"/>
  <c r="AB53" i="1"/>
  <c r="AB70" i="1"/>
  <c r="AB84" i="1"/>
  <c r="AB77" i="1"/>
  <c r="AB61" i="1"/>
  <c r="AC30" i="1"/>
  <c r="AC28" i="1"/>
  <c r="AB95" i="1"/>
  <c r="AB21" i="1"/>
  <c r="AB58" i="1"/>
  <c r="AB47" i="1"/>
  <c r="AB35" i="1"/>
  <c r="AB37" i="1"/>
  <c r="AB80" i="1"/>
  <c r="AB64" i="1"/>
  <c r="AB76" i="1"/>
  <c r="AB38" i="1"/>
  <c r="AB29" i="1"/>
  <c r="AB89" i="1"/>
  <c r="AB48" i="1"/>
  <c r="AC67" i="1"/>
  <c r="AB51" i="1"/>
  <c r="AB72" i="1"/>
  <c r="AB28" i="1"/>
  <c r="AB81" i="1"/>
  <c r="AB43" i="1"/>
  <c r="AB56" i="1"/>
  <c r="AB54" i="1"/>
  <c r="AB87" i="1"/>
  <c r="AB27" i="1"/>
  <c r="AB59" i="1"/>
  <c r="AB71" i="1"/>
  <c r="AB69" i="1"/>
  <c r="AB90" i="1"/>
  <c r="AB39" i="1"/>
  <c r="AB88" i="1"/>
  <c r="AB31" i="1"/>
  <c r="AB60" i="1"/>
  <c r="AB67" i="1"/>
  <c r="AB93" i="1"/>
  <c r="AA57" i="1"/>
  <c r="AB44" i="1"/>
  <c r="AB50" i="1"/>
  <c r="AB79" i="1"/>
  <c r="AB46" i="1"/>
  <c r="AB91" i="1"/>
  <c r="AB49" i="1"/>
  <c r="AB24" i="1"/>
  <c r="AA79" i="1"/>
  <c r="AB34" i="1"/>
  <c r="AB23" i="1"/>
  <c r="AB40" i="1"/>
  <c r="AA55" i="1"/>
  <c r="AB25" i="1"/>
  <c r="AB55" i="1"/>
  <c r="AB78" i="1"/>
  <c r="AA84" i="1"/>
  <c r="AA45" i="1"/>
  <c r="AB68" i="1"/>
  <c r="AC65" i="1"/>
  <c r="AC34" i="1"/>
  <c r="AD34" i="1"/>
  <c r="AC75" i="1"/>
  <c r="AC49" i="1"/>
  <c r="AD50" i="1"/>
  <c r="AC51" i="1"/>
  <c r="AC93" i="1"/>
  <c r="AC41" i="1"/>
  <c r="AC83" i="1"/>
  <c r="AC74" i="1"/>
  <c r="AC54" i="1"/>
  <c r="AC73" i="1"/>
  <c r="AC90" i="1"/>
  <c r="AC84" i="1"/>
  <c r="AC69" i="1"/>
  <c r="AC43" i="1"/>
  <c r="AC25" i="1"/>
  <c r="AC21" i="1"/>
  <c r="AC48" i="1"/>
  <c r="AC45" i="1"/>
  <c r="AC31" i="1"/>
  <c r="AC61" i="1"/>
  <c r="AC80" i="1"/>
  <c r="AC68" i="1"/>
  <c r="AC52" i="1"/>
  <c r="AC47" i="1"/>
  <c r="AC91" i="1"/>
  <c r="AC88" i="1"/>
  <c r="AC37" i="1"/>
  <c r="AC50" i="1"/>
  <c r="AC42" i="1"/>
  <c r="AC71" i="1"/>
  <c r="AC26" i="1"/>
  <c r="AC46" i="1"/>
  <c r="AC89" i="1"/>
  <c r="AC63" i="1"/>
  <c r="AC39" i="1"/>
  <c r="AC53" i="1"/>
  <c r="AC79" i="1"/>
  <c r="AC66" i="1"/>
  <c r="AC55" i="1"/>
  <c r="AC23" i="1"/>
  <c r="AC70" i="1"/>
  <c r="AC85" i="1"/>
  <c r="AC78" i="1"/>
  <c r="AC62" i="1"/>
  <c r="AC59" i="1"/>
  <c r="AC24" i="1"/>
  <c r="AC94" i="1"/>
  <c r="AC77" i="1"/>
  <c r="AC96" i="1"/>
  <c r="AC81" i="1"/>
  <c r="AB65" i="1"/>
  <c r="AC44" i="1"/>
  <c r="AC87" i="1"/>
  <c r="AC58" i="1"/>
  <c r="AC82" i="1"/>
  <c r="AC72" i="1"/>
  <c r="AC38" i="1"/>
  <c r="AC57" i="1"/>
  <c r="AB74" i="1"/>
  <c r="AC60" i="1"/>
  <c r="AC35" i="1"/>
  <c r="AC22" i="1"/>
  <c r="AC92" i="1"/>
  <c r="AB52" i="1"/>
  <c r="AC27" i="1"/>
  <c r="AC76" i="1"/>
  <c r="AC56" i="1"/>
  <c r="AC95" i="1"/>
  <c r="AC86" i="1"/>
  <c r="AC64" i="1"/>
  <c r="AC29" i="1"/>
  <c r="AE71" i="1"/>
  <c r="AD57" i="1"/>
  <c r="AD70" i="1"/>
  <c r="AD78" i="1"/>
  <c r="AD26" i="1"/>
  <c r="AD89" i="1"/>
  <c r="AD91" i="1"/>
  <c r="AG55" i="1"/>
  <c r="AD59" i="1"/>
  <c r="AD87" i="1"/>
  <c r="AD60" i="1"/>
  <c r="AD69" i="1"/>
  <c r="AD79" i="1"/>
  <c r="AD39" i="1"/>
  <c r="AD40" i="1"/>
  <c r="AC36" i="1"/>
  <c r="AD65" i="1"/>
  <c r="AD42" i="1"/>
  <c r="AD44" i="1"/>
  <c r="AD71" i="1"/>
  <c r="AD83" i="1"/>
  <c r="AD22" i="1"/>
  <c r="AD29" i="1"/>
  <c r="AD82" i="1"/>
  <c r="AD74" i="1"/>
  <c r="AD28" i="1"/>
  <c r="AD54" i="1"/>
  <c r="AD76" i="1"/>
  <c r="AD58" i="1"/>
  <c r="AD55" i="1"/>
  <c r="AD49" i="1"/>
  <c r="AD48" i="1"/>
  <c r="AD24" i="1"/>
  <c r="AD93" i="1"/>
  <c r="AD35" i="1"/>
  <c r="AD63" i="1"/>
  <c r="AD27" i="1"/>
  <c r="AD73" i="1"/>
  <c r="AG24" i="1"/>
  <c r="AD37" i="1"/>
  <c r="AD47" i="1"/>
  <c r="AD88" i="1"/>
  <c r="AD68" i="1"/>
  <c r="AD25" i="1"/>
  <c r="AD36" i="1"/>
  <c r="AD66" i="1"/>
  <c r="AD56" i="1"/>
  <c r="AD96" i="1"/>
  <c r="AD72" i="1"/>
  <c r="AD80" i="1"/>
  <c r="AD75" i="1"/>
  <c r="AD52" i="1"/>
  <c r="AD62" i="1"/>
  <c r="AD64" i="1"/>
  <c r="AD67" i="1"/>
  <c r="AD92" i="1"/>
  <c r="AD38" i="1"/>
  <c r="AD41" i="1"/>
  <c r="AD95" i="1"/>
  <c r="AD61" i="1"/>
  <c r="AG50" i="1"/>
  <c r="AD94" i="1"/>
  <c r="AD85" i="1"/>
  <c r="AD45" i="1"/>
  <c r="AD21" i="1"/>
  <c r="AD43" i="1"/>
  <c r="AC40" i="1"/>
  <c r="AD23" i="1"/>
  <c r="AD84" i="1"/>
  <c r="AD31" i="1"/>
  <c r="AD51" i="1"/>
  <c r="AD46" i="1"/>
  <c r="AD81" i="1"/>
  <c r="AD53" i="1"/>
  <c r="AD77" i="1"/>
  <c r="AD86" i="1"/>
  <c r="AE88" i="1"/>
  <c r="AG29" i="1"/>
  <c r="AE45" i="1"/>
  <c r="AG83" i="1"/>
  <c r="AG60" i="1"/>
  <c r="AF54" i="1"/>
  <c r="AF71" i="1"/>
  <c r="AF49" i="1"/>
  <c r="AE31" i="1"/>
  <c r="AF35" i="1"/>
  <c r="AF94" i="1"/>
  <c r="AG91" i="1"/>
  <c r="AF28" i="1"/>
  <c r="AE25" i="1"/>
  <c r="AE66" i="1"/>
  <c r="AF69" i="1"/>
  <c r="AE79" i="1"/>
  <c r="AG79" i="1"/>
  <c r="AF36" i="1"/>
  <c r="AF82" i="1"/>
  <c r="AE89" i="1"/>
  <c r="AG35" i="1"/>
  <c r="AE65" i="1"/>
  <c r="AG85" i="1"/>
  <c r="AF38" i="1"/>
  <c r="AE91" i="1"/>
  <c r="AE75" i="1"/>
  <c r="AD30" i="1"/>
  <c r="AE29" i="1"/>
  <c r="AE92" i="1"/>
  <c r="AE46" i="1"/>
  <c r="AF22" i="1"/>
  <c r="AG41" i="1"/>
  <c r="AE53" i="1"/>
  <c r="AF61" i="1"/>
  <c r="AE64" i="1"/>
  <c r="AG62" i="1"/>
  <c r="AF90" i="1"/>
  <c r="AE50" i="1"/>
  <c r="AF65" i="1"/>
  <c r="AF77" i="1"/>
  <c r="AG78" i="1"/>
  <c r="AF21" i="1"/>
  <c r="AG39" i="1"/>
  <c r="AG37" i="1"/>
  <c r="AF48" i="1"/>
  <c r="AG30" i="1"/>
  <c r="AG95" i="1"/>
  <c r="AF34" i="1"/>
  <c r="AE87" i="1"/>
  <c r="AE93" i="1"/>
  <c r="AG38" i="1"/>
  <c r="AF53" i="1"/>
  <c r="AG81" i="1"/>
  <c r="AG31" i="1"/>
  <c r="AE36" i="1"/>
  <c r="AE90" i="1"/>
  <c r="AE27" i="1"/>
  <c r="AF81" i="1"/>
  <c r="AG76" i="1"/>
  <c r="AG34" i="1"/>
  <c r="AE49" i="1"/>
  <c r="AF31" i="1"/>
  <c r="AF93" i="1"/>
  <c r="AE38" i="1"/>
  <c r="AF96" i="1"/>
  <c r="AE23" i="1"/>
  <c r="AE76" i="1"/>
  <c r="AG47" i="1"/>
  <c r="AF27" i="1"/>
  <c r="AE94" i="1"/>
  <c r="AF43" i="1"/>
  <c r="AG94" i="1"/>
  <c r="AG89" i="1"/>
  <c r="AF58" i="1"/>
  <c r="AF70" i="1"/>
  <c r="AE54" i="1"/>
  <c r="AG96" i="1"/>
  <c r="AF75" i="1"/>
  <c r="AE80" i="1"/>
  <c r="AG69" i="1"/>
  <c r="AD90" i="1"/>
  <c r="AE74" i="1"/>
  <c r="AE78" i="1"/>
  <c r="AF51" i="1"/>
  <c r="AG36" i="1"/>
  <c r="AG48" i="1"/>
  <c r="AG68" i="1"/>
  <c r="AF46" i="1"/>
  <c r="AG65" i="1"/>
  <c r="AF87" i="1"/>
  <c r="AE67" i="1"/>
  <c r="AF52" i="1"/>
  <c r="AF76" i="1"/>
  <c r="AG40" i="1"/>
  <c r="AG54" i="1"/>
  <c r="AE60" i="1"/>
  <c r="AE28" i="1"/>
  <c r="AF55" i="1"/>
  <c r="AE61" i="1"/>
  <c r="AE39" i="1"/>
  <c r="AF83" i="1"/>
  <c r="AF63" i="1"/>
  <c r="AE37" i="1"/>
  <c r="AE21" i="1"/>
  <c r="AE34" i="1"/>
  <c r="AF57" i="1"/>
  <c r="AE77" i="1"/>
  <c r="AF88" i="1"/>
  <c r="AF25" i="1"/>
  <c r="AG86" i="1"/>
  <c r="AE44" i="1"/>
  <c r="AG73" i="1"/>
  <c r="AE72" i="1"/>
  <c r="AG59" i="1"/>
  <c r="AF84" i="1"/>
  <c r="AG43" i="1"/>
  <c r="AE86" i="1"/>
  <c r="AG52" i="1"/>
  <c r="AG42" i="1"/>
  <c r="AE22" i="1"/>
  <c r="AG63" i="1"/>
  <c r="AG56" i="1"/>
  <c r="AF45" i="1"/>
  <c r="AF44" i="1"/>
  <c r="AF86" i="1"/>
  <c r="AE48" i="1"/>
  <c r="AE41" i="1"/>
  <c r="AF85" i="1"/>
  <c r="AF24" i="1"/>
  <c r="AG25" i="1"/>
  <c r="AF66" i="1"/>
  <c r="AG75" i="1"/>
  <c r="AF23" i="1"/>
  <c r="AG49" i="1"/>
  <c r="AE52" i="1"/>
  <c r="AE85" i="1"/>
  <c r="AF41" i="1"/>
  <c r="AF64" i="1"/>
  <c r="AE42" i="1"/>
  <c r="AE96" i="1"/>
  <c r="AE35" i="1"/>
  <c r="AF72" i="1"/>
  <c r="AE69" i="1"/>
  <c r="AG44" i="1"/>
  <c r="AG87" i="1"/>
  <c r="AE59" i="1"/>
  <c r="AF56" i="1"/>
  <c r="AG27" i="1"/>
  <c r="AE43" i="1"/>
  <c r="AG66" i="1"/>
  <c r="AG80" i="1"/>
  <c r="AG23" i="1"/>
  <c r="AF78" i="1"/>
  <c r="AG28" i="1"/>
  <c r="AE56" i="1"/>
  <c r="AE73" i="1"/>
  <c r="AG82" i="1"/>
  <c r="AE82" i="1"/>
  <c r="AG57" i="1"/>
  <c r="AE95" i="1"/>
  <c r="AF68" i="1"/>
  <c r="AF67" i="1"/>
  <c r="AE62" i="1"/>
  <c r="AE70" i="1"/>
  <c r="AF50" i="1"/>
  <c r="AG61" i="1"/>
  <c r="AG26" i="1"/>
  <c r="AG21" i="1"/>
  <c r="AG51" i="1"/>
  <c r="AG22" i="1"/>
  <c r="AG67" i="1"/>
  <c r="AF60" i="1"/>
  <c r="AG70" i="1"/>
  <c r="AF29" i="1"/>
  <c r="AF95" i="1"/>
  <c r="AE24" i="1"/>
  <c r="AG88" i="1"/>
  <c r="AE26" i="1"/>
  <c r="AE55" i="1"/>
  <c r="AE84" i="1"/>
  <c r="AG90" i="1"/>
  <c r="AF26" i="1"/>
  <c r="AF73" i="1"/>
  <c r="AE68" i="1"/>
  <c r="AG77" i="1"/>
  <c r="AE51" i="1"/>
  <c r="AE83" i="1"/>
  <c r="AG93" i="1"/>
  <c r="AG64" i="1"/>
  <c r="AF91" i="1"/>
  <c r="AG72" i="1"/>
  <c r="AE81" i="1"/>
  <c r="AF42" i="1"/>
  <c r="AE57" i="1"/>
  <c r="AF89" i="1"/>
  <c r="AF39" i="1"/>
  <c r="AF62" i="1"/>
  <c r="AF74" i="1"/>
  <c r="AF47" i="1"/>
  <c r="AF92" i="1"/>
  <c r="AG84" i="1"/>
  <c r="AF80" i="1"/>
  <c r="AF37" i="1"/>
  <c r="AF40" i="1"/>
  <c r="AF30" i="1"/>
  <c r="AE40" i="1"/>
  <c r="AE47" i="1"/>
  <c r="AF59" i="1"/>
  <c r="AG92" i="1"/>
  <c r="AE30" i="1"/>
  <c r="AG46" i="1"/>
  <c r="AG58" i="1"/>
  <c r="AE58" i="1"/>
  <c r="AH35" i="1"/>
  <c r="AH59" i="1"/>
  <c r="AG53" i="1"/>
  <c r="AH48" i="1"/>
  <c r="AI37" i="1"/>
  <c r="AH39" i="1"/>
  <c r="AH92" i="1"/>
  <c r="AH60" i="1"/>
  <c r="AH31" i="1"/>
  <c r="AH53" i="1"/>
  <c r="AF79" i="1"/>
  <c r="AH56" i="1"/>
  <c r="AH70" i="1"/>
  <c r="AH94" i="1"/>
  <c r="AH52" i="1"/>
  <c r="AH63" i="1"/>
  <c r="AH83" i="1"/>
  <c r="AH43" i="1"/>
  <c r="AH23" i="1"/>
  <c r="AH45" i="1"/>
  <c r="AE63" i="1"/>
  <c r="AH24" i="1"/>
  <c r="AK42" i="1"/>
  <c r="AH42" i="1"/>
  <c r="AI29" i="1"/>
  <c r="AH86" i="1"/>
  <c r="AH75" i="1"/>
  <c r="AH49" i="1"/>
  <c r="AH80" i="1"/>
  <c r="AH26" i="1"/>
  <c r="AH46" i="1"/>
  <c r="AH95" i="1"/>
  <c r="AH21" i="1"/>
  <c r="AH50" i="1"/>
  <c r="AH78" i="1"/>
  <c r="AH76" i="1"/>
  <c r="AH47" i="1"/>
  <c r="AH44" i="1"/>
  <c r="AG45" i="1"/>
  <c r="AH36" i="1"/>
  <c r="AH29" i="1"/>
  <c r="AH82" i="1"/>
  <c r="AH67" i="1"/>
  <c r="AH27" i="1"/>
  <c r="AH62" i="1"/>
  <c r="AH84" i="1"/>
  <c r="AH72" i="1"/>
  <c r="AH93" i="1"/>
  <c r="AH87" i="1"/>
  <c r="AG71" i="1"/>
  <c r="AH64" i="1"/>
  <c r="AH69" i="1"/>
  <c r="AH28" i="1"/>
  <c r="AH55" i="1"/>
  <c r="AH58" i="1"/>
  <c r="AH91" i="1"/>
  <c r="AH77" i="1"/>
  <c r="AH57" i="1"/>
  <c r="AH30" i="1"/>
  <c r="AH68" i="1"/>
  <c r="AH73" i="1"/>
  <c r="AH38" i="1"/>
  <c r="AH51" i="1"/>
  <c r="AH85" i="1"/>
  <c r="AH79" i="1"/>
  <c r="AH88" i="1"/>
  <c r="AH34" i="1"/>
  <c r="AH90" i="1"/>
  <c r="AH81" i="1"/>
  <c r="AH41" i="1"/>
  <c r="AH74" i="1"/>
  <c r="AH37" i="1"/>
  <c r="AH40" i="1"/>
  <c r="AH54" i="1"/>
  <c r="AH61" i="1"/>
  <c r="AG74" i="1"/>
  <c r="AH96" i="1"/>
  <c r="AH89" i="1"/>
  <c r="AK84" i="1"/>
  <c r="AJ23" i="1"/>
  <c r="AJ57" i="1"/>
  <c r="AK78" i="1"/>
  <c r="AI57" i="1"/>
  <c r="AK85" i="1"/>
  <c r="AK57" i="1"/>
  <c r="AJ76" i="1"/>
  <c r="AJ92" i="1"/>
  <c r="AK72" i="1"/>
  <c r="AJ25" i="1"/>
  <c r="AJ35" i="1"/>
  <c r="AI35" i="1"/>
  <c r="AK89" i="1"/>
  <c r="AJ22" i="1"/>
  <c r="AJ48" i="1"/>
  <c r="AJ43" i="1"/>
  <c r="AI94" i="1"/>
  <c r="AK38" i="1"/>
  <c r="AI43" i="1"/>
  <c r="AI51" i="1"/>
  <c r="AJ38" i="1"/>
  <c r="AI40" i="1"/>
  <c r="AJ41" i="1"/>
  <c r="AI63" i="1"/>
  <c r="AI54" i="1"/>
  <c r="AJ63" i="1"/>
  <c r="AI55" i="1"/>
  <c r="AJ93" i="1"/>
  <c r="AI60" i="1"/>
  <c r="AJ51" i="1"/>
  <c r="AK66" i="1"/>
  <c r="AI75" i="1"/>
  <c r="AI61" i="1"/>
  <c r="AJ84" i="1"/>
  <c r="AJ31" i="1"/>
  <c r="AJ64" i="1"/>
  <c r="AI41" i="1"/>
  <c r="AK50" i="1"/>
  <c r="AI58" i="1"/>
  <c r="AK48" i="1"/>
  <c r="AJ36" i="1"/>
  <c r="AI62" i="1"/>
  <c r="AK70" i="1"/>
  <c r="AI65" i="1"/>
  <c r="AK81" i="1"/>
  <c r="AJ88" i="1"/>
  <c r="AI73" i="1"/>
  <c r="AJ96" i="1"/>
  <c r="AK55" i="1"/>
  <c r="AI36" i="1"/>
  <c r="AK79" i="1"/>
  <c r="AJ94" i="1"/>
  <c r="AK58" i="1"/>
  <c r="AK82" i="1"/>
  <c r="AK65" i="1"/>
  <c r="AJ95" i="1"/>
  <c r="AJ71" i="1"/>
  <c r="AI34" i="1"/>
  <c r="AI45" i="1"/>
  <c r="AJ66" i="1"/>
  <c r="AI77" i="1"/>
  <c r="AJ54" i="1"/>
  <c r="AI52" i="1"/>
  <c r="AI72" i="1"/>
  <c r="AK90" i="1"/>
  <c r="AK69" i="1"/>
  <c r="AI95" i="1"/>
  <c r="AI59" i="1"/>
  <c r="AJ55" i="1"/>
  <c r="AI28" i="1"/>
  <c r="AJ77" i="1"/>
  <c r="AI66" i="1"/>
  <c r="AI22" i="1"/>
  <c r="AK45" i="1"/>
  <c r="AJ78" i="1"/>
  <c r="AJ69" i="1"/>
  <c r="AK73" i="1"/>
  <c r="AJ47" i="1"/>
  <c r="AI67" i="1"/>
  <c r="AJ49" i="1"/>
  <c r="AI83" i="1"/>
  <c r="AJ39" i="1"/>
  <c r="AJ68" i="1"/>
  <c r="AJ83" i="1"/>
  <c r="AI89" i="1"/>
  <c r="AJ81" i="1"/>
  <c r="AK87" i="1"/>
  <c r="AK56" i="1"/>
  <c r="AI76" i="1"/>
  <c r="AJ61" i="1"/>
  <c r="AI90" i="1"/>
  <c r="AI48" i="1"/>
  <c r="AI39" i="1"/>
  <c r="AK83" i="1"/>
  <c r="AJ75" i="1"/>
  <c r="AI70" i="1"/>
  <c r="AI50" i="1"/>
  <c r="AI78" i="1"/>
  <c r="AH65" i="1"/>
  <c r="AK25" i="1"/>
  <c r="AK60" i="1"/>
  <c r="AJ24" i="1"/>
  <c r="AK35" i="1"/>
  <c r="AK29" i="1"/>
  <c r="AJ34" i="1"/>
  <c r="AK26" i="1"/>
  <c r="AJ67" i="1"/>
  <c r="AI80" i="1"/>
  <c r="AK23" i="1"/>
  <c r="AK52" i="1"/>
  <c r="AK61" i="1"/>
  <c r="AI21" i="1"/>
  <c r="AJ91" i="1"/>
  <c r="AJ40" i="1"/>
  <c r="AJ29" i="1"/>
  <c r="AI85" i="1"/>
  <c r="AK67" i="1"/>
  <c r="AK75" i="1"/>
  <c r="AJ26" i="1"/>
  <c r="AH66" i="1"/>
  <c r="AI68" i="1"/>
  <c r="AI46" i="1"/>
  <c r="AJ42" i="1"/>
  <c r="AJ82" i="1"/>
  <c r="AK92" i="1"/>
  <c r="AI42" i="1"/>
  <c r="AK91" i="1"/>
  <c r="AI25" i="1"/>
  <c r="AJ59" i="1"/>
  <c r="AK74" i="1"/>
  <c r="AJ62" i="1"/>
  <c r="AK59" i="1"/>
  <c r="AI92" i="1"/>
  <c r="AK30" i="1"/>
  <c r="AJ52" i="1"/>
  <c r="AJ60" i="1"/>
  <c r="AI93" i="1"/>
  <c r="AI87" i="1"/>
  <c r="AI44" i="1"/>
  <c r="AK93" i="1"/>
  <c r="AK86" i="1"/>
  <c r="AK88" i="1"/>
  <c r="AH22" i="1"/>
  <c r="AI31" i="1"/>
  <c r="AI47" i="1"/>
  <c r="AJ87" i="1"/>
  <c r="AJ70" i="1"/>
  <c r="AK40" i="1"/>
  <c r="AI27" i="1"/>
  <c r="AK37" i="1"/>
  <c r="AI88" i="1"/>
  <c r="AK46" i="1"/>
  <c r="AK68" i="1"/>
  <c r="AJ86" i="1"/>
  <c r="AK47" i="1"/>
  <c r="AJ21" i="1"/>
  <c r="AH25" i="1"/>
  <c r="AK51" i="1"/>
  <c r="AJ90" i="1"/>
  <c r="AJ27" i="1"/>
  <c r="AI38" i="1"/>
  <c r="AK62" i="1"/>
  <c r="AJ37" i="1"/>
  <c r="AI79" i="1"/>
  <c r="AK28" i="1"/>
  <c r="AJ73" i="1"/>
  <c r="AI64" i="1"/>
  <c r="AK21" i="1"/>
  <c r="AI53" i="1"/>
  <c r="AH71" i="1"/>
  <c r="AJ79" i="1"/>
  <c r="AK49" i="1"/>
  <c r="AK94" i="1"/>
  <c r="AJ53" i="1"/>
  <c r="AI26" i="1"/>
  <c r="AJ45" i="1"/>
  <c r="AK54" i="1"/>
  <c r="AK34" i="1"/>
  <c r="AK77" i="1"/>
  <c r="AK41" i="1"/>
  <c r="AJ56" i="1"/>
  <c r="AK27" i="1"/>
  <c r="AK71" i="1"/>
  <c r="AI71" i="1"/>
  <c r="AJ46" i="1"/>
  <c r="AJ72" i="1"/>
  <c r="AK43" i="1"/>
  <c r="AJ44" i="1"/>
  <c r="AK22" i="1"/>
  <c r="AJ89" i="1"/>
  <c r="AK44" i="1"/>
  <c r="AK76" i="1"/>
  <c r="AI84" i="1"/>
  <c r="AJ58" i="1"/>
  <c r="AJ30" i="1"/>
  <c r="AK31" i="1"/>
  <c r="AK80" i="1"/>
  <c r="AI49" i="1"/>
  <c r="AK53" i="1"/>
  <c r="AI24" i="1"/>
  <c r="AK95" i="1"/>
  <c r="AJ74" i="1"/>
  <c r="AI23" i="1"/>
  <c r="AI30" i="1"/>
  <c r="AJ80" i="1"/>
  <c r="AI69" i="1"/>
  <c r="AK24" i="1"/>
  <c r="AI82" i="1"/>
  <c r="AK63" i="1"/>
  <c r="AI74" i="1"/>
  <c r="AJ85" i="1"/>
  <c r="AK39" i="1"/>
  <c r="AI81" i="1"/>
  <c r="AJ50" i="1"/>
  <c r="AI91" i="1"/>
  <c r="AK36" i="1"/>
  <c r="AK96" i="1"/>
  <c r="AJ28" i="1"/>
  <c r="AJ65" i="1"/>
  <c r="AI86" i="1"/>
  <c r="AK64" i="1"/>
  <c r="AI56" i="1"/>
  <c r="AI96" i="1"/>
  <c r="AK17" i="1"/>
  <c r="AJ11" i="1"/>
  <c r="AI14" i="1"/>
  <c r="AH17" i="1"/>
  <c r="AI17" i="1"/>
  <c r="AG20" i="1"/>
  <c r="AI16" i="1"/>
  <c r="AH6" i="1"/>
  <c r="AE7" i="1"/>
  <c r="AF10" i="1"/>
  <c r="AE15" i="1"/>
  <c r="AE19" i="1"/>
  <c r="AE8" i="1"/>
  <c r="AF13" i="1"/>
  <c r="AB18" i="1"/>
  <c r="AC11" i="1"/>
  <c r="AC8" i="1"/>
  <c r="AB14" i="1"/>
  <c r="AA17" i="1"/>
  <c r="AA18" i="1"/>
  <c r="Z6" i="1"/>
  <c r="AA15" i="1"/>
  <c r="AA20" i="1"/>
  <c r="Y7" i="1"/>
  <c r="X11" i="1"/>
  <c r="Y10" i="1"/>
  <c r="W10" i="1"/>
  <c r="W18" i="1"/>
  <c r="U9" i="1"/>
  <c r="U17" i="1"/>
  <c r="T11" i="1"/>
  <c r="V11" i="1"/>
  <c r="T12" i="1"/>
  <c r="R11" i="1"/>
  <c r="S6" i="1"/>
  <c r="R10" i="1"/>
  <c r="P18" i="1"/>
  <c r="O17" i="1"/>
  <c r="O11" i="1"/>
  <c r="O9" i="1"/>
  <c r="R14" i="1"/>
  <c r="R16" i="1"/>
  <c r="N6" i="1"/>
  <c r="N17" i="1"/>
  <c r="M13" i="1"/>
  <c r="M9" i="1"/>
  <c r="L18" i="1"/>
  <c r="K15" i="1"/>
  <c r="J6" i="1"/>
  <c r="L6" i="1"/>
  <c r="K12" i="1"/>
  <c r="AK18" i="1"/>
  <c r="AK12" i="1"/>
  <c r="AJ12" i="1"/>
  <c r="AJ16" i="1"/>
  <c r="AI15" i="1"/>
  <c r="AI10" i="1"/>
  <c r="AH8" i="1"/>
  <c r="AG17" i="1"/>
  <c r="AH11" i="1"/>
  <c r="AF15" i="1"/>
  <c r="AD18" i="1"/>
  <c r="AF17" i="1"/>
  <c r="AE12" i="1"/>
  <c r="AD11" i="1"/>
  <c r="AC14" i="1"/>
  <c r="AB10" i="1"/>
  <c r="AB16" i="1"/>
  <c r="AF11" i="1"/>
  <c r="AA12" i="1"/>
  <c r="Z14" i="1"/>
  <c r="Z7" i="1"/>
  <c r="Y13" i="1"/>
  <c r="X15" i="1"/>
  <c r="W19" i="1"/>
  <c r="X17" i="1"/>
  <c r="Y16" i="1"/>
  <c r="X16" i="1"/>
  <c r="V13" i="1"/>
  <c r="U15" i="1"/>
  <c r="U20" i="1"/>
  <c r="T19" i="1"/>
  <c r="U13" i="1"/>
  <c r="Q6" i="1"/>
  <c r="S20" i="1"/>
  <c r="R9" i="1"/>
  <c r="P15" i="1"/>
  <c r="R18" i="1"/>
  <c r="S13" i="1"/>
  <c r="Q17" i="1"/>
  <c r="O16" i="1"/>
  <c r="P9" i="1"/>
  <c r="O12" i="1"/>
  <c r="N15" i="1"/>
  <c r="N8" i="1"/>
  <c r="M14" i="1"/>
  <c r="N12" i="1"/>
  <c r="L12" i="1"/>
  <c r="K7" i="1"/>
  <c r="N7" i="1"/>
  <c r="J15" i="1"/>
  <c r="J19" i="1"/>
  <c r="AJ14" i="1"/>
  <c r="AK20" i="1"/>
  <c r="AJ6" i="1"/>
  <c r="AI18" i="1"/>
  <c r="AI19" i="1"/>
  <c r="AG12" i="1"/>
  <c r="AG8" i="1"/>
  <c r="AE18" i="1"/>
  <c r="AD9" i="1"/>
  <c r="AE16" i="1"/>
  <c r="AE10" i="1"/>
  <c r="AE11" i="1"/>
  <c r="AE9" i="1"/>
  <c r="AC10" i="1"/>
  <c r="AA11" i="1"/>
  <c r="AB17" i="1"/>
  <c r="AB6" i="1"/>
  <c r="AB11" i="1"/>
  <c r="AA10" i="1"/>
  <c r="AA13" i="1"/>
  <c r="Z8" i="1"/>
  <c r="AA16" i="1"/>
  <c r="W15" i="1"/>
  <c r="Y17" i="1"/>
  <c r="X9" i="1"/>
  <c r="W9" i="1"/>
  <c r="W8" i="1"/>
  <c r="V19" i="1"/>
  <c r="V7" i="1"/>
  <c r="U7" i="1"/>
  <c r="T10" i="1"/>
  <c r="U16" i="1"/>
  <c r="S9" i="1"/>
  <c r="R12" i="1"/>
  <c r="Q18" i="1"/>
  <c r="P19" i="1"/>
  <c r="Q11" i="1"/>
  <c r="O19" i="1"/>
  <c r="Q16" i="1"/>
  <c r="O14" i="1"/>
  <c r="P20" i="1"/>
  <c r="O20" i="1"/>
  <c r="N19" i="1"/>
  <c r="M16" i="1"/>
  <c r="M6" i="1"/>
  <c r="M17" i="1"/>
  <c r="K8" i="1"/>
  <c r="K11" i="1"/>
  <c r="K19" i="1"/>
  <c r="J14" i="1"/>
  <c r="J16" i="1"/>
  <c r="AJ15" i="1"/>
  <c r="AK7" i="1"/>
  <c r="AI8" i="1"/>
  <c r="AH10" i="1"/>
  <c r="AI9" i="1"/>
  <c r="AH18" i="1"/>
  <c r="AH19" i="1"/>
  <c r="AH9" i="1"/>
  <c r="AG7" i="1"/>
  <c r="AF12" i="1"/>
  <c r="AD14" i="1"/>
  <c r="AF7" i="1"/>
  <c r="AG10" i="1"/>
  <c r="AD13" i="1"/>
  <c r="AC6" i="1"/>
  <c r="AC18" i="1"/>
  <c r="AC7" i="1"/>
  <c r="AB13" i="1"/>
  <c r="AB12" i="1"/>
  <c r="Y19" i="1"/>
  <c r="Z18" i="1"/>
  <c r="Z12" i="1"/>
  <c r="W14" i="1"/>
  <c r="X13" i="1"/>
  <c r="Y12" i="1"/>
  <c r="X20" i="1"/>
  <c r="W13" i="1"/>
  <c r="Y8" i="1"/>
  <c r="U14" i="1"/>
  <c r="U11" i="1"/>
  <c r="U19" i="1"/>
  <c r="T8" i="1"/>
  <c r="T14" i="1"/>
  <c r="T13" i="1"/>
  <c r="S7" i="1"/>
  <c r="S19" i="1"/>
  <c r="Q14" i="1"/>
  <c r="Q13" i="1"/>
  <c r="R20" i="1"/>
  <c r="Q9" i="1"/>
  <c r="O8" i="1"/>
  <c r="R7" i="1"/>
  <c r="O6" i="1"/>
  <c r="M12" i="1"/>
  <c r="M10" i="1"/>
  <c r="L10" i="1"/>
  <c r="K6" i="1"/>
  <c r="K13" i="1"/>
  <c r="J9" i="1"/>
  <c r="L11" i="1"/>
  <c r="L13" i="1"/>
  <c r="K14" i="1"/>
  <c r="AK10" i="1"/>
  <c r="AK8" i="1"/>
  <c r="AJ17" i="1"/>
  <c r="AJ18" i="1"/>
  <c r="AG18" i="1"/>
  <c r="AI13" i="1"/>
  <c r="AH14" i="1"/>
  <c r="AH16" i="1"/>
  <c r="AE20" i="1"/>
  <c r="AE6" i="1"/>
  <c r="AD16" i="1"/>
  <c r="AF19" i="1"/>
  <c r="AH7" i="1"/>
  <c r="AD7" i="1"/>
  <c r="AC13" i="1"/>
  <c r="AC16" i="1"/>
  <c r="AD6" i="1"/>
  <c r="Z17" i="1"/>
  <c r="AA14" i="1"/>
  <c r="AA7" i="1"/>
  <c r="AA19" i="1"/>
  <c r="Z20" i="1"/>
  <c r="Y14" i="1"/>
  <c r="X14" i="1"/>
  <c r="Y9" i="1"/>
  <c r="W16" i="1"/>
  <c r="V15" i="1"/>
  <c r="V20" i="1"/>
  <c r="V16" i="1"/>
  <c r="U6" i="1"/>
  <c r="T16" i="1"/>
  <c r="U12" i="1"/>
  <c r="S18" i="1"/>
  <c r="S11" i="1"/>
  <c r="S8" i="1"/>
  <c r="P16" i="1"/>
  <c r="Q20" i="1"/>
  <c r="Q7" i="1"/>
  <c r="Q10" i="1"/>
  <c r="P13" i="1"/>
  <c r="O10" i="1"/>
  <c r="O7" i="1"/>
  <c r="N9" i="1"/>
  <c r="N11" i="1"/>
  <c r="M18" i="1"/>
  <c r="M11" i="1"/>
  <c r="L16" i="1"/>
  <c r="L19" i="1"/>
  <c r="J8" i="1"/>
  <c r="J10" i="1"/>
  <c r="K20" i="1"/>
  <c r="K9" i="1"/>
  <c r="AJ19" i="1"/>
  <c r="AJ13" i="1"/>
  <c r="AI12" i="1"/>
  <c r="AJ7" i="1"/>
  <c r="AI7" i="1"/>
  <c r="AH13" i="1"/>
  <c r="AG13" i="1"/>
  <c r="AF18" i="1"/>
  <c r="AD15" i="1"/>
  <c r="AF6" i="1"/>
  <c r="AG14" i="1"/>
  <c r="AD17" i="1"/>
  <c r="AE13" i="1"/>
  <c r="AC9" i="1"/>
  <c r="AD12" i="1"/>
  <c r="AC15" i="1"/>
  <c r="AB7" i="1"/>
  <c r="AC20" i="1"/>
  <c r="Z16" i="1"/>
  <c r="Z10" i="1"/>
  <c r="X8" i="1"/>
  <c r="Z13" i="1"/>
  <c r="X7" i="1"/>
  <c r="X19" i="1"/>
  <c r="W11" i="1"/>
  <c r="Y6" i="1"/>
  <c r="V8" i="1"/>
  <c r="V12" i="1"/>
  <c r="V14" i="1"/>
  <c r="U8" i="1"/>
  <c r="U18" i="1"/>
  <c r="T6" i="1"/>
  <c r="T15" i="1"/>
  <c r="S16" i="1"/>
  <c r="R13" i="1"/>
  <c r="Q8" i="1"/>
  <c r="R19" i="1"/>
  <c r="Q19" i="1"/>
  <c r="P12" i="1"/>
  <c r="S10" i="1"/>
  <c r="P7" i="1"/>
  <c r="N20" i="1"/>
  <c r="P10" i="1"/>
  <c r="N18" i="1"/>
  <c r="M8" i="1"/>
  <c r="L14" i="1"/>
  <c r="K17" i="1"/>
  <c r="L20" i="1"/>
  <c r="L15" i="1"/>
  <c r="J12" i="1"/>
  <c r="L9" i="1"/>
  <c r="J13" i="1"/>
  <c r="AK15" i="1"/>
  <c r="AK14" i="1"/>
  <c r="AI11" i="1"/>
  <c r="AH20" i="1"/>
  <c r="AH12" i="1"/>
  <c r="AG16" i="1"/>
  <c r="AG19" i="1"/>
  <c r="AG11" i="1"/>
  <c r="AF16" i="1"/>
  <c r="AD19" i="1"/>
  <c r="AG15" i="1"/>
  <c r="AE17" i="1"/>
  <c r="AF8" i="1"/>
  <c r="AD20" i="1"/>
  <c r="AD10" i="1"/>
  <c r="AC12" i="1"/>
  <c r="AC17" i="1"/>
  <c r="AB9" i="1"/>
  <c r="AA9" i="1"/>
  <c r="AA6" i="1"/>
  <c r="Z11" i="1"/>
  <c r="Z19" i="1"/>
  <c r="Z15" i="1"/>
  <c r="W17" i="1"/>
  <c r="X10" i="1"/>
  <c r="X12" i="1"/>
  <c r="W12" i="1"/>
  <c r="Y11" i="1"/>
  <c r="V6" i="1"/>
  <c r="V10" i="1"/>
  <c r="V9" i="1"/>
  <c r="T9" i="1"/>
  <c r="S17" i="1"/>
  <c r="T7" i="1"/>
  <c r="S14" i="1"/>
  <c r="R6" i="1"/>
  <c r="P11" i="1"/>
  <c r="P14" i="1"/>
  <c r="R17" i="1"/>
  <c r="R8" i="1"/>
  <c r="N10" i="1"/>
  <c r="O13" i="1"/>
  <c r="O18" i="1"/>
  <c r="N14" i="1"/>
  <c r="M7" i="1"/>
  <c r="M19" i="1"/>
  <c r="M20" i="1"/>
  <c r="L7" i="1"/>
  <c r="L17" i="1"/>
  <c r="K18" i="1"/>
  <c r="K16" i="1"/>
  <c r="J7" i="1"/>
  <c r="AK6" i="1"/>
  <c r="AJ20" i="1"/>
  <c r="AJ8" i="1"/>
  <c r="AJ10" i="1"/>
  <c r="AI20" i="1"/>
  <c r="AH15" i="1"/>
  <c r="AI6" i="1"/>
  <c r="AG6" i="1"/>
  <c r="AF20" i="1"/>
  <c r="AF14" i="1"/>
  <c r="AF9" i="1"/>
  <c r="AE14" i="1"/>
  <c r="AG9" i="1"/>
  <c r="AD8" i="1"/>
  <c r="AC19" i="1"/>
  <c r="AB15" i="1"/>
  <c r="AB19" i="1"/>
  <c r="AB20" i="1"/>
  <c r="AB8" i="1"/>
  <c r="AA8" i="1"/>
  <c r="X18" i="1"/>
  <c r="Z9" i="1"/>
  <c r="Y15" i="1"/>
  <c r="Y20" i="1"/>
  <c r="X6" i="1"/>
  <c r="W20" i="1"/>
  <c r="W6" i="1"/>
  <c r="V17" i="1"/>
  <c r="Y18" i="1"/>
  <c r="U10" i="1"/>
  <c r="V18" i="1"/>
  <c r="T18" i="1"/>
  <c r="T20" i="1"/>
  <c r="S12" i="1"/>
  <c r="S15" i="1"/>
  <c r="R15" i="1"/>
  <c r="Q15" i="1"/>
  <c r="Q12" i="1"/>
  <c r="T17" i="1"/>
  <c r="P8" i="1"/>
  <c r="P6" i="1"/>
  <c r="P17" i="1"/>
  <c r="O15" i="1"/>
  <c r="N16" i="1"/>
  <c r="N13" i="1"/>
  <c r="M15" i="1"/>
  <c r="J17" i="1"/>
  <c r="L8" i="1"/>
  <c r="K10" i="1"/>
  <c r="J20" i="1"/>
  <c r="J18" i="1"/>
  <c r="F12" i="1" l="1"/>
  <c r="F11" i="1"/>
  <c r="F19" i="1"/>
  <c r="F16" i="1"/>
  <c r="F13" i="1"/>
  <c r="F25" i="1"/>
  <c r="F28" i="1"/>
  <c r="F24" i="1"/>
  <c r="F35" i="1"/>
  <c r="F23" i="1"/>
  <c r="F30" i="1"/>
  <c r="F10" i="1"/>
  <c r="F26" i="1"/>
  <c r="F7" i="1"/>
  <c r="F36" i="1"/>
  <c r="F8" i="1"/>
  <c r="F9" i="1"/>
  <c r="F14" i="1"/>
  <c r="F20" i="1"/>
  <c r="F15" i="1"/>
  <c r="F18" i="1"/>
  <c r="F29" i="1"/>
  <c r="F34" i="1"/>
  <c r="F17" i="1"/>
  <c r="F22" i="1"/>
  <c r="F21" i="1"/>
  <c r="F27" i="1"/>
  <c r="F31" i="1"/>
  <c r="F64" i="1"/>
  <c r="F75" i="1"/>
  <c r="F78" i="1"/>
  <c r="F92" i="1"/>
  <c r="F95" i="1"/>
  <c r="F49" i="1"/>
  <c r="F77" i="1"/>
  <c r="F45" i="1"/>
  <c r="F69" i="1"/>
  <c r="F81" i="1"/>
  <c r="F59" i="1"/>
  <c r="F86" i="1"/>
  <c r="F58" i="1"/>
  <c r="F71" i="1"/>
  <c r="F96" i="1"/>
  <c r="F72" i="1"/>
  <c r="F79" i="1"/>
  <c r="F65" i="1"/>
  <c r="F37" i="1"/>
  <c r="F47" i="1"/>
  <c r="F44" i="1"/>
  <c r="F80" i="1"/>
  <c r="F54" i="1"/>
  <c r="F87" i="1"/>
  <c r="F53" i="1"/>
  <c r="F76" i="1"/>
  <c r="F66" i="1"/>
  <c r="F91" i="1"/>
  <c r="F68" i="1"/>
  <c r="F70" i="1"/>
  <c r="F63" i="1"/>
  <c r="F61" i="1"/>
  <c r="F88" i="1"/>
  <c r="F74" i="1"/>
  <c r="F52" i="1"/>
  <c r="F82" i="1"/>
  <c r="F85" i="1"/>
  <c r="F48" i="1"/>
  <c r="F62" i="1"/>
  <c r="F50" i="1"/>
  <c r="F90" i="1"/>
  <c r="F94" i="1"/>
  <c r="F60" i="1"/>
  <c r="F43" i="1"/>
  <c r="F42" i="1"/>
  <c r="F40" i="1"/>
  <c r="F51" i="1"/>
  <c r="F39" i="1"/>
  <c r="F38" i="1"/>
  <c r="F55" i="1"/>
  <c r="F6" i="1"/>
  <c r="F67" i="1"/>
  <c r="F57" i="1"/>
  <c r="F93" i="1"/>
  <c r="F83" i="1"/>
  <c r="F89" i="1"/>
  <c r="F41" i="1"/>
  <c r="F73" i="1"/>
  <c r="F56" i="1"/>
  <c r="F84" i="1"/>
  <c r="F46" i="1"/>
  <c r="D67" i="1"/>
  <c r="E67" i="1"/>
  <c r="E80" i="1"/>
  <c r="D80" i="1"/>
  <c r="D42" i="1"/>
  <c r="E42" i="1"/>
  <c r="E71" i="1"/>
  <c r="D71" i="1"/>
  <c r="D94" i="1"/>
  <c r="E94" i="1"/>
  <c r="E59" i="1"/>
  <c r="D59" i="1"/>
  <c r="E60" i="1"/>
  <c r="D60" i="1"/>
  <c r="E77" i="1"/>
  <c r="D77" i="1"/>
  <c r="D82" i="1"/>
  <c r="E82" i="1"/>
  <c r="E46" i="1"/>
  <c r="D46" i="1"/>
  <c r="D64" i="1"/>
  <c r="E64" i="1"/>
  <c r="E83" i="1"/>
  <c r="D83" i="1"/>
  <c r="E38" i="1"/>
  <c r="D38" i="1"/>
  <c r="E37" i="1"/>
  <c r="D37" i="1"/>
  <c r="D40" i="1"/>
  <c r="E40" i="1"/>
  <c r="E96" i="1"/>
  <c r="D96" i="1"/>
  <c r="D86" i="1"/>
  <c r="E86" i="1"/>
  <c r="E50" i="1"/>
  <c r="D50" i="1"/>
  <c r="D24" i="1"/>
  <c r="E24" i="1"/>
  <c r="E73" i="1"/>
  <c r="D73" i="1"/>
  <c r="E76" i="1"/>
  <c r="D76" i="1"/>
  <c r="D22" i="1"/>
  <c r="E22" i="1"/>
  <c r="D54" i="1"/>
  <c r="E54" i="1"/>
  <c r="D55" i="1"/>
  <c r="E55" i="1"/>
  <c r="E30" i="1"/>
  <c r="D30" i="1"/>
  <c r="D51" i="1"/>
  <c r="E51" i="1"/>
  <c r="E72" i="1"/>
  <c r="D72" i="1"/>
  <c r="E43" i="1"/>
  <c r="D43" i="1"/>
  <c r="D45" i="1"/>
  <c r="E45" i="1"/>
  <c r="E75" i="1"/>
  <c r="D75" i="1"/>
  <c r="E63" i="1"/>
  <c r="D63" i="1"/>
  <c r="E27" i="1"/>
  <c r="D27" i="1"/>
  <c r="E66" i="1"/>
  <c r="D66" i="1"/>
  <c r="D21" i="1"/>
  <c r="E21" i="1"/>
  <c r="E87" i="1"/>
  <c r="D87" i="1"/>
  <c r="D29" i="1"/>
  <c r="E29" i="1"/>
  <c r="E47" i="1"/>
  <c r="D47" i="1"/>
  <c r="D39" i="1"/>
  <c r="E39" i="1"/>
  <c r="E58" i="1"/>
  <c r="D58" i="1"/>
  <c r="E35" i="1"/>
  <c r="D35" i="1"/>
  <c r="D52" i="1"/>
  <c r="E52" i="1"/>
  <c r="E56" i="1"/>
  <c r="D56" i="1"/>
  <c r="D89" i="1"/>
  <c r="E89" i="1"/>
  <c r="D91" i="1"/>
  <c r="E91" i="1"/>
  <c r="E57" i="1"/>
  <c r="D57" i="1"/>
  <c r="D53" i="1"/>
  <c r="E53" i="1"/>
  <c r="D79" i="1"/>
  <c r="E79" i="1"/>
  <c r="E69" i="1"/>
  <c r="D69" i="1"/>
  <c r="D85" i="1"/>
  <c r="E85" i="1"/>
  <c r="E78" i="1"/>
  <c r="D78" i="1"/>
  <c r="E61" i="1"/>
  <c r="D61" i="1"/>
  <c r="D25" i="1"/>
  <c r="E25" i="1"/>
  <c r="D88" i="1"/>
  <c r="E88" i="1"/>
  <c r="D31" i="1"/>
  <c r="E31" i="1"/>
  <c r="E68" i="1"/>
  <c r="D68" i="1"/>
  <c r="E34" i="1"/>
  <c r="D34" i="1"/>
  <c r="E44" i="1"/>
  <c r="D44" i="1"/>
  <c r="D23" i="1"/>
  <c r="E23" i="1"/>
  <c r="D95" i="1"/>
  <c r="E95" i="1"/>
  <c r="D28" i="1"/>
  <c r="E28" i="1"/>
  <c r="D36" i="1"/>
  <c r="E36" i="1"/>
  <c r="E84" i="1"/>
  <c r="D84" i="1"/>
  <c r="E93" i="1"/>
  <c r="D93" i="1"/>
  <c r="E26" i="1"/>
  <c r="D26" i="1"/>
  <c r="D65" i="1"/>
  <c r="E65" i="1"/>
  <c r="D90" i="1"/>
  <c r="E90" i="1"/>
  <c r="E81" i="1"/>
  <c r="D81" i="1"/>
  <c r="D48" i="1"/>
  <c r="E48" i="1"/>
  <c r="D49" i="1"/>
  <c r="E49" i="1"/>
  <c r="E62" i="1"/>
  <c r="D62" i="1"/>
  <c r="E92" i="1"/>
  <c r="D92" i="1"/>
  <c r="E74" i="1"/>
  <c r="D74" i="1"/>
  <c r="D41" i="1"/>
  <c r="E41" i="1"/>
  <c r="D70" i="1"/>
  <c r="E70" i="1"/>
  <c r="E11" i="1"/>
  <c r="E13" i="1"/>
  <c r="E7" i="1"/>
  <c r="D7" i="1"/>
  <c r="D18" i="1"/>
  <c r="E18" i="1"/>
  <c r="E15" i="1"/>
  <c r="D15" i="1"/>
  <c r="D9" i="1"/>
  <c r="E9" i="1"/>
  <c r="D16" i="1"/>
  <c r="E20" i="1"/>
  <c r="D17" i="1"/>
  <c r="E17" i="1"/>
  <c r="D10" i="1"/>
  <c r="E10" i="1"/>
  <c r="E14" i="1"/>
  <c r="D14" i="1"/>
  <c r="D20" i="1"/>
  <c r="E6" i="1"/>
  <c r="D6" i="1"/>
  <c r="D13" i="1"/>
  <c r="E8" i="1"/>
  <c r="D8" i="1"/>
  <c r="E16" i="1"/>
  <c r="E19" i="1"/>
  <c r="D19" i="1"/>
  <c r="D11" i="1"/>
  <c r="D12" i="1"/>
  <c r="E12" i="1"/>
  <c r="X2" i="1" l="1"/>
  <c r="P2" i="1"/>
  <c r="H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Indama, Ghislain</author>
  </authors>
  <commentList>
    <comment ref="N37" authorId="0" shapeId="0" xr:uid="{DBEDA037-DEE5-4B6D-A546-EBE9C8668E11}">
      <text>
        <r>
          <rPr>
            <b/>
            <sz val="12"/>
            <color indexed="33"/>
            <rFont val="Tahoma"/>
            <family val="2"/>
          </rPr>
          <t>Tier 1 Metrics
Avg. Handle Time &lt;/= 15min
Avg. Hold Time &lt;/= 15min
Contacts Handled &gt;/= 17/Day
Production Time &gt;/= 6.5hrs/day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12"/>
            <rFont val="Tahoma"/>
            <family val="2"/>
          </rPr>
          <t>Tier 2 Metrics
Incorrect AUX Usage = 0
Idle Time = 0
Break/Lunch Time = 1hr/day
Missed Calls = 0
SNOW After Call Work &lt;/= 30min/day
Training/Coaching Aux = 30min/TL discretion
Team Meeting  Aux = 30min/day (+30min Brain Break – 1 per week)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62"/>
            <rFont val="Tahoma"/>
            <family val="2"/>
          </rPr>
          <t>Tier 3 Metrics
Utilization &gt;/= 76.47%/day
Occupancy &gt;/= 98%/day
Schedule Conformance &gt;/= 95%/day
QA Score &gt;/= 80%</t>
        </r>
      </text>
    </comment>
    <comment ref="N38" authorId="0" shapeId="0" xr:uid="{F95B9986-A8A0-4125-9F3D-C9A3FBBA73C7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53"/>
            <rFont val="Tahoma"/>
            <family val="2"/>
          </rPr>
          <t xml:space="preserve">
Unhide columns: 
Select the adjacent columns for the hidden columns.
Right-click the selected columns, and then select Unhide.
    Or double-click the double line between the two columns where hidden columns exist.
Column is located Between AF and AH .
Select both column, right click and unhide.</t>
        </r>
      </text>
    </comment>
    <comment ref="N39" authorId="0" shapeId="0" xr:uid="{FDF2FFDF-732B-4EEA-84C2-0FF25E689F27}">
      <text>
        <r>
          <rPr>
            <b/>
            <sz val="12"/>
            <color indexed="57"/>
            <rFont val="Tahoma"/>
            <family val="2"/>
          </rPr>
          <t>Unprotect the file by clicking on the unprotect button before resubmitting another report.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CB967B-5472-491C-A75C-4EE57EF7C0B9}" keepAlive="1" name="Query - Historical Metrics Report (2)" description="Connection to the 'Historical Metrics Report (2)' query in the workbook." type="5" refreshedVersion="6" background="1" saveData="1">
    <dbPr connection="Provider=Microsoft.Mashup.OleDb.1;Data Source=$Workbook$;Location=&quot;Historical Metrics Report (2)&quot;;Extended Properties=&quot;&quot;" command="SELECT * FROM [Historical Metrics Report (2)]"/>
  </connection>
</connections>
</file>

<file path=xl/sharedStrings.xml><?xml version="1.0" encoding="utf-8"?>
<sst xmlns="http://schemas.openxmlformats.org/spreadsheetml/2006/main" count="1385" uniqueCount="407">
  <si>
    <t xml:space="preserve"> Attendance  Tracker</t>
  </si>
  <si>
    <t>OTHER TRACKER</t>
  </si>
  <si>
    <t>TEAM LEAD TOOLS</t>
  </si>
  <si>
    <t>Name</t>
  </si>
  <si>
    <t>Wave</t>
  </si>
  <si>
    <t>Personal Phone Number</t>
  </si>
  <si>
    <t>Emergency Contact</t>
  </si>
  <si>
    <t>Personal Email Address</t>
  </si>
  <si>
    <t>Note</t>
  </si>
  <si>
    <t>brianna.mercer</t>
  </si>
  <si>
    <t>catera.clark</t>
  </si>
  <si>
    <t>judy.gombert</t>
  </si>
  <si>
    <t>makaylin.baker</t>
  </si>
  <si>
    <t>naomi.bush</t>
  </si>
  <si>
    <t>raledja.pruitt</t>
  </si>
  <si>
    <t>sharron.watley</t>
  </si>
  <si>
    <t>shunta.fincher</t>
  </si>
  <si>
    <t>stanford.antoine</t>
  </si>
  <si>
    <t>t.railey</t>
  </si>
  <si>
    <t>ghislain.indama</t>
  </si>
  <si>
    <t>301-920-4537</t>
  </si>
  <si>
    <t>alexis.abeyta</t>
  </si>
  <si>
    <t>dyasia.downing</t>
  </si>
  <si>
    <t>jacqueline.hope</t>
  </si>
  <si>
    <t>irene.hurtado</t>
  </si>
  <si>
    <t>elizabeth.greig</t>
  </si>
  <si>
    <t>irene.davison</t>
  </si>
  <si>
    <t>eric.johnson</t>
  </si>
  <si>
    <t>paris.fisher</t>
  </si>
  <si>
    <t>opal.watson</t>
  </si>
  <si>
    <t>ramone.horst</t>
  </si>
  <si>
    <t>Emp ID</t>
  </si>
  <si>
    <t>Wave-64</t>
  </si>
  <si>
    <t>P</t>
  </si>
  <si>
    <t>A</t>
  </si>
  <si>
    <t>Wave-57</t>
  </si>
  <si>
    <t>Wave-66</t>
  </si>
  <si>
    <t>ernest.hunter</t>
  </si>
  <si>
    <t>Wave-56</t>
  </si>
  <si>
    <t>Wave-68</t>
  </si>
  <si>
    <t>Wave-63</t>
  </si>
  <si>
    <t>samara.elliott</t>
  </si>
  <si>
    <t>Wave-59</t>
  </si>
  <si>
    <t>Wave-62</t>
  </si>
  <si>
    <t>Unique ID</t>
  </si>
  <si>
    <t>Date</t>
  </si>
  <si>
    <t>Attendance</t>
  </si>
  <si>
    <t>10002_44539</t>
  </si>
  <si>
    <t>10003_44539</t>
  </si>
  <si>
    <t>10004_44539</t>
  </si>
  <si>
    <t>10005_44539</t>
  </si>
  <si>
    <t>10006_44539</t>
  </si>
  <si>
    <t>10007_44539</t>
  </si>
  <si>
    <t>10008_44539</t>
  </si>
  <si>
    <t>10009_44539</t>
  </si>
  <si>
    <t>10010_44539</t>
  </si>
  <si>
    <t>10011_44539</t>
  </si>
  <si>
    <t>10012_44539</t>
  </si>
  <si>
    <t>10013_44539</t>
  </si>
  <si>
    <t>10014_44539</t>
  </si>
  <si>
    <t>10015_44539</t>
  </si>
  <si>
    <t>10001_44540</t>
  </si>
  <si>
    <t>10002_44540</t>
  </si>
  <si>
    <t>10003_44540</t>
  </si>
  <si>
    <t>10004_44540</t>
  </si>
  <si>
    <t>10005_44540</t>
  </si>
  <si>
    <t>10006_44540</t>
  </si>
  <si>
    <t>10007_44540</t>
  </si>
  <si>
    <t>10008_44540</t>
  </si>
  <si>
    <t>10009_44540</t>
  </si>
  <si>
    <t>10010_44540</t>
  </si>
  <si>
    <t>10011_44540</t>
  </si>
  <si>
    <t>10012_44540</t>
  </si>
  <si>
    <t>10013_44540</t>
  </si>
  <si>
    <t>10014_44540</t>
  </si>
  <si>
    <t>10015_44540</t>
  </si>
  <si>
    <t>Month:-</t>
  </si>
  <si>
    <t>Present</t>
  </si>
  <si>
    <t>Absent</t>
  </si>
  <si>
    <t>Attendance List</t>
  </si>
  <si>
    <t>Month</t>
  </si>
  <si>
    <t>Highlight</t>
  </si>
  <si>
    <t>Sunday</t>
  </si>
  <si>
    <t>Saturday</t>
  </si>
  <si>
    <t>WO</t>
  </si>
  <si>
    <t>Total Hours</t>
  </si>
  <si>
    <t>Agent EID</t>
  </si>
  <si>
    <t>Online Time</t>
  </si>
  <si>
    <t>Lunch Time</t>
  </si>
  <si>
    <t>Monday</t>
  </si>
  <si>
    <t>Tuesday</t>
  </si>
  <si>
    <t>Wednesday</t>
  </si>
  <si>
    <t>Thursday</t>
  </si>
  <si>
    <t>Friday</t>
  </si>
  <si>
    <t>Phone/Chat</t>
  </si>
  <si>
    <t>Total Hours Cal</t>
  </si>
  <si>
    <t>Phone</t>
  </si>
  <si>
    <t>Legend</t>
  </si>
  <si>
    <t>Bereavement</t>
  </si>
  <si>
    <t>B</t>
  </si>
  <si>
    <t>Leave Early</t>
  </si>
  <si>
    <t>LE</t>
  </si>
  <si>
    <t>No Show</t>
  </si>
  <si>
    <t>N</t>
  </si>
  <si>
    <t>PTO Approved</t>
  </si>
  <si>
    <t>Tardy</t>
  </si>
  <si>
    <t>T</t>
  </si>
  <si>
    <t>Tech Issue</t>
  </si>
  <si>
    <t>TI</t>
  </si>
  <si>
    <t>Unapproved Absence</t>
  </si>
  <si>
    <t>Excused (Dr, Court, Etc)</t>
  </si>
  <si>
    <t>E</t>
  </si>
  <si>
    <t>Date Earned</t>
  </si>
  <si>
    <t>Full Occurences</t>
  </si>
  <si>
    <t>Half Occurences</t>
  </si>
  <si>
    <t>Total # Occurences</t>
  </si>
  <si>
    <t># NCNS in 30 Days</t>
  </si>
  <si>
    <t>PTO</t>
  </si>
  <si>
    <t>10001_44542</t>
  </si>
  <si>
    <t>Total</t>
  </si>
  <si>
    <t>Team Lead/Agent Name</t>
  </si>
  <si>
    <t>Shift_Time (manually adjusted)</t>
  </si>
  <si>
    <t xml:space="preserve"> Agent on contact time</t>
  </si>
  <si>
    <t xml:space="preserve"> Agent contact avg (BO)</t>
  </si>
  <si>
    <t xml:space="preserve"> Agent idle time</t>
  </si>
  <si>
    <t>Contact Handled</t>
  </si>
  <si>
    <t>No of Calls missed</t>
  </si>
  <si>
    <t xml:space="preserve"> AHT</t>
  </si>
  <si>
    <t xml:space="preserve"> Agent Total Interaction Time</t>
  </si>
  <si>
    <t xml:space="preserve"> Agent contact after work time(Total)</t>
  </si>
  <si>
    <t xml:space="preserve"> Avg. Hold Time</t>
  </si>
  <si>
    <t xml:space="preserve"> No of calls on Hold</t>
  </si>
  <si>
    <t xml:space="preserve"> Team Meeting time</t>
  </si>
  <si>
    <t xml:space="preserve"> Super User / TL Support time</t>
  </si>
  <si>
    <t xml:space="preserve"> Training / Coaching time</t>
  </si>
  <si>
    <t xml:space="preserve"> Dial Out time</t>
  </si>
  <si>
    <t xml:space="preserve"> Break Time time</t>
  </si>
  <si>
    <t xml:space="preserve"> Lunch Time</t>
  </si>
  <si>
    <t xml:space="preserve"> Technical Issue time</t>
  </si>
  <si>
    <t xml:space="preserve">  Fraud time</t>
  </si>
  <si>
    <t xml:space="preserve"> Development time</t>
  </si>
  <si>
    <t xml:space="preserve"> SNOW After-Call Work time</t>
  </si>
  <si>
    <t>Salesforce</t>
  </si>
  <si>
    <t>PUA</t>
  </si>
  <si>
    <t xml:space="preserve"> NJT</t>
  </si>
  <si>
    <t xml:space="preserve"> WeCare</t>
  </si>
  <si>
    <t xml:space="preserve"> Schedule Conformance (% of full shift, incl. breaks)</t>
  </si>
  <si>
    <t>Productive Time</t>
  </si>
  <si>
    <t>Individual Utilization (%)</t>
  </si>
  <si>
    <t xml:space="preserve"> Occupancy%</t>
  </si>
  <si>
    <t xml:space="preserve"> Total Login Time - AUX OffPhone Time</t>
  </si>
  <si>
    <t>Comments</t>
  </si>
  <si>
    <t>Settings</t>
  </si>
  <si>
    <t>Resigned</t>
  </si>
  <si>
    <t>LOA</t>
  </si>
  <si>
    <t>Tech issues</t>
  </si>
  <si>
    <t xml:space="preserve">Met all performance </t>
  </si>
  <si>
    <t>Met 2 out of 3 performance metrices</t>
  </si>
  <si>
    <t>Met 1 out of 3 performance metrices</t>
  </si>
  <si>
    <t>Did not meet any performance metrics</t>
  </si>
  <si>
    <t>Training</t>
  </si>
  <si>
    <t>Super User/TL Support</t>
  </si>
  <si>
    <t>Agent did not meet metrics due to Beacon Password Reset Issue</t>
  </si>
  <si>
    <t>Approved Early leave</t>
  </si>
  <si>
    <t>Brain Breaks time Allotment decreased On Contact Time</t>
  </si>
  <si>
    <t>Rolled Off</t>
  </si>
  <si>
    <t>Early Leave</t>
  </si>
  <si>
    <t>Late Login</t>
  </si>
  <si>
    <t>1x1 with TL</t>
  </si>
  <si>
    <t>Tech issues AWS decreased on contact time</t>
  </si>
  <si>
    <t>Tech issues SNOW/Beacon decreased on contact time</t>
  </si>
  <si>
    <t>Asset issue</t>
  </si>
  <si>
    <t>Low call Volume affecting on contact time</t>
  </si>
  <si>
    <t>STL</t>
  </si>
  <si>
    <t>2STL</t>
  </si>
  <si>
    <t>Approved Absence</t>
  </si>
  <si>
    <t>NCNS</t>
  </si>
  <si>
    <t>Transfer to another project</t>
  </si>
  <si>
    <t>New Agent</t>
  </si>
  <si>
    <t>Switch to another Team</t>
  </si>
  <si>
    <t>ghis.randaln</t>
  </si>
  <si>
    <t>Wave-24</t>
  </si>
  <si>
    <t>Emp EID</t>
  </si>
  <si>
    <t>Wave-65</t>
  </si>
  <si>
    <t>wave-67</t>
  </si>
  <si>
    <t>wave-46</t>
  </si>
  <si>
    <t>Help</t>
  </si>
  <si>
    <t>Keys</t>
  </si>
  <si>
    <t>Setting</t>
  </si>
  <si>
    <t>Info</t>
  </si>
  <si>
    <t>tagar</t>
  </si>
  <si>
    <t>wave-77</t>
  </si>
  <si>
    <t>Acronyms</t>
  </si>
  <si>
    <t>No call No show</t>
  </si>
  <si>
    <t>Personal Time Off</t>
  </si>
  <si>
    <t>Leave of Absence</t>
  </si>
  <si>
    <t>Week Off</t>
  </si>
  <si>
    <t>Partial PTO</t>
  </si>
  <si>
    <t xml:space="preserve">Training </t>
  </si>
  <si>
    <t>Sick</t>
  </si>
  <si>
    <t>Profile issue</t>
  </si>
  <si>
    <t>Late Login Approved</t>
  </si>
  <si>
    <t>Late Login Unapproved</t>
  </si>
  <si>
    <t>Unpproved Early Logout</t>
  </si>
  <si>
    <t>Approved Early Logout</t>
  </si>
  <si>
    <t>Asset Issue</t>
  </si>
  <si>
    <t>Attrition</t>
  </si>
  <si>
    <t>PPTO</t>
  </si>
  <si>
    <t>S</t>
  </si>
  <si>
    <t>ROFF</t>
  </si>
  <si>
    <t>TS</t>
  </si>
  <si>
    <t>PS</t>
  </si>
  <si>
    <t>LLA</t>
  </si>
  <si>
    <t>LLU</t>
  </si>
  <si>
    <t>UA</t>
  </si>
  <si>
    <t>UEL</t>
  </si>
  <si>
    <t>AEL</t>
  </si>
  <si>
    <t>AA</t>
  </si>
  <si>
    <t>AI</t>
  </si>
  <si>
    <t>AT</t>
  </si>
  <si>
    <t>morales.john</t>
  </si>
  <si>
    <t>wave.35</t>
  </si>
  <si>
    <t>8-Dec-2021</t>
  </si>
  <si>
    <t>10001_44538</t>
  </si>
  <si>
    <t>10002_44538</t>
  </si>
  <si>
    <t>10003_44538</t>
  </si>
  <si>
    <t>10004_44538</t>
  </si>
  <si>
    <t>10005_44538</t>
  </si>
  <si>
    <t>10006_44538</t>
  </si>
  <si>
    <t>10007_44538</t>
  </si>
  <si>
    <t>10008_44538</t>
  </si>
  <si>
    <t>10009_44538</t>
  </si>
  <si>
    <t>10010_44538</t>
  </si>
  <si>
    <t>10011_44538</t>
  </si>
  <si>
    <t>10012_44538</t>
  </si>
  <si>
    <t>10013_44538</t>
  </si>
  <si>
    <t>10014_44538</t>
  </si>
  <si>
    <t>10015_44538</t>
  </si>
  <si>
    <t>10016_44538</t>
  </si>
  <si>
    <t>10032_44538</t>
  </si>
  <si>
    <t>10023_44538</t>
  </si>
  <si>
    <t>10016_44540</t>
  </si>
  <si>
    <t>10032_44540</t>
  </si>
  <si>
    <t>ROF</t>
  </si>
  <si>
    <t>10034_44538</t>
  </si>
  <si>
    <t>10016_44539</t>
  </si>
  <si>
    <t>10032_44539</t>
  </si>
  <si>
    <t>10023_44539</t>
  </si>
  <si>
    <t>10034_44539</t>
  </si>
  <si>
    <t>10023_44540</t>
  </si>
  <si>
    <t>10034_44540</t>
  </si>
  <si>
    <t>OT</t>
  </si>
  <si>
    <t>Overtime</t>
  </si>
  <si>
    <t>Agency</t>
  </si>
  <si>
    <t>Agent Name</t>
  </si>
  <si>
    <t>TL Feedback</t>
  </si>
  <si>
    <t>10001_44541</t>
  </si>
  <si>
    <t>10002_44541</t>
  </si>
  <si>
    <t>10003_44541</t>
  </si>
  <si>
    <t>10004_44541</t>
  </si>
  <si>
    <t>10005_44541</t>
  </si>
  <si>
    <t>10006_44541</t>
  </si>
  <si>
    <t>10007_44541</t>
  </si>
  <si>
    <t>10008_44541</t>
  </si>
  <si>
    <t>10009_44541</t>
  </si>
  <si>
    <t>10010_44541</t>
  </si>
  <si>
    <t>10011_44541</t>
  </si>
  <si>
    <t>10012_44541</t>
  </si>
  <si>
    <t>10013_44541</t>
  </si>
  <si>
    <t>10014_44541</t>
  </si>
  <si>
    <t>10015_44541</t>
  </si>
  <si>
    <t>10016_44541</t>
  </si>
  <si>
    <t>10032_44541</t>
  </si>
  <si>
    <t>10023_44541</t>
  </si>
  <si>
    <t>10034_44541</t>
  </si>
  <si>
    <t>10002_44542</t>
  </si>
  <si>
    <t>10003_44542</t>
  </si>
  <si>
    <t>10004_44542</t>
  </si>
  <si>
    <t>10005_44542</t>
  </si>
  <si>
    <t>10006_44542</t>
  </si>
  <si>
    <t>10007_44542</t>
  </si>
  <si>
    <t>10008_44542</t>
  </si>
  <si>
    <t>10009_44542</t>
  </si>
  <si>
    <t>10010_44542</t>
  </si>
  <si>
    <t>10011_44542</t>
  </si>
  <si>
    <t>10012_44542</t>
  </si>
  <si>
    <t>10013_44542</t>
  </si>
  <si>
    <t>10014_44542</t>
  </si>
  <si>
    <t>10015_44542</t>
  </si>
  <si>
    <t>10016_44542</t>
  </si>
  <si>
    <t>10032_44542</t>
  </si>
  <si>
    <t>10023_44542</t>
  </si>
  <si>
    <t>10034_44542</t>
  </si>
  <si>
    <t>10001_44543</t>
  </si>
  <si>
    <t>10002_44543</t>
  </si>
  <si>
    <t>10003_44543</t>
  </si>
  <si>
    <t>10004_44543</t>
  </si>
  <si>
    <t>10005_44543</t>
  </si>
  <si>
    <t>10006_44543</t>
  </si>
  <si>
    <t>10007_44543</t>
  </si>
  <si>
    <t>10008_44543</t>
  </si>
  <si>
    <t>10009_44543</t>
  </si>
  <si>
    <t>10010_44543</t>
  </si>
  <si>
    <t>10011_44543</t>
  </si>
  <si>
    <t>10012_44543</t>
  </si>
  <si>
    <t>10013_44543</t>
  </si>
  <si>
    <t>10014_44543</t>
  </si>
  <si>
    <t>10015_44543</t>
  </si>
  <si>
    <t>10016_44543</t>
  </si>
  <si>
    <t>10032_44543</t>
  </si>
  <si>
    <t>10023_44543</t>
  </si>
  <si>
    <t>10034_44543</t>
  </si>
  <si>
    <t>10001_44544</t>
  </si>
  <si>
    <t>10002_44544</t>
  </si>
  <si>
    <t>10003_44544</t>
  </si>
  <si>
    <t>10004_44544</t>
  </si>
  <si>
    <t>10005_44544</t>
  </si>
  <si>
    <t>10006_44544</t>
  </si>
  <si>
    <t>10007_44544</t>
  </si>
  <si>
    <t>10008_44544</t>
  </si>
  <si>
    <t>10009_44544</t>
  </si>
  <si>
    <t>10010_44544</t>
  </si>
  <si>
    <t>10011_44544</t>
  </si>
  <si>
    <t>10012_44544</t>
  </si>
  <si>
    <t>10013_44544</t>
  </si>
  <si>
    <t>10014_44544</t>
  </si>
  <si>
    <t>10015_44544</t>
  </si>
  <si>
    <t>10016_44544</t>
  </si>
  <si>
    <t>10032_44544</t>
  </si>
  <si>
    <t>10023_44544</t>
  </si>
  <si>
    <t>10034_44544</t>
  </si>
  <si>
    <t>Months</t>
  </si>
  <si>
    <t>Ocurrance List</t>
  </si>
  <si>
    <t xml:space="preserve">Add New Agent </t>
  </si>
  <si>
    <t>wave-33</t>
  </si>
  <si>
    <t>ASMR</t>
  </si>
  <si>
    <t>240-454-3323</t>
  </si>
  <si>
    <t>ulrichando007@gmail.com</t>
  </si>
  <si>
    <t>tama.agggag</t>
  </si>
  <si>
    <t>wave-45</t>
  </si>
  <si>
    <t>301-434-3434</t>
  </si>
  <si>
    <t>343-545-5455</t>
  </si>
  <si>
    <t>lsdfgkhg@gmail.com</t>
  </si>
  <si>
    <t>wave-35</t>
  </si>
  <si>
    <t>333-333-3333</t>
  </si>
  <si>
    <t>333-232-3232</t>
  </si>
  <si>
    <t>fortana@gmail.com</t>
  </si>
  <si>
    <t>VDART</t>
  </si>
  <si>
    <t>ADECCO</t>
  </si>
  <si>
    <t>TROPCOMP</t>
  </si>
  <si>
    <t>10099_44538</t>
  </si>
  <si>
    <t>1023_44538</t>
  </si>
  <si>
    <t>34344_44538</t>
  </si>
  <si>
    <t>10099_44539</t>
  </si>
  <si>
    <t>1023_44539</t>
  </si>
  <si>
    <t>34344_44539</t>
  </si>
  <si>
    <t>10099_44540</t>
  </si>
  <si>
    <t>1023_44540</t>
  </si>
  <si>
    <t>34344_44540</t>
  </si>
  <si>
    <t>10099_44541</t>
  </si>
  <si>
    <t>1023_44541</t>
  </si>
  <si>
    <t>34344_44541</t>
  </si>
  <si>
    <t>10099_44542</t>
  </si>
  <si>
    <t>1023_44542</t>
  </si>
  <si>
    <t>34344_44542</t>
  </si>
  <si>
    <t>10099_44543</t>
  </si>
  <si>
    <t>1023_44543</t>
  </si>
  <si>
    <t>34344_44543</t>
  </si>
  <si>
    <t>10099_44544</t>
  </si>
  <si>
    <t>1023_44544</t>
  </si>
  <si>
    <t>34344_44544</t>
  </si>
  <si>
    <t>Overall metric average</t>
  </si>
  <si>
    <t>TECH ISSUE TRACKER</t>
  </si>
  <si>
    <t>Open</t>
  </si>
  <si>
    <t>IT</t>
  </si>
  <si>
    <t>Jack</t>
  </si>
  <si>
    <t>Medium</t>
  </si>
  <si>
    <t>High</t>
  </si>
  <si>
    <t>the agent haas a headset issue</t>
  </si>
  <si>
    <t>Update Time</t>
  </si>
  <si>
    <t>Status</t>
  </si>
  <si>
    <t>Department</t>
  </si>
  <si>
    <t>Issue Owner</t>
  </si>
  <si>
    <t>Closed Date</t>
  </si>
  <si>
    <t>Open Date</t>
  </si>
  <si>
    <t>Priority</t>
  </si>
  <si>
    <t>Project Impact</t>
  </si>
  <si>
    <t>Description</t>
  </si>
  <si>
    <t>Id</t>
  </si>
  <si>
    <t>William</t>
  </si>
  <si>
    <t>Admin</t>
  </si>
  <si>
    <t>Raj</t>
  </si>
  <si>
    <t>Low</t>
  </si>
  <si>
    <t>Closed</t>
  </si>
  <si>
    <t>HR</t>
  </si>
  <si>
    <t>PK</t>
  </si>
  <si>
    <t>Critical</t>
  </si>
  <si>
    <t>End Date</t>
  </si>
  <si>
    <t>Count</t>
  </si>
  <si>
    <t>Start Date</t>
  </si>
  <si>
    <t>N..A</t>
  </si>
  <si>
    <t>cobgoh</t>
  </si>
  <si>
    <t>tamam.shaiva</t>
  </si>
  <si>
    <t>wave-34</t>
  </si>
  <si>
    <t>234-232-2323</t>
  </si>
  <si>
    <t>344-343-3434</t>
  </si>
  <si>
    <t>tutrishjetetap@gmail.com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</si>
</sst>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"/>
    <numFmt numFmtId="165" formatCode="mmm\-yyyy"/>
    <numFmt numFmtId="166" formatCode="0.00;[Red]0.00"/>
    <numFmt numFmtId="167" formatCode="0.0"/>
    <numFmt numFmtId="168" formatCode="00000"/>
    <numFmt numFmtId="169" formatCode="d\-mmm\-yy\ hh:mm:ss\ AM/PM"/>
  </numFmts>
  <fonts count="3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Wide Latin"/>
      <family val="1"/>
    </font>
    <font>
      <sz val="8"/>
      <name val="Calibri"/>
      <family val="2"/>
      <scheme val="minor"/>
    </font>
    <font>
      <b/>
      <sz val="12"/>
      <color theme="0"/>
      <name val="Arial Rounded MT Bold"/>
      <family val="2"/>
    </font>
    <font>
      <b/>
      <sz val="16"/>
      <color theme="0"/>
      <name val="Arial Rounded MT Bold"/>
      <family val="2"/>
    </font>
    <font>
      <b/>
      <sz val="18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indexed="81"/>
      <name val="Tahoma"/>
      <family val="2"/>
    </font>
    <font>
      <b/>
      <sz val="12"/>
      <color indexed="33"/>
      <name val="Tahoma"/>
      <family val="2"/>
    </font>
    <font>
      <b/>
      <sz val="12"/>
      <color indexed="12"/>
      <name val="Tahoma"/>
      <family val="2"/>
    </font>
    <font>
      <b/>
      <sz val="12"/>
      <color indexed="62"/>
      <name val="Tahoma"/>
      <family val="2"/>
    </font>
    <font>
      <b/>
      <sz val="12"/>
      <color indexed="53"/>
      <name val="Tahoma"/>
      <family val="2"/>
    </font>
    <font>
      <b/>
      <sz val="12"/>
      <color indexed="57"/>
      <name val="Tahoma"/>
      <family val="2"/>
    </font>
    <font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36"/>
      <color theme="1" tint="4.9989318521683403E-2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7E00FF"/>
        <bgColor rgb="FF4472C4"/>
      </patternFill>
    </fill>
    <fill>
      <patternFill patternType="solid">
        <fgColor rgb="FFFF00FF"/>
        <bgColor rgb="FF4472C4"/>
      </patternFill>
    </fill>
    <fill>
      <patternFill patternType="solid">
        <fgColor rgb="FF0041F0"/>
        <bgColor rgb="FF4472C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EA9DB"/>
      </left>
      <right style="thin">
        <color rgb="FF8EA9DB"/>
      </right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69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15" fontId="1" fillId="0" borderId="0" xfId="0" applyNumberFormat="1" applyFont="1" applyAlignment="1">
      <alignment horizontal="center"/>
    </xf>
    <xf numFmtId="15" fontId="3" fillId="2" borderId="1" xfId="0" applyNumberFormat="1" applyFont="1" applyFill="1" applyBorder="1" applyAlignment="1">
      <alignment horizontal="center" vertical="center"/>
    </xf>
    <xf numFmtId="17" fontId="2" fillId="0" borderId="1" xfId="0" applyNumberFormat="1" applyFont="1" applyBorder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5" fontId="6" fillId="3" borderId="0" xfId="0" applyNumberFormat="1" applyFont="1" applyFill="1" applyAlignment="1">
      <alignment horizontal="center" vertical="center"/>
    </xf>
    <xf numFmtId="0" fontId="5" fillId="0" borderId="0" xfId="0" applyFont="1"/>
    <xf numFmtId="0" fontId="1" fillId="0" borderId="0" xfId="0" applyFont="1" applyAlignment="1">
      <alignment vertical="top"/>
    </xf>
    <xf numFmtId="0" fontId="6" fillId="4" borderId="4" xfId="0" applyFont="1" applyFill="1" applyBorder="1"/>
    <xf numFmtId="0" fontId="6" fillId="4" borderId="5" xfId="0" applyFont="1" applyFill="1" applyBorder="1"/>
    <xf numFmtId="164" fontId="6" fillId="0" borderId="0" xfId="0" applyNumberFormat="1" applyFont="1" applyAlignment="1">
      <alignment horizontal="center" vertical="center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8" fillId="0" borderId="0" xfId="0" applyFont="1" applyAlignment="1" applyProtection="1">
      <alignment horizontal="right" vertical="center" inden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12" fillId="0" borderId="0" xfId="0" applyFont="1" applyAlignment="1">
      <alignment vertical="center"/>
    </xf>
    <xf numFmtId="0" fontId="0" fillId="9" borderId="0" xfId="0" applyFill="1"/>
    <xf numFmtId="0" fontId="12" fillId="9" borderId="0" xfId="0" applyFont="1" applyFill="1" applyAlignment="1">
      <alignment vertical="center"/>
    </xf>
    <xf numFmtId="0" fontId="13" fillId="9" borderId="0" xfId="0" applyFont="1" applyFill="1" applyAlignment="1">
      <alignment vertical="center"/>
    </xf>
    <xf numFmtId="0" fontId="0" fillId="10" borderId="0" xfId="0" applyFill="1"/>
    <xf numFmtId="0" fontId="12" fillId="10" borderId="0" xfId="0" applyFont="1" applyFill="1" applyAlignment="1">
      <alignment vertical="center"/>
    </xf>
    <xf numFmtId="0" fontId="14" fillId="11" borderId="0" xfId="0" applyFont="1" applyFill="1" applyAlignment="1">
      <alignment horizontal="center"/>
    </xf>
    <xf numFmtId="0" fontId="14" fillId="11" borderId="0" xfId="0" applyFont="1" applyFill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7" xfId="0" applyBorder="1" applyAlignment="1">
      <alignment horizontal="left"/>
    </xf>
    <xf numFmtId="0" fontId="15" fillId="0" borderId="7" xfId="1" applyBorder="1" applyAlignment="1"/>
    <xf numFmtId="0" fontId="0" fillId="0" borderId="9" xfId="0" applyBorder="1"/>
    <xf numFmtId="0" fontId="15" fillId="0" borderId="8" xfId="1" applyBorder="1"/>
    <xf numFmtId="166" fontId="0" fillId="0" borderId="0" xfId="0" applyNumberFormat="1"/>
    <xf numFmtId="0" fontId="20" fillId="4" borderId="6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/>
    </xf>
    <xf numFmtId="166" fontId="20" fillId="4" borderId="6" xfId="0" applyNumberFormat="1" applyFont="1" applyFill="1" applyBorder="1" applyAlignment="1">
      <alignment horizontal="center" vertical="center"/>
    </xf>
    <xf numFmtId="166" fontId="0" fillId="0" borderId="6" xfId="0" applyNumberFormat="1" applyBorder="1"/>
    <xf numFmtId="166" fontId="17" fillId="4" borderId="0" xfId="0" applyNumberFormat="1" applyFont="1" applyFill="1" applyAlignment="1">
      <alignment horizontal="center"/>
    </xf>
    <xf numFmtId="0" fontId="0" fillId="0" borderId="6" xfId="0" applyBorder="1" applyAlignment="1">
      <alignment wrapText="1"/>
    </xf>
    <xf numFmtId="0" fontId="22" fillId="13" borderId="6" xfId="0" applyFont="1" applyFill="1" applyBorder="1" applyAlignment="1">
      <alignment horizontal="center"/>
    </xf>
    <xf numFmtId="0" fontId="23" fillId="12" borderId="6" xfId="0" applyFont="1" applyFill="1" applyBorder="1" applyAlignment="1">
      <alignment horizontal="center"/>
    </xf>
    <xf numFmtId="0" fontId="18" fillId="14" borderId="6" xfId="0" applyFont="1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19" fillId="12" borderId="10" xfId="0" applyFont="1" applyFill="1" applyBorder="1" applyAlignment="1">
      <alignment horizontal="center" vertical="center"/>
    </xf>
    <xf numFmtId="14" fontId="0" fillId="12" borderId="12" xfId="0" applyNumberFormat="1" applyFill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14" fillId="15" borderId="6" xfId="0" applyFont="1" applyFill="1" applyBorder="1" applyAlignment="1">
      <alignment horizontal="center" vertical="center" wrapText="1"/>
    </xf>
    <xf numFmtId="0" fontId="14" fillId="16" borderId="6" xfId="0" applyFont="1" applyFill="1" applyBorder="1" applyAlignment="1">
      <alignment horizontal="center" vertical="center" wrapText="1"/>
    </xf>
    <xf numFmtId="0" fontId="14" fillId="17" borderId="6" xfId="0" applyFont="1" applyFill="1" applyBorder="1" applyAlignment="1">
      <alignment horizontal="center" vertical="center" wrapText="1"/>
    </xf>
    <xf numFmtId="45" fontId="14" fillId="17" borderId="6" xfId="0" applyNumberFormat="1" applyFont="1" applyFill="1" applyBorder="1" applyAlignment="1">
      <alignment horizontal="center" vertical="center" wrapText="1"/>
    </xf>
    <xf numFmtId="0" fontId="14" fillId="15" borderId="12" xfId="0" applyFont="1" applyFill="1" applyBorder="1" applyAlignment="1">
      <alignment horizontal="center" vertical="center" wrapText="1"/>
    </xf>
    <xf numFmtId="0" fontId="14" fillId="18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25" fillId="0" borderId="6" xfId="0" applyFont="1" applyBorder="1" applyAlignment="1">
      <alignment horizontal="center" wrapText="1"/>
    </xf>
    <xf numFmtId="2" fontId="19" fillId="0" borderId="6" xfId="0" applyNumberFormat="1" applyFont="1" applyBorder="1" applyAlignment="1" applyProtection="1">
      <alignment horizontal="center" wrapText="1"/>
      <protection locked="0"/>
    </xf>
    <xf numFmtId="0" fontId="19" fillId="0" borderId="6" xfId="0" applyFont="1" applyBorder="1" applyAlignment="1" applyProtection="1">
      <alignment horizontal="center" wrapText="1"/>
      <protection locked="0"/>
    </xf>
    <xf numFmtId="2" fontId="19" fillId="0" borderId="6" xfId="0" applyNumberFormat="1" applyFont="1" applyBorder="1" applyAlignment="1">
      <alignment horizontal="center" wrapText="1"/>
    </xf>
    <xf numFmtId="45" fontId="0" fillId="0" borderId="6" xfId="0" applyNumberFormat="1" applyBorder="1" applyAlignment="1" applyProtection="1">
      <alignment wrapText="1"/>
      <protection locked="0"/>
    </xf>
    <xf numFmtId="167" fontId="19" fillId="0" borderId="6" xfId="0" applyNumberFormat="1" applyFont="1" applyBorder="1" applyAlignment="1" applyProtection="1">
      <alignment horizontal="center" wrapText="1"/>
      <protection locked="0"/>
    </xf>
    <xf numFmtId="0" fontId="26" fillId="0" borderId="6" xfId="0" applyFont="1" applyBorder="1" applyAlignment="1">
      <alignment horizontal="center" wrapText="1"/>
    </xf>
    <xf numFmtId="10" fontId="19" fillId="0" borderId="6" xfId="0" applyNumberFormat="1" applyFont="1" applyBorder="1" applyAlignment="1" applyProtection="1">
      <alignment horizontal="center" wrapText="1"/>
      <protection locked="0"/>
    </xf>
    <xf numFmtId="0" fontId="0" fillId="21" borderId="0" xfId="0" applyFill="1" applyAlignment="1">
      <alignment wrapText="1"/>
    </xf>
    <xf numFmtId="0" fontId="25" fillId="0" borderId="0" xfId="0" applyFont="1" applyAlignment="1">
      <alignment horizontal="center" wrapText="1"/>
    </xf>
    <xf numFmtId="0" fontId="27" fillId="0" borderId="0" xfId="0" applyFont="1" applyAlignment="1">
      <alignment horizontal="center" wrapText="1"/>
    </xf>
    <xf numFmtId="21" fontId="25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center" wrapText="1"/>
    </xf>
    <xf numFmtId="0" fontId="26" fillId="0" borderId="13" xfId="0" applyFont="1" applyBorder="1" applyAlignment="1">
      <alignment horizontal="center" wrapText="1"/>
    </xf>
    <xf numFmtId="0" fontId="26" fillId="0" borderId="14" xfId="0" applyFont="1" applyBorder="1" applyAlignment="1">
      <alignment horizontal="center" wrapText="1"/>
    </xf>
    <xf numFmtId="0" fontId="26" fillId="0" borderId="15" xfId="0" applyFont="1" applyBorder="1" applyAlignment="1">
      <alignment horizontal="center" wrapText="1"/>
    </xf>
    <xf numFmtId="10" fontId="25" fillId="0" borderId="0" xfId="0" applyNumberFormat="1" applyFont="1" applyAlignment="1">
      <alignment horizontal="center" wrapText="1"/>
    </xf>
    <xf numFmtId="0" fontId="28" fillId="0" borderId="0" xfId="0" applyFont="1" applyAlignment="1">
      <alignment wrapText="1"/>
    </xf>
    <xf numFmtId="0" fontId="29" fillId="19" borderId="6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0" fillId="4" borderId="6" xfId="0" applyNumberFormat="1" applyFont="1" applyFill="1" applyBorder="1" applyAlignment="1">
      <alignment horizontal="center" vertical="center"/>
    </xf>
    <xf numFmtId="0" fontId="0" fillId="0" borderId="6" xfId="0" applyNumberFormat="1" applyBorder="1"/>
    <xf numFmtId="0" fontId="0" fillId="0" borderId="0" xfId="0" applyNumberFormat="1"/>
    <xf numFmtId="0" fontId="17" fillId="4" borderId="0" xfId="0" applyNumberFormat="1" applyFont="1" applyFill="1" applyAlignment="1">
      <alignment horizontal="center"/>
    </xf>
    <xf numFmtId="0" fontId="0" fillId="0" borderId="6" xfId="0" applyBorder="1" applyAlignment="1" applyProtection="1">
      <alignment wrapText="1"/>
    </xf>
    <xf numFmtId="0" fontId="24" fillId="22" borderId="6" xfId="0" applyFont="1" applyFill="1" applyBorder="1" applyAlignment="1" applyProtection="1">
      <alignment wrapText="1"/>
    </xf>
    <xf numFmtId="0" fontId="2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6" fillId="0" borderId="0" xfId="0" applyFont="1" applyBorder="1" applyAlignment="1">
      <alignment horizontal="center" wrapText="1"/>
    </xf>
    <xf numFmtId="0" fontId="7" fillId="0" borderId="0" xfId="0" applyFont="1" applyFill="1" applyBorder="1" applyAlignment="1">
      <alignment vertical="top" wrapText="1"/>
    </xf>
    <xf numFmtId="0" fontId="28" fillId="0" borderId="0" xfId="0" applyFont="1" applyBorder="1" applyAlignment="1">
      <alignment wrapText="1"/>
    </xf>
    <xf numFmtId="0" fontId="0" fillId="0" borderId="10" xfId="0" applyBorder="1" applyAlignment="1">
      <alignment wrapText="1"/>
    </xf>
    <xf numFmtId="165" fontId="0" fillId="0" borderId="0" xfId="0" applyNumberFormat="1" applyAlignment="1">
      <alignment horizontal="center"/>
    </xf>
    <xf numFmtId="165" fontId="0" fillId="24" borderId="0" xfId="0" applyNumberFormat="1" applyFill="1" applyAlignment="1">
      <alignment horizontal="center"/>
    </xf>
    <xf numFmtId="0" fontId="0" fillId="24" borderId="0" xfId="0" applyFill="1" applyAlignment="1">
      <alignment horizontal="center"/>
    </xf>
    <xf numFmtId="0" fontId="0" fillId="0" borderId="6" xfId="0" applyBorder="1" applyAlignment="1"/>
    <xf numFmtId="164" fontId="0" fillId="12" borderId="6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2" fillId="0" borderId="28" xfId="0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3" borderId="0" xfId="0" applyFill="1"/>
    <xf numFmtId="0" fontId="0" fillId="4" borderId="0" xfId="0" applyFill="1"/>
    <xf numFmtId="0" fontId="0" fillId="27" borderId="0" xfId="0" applyFill="1"/>
    <xf numFmtId="15" fontId="0" fillId="0" borderId="0" xfId="0" applyNumberFormat="1"/>
    <xf numFmtId="22" fontId="0" fillId="0" borderId="0" xfId="0" applyNumberFormat="1"/>
    <xf numFmtId="15" fontId="4" fillId="2" borderId="1" xfId="0" applyNumberFormat="1" applyFont="1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0" borderId="0" xfId="0" applyAlignment="1">
      <alignment horizontal="center"/>
    </xf>
    <xf numFmtId="168" fontId="4" fillId="2" borderId="1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/>
    <xf numFmtId="169" fontId="6" fillId="3" borderId="0" xfId="0" applyNumberFormat="1" applyFont="1" applyFill="1" applyAlignment="1">
      <alignment horizontal="center" vertical="center"/>
    </xf>
    <xf numFmtId="169" fontId="1" fillId="0" borderId="0" xfId="0" applyNumberFormat="1" applyFont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24" fillId="4" borderId="6" xfId="0" applyFont="1" applyFill="1" applyBorder="1" applyAlignment="1" applyProtection="1">
      <alignment horizontal="center" wrapText="1"/>
    </xf>
    <xf numFmtId="0" fontId="7" fillId="20" borderId="17" xfId="0" applyFont="1" applyFill="1" applyBorder="1" applyAlignment="1">
      <alignment horizontal="left" vertical="top" wrapText="1"/>
    </xf>
    <xf numFmtId="0" fontId="7" fillId="20" borderId="18" xfId="0" applyFont="1" applyFill="1" applyBorder="1" applyAlignment="1">
      <alignment horizontal="left" vertical="top" wrapText="1"/>
    </xf>
    <xf numFmtId="0" fontId="7" fillId="20" borderId="19" xfId="0" applyFont="1" applyFill="1" applyBorder="1" applyAlignment="1">
      <alignment horizontal="left" vertical="top" wrapText="1"/>
    </xf>
    <xf numFmtId="0" fontId="7" fillId="20" borderId="20" xfId="0" applyFont="1" applyFill="1" applyBorder="1" applyAlignment="1">
      <alignment horizontal="left" vertical="top" wrapText="1"/>
    </xf>
    <xf numFmtId="0" fontId="7" fillId="20" borderId="0" xfId="0" applyFont="1" applyFill="1" applyBorder="1" applyAlignment="1">
      <alignment horizontal="left" vertical="top" wrapText="1"/>
    </xf>
    <xf numFmtId="0" fontId="7" fillId="20" borderId="21" xfId="0" applyFont="1" applyFill="1" applyBorder="1" applyAlignment="1">
      <alignment horizontal="left" vertical="top" wrapText="1"/>
    </xf>
    <xf numFmtId="0" fontId="7" fillId="20" borderId="22" xfId="0" applyFont="1" applyFill="1" applyBorder="1" applyAlignment="1">
      <alignment horizontal="left" vertical="top" wrapText="1"/>
    </xf>
    <xf numFmtId="0" fontId="7" fillId="20" borderId="16" xfId="0" applyFont="1" applyFill="1" applyBorder="1" applyAlignment="1">
      <alignment horizontal="left" vertical="top" wrapText="1"/>
    </xf>
    <xf numFmtId="0" fontId="7" fillId="20" borderId="23" xfId="0" applyFont="1" applyFill="1" applyBorder="1" applyAlignment="1">
      <alignment horizontal="left" vertical="top" wrapText="1"/>
    </xf>
    <xf numFmtId="0" fontId="7" fillId="20" borderId="25" xfId="0" applyFont="1" applyFill="1" applyBorder="1" applyAlignment="1">
      <alignment horizontal="left" vertical="top" wrapText="1"/>
    </xf>
    <xf numFmtId="0" fontId="7" fillId="20" borderId="26" xfId="0" applyFont="1" applyFill="1" applyBorder="1" applyAlignment="1">
      <alignment horizontal="left" vertical="top" wrapText="1"/>
    </xf>
    <xf numFmtId="0" fontId="7" fillId="20" borderId="27" xfId="0" applyFont="1" applyFill="1" applyBorder="1" applyAlignment="1">
      <alignment horizontal="left" vertical="top" wrapText="1"/>
    </xf>
    <xf numFmtId="0" fontId="1" fillId="20" borderId="18" xfId="0" applyFont="1" applyFill="1" applyBorder="1" applyAlignment="1">
      <alignment horizontal="left" vertical="top" wrapText="1"/>
    </xf>
    <xf numFmtId="0" fontId="1" fillId="20" borderId="19" xfId="0" applyFont="1" applyFill="1" applyBorder="1" applyAlignment="1">
      <alignment horizontal="left" vertical="top" wrapText="1"/>
    </xf>
    <xf numFmtId="0" fontId="1" fillId="20" borderId="20" xfId="0" applyFont="1" applyFill="1" applyBorder="1" applyAlignment="1">
      <alignment horizontal="left" vertical="top" wrapText="1"/>
    </xf>
    <xf numFmtId="0" fontId="1" fillId="20" borderId="0" xfId="0" applyFont="1" applyFill="1" applyAlignment="1">
      <alignment horizontal="left" vertical="top" wrapText="1"/>
    </xf>
    <xf numFmtId="0" fontId="1" fillId="20" borderId="21" xfId="0" applyFont="1" applyFill="1" applyBorder="1" applyAlignment="1">
      <alignment horizontal="left" vertical="top" wrapText="1"/>
    </xf>
    <xf numFmtId="0" fontId="1" fillId="20" borderId="22" xfId="0" applyFont="1" applyFill="1" applyBorder="1" applyAlignment="1">
      <alignment horizontal="left" vertical="top" wrapText="1"/>
    </xf>
    <xf numFmtId="0" fontId="1" fillId="20" borderId="16" xfId="0" applyFont="1" applyFill="1" applyBorder="1" applyAlignment="1">
      <alignment horizontal="left" vertical="top" wrapText="1"/>
    </xf>
    <xf numFmtId="0" fontId="1" fillId="20" borderId="23" xfId="0" applyFont="1" applyFill="1" applyBorder="1" applyAlignment="1">
      <alignment horizontal="left" vertical="top" wrapText="1"/>
    </xf>
    <xf numFmtId="0" fontId="28" fillId="0" borderId="0" xfId="0" applyFont="1" applyBorder="1" applyAlignment="1">
      <alignment wrapText="1"/>
    </xf>
    <xf numFmtId="0" fontId="28" fillId="0" borderId="0" xfId="0" applyFont="1" applyAlignment="1">
      <alignment wrapText="1"/>
    </xf>
    <xf numFmtId="0" fontId="6" fillId="19" borderId="6" xfId="0" applyFont="1" applyFill="1" applyBorder="1" applyAlignment="1">
      <alignment horizontal="center" wrapText="1"/>
    </xf>
    <xf numFmtId="165" fontId="11" fillId="8" borderId="2" xfId="0" applyNumberFormat="1" applyFont="1" applyFill="1" applyBorder="1" applyAlignment="1" applyProtection="1">
      <alignment horizontal="center" vertical="center"/>
      <protection locked="0"/>
    </xf>
    <xf numFmtId="165" fontId="11" fillId="8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9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6" fillId="23" borderId="0" xfId="0" applyFont="1" applyFill="1" applyAlignment="1">
      <alignment horizontal="center"/>
    </xf>
    <xf numFmtId="0" fontId="38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/>
    </xf>
    <xf numFmtId="0" fontId="21" fillId="12" borderId="6" xfId="0" applyFont="1" applyFill="1" applyBorder="1" applyAlignment="1">
      <alignment horizontal="center"/>
    </xf>
    <xf numFmtId="165" fontId="37" fillId="19" borderId="24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85"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0"/>
      </font>
      <fill>
        <patternFill>
          <bgColor theme="2" tint="-0.499984740745262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rgb="FFF5B041"/>
        </patternFill>
      </fill>
    </dxf>
    <dxf>
      <fill>
        <patternFill>
          <bgColor rgb="FF707B7C"/>
        </patternFill>
      </fill>
    </dxf>
    <dxf>
      <fill>
        <patternFill>
          <bgColor rgb="FF1A5276"/>
        </patternFill>
      </fill>
    </dxf>
    <dxf>
      <fill>
        <patternFill>
          <bgColor rgb="FFA04000"/>
        </patternFill>
      </fill>
    </dxf>
    <dxf>
      <fill>
        <patternFill>
          <bgColor rgb="FF000000"/>
        </patternFill>
      </fill>
    </dxf>
    <dxf>
      <fill>
        <patternFill>
          <bgColor rgb="FFAF7AC5"/>
        </patternFill>
      </fill>
    </dxf>
    <dxf>
      <fill>
        <patternFill>
          <bgColor rgb="FFC30909"/>
        </patternFill>
      </fill>
    </dxf>
    <dxf>
      <fill>
        <patternFill>
          <bgColor rgb="FFC00000"/>
        </patternFill>
      </fill>
    </dxf>
    <dxf>
      <fill>
        <patternFill>
          <bgColor rgb="FF26A69A"/>
        </patternFill>
      </fill>
    </dxf>
    <dxf>
      <fill>
        <patternFill>
          <bgColor rgb="FF80CBC4"/>
        </patternFill>
      </fill>
    </dxf>
    <dxf>
      <fill>
        <patternFill>
          <bgColor rgb="FF0000FF"/>
        </patternFill>
      </fill>
    </dxf>
    <dxf>
      <fill>
        <patternFill>
          <bgColor rgb="FF669966"/>
        </patternFill>
      </fill>
    </dxf>
    <dxf>
      <fill>
        <patternFill>
          <bgColor rgb="FFCCFF00"/>
        </patternFill>
      </fill>
    </dxf>
    <dxf>
      <fill>
        <patternFill>
          <bgColor rgb="FF990000"/>
        </patternFill>
      </fill>
    </dxf>
    <dxf>
      <fill>
        <patternFill>
          <bgColor rgb="FF7B1FA2"/>
        </patternFill>
      </fill>
    </dxf>
    <dxf>
      <fill>
        <patternFill>
          <bgColor rgb="FF000000"/>
        </patternFill>
      </fill>
    </dxf>
    <dxf>
      <fill>
        <patternFill>
          <bgColor theme="1" tint="4.9989318521683403E-2"/>
        </patternFill>
      </fill>
    </dxf>
    <dxf>
      <numFmt numFmtId="170" formatCode=";;;"/>
    </dxf>
    <dxf>
      <font>
        <b/>
        <i val="0"/>
        <color theme="0"/>
      </font>
      <fill>
        <patternFill>
          <bgColor theme="8" tint="-0.49998474074526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29B6F6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CCCC"/>
        </patternFill>
      </fill>
    </dxf>
    <dxf>
      <fill>
        <patternFill>
          <bgColor theme="0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 tint="-0.499984740745262"/>
      </font>
      <fill>
        <patternFill>
          <bgColor rgb="FFFFFF99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7" tint="-0.24994659260841701"/>
      </font>
      <fill>
        <patternFill>
          <bgColor rgb="FFFFFF99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7" tint="-0.24994659260841701"/>
      </font>
      <fill>
        <patternFill>
          <bgColor rgb="FFFFFF99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CCFF00"/>
      <color rgb="FF000000"/>
      <color rgb="FF7B1FA2"/>
      <color rgb="FF990000"/>
      <color rgb="FF669966"/>
      <color rgb="FF0000FF"/>
      <color rgb="FF80CBC4"/>
      <color rgb="FF26A69A"/>
      <color rgb="FFC30909"/>
      <color rgb="FFFDF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Project Impact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E4-4A30-A694-14F1577DE7B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E4-4A30-A694-14F1577DE7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E4-4A30-A694-14F1577DE7B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DE4-4A30-A694-14F1577DE7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Support!$E$2:$E$5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  <c:pt idx="3">
                  <c:v>Medium</c:v>
                </c:pt>
              </c:strCache>
            </c:strRef>
          </c:cat>
          <c:val>
            <c:numRef>
              <c:f>Support!$F$2:$F$5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E4-4A30-A694-14F1577DE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Support!$I$1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>
              <a:bevelT w="190500" h="381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FAD4-4D0F-8774-CAB58E3872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FAD4-4D0F-8774-CAB58E3872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5-FAD4-4D0F-8774-CAB58E3872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7-FAD4-4D0F-8774-CAB58E3872F2}"/>
              </c:ext>
            </c:extLst>
          </c:dPt>
          <c:dLbls>
            <c:dLbl>
              <c:idx val="0"/>
              <c:layout>
                <c:manualLayout>
                  <c:x val="-0.30434782608695654"/>
                  <c:y val="-2.50783699059560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D4-4D0F-8774-CAB58E3872F2}"/>
                </c:ext>
              </c:extLst>
            </c:dLbl>
            <c:dLbl>
              <c:idx val="1"/>
              <c:layout>
                <c:manualLayout>
                  <c:x val="0.20772946859903374"/>
                  <c:y val="-0.1379310344827586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D4-4D0F-8774-CAB58E3872F2}"/>
                </c:ext>
              </c:extLst>
            </c:dLbl>
            <c:dLbl>
              <c:idx val="2"/>
              <c:layout>
                <c:manualLayout>
                  <c:x val="-0.19806763285024154"/>
                  <c:y val="0.1128526645768025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AD4-4D0F-8774-CAB58E3872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Support!$H$2:$H$4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Support!$I$2:$I$4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D4-4D0F-8774-CAB58E387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Issue Owner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Support!$I$1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E8-4DF1-A0A1-B33890AF08D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E8-4DF1-A0A1-B33890AF08D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6E8-4DF1-A0A1-B33890AF08D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6E8-4DF1-A0A1-B33890AF08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Support!$K$2:$K$5</c:f>
              <c:strCache>
                <c:ptCount val="4"/>
                <c:pt idx="0">
                  <c:v>PK</c:v>
                </c:pt>
                <c:pt idx="1">
                  <c:v>Jack</c:v>
                </c:pt>
                <c:pt idx="2">
                  <c:v>Raj</c:v>
                </c:pt>
                <c:pt idx="3">
                  <c:v>William</c:v>
                </c:pt>
              </c:strCache>
            </c:strRef>
          </c:cat>
          <c:val>
            <c:numRef>
              <c:f>Support!$L$2:$L$5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E8-4DF1-A0A1-B33890AF0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67341840"/>
        <c:axId val="718838448"/>
      </c:barChart>
      <c:valAx>
        <c:axId val="71883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7341840"/>
        <c:crosses val="autoZero"/>
        <c:crossBetween val="between"/>
      </c:valAx>
      <c:catAx>
        <c:axId val="767341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838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5A5-40C2-8147-EDA2901AC4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5A5-40C2-8147-EDA2901AC4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5A5-40C2-8147-EDA2901AC4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5A5-40C2-8147-EDA2901AC4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Support!$N$2:$N$4</c:f>
              <c:strCache>
                <c:ptCount val="3"/>
                <c:pt idx="0">
                  <c:v>IT</c:v>
                </c:pt>
                <c:pt idx="1">
                  <c:v>HR</c:v>
                </c:pt>
                <c:pt idx="2">
                  <c:v>Admin</c:v>
                </c:pt>
              </c:strCache>
            </c:strRef>
          </c:cat>
          <c:val>
            <c:numRef>
              <c:f>Support!$O$2:$O$4</c:f>
              <c:numCache>
                <c:formatCode>General</c:formatCode>
                <c:ptCount val="3"/>
                <c:pt idx="0">
                  <c:v>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A5-40C2-8147-EDA2901AC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 prstMaterial="matte">
              <a:bevelT w="127000" h="635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01-6B42-4DF1-99BA-1769418E3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3-6B42-4DF1-99BA-1769418E36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5-6B42-4DF1-99BA-1769418E36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7-6B42-4DF1-99BA-1769418E36D0}"/>
              </c:ext>
            </c:extLst>
          </c:dPt>
          <c:dLbls>
            <c:dLbl>
              <c:idx val="0"/>
              <c:layout>
                <c:manualLayout>
                  <c:x val="0.30807453416149067"/>
                  <c:y val="5.015673981191222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42-4DF1-99BA-1769418E36D0}"/>
                </c:ext>
              </c:extLst>
            </c:dLbl>
            <c:dLbl>
              <c:idx val="1"/>
              <c:layout>
                <c:manualLayout>
                  <c:x val="-0.2683229813664596"/>
                  <c:y val="-0.1065830721003135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42-4DF1-99BA-1769418E36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Support!$Q$2:$Q$3</c:f>
              <c:strCache>
                <c:ptCount val="2"/>
                <c:pt idx="0">
                  <c:v>Open</c:v>
                </c:pt>
                <c:pt idx="1">
                  <c:v>Closed</c:v>
                </c:pt>
              </c:strCache>
            </c:strRef>
          </c:cat>
          <c:val>
            <c:numRef>
              <c:f>Support!$R$2:$R$3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42-4DF1-99BA-1769418E3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D$1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image" Target="../media/image14.png"/><Relationship Id="rId26" Type="http://schemas.openxmlformats.org/officeDocument/2006/relationships/hyperlink" Target="#Time_Card!A1"/><Relationship Id="rId39" Type="http://schemas.openxmlformats.org/officeDocument/2006/relationships/image" Target="../media/image28.png"/><Relationship Id="rId21" Type="http://schemas.openxmlformats.org/officeDocument/2006/relationships/image" Target="../media/image16.png"/><Relationship Id="rId34" Type="http://schemas.openxmlformats.org/officeDocument/2006/relationships/image" Target="../media/image25.svg"/><Relationship Id="rId42" Type="http://schemas.openxmlformats.org/officeDocument/2006/relationships/image" Target="../media/image31.svg"/><Relationship Id="rId47" Type="http://schemas.openxmlformats.org/officeDocument/2006/relationships/image" Target="../media/image36.svg"/><Relationship Id="rId50" Type="http://schemas.openxmlformats.org/officeDocument/2006/relationships/image" Target="../media/image38.svg"/><Relationship Id="rId55" Type="http://schemas.openxmlformats.org/officeDocument/2006/relationships/image" Target="../media/image41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9" Type="http://schemas.openxmlformats.org/officeDocument/2006/relationships/hyperlink" Target="#Contact_Info!A1"/><Relationship Id="rId11" Type="http://schemas.openxmlformats.org/officeDocument/2006/relationships/image" Target="../media/image9.svg"/><Relationship Id="rId24" Type="http://schemas.openxmlformats.org/officeDocument/2006/relationships/image" Target="../media/image18.png"/><Relationship Id="rId32" Type="http://schemas.openxmlformats.org/officeDocument/2006/relationships/hyperlink" Target="https://myoffice.accenture.com/personal/ghislain_indama_accenture_com/Documents/Documents/Doc/Universal%20tracker%20project/etc/Quality%20Assessment%20Form_MD%20Front%20Office%20-%20Voice_v6.1.xlsm" TargetMode="External"/><Relationship Id="rId37" Type="http://schemas.openxmlformats.org/officeDocument/2006/relationships/image" Target="../media/image27.svg"/><Relationship Id="rId40" Type="http://schemas.openxmlformats.org/officeDocument/2006/relationships/image" Target="../media/image29.svg"/><Relationship Id="rId45" Type="http://schemas.openxmlformats.org/officeDocument/2006/relationships/image" Target="../media/image34.svg"/><Relationship Id="rId53" Type="http://schemas.openxmlformats.org/officeDocument/2006/relationships/image" Target="../media/image40.svg"/><Relationship Id="rId58" Type="http://schemas.openxmlformats.org/officeDocument/2006/relationships/image" Target="../media/image43.png"/><Relationship Id="rId5" Type="http://schemas.openxmlformats.org/officeDocument/2006/relationships/image" Target="../media/image4.png"/><Relationship Id="rId61" Type="http://schemas.openxmlformats.org/officeDocument/2006/relationships/image" Target="../media/image45.png"/><Relationship Id="rId19" Type="http://schemas.openxmlformats.org/officeDocument/2006/relationships/image" Target="../media/image15.svg"/><Relationship Id="rId14" Type="http://schemas.openxmlformats.org/officeDocument/2006/relationships/image" Target="../media/image11.svg"/><Relationship Id="rId22" Type="http://schemas.openxmlformats.org/officeDocument/2006/relationships/image" Target="../media/image17.svg"/><Relationship Id="rId27" Type="http://schemas.openxmlformats.org/officeDocument/2006/relationships/image" Target="../media/image20.png"/><Relationship Id="rId30" Type="http://schemas.openxmlformats.org/officeDocument/2006/relationships/image" Target="../media/image22.png"/><Relationship Id="rId35" Type="http://schemas.openxmlformats.org/officeDocument/2006/relationships/hyperlink" Target="#'One on One'!A1"/><Relationship Id="rId43" Type="http://schemas.openxmlformats.org/officeDocument/2006/relationships/image" Target="../media/image32.png"/><Relationship Id="rId48" Type="http://schemas.openxmlformats.org/officeDocument/2006/relationships/hyperlink" Target="#'Launch Form'!A1"/><Relationship Id="rId56" Type="http://schemas.openxmlformats.org/officeDocument/2006/relationships/image" Target="../media/image42.svg"/><Relationship Id="rId8" Type="http://schemas.openxmlformats.org/officeDocument/2006/relationships/image" Target="../media/image7.svg"/><Relationship Id="rId51" Type="http://schemas.openxmlformats.org/officeDocument/2006/relationships/hyperlink" Target="#Time_card_calculator!A1"/><Relationship Id="rId3" Type="http://schemas.openxmlformats.org/officeDocument/2006/relationships/image" Target="../media/image3.svg"/><Relationship Id="rId12" Type="http://schemas.openxmlformats.org/officeDocument/2006/relationships/hyperlink" Target="#'Mark Attendance'!A1"/><Relationship Id="rId17" Type="http://schemas.openxmlformats.org/officeDocument/2006/relationships/image" Target="../media/image13.svg"/><Relationship Id="rId25" Type="http://schemas.openxmlformats.org/officeDocument/2006/relationships/image" Target="../media/image19.svg"/><Relationship Id="rId33" Type="http://schemas.openxmlformats.org/officeDocument/2006/relationships/image" Target="../media/image24.png"/><Relationship Id="rId38" Type="http://schemas.openxmlformats.org/officeDocument/2006/relationships/hyperlink" Target="https://myoffice.accenture.com/personal/ghislain_indama_accenture_com/Documents/Documents/Doc/Universal%20tracker%20project/etc/Automated%20To%20do%20list.xlsb" TargetMode="External"/><Relationship Id="rId46" Type="http://schemas.openxmlformats.org/officeDocument/2006/relationships/image" Target="../media/image35.png"/><Relationship Id="rId59" Type="http://schemas.openxmlformats.org/officeDocument/2006/relationships/image" Target="../media/image44.svg"/><Relationship Id="rId20" Type="http://schemas.openxmlformats.org/officeDocument/2006/relationships/hyperlink" Target="#WeekEnd_SignUp!A1"/><Relationship Id="rId41" Type="http://schemas.openxmlformats.org/officeDocument/2006/relationships/image" Target="../media/image30.png"/><Relationship Id="rId54" Type="http://schemas.openxmlformats.org/officeDocument/2006/relationships/hyperlink" Target="#Metrics!A1"/><Relationship Id="rId62" Type="http://schemas.openxmlformats.org/officeDocument/2006/relationships/image" Target="../media/image46.svg"/><Relationship Id="rId1" Type="http://schemas.openxmlformats.org/officeDocument/2006/relationships/hyperlink" Target="#Setting!A1"/><Relationship Id="rId6" Type="http://schemas.openxmlformats.org/officeDocument/2006/relationships/image" Target="../media/image5.svg"/><Relationship Id="rId15" Type="http://schemas.openxmlformats.org/officeDocument/2006/relationships/hyperlink" Target="#Occurances!A1"/><Relationship Id="rId23" Type="http://schemas.openxmlformats.org/officeDocument/2006/relationships/hyperlink" Target="#Training!A1"/><Relationship Id="rId28" Type="http://schemas.openxmlformats.org/officeDocument/2006/relationships/image" Target="../media/image21.svg"/><Relationship Id="rId36" Type="http://schemas.openxmlformats.org/officeDocument/2006/relationships/image" Target="../media/image26.png"/><Relationship Id="rId49" Type="http://schemas.openxmlformats.org/officeDocument/2006/relationships/image" Target="../media/image37.png"/><Relationship Id="rId57" Type="http://schemas.openxmlformats.org/officeDocument/2006/relationships/hyperlink" Target="#'Add Employee'!A1"/><Relationship Id="rId10" Type="http://schemas.openxmlformats.org/officeDocument/2006/relationships/image" Target="../media/image8.png"/><Relationship Id="rId31" Type="http://schemas.openxmlformats.org/officeDocument/2006/relationships/image" Target="../media/image23.svg"/><Relationship Id="rId44" Type="http://schemas.openxmlformats.org/officeDocument/2006/relationships/image" Target="../media/image33.svg"/><Relationship Id="rId52" Type="http://schemas.openxmlformats.org/officeDocument/2006/relationships/image" Target="../media/image39.png"/><Relationship Id="rId60" Type="http://schemas.openxmlformats.org/officeDocument/2006/relationships/hyperlink" Target="etc/Quality%20Assessment%20Form_MD%20Front%20Office%20-%20Voice_v6.1.xlsm" TargetMode="External"/><Relationship Id="rId4" Type="http://schemas.openxmlformats.org/officeDocument/2006/relationships/hyperlink" Target="#Database!A1"/><Relationship Id="rId9" Type="http://schemas.openxmlformats.org/officeDocument/2006/relationships/hyperlink" Target="#'Employee Master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4" Type="http://schemas.openxmlformats.org/officeDocument/2006/relationships/image" Target="../media/image5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438150</xdr:colOff>
      <xdr:row>0</xdr:row>
      <xdr:rowOff>57150</xdr:rowOff>
    </xdr:from>
    <xdr:to>
      <xdr:col>12</xdr:col>
      <xdr:colOff>247650</xdr:colOff>
      <xdr:row>2</xdr:row>
      <xdr:rowOff>146050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277100" y="57150"/>
          <a:ext cx="2247900" cy="4699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Launch Issue Tracker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85775" y="1530350"/>
    <xdr:ext cx="2435225" cy="1644650"/>
    <xdr:graphicFrame macro="">
      <xdr:nvGraphicFramePr>
        <xdr:cNvPr id="2" name="Project_Impact_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95301" y="3282950"/>
    <xdr:ext cx="2444749" cy="1644650"/>
    <xdr:graphicFrame macro="">
      <xdr:nvGraphicFramePr>
        <xdr:cNvPr id="3" name="Priority_Char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3035300" y="1536700"/>
    <xdr:ext cx="2625725" cy="3486150"/>
    <xdr:graphicFrame macro="">
      <xdr:nvGraphicFramePr>
        <xdr:cNvPr id="4" name="Issue_Owner_Char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851525" y="1568450"/>
    <xdr:ext cx="2476500" cy="1644650"/>
    <xdr:graphicFrame macro="">
      <xdr:nvGraphicFramePr>
        <xdr:cNvPr id="5" name="Department_Char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5883275" y="3352800"/>
    <xdr:ext cx="2479675" cy="1651000"/>
    <xdr:graphicFrame macro="">
      <xdr:nvGraphicFramePr>
        <xdr:cNvPr id="6" name="Status_Char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184150</xdr:colOff>
      <xdr:row>5</xdr:row>
      <xdr:rowOff>152400</xdr:rowOff>
    </xdr:from>
    <xdr:to>
      <xdr:col>9</xdr:col>
      <xdr:colOff>603250</xdr:colOff>
      <xdr:row>8</xdr:row>
      <xdr:rowOff>57150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41750" y="1104900"/>
          <a:ext cx="2247900" cy="4762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Launch Issue Tracker</a:t>
          </a:r>
        </a:p>
      </xdr:txBody>
    </xdr:sp>
    <xdr:clientData/>
  </xdr:twoCellAnchor>
  <xdr:twoCellAnchor>
    <xdr:from>
      <xdr:col>19</xdr:col>
      <xdr:colOff>104775</xdr:colOff>
      <xdr:row>1</xdr:row>
      <xdr:rowOff>28575</xdr:rowOff>
    </xdr:from>
    <xdr:to>
      <xdr:col>23</xdr:col>
      <xdr:colOff>466725</xdr:colOff>
      <xdr:row>23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1687175" y="219075"/>
          <a:ext cx="2800350" cy="4162425"/>
          <a:chOff x="12635696" y="7267816"/>
          <a:chExt cx="2400300" cy="2833988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7</xdr:row>
          <xdr:rowOff>57150</xdr:rowOff>
        </xdr:from>
        <xdr:to>
          <xdr:col>22</xdr:col>
          <xdr:colOff>504825</xdr:colOff>
          <xdr:row>9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492050</xdr:colOff>
      <xdr:row>19</xdr:row>
      <xdr:rowOff>114300</xdr:rowOff>
    </xdr:from>
    <xdr:to>
      <xdr:col>4</xdr:col>
      <xdr:colOff>463250</xdr:colOff>
      <xdr:row>22</xdr:row>
      <xdr:rowOff>101600</xdr:rowOff>
    </xdr:to>
    <xdr:grpSp>
      <xdr:nvGrpSpPr>
        <xdr:cNvPr id="32" name="Group 31">
          <a:hlinkClick xmlns:r="http://schemas.openxmlformats.org/officeDocument/2006/relationships" r:id="rId1" tooltip="Setting Sheet (Manage Attendance List and Month List)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pSpPr/>
      </xdr:nvGrpSpPr>
      <xdr:grpSpPr>
        <a:xfrm>
          <a:off x="701600" y="3981450"/>
          <a:ext cx="1714275" cy="558800"/>
          <a:chOff x="2686050" y="1670050"/>
          <a:chExt cx="1800000" cy="53975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2686050" y="1670050"/>
            <a:ext cx="1800000" cy="53975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Setting             </a:t>
            </a:r>
            <a:r>
              <a:rPr lang="en-IN" sz="1100">
                <a:solidFill>
                  <a:srgbClr val="0070C0"/>
                </a:solidFill>
                <a:latin typeface="+mn-lt"/>
                <a:ea typeface="+mn-ea"/>
                <a:cs typeface="+mn-cs"/>
              </a:rPr>
              <a:t>.</a:t>
            </a:r>
          </a:p>
        </xdr:txBody>
      </xdr:sp>
      <xdr:pic>
        <xdr:nvPicPr>
          <xdr:cNvPr id="21" name="Graphic 20" descr="Gears with solid fill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736850" y="1682750"/>
            <a:ext cx="563549" cy="5143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492050</xdr:colOff>
      <xdr:row>15</xdr:row>
      <xdr:rowOff>166686</xdr:rowOff>
    </xdr:from>
    <xdr:to>
      <xdr:col>4</xdr:col>
      <xdr:colOff>463250</xdr:colOff>
      <xdr:row>18</xdr:row>
      <xdr:rowOff>154236</xdr:rowOff>
    </xdr:to>
    <xdr:grpSp>
      <xdr:nvGrpSpPr>
        <xdr:cNvPr id="31" name="Group 30">
          <a:hlinkClick xmlns:r="http://schemas.openxmlformats.org/officeDocument/2006/relationships" r:id="rId4" tooltip="Database Sheet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pSpPr/>
      </xdr:nvGrpSpPr>
      <xdr:grpSpPr>
        <a:xfrm>
          <a:off x="701600" y="3271836"/>
          <a:ext cx="1714275" cy="559050"/>
          <a:chOff x="2851150" y="596900"/>
          <a:chExt cx="1800000" cy="5400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2851150" y="5969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Database          </a:t>
            </a:r>
            <a:r>
              <a:rPr lang="en-IN" sz="1100">
                <a:solidFill>
                  <a:srgbClr val="0070C0"/>
                </a:solidFill>
                <a:latin typeface="+mn-lt"/>
                <a:ea typeface="+mn-ea"/>
                <a:cs typeface="+mn-cs"/>
              </a:rPr>
              <a:t>.</a:t>
            </a:r>
          </a:p>
        </xdr:txBody>
      </xdr:sp>
      <xdr:pic>
        <xdr:nvPicPr>
          <xdr:cNvPr id="23" name="Graphic 22" descr="Database with solid fill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 l="16929" t="7207" r="15710" b="10154"/>
          <a:stretch/>
        </xdr:blipFill>
        <xdr:spPr>
          <a:xfrm>
            <a:off x="2946401" y="609600"/>
            <a:ext cx="393380" cy="482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492050</xdr:colOff>
      <xdr:row>8</xdr:row>
      <xdr:rowOff>58737</xdr:rowOff>
    </xdr:from>
    <xdr:to>
      <xdr:col>4</xdr:col>
      <xdr:colOff>463250</xdr:colOff>
      <xdr:row>11</xdr:row>
      <xdr:rowOff>46287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701600" y="1830387"/>
          <a:ext cx="1714275" cy="559050"/>
          <a:chOff x="5505450" y="927100"/>
          <a:chExt cx="1800000" cy="540000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5505450" y="9271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Attendance Sheet</a:t>
            </a:r>
          </a:p>
        </xdr:txBody>
      </xdr:sp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 l="14414" t="4692" r="15447" b="6420"/>
          <a:stretch/>
        </xdr:blipFill>
        <xdr:spPr>
          <a:xfrm>
            <a:off x="5537201" y="965200"/>
            <a:ext cx="370780" cy="4699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501575</xdr:colOff>
      <xdr:row>11</xdr:row>
      <xdr:rowOff>190499</xdr:rowOff>
    </xdr:from>
    <xdr:to>
      <xdr:col>4</xdr:col>
      <xdr:colOff>472775</xdr:colOff>
      <xdr:row>15</xdr:row>
      <xdr:rowOff>9525</xdr:rowOff>
    </xdr:to>
    <xdr:grpSp>
      <xdr:nvGrpSpPr>
        <xdr:cNvPr id="34" name="Group 33">
          <a:hlinkClick xmlns:r="http://schemas.openxmlformats.org/officeDocument/2006/relationships" r:id="rId9" tooltip="Employee Master"/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pSpPr/>
      </xdr:nvGrpSpPr>
      <xdr:grpSpPr>
        <a:xfrm>
          <a:off x="711125" y="2533649"/>
          <a:ext cx="1714275" cy="581026"/>
          <a:chOff x="431799" y="1416050"/>
          <a:chExt cx="1800000" cy="559050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431799" y="14351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Employee Master</a:t>
            </a:r>
          </a:p>
        </xdr:txBody>
      </xdr:sp>
      <xdr:pic>
        <xdr:nvPicPr>
          <xdr:cNvPr id="27" name="Graphic 26" descr="Employee badge with solid fill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 l="-1" t="10925" r="3878" b="10535"/>
          <a:stretch/>
        </xdr:blipFill>
        <xdr:spPr>
          <a:xfrm>
            <a:off x="437300" y="1416050"/>
            <a:ext cx="629500" cy="5143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501575</xdr:colOff>
      <xdr:row>4</xdr:row>
      <xdr:rowOff>85650</xdr:rowOff>
    </xdr:from>
    <xdr:to>
      <xdr:col>4</xdr:col>
      <xdr:colOff>472775</xdr:colOff>
      <xdr:row>7</xdr:row>
      <xdr:rowOff>89150</xdr:rowOff>
    </xdr:to>
    <xdr:grpSp>
      <xdr:nvGrpSpPr>
        <xdr:cNvPr id="33" name="Group 32">
          <a:hlinkClick xmlns:r="http://schemas.openxmlformats.org/officeDocument/2006/relationships" r:id="rId12" tooltip="Mark Attendance"/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711125" y="1095300"/>
          <a:ext cx="1714275" cy="575000"/>
          <a:chOff x="419100" y="612700"/>
          <a:chExt cx="1800000" cy="55595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419100" y="62865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IN" sz="1100"/>
              <a:t>Mark Attendance</a:t>
            </a:r>
          </a:p>
        </xdr:txBody>
      </xdr:sp>
      <xdr:pic>
        <xdr:nvPicPr>
          <xdr:cNvPr id="29" name="Graphic 28" descr="Clipboard Mixed with solid fill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22200" y="612700"/>
            <a:ext cx="549350" cy="5493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366713</xdr:colOff>
      <xdr:row>4</xdr:row>
      <xdr:rowOff>104775</xdr:rowOff>
    </xdr:from>
    <xdr:to>
      <xdr:col>11</xdr:col>
      <xdr:colOff>347663</xdr:colOff>
      <xdr:row>7</xdr:row>
      <xdr:rowOff>104774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pSpPr/>
      </xdr:nvGrpSpPr>
      <xdr:grpSpPr>
        <a:xfrm>
          <a:off x="4214813" y="1114425"/>
          <a:ext cx="1724025" cy="571499"/>
          <a:chOff x="4214813" y="1247775"/>
          <a:chExt cx="1724025" cy="571499"/>
        </a:xfrm>
      </xdr:grpSpPr>
      <xdr:sp macro="" textlink="">
        <xdr:nvSpPr>
          <xdr:cNvPr id="4" name="Rectangle 3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4214813" y="1266825"/>
            <a:ext cx="1724025" cy="5524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Occurances</a:t>
            </a:r>
          </a:p>
        </xdr:txBody>
      </xdr:sp>
      <xdr:pic>
        <xdr:nvPicPr>
          <xdr:cNvPr id="3" name="Graphic 2" descr="Briefcase with solid fill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276725" y="1247775"/>
            <a:ext cx="552450" cy="5524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457200</xdr:colOff>
      <xdr:row>8</xdr:row>
      <xdr:rowOff>104775</xdr:rowOff>
    </xdr:from>
    <xdr:to>
      <xdr:col>9</xdr:col>
      <xdr:colOff>390525</xdr:colOff>
      <xdr:row>11</xdr:row>
      <xdr:rowOff>47625</xdr:rowOff>
    </xdr:to>
    <xdr:pic>
      <xdr:nvPicPr>
        <xdr:cNvPr id="86" name="Graphic 10" descr="Mining tools with solid fill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305300" y="1876425"/>
          <a:ext cx="514350" cy="514350"/>
        </a:xfrm>
        <a:prstGeom prst="rect">
          <a:avLst/>
        </a:prstGeom>
      </xdr:spPr>
    </xdr:pic>
    <xdr:clientData/>
  </xdr:twoCellAnchor>
  <xdr:twoCellAnchor>
    <xdr:from>
      <xdr:col>8</xdr:col>
      <xdr:colOff>342901</xdr:colOff>
      <xdr:row>12</xdr:row>
      <xdr:rowOff>171450</xdr:rowOff>
    </xdr:from>
    <xdr:to>
      <xdr:col>11</xdr:col>
      <xdr:colOff>385764</xdr:colOff>
      <xdr:row>15</xdr:row>
      <xdr:rowOff>190499</xdr:rowOff>
    </xdr:to>
    <xdr:grpSp>
      <xdr:nvGrpSpPr>
        <xdr:cNvPr id="90" name="Group 18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pSpPr/>
      </xdr:nvGrpSpPr>
      <xdr:grpSpPr>
        <a:xfrm>
          <a:off x="4191001" y="2705100"/>
          <a:ext cx="1785938" cy="590549"/>
          <a:chOff x="4191001" y="3514725"/>
          <a:chExt cx="1785938" cy="590549"/>
        </a:xfrm>
      </xdr:grpSpPr>
      <xdr:sp macro="" textlink="">
        <xdr:nvSpPr>
          <xdr:cNvPr id="91" name="Rectangle 2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/>
        </xdr:nvSpPr>
        <xdr:spPr>
          <a:xfrm>
            <a:off x="4191001" y="3514725"/>
            <a:ext cx="1785938" cy="5905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WeekEnd_SignUp</a:t>
            </a:r>
          </a:p>
        </xdr:txBody>
      </xdr:sp>
      <xdr:pic>
        <xdr:nvPicPr>
          <xdr:cNvPr id="92" name="Graphic 14" descr="Daily calendar with solid fill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276725" y="3552825"/>
            <a:ext cx="523875" cy="5238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371476</xdr:colOff>
      <xdr:row>17</xdr:row>
      <xdr:rowOff>0</xdr:rowOff>
    </xdr:from>
    <xdr:to>
      <xdr:col>11</xdr:col>
      <xdr:colOff>414339</xdr:colOff>
      <xdr:row>20</xdr:row>
      <xdr:rowOff>171450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219576" y="3486150"/>
          <a:ext cx="1785938" cy="742950"/>
          <a:chOff x="4191001" y="4238625"/>
          <a:chExt cx="1785938" cy="742950"/>
        </a:xfrm>
      </xdr:grpSpPr>
      <xdr:sp macro="" textlink="">
        <xdr:nvSpPr>
          <xdr:cNvPr id="35" name="Rectangle 34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/>
        </xdr:nvSpPr>
        <xdr:spPr>
          <a:xfrm>
            <a:off x="4191001" y="4286251"/>
            <a:ext cx="1785938" cy="600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Training</a:t>
            </a:r>
          </a:p>
        </xdr:txBody>
      </xdr:sp>
      <xdr:pic>
        <xdr:nvPicPr>
          <xdr:cNvPr id="17" name="Graphic 16" descr="Teacher with solid fill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4276724" y="4238625"/>
            <a:ext cx="714375" cy="7429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42863</xdr:colOff>
      <xdr:row>4</xdr:row>
      <xdr:rowOff>76199</xdr:rowOff>
    </xdr:from>
    <xdr:to>
      <xdr:col>18</xdr:col>
      <xdr:colOff>23813</xdr:colOff>
      <xdr:row>8</xdr:row>
      <xdr:rowOff>38100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pSpPr/>
      </xdr:nvGrpSpPr>
      <xdr:grpSpPr>
        <a:xfrm>
          <a:off x="7586663" y="1085849"/>
          <a:ext cx="1724025" cy="723901"/>
          <a:chOff x="7586663" y="1276349"/>
          <a:chExt cx="1724025" cy="638175"/>
        </a:xfrm>
      </xdr:grpSpPr>
      <xdr:sp macro="" textlink="">
        <xdr:nvSpPr>
          <xdr:cNvPr id="43" name="Rectangle 42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7586663" y="1295401"/>
            <a:ext cx="1724025" cy="5619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Time_Card</a:t>
            </a:r>
          </a:p>
        </xdr:txBody>
      </xdr:sp>
      <xdr:pic>
        <xdr:nvPicPr>
          <xdr:cNvPr id="38" name="Graphic 37" descr="Stopwatch 66% with solid fill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7724775" y="1276349"/>
            <a:ext cx="638175" cy="63817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71438</xdr:colOff>
      <xdr:row>9</xdr:row>
      <xdr:rowOff>152400</xdr:rowOff>
    </xdr:from>
    <xdr:to>
      <xdr:col>18</xdr:col>
      <xdr:colOff>52388</xdr:colOff>
      <xdr:row>13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>
          <a:off x="7615238" y="2114550"/>
          <a:ext cx="1724025" cy="609600"/>
          <a:chOff x="7596188" y="2352675"/>
          <a:chExt cx="1724025" cy="609600"/>
        </a:xfrm>
      </xdr:grpSpPr>
      <xdr:sp macro="" textlink="">
        <xdr:nvSpPr>
          <xdr:cNvPr id="44" name="Rectangle 43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/>
        </xdr:nvSpPr>
        <xdr:spPr>
          <a:xfrm>
            <a:off x="7596188" y="2352675"/>
            <a:ext cx="1724025" cy="60959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Contact_Info</a:t>
            </a:r>
          </a:p>
        </xdr:txBody>
      </xdr:sp>
      <xdr:pic>
        <xdr:nvPicPr>
          <xdr:cNvPr id="41" name="Graphic 40" descr="Speaker phone with solid fill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tretch>
            <a:fillRect/>
          </a:stretch>
        </xdr:blipFill>
        <xdr:spPr>
          <a:xfrm>
            <a:off x="7686675" y="2371725"/>
            <a:ext cx="590550" cy="5905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14288</xdr:colOff>
      <xdr:row>14</xdr:row>
      <xdr:rowOff>133350</xdr:rowOff>
    </xdr:from>
    <xdr:to>
      <xdr:col>17</xdr:col>
      <xdr:colOff>576263</xdr:colOff>
      <xdr:row>18</xdr:row>
      <xdr:rowOff>0</xdr:rowOff>
    </xdr:to>
    <xdr:grpSp>
      <xdr:nvGrpSpPr>
        <xdr:cNvPr id="47" name="Group 46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GrpSpPr/>
      </xdr:nvGrpSpPr>
      <xdr:grpSpPr>
        <a:xfrm>
          <a:off x="7558088" y="3048000"/>
          <a:ext cx="1724025" cy="628650"/>
          <a:chOff x="7558088" y="2895600"/>
          <a:chExt cx="1724025" cy="62865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/>
        </xdr:nvSpPr>
        <xdr:spPr>
          <a:xfrm>
            <a:off x="7558088" y="2895600"/>
            <a:ext cx="1724025" cy="6286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QA_Tracker</a:t>
            </a:r>
          </a:p>
        </xdr:txBody>
      </xdr:sp>
      <xdr:pic>
        <xdr:nvPicPr>
          <xdr:cNvPr id="46" name="Graphic 45" descr="Lightbulb and gear with solid fill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>
            <a:off x="7677150" y="2933700"/>
            <a:ext cx="590550" cy="5905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28575</xdr:colOff>
      <xdr:row>19</xdr:row>
      <xdr:rowOff>123825</xdr:rowOff>
    </xdr:from>
    <xdr:to>
      <xdr:col>18</xdr:col>
      <xdr:colOff>9525</xdr:colOff>
      <xdr:row>22</xdr:row>
      <xdr:rowOff>180974</xdr:rowOff>
    </xdr:to>
    <xdr:grpSp>
      <xdr:nvGrpSpPr>
        <xdr:cNvPr id="51" name="Group 5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pSpPr/>
      </xdr:nvGrpSpPr>
      <xdr:grpSpPr>
        <a:xfrm>
          <a:off x="7572375" y="3990975"/>
          <a:ext cx="1724025" cy="628649"/>
          <a:chOff x="7562850" y="3733800"/>
          <a:chExt cx="1724025" cy="628649"/>
        </a:xfrm>
      </xdr:grpSpPr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SpPr/>
        </xdr:nvSpPr>
        <xdr:spPr>
          <a:xfrm>
            <a:off x="7562850" y="3733800"/>
            <a:ext cx="1724025" cy="6286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One</a:t>
            </a:r>
            <a:r>
              <a:rPr lang="en-US" sz="1100" baseline="0"/>
              <a:t> on One</a:t>
            </a:r>
            <a:endParaRPr lang="en-US" sz="1100"/>
          </a:p>
        </xdr:txBody>
      </xdr:sp>
      <xdr:pic>
        <xdr:nvPicPr>
          <xdr:cNvPr id="50" name="Graphic 49" descr="Stethoscope with solid fill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7"/>
              </a:ext>
            </a:extLst>
          </a:blip>
          <a:stretch>
            <a:fillRect/>
          </a:stretch>
        </xdr:blipFill>
        <xdr:spPr>
          <a:xfrm>
            <a:off x="7781925" y="3819524"/>
            <a:ext cx="581025" cy="46672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42863</xdr:colOff>
      <xdr:row>29</xdr:row>
      <xdr:rowOff>104775</xdr:rowOff>
    </xdr:from>
    <xdr:to>
      <xdr:col>18</xdr:col>
      <xdr:colOff>23813</xdr:colOff>
      <xdr:row>32</xdr:row>
      <xdr:rowOff>95249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GrpSpPr/>
      </xdr:nvGrpSpPr>
      <xdr:grpSpPr>
        <a:xfrm>
          <a:off x="7586663" y="5934075"/>
          <a:ext cx="1724025" cy="561974"/>
          <a:chOff x="7577138" y="6096000"/>
          <a:chExt cx="1724025" cy="561974"/>
        </a:xfrm>
      </xdr:grpSpPr>
      <xdr:sp macro="" textlink="">
        <xdr:nvSpPr>
          <xdr:cNvPr id="71" name="Rectangle 70">
            <a:hlinkClick xmlns:r="http://schemas.openxmlformats.org/officeDocument/2006/relationships" r:id="rId38"/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/>
        </xdr:nvSpPr>
        <xdr:spPr>
          <a:xfrm>
            <a:off x="7577138" y="6105525"/>
            <a:ext cx="1724025" cy="5524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Todo List</a:t>
            </a:r>
          </a:p>
        </xdr:txBody>
      </xdr:sp>
      <xdr:pic>
        <xdr:nvPicPr>
          <xdr:cNvPr id="53" name="Graphic 52" descr="Clipboard Checked with solid fill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0"/>
              </a:ext>
            </a:extLst>
          </a:blip>
          <a:stretch>
            <a:fillRect/>
          </a:stretch>
        </xdr:blipFill>
        <xdr:spPr>
          <a:xfrm>
            <a:off x="7896225" y="6096000"/>
            <a:ext cx="533400" cy="5334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33338</xdr:colOff>
      <xdr:row>33</xdr:row>
      <xdr:rowOff>66674</xdr:rowOff>
    </xdr:from>
    <xdr:to>
      <xdr:col>18</xdr:col>
      <xdr:colOff>14288</xdr:colOff>
      <xdr:row>36</xdr:row>
      <xdr:rowOff>57149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GrpSpPr/>
      </xdr:nvGrpSpPr>
      <xdr:grpSpPr>
        <a:xfrm>
          <a:off x="7577138" y="6657974"/>
          <a:ext cx="1724025" cy="561975"/>
          <a:chOff x="7567613" y="6829424"/>
          <a:chExt cx="1724025" cy="561975"/>
        </a:xfrm>
      </xdr:grpSpPr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00000000-0008-0000-0500-000048000000}"/>
              </a:ext>
            </a:extLst>
          </xdr:cNvPr>
          <xdr:cNvSpPr/>
        </xdr:nvSpPr>
        <xdr:spPr>
          <a:xfrm>
            <a:off x="7567613" y="6858000"/>
            <a:ext cx="1724025" cy="5143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Performance</a:t>
            </a:r>
          </a:p>
        </xdr:txBody>
      </xdr:sp>
      <xdr:pic>
        <xdr:nvPicPr>
          <xdr:cNvPr id="61" name="Graphic 60" descr="Pie chart with solid fill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2"/>
              </a:ext>
            </a:extLst>
          </a:blip>
          <a:stretch>
            <a:fillRect/>
          </a:stretch>
        </xdr:blipFill>
        <xdr:spPr>
          <a:xfrm>
            <a:off x="7791450" y="6829424"/>
            <a:ext cx="561975" cy="56197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33338</xdr:colOff>
      <xdr:row>37</xdr:row>
      <xdr:rowOff>66676</xdr:rowOff>
    </xdr:from>
    <xdr:to>
      <xdr:col>18</xdr:col>
      <xdr:colOff>14288</xdr:colOff>
      <xdr:row>40</xdr:row>
      <xdr:rowOff>47626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GrpSpPr/>
      </xdr:nvGrpSpPr>
      <xdr:grpSpPr>
        <a:xfrm>
          <a:off x="7577138" y="7419976"/>
          <a:ext cx="1724025" cy="552450"/>
          <a:chOff x="7577138" y="7610476"/>
          <a:chExt cx="1724025" cy="552450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500-000049000000}"/>
              </a:ext>
            </a:extLst>
          </xdr:cNvPr>
          <xdr:cNvSpPr/>
        </xdr:nvSpPr>
        <xdr:spPr>
          <a:xfrm>
            <a:off x="7577138" y="7610476"/>
            <a:ext cx="1724025" cy="55245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Report</a:t>
            </a:r>
            <a:r>
              <a:rPr lang="en-US" sz="1100" baseline="0"/>
              <a:t> Generator</a:t>
            </a:r>
            <a:endParaRPr lang="en-US" sz="1100"/>
          </a:p>
        </xdr:txBody>
      </xdr:sp>
      <xdr:pic>
        <xdr:nvPicPr>
          <xdr:cNvPr id="77" name="Graphic 76" descr="Photocopier with solid fill">
            <a:extLst>
              <a:ext uri="{FF2B5EF4-FFF2-40B4-BE49-F238E27FC236}">
                <a16:creationId xmlns:a16="http://schemas.microsoft.com/office/drawing/2014/main" id="{00000000-0008-0000-05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4"/>
              </a:ext>
            </a:extLst>
          </a:blip>
          <a:stretch>
            <a:fillRect/>
          </a:stretch>
        </xdr:blipFill>
        <xdr:spPr>
          <a:xfrm>
            <a:off x="7600950" y="7629524"/>
            <a:ext cx="523875" cy="52387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23813</xdr:colOff>
      <xdr:row>41</xdr:row>
      <xdr:rowOff>28574</xdr:rowOff>
    </xdr:from>
    <xdr:to>
      <xdr:col>18</xdr:col>
      <xdr:colOff>4763</xdr:colOff>
      <xdr:row>44</xdr:row>
      <xdr:rowOff>76199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GrpSpPr/>
      </xdr:nvGrpSpPr>
      <xdr:grpSpPr>
        <a:xfrm>
          <a:off x="7567613" y="8143874"/>
          <a:ext cx="1724025" cy="619125"/>
          <a:chOff x="7567613" y="8334374"/>
          <a:chExt cx="1724025" cy="619125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500-00004A000000}"/>
              </a:ext>
            </a:extLst>
          </xdr:cNvPr>
          <xdr:cNvSpPr/>
        </xdr:nvSpPr>
        <xdr:spPr>
          <a:xfrm>
            <a:off x="7567613" y="8353426"/>
            <a:ext cx="1724025" cy="57149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DataBase</a:t>
            </a:r>
          </a:p>
        </xdr:txBody>
      </xdr:sp>
      <xdr:pic>
        <xdr:nvPicPr>
          <xdr:cNvPr id="80" name="Graphic 79" descr="Database with solid fill">
            <a:extLst>
              <a:ext uri="{FF2B5EF4-FFF2-40B4-BE49-F238E27FC236}">
                <a16:creationId xmlns:a16="http://schemas.microsoft.com/office/drawing/2014/main" id="{00000000-0008-0000-05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5"/>
              </a:ext>
            </a:extLst>
          </a:blip>
          <a:stretch>
            <a:fillRect/>
          </a:stretch>
        </xdr:blipFill>
        <xdr:spPr>
          <a:xfrm>
            <a:off x="7820025" y="83343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42863</xdr:colOff>
      <xdr:row>44</xdr:row>
      <xdr:rowOff>142874</xdr:rowOff>
    </xdr:from>
    <xdr:to>
      <xdr:col>18</xdr:col>
      <xdr:colOff>23813</xdr:colOff>
      <xdr:row>48</xdr:row>
      <xdr:rowOff>57149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pSpPr/>
      </xdr:nvGrpSpPr>
      <xdr:grpSpPr>
        <a:xfrm>
          <a:off x="7586663" y="8829674"/>
          <a:ext cx="1724025" cy="676275"/>
          <a:chOff x="7586663" y="9048749"/>
          <a:chExt cx="1724025" cy="676275"/>
        </a:xfrm>
      </xdr:grpSpPr>
      <xdr:sp macro="" textlink="">
        <xdr:nvSpPr>
          <xdr:cNvPr id="75" name="Rectangle 74">
            <a:extLst>
              <a:ext uri="{FF2B5EF4-FFF2-40B4-BE49-F238E27FC236}">
                <a16:creationId xmlns:a16="http://schemas.microsoft.com/office/drawing/2014/main" id="{00000000-0008-0000-0500-00004B000000}"/>
              </a:ext>
            </a:extLst>
          </xdr:cNvPr>
          <xdr:cNvSpPr/>
        </xdr:nvSpPr>
        <xdr:spPr>
          <a:xfrm>
            <a:off x="7586663" y="9115425"/>
            <a:ext cx="1724025" cy="54292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</a:t>
            </a:r>
            <a:r>
              <a:rPr lang="en-US" sz="1100" baseline="0"/>
              <a:t>   </a:t>
            </a:r>
            <a:r>
              <a:rPr lang="en-US" sz="1100"/>
              <a:t> Settings</a:t>
            </a:r>
          </a:p>
        </xdr:txBody>
      </xdr:sp>
      <xdr:pic>
        <xdr:nvPicPr>
          <xdr:cNvPr id="83" name="Graphic 82" descr="Single gear with solid fill">
            <a:extLst>
              <a:ext uri="{FF2B5EF4-FFF2-40B4-BE49-F238E27FC236}">
                <a16:creationId xmlns:a16="http://schemas.microsoft.com/office/drawing/2014/main" id="{00000000-0008-0000-05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>
            <a:off x="7772400" y="9048749"/>
            <a:ext cx="676275" cy="6762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357188</xdr:colOff>
      <xdr:row>8</xdr:row>
      <xdr:rowOff>114301</xdr:rowOff>
    </xdr:from>
    <xdr:to>
      <xdr:col>11</xdr:col>
      <xdr:colOff>338138</xdr:colOff>
      <xdr:row>11</xdr:row>
      <xdr:rowOff>123825</xdr:rowOff>
    </xdr:to>
    <xdr:grpSp>
      <xdr:nvGrpSpPr>
        <xdr:cNvPr id="11" name="Group 10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4205288" y="1885951"/>
          <a:ext cx="1724025" cy="581024"/>
          <a:chOff x="4233863" y="2028826"/>
          <a:chExt cx="1724025" cy="581024"/>
        </a:xfrm>
      </xdr:grpSpPr>
      <xdr:sp macro="" textlink="">
        <xdr:nvSpPr>
          <xdr:cNvPr id="60" name="Rectangle 23"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SpPr/>
        </xdr:nvSpPr>
        <xdr:spPr>
          <a:xfrm>
            <a:off x="4233863" y="2028826"/>
            <a:ext cx="1724025" cy="58102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Tech_Issues</a:t>
            </a:r>
          </a:p>
        </xdr:txBody>
      </xdr:sp>
      <xdr:pic>
        <xdr:nvPicPr>
          <xdr:cNvPr id="10" name="Graphic 9" descr="Mining tools with solid fill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4352925" y="20478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29</xdr:row>
      <xdr:rowOff>95250</xdr:rowOff>
    </xdr:from>
    <xdr:to>
      <xdr:col>11</xdr:col>
      <xdr:colOff>366713</xdr:colOff>
      <xdr:row>32</xdr:row>
      <xdr:rowOff>76200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pSpPr/>
      </xdr:nvGrpSpPr>
      <xdr:grpSpPr>
        <a:xfrm>
          <a:off x="4233863" y="5924550"/>
          <a:ext cx="1724025" cy="552450"/>
          <a:chOff x="4205288" y="6858000"/>
          <a:chExt cx="1724025" cy="552450"/>
        </a:xfrm>
      </xdr:grpSpPr>
      <xdr:sp macro="" textlink="">
        <xdr:nvSpPr>
          <xdr:cNvPr id="67" name="Rectangle 66">
            <a:hlinkClick xmlns:r="http://schemas.openxmlformats.org/officeDocument/2006/relationships" r:id="rId51"/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SpPr/>
        </xdr:nvSpPr>
        <xdr:spPr>
          <a:xfrm>
            <a:off x="4205288" y="6858000"/>
            <a:ext cx="1724025" cy="55245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 TimeCard Calc</a:t>
            </a:r>
          </a:p>
        </xdr:txBody>
      </xdr:sp>
      <xdr:pic>
        <xdr:nvPicPr>
          <xdr:cNvPr id="13" name="Graphic 12" descr="Mathematics with solid fill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3"/>
              </a:ext>
            </a:extLst>
          </a:blip>
          <a:stretch>
            <a:fillRect/>
          </a:stretch>
        </xdr:blipFill>
        <xdr:spPr>
          <a:xfrm>
            <a:off x="4381500" y="6896099"/>
            <a:ext cx="504825" cy="50482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361950</xdr:colOff>
      <xdr:row>33</xdr:row>
      <xdr:rowOff>133350</xdr:rowOff>
    </xdr:from>
    <xdr:to>
      <xdr:col>11</xdr:col>
      <xdr:colOff>409575</xdr:colOff>
      <xdr:row>37</xdr:row>
      <xdr:rowOff>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210050" y="6724650"/>
          <a:ext cx="1790700" cy="628650"/>
          <a:chOff x="4238625" y="6991350"/>
          <a:chExt cx="1790700" cy="628650"/>
        </a:xfrm>
      </xdr:grpSpPr>
      <xdr:sp macro="" textlink="">
        <xdr:nvSpPr>
          <xdr:cNvPr id="85" name="Rectangle 84">
            <a:hlinkClick xmlns:r="http://schemas.openxmlformats.org/officeDocument/2006/relationships" r:id="rId54"/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SpPr/>
        </xdr:nvSpPr>
        <xdr:spPr>
          <a:xfrm>
            <a:off x="4238625" y="6991350"/>
            <a:ext cx="1790700" cy="62865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 Metrics</a:t>
            </a:r>
            <a:r>
              <a:rPr lang="en-US" sz="1100" baseline="0"/>
              <a:t> Report</a:t>
            </a:r>
            <a:endParaRPr lang="en-US" sz="1100"/>
          </a:p>
        </xdr:txBody>
      </xdr:sp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6"/>
              </a:ext>
            </a:extLst>
          </a:blip>
          <a:stretch>
            <a:fillRect/>
          </a:stretch>
        </xdr:blipFill>
        <xdr:spPr>
          <a:xfrm>
            <a:off x="4448175" y="7038974"/>
            <a:ext cx="571500" cy="5715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323850</xdr:colOff>
      <xdr:row>38</xdr:row>
      <xdr:rowOff>38100</xdr:rowOff>
    </xdr:from>
    <xdr:to>
      <xdr:col>11</xdr:col>
      <xdr:colOff>400050</xdr:colOff>
      <xdr:row>41</xdr:row>
      <xdr:rowOff>95250</xdr:rowOff>
    </xdr:to>
    <xdr:grpSp>
      <xdr:nvGrpSpPr>
        <xdr:cNvPr id="14" name="Group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4171950" y="7581900"/>
          <a:ext cx="1819275" cy="628650"/>
          <a:chOff x="4191000" y="7896224"/>
          <a:chExt cx="1819275" cy="676275"/>
        </a:xfrm>
      </xdr:grpSpPr>
      <xdr:sp macro="" textlink="">
        <xdr:nvSpPr>
          <xdr:cNvPr id="64" name="Rectangle 63">
            <a:hlinkClick xmlns:r="http://schemas.openxmlformats.org/officeDocument/2006/relationships" r:id="rId57"/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SpPr/>
        </xdr:nvSpPr>
        <xdr:spPr>
          <a:xfrm>
            <a:off x="4191000" y="7900787"/>
            <a:ext cx="1819275" cy="65762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</a:t>
            </a:r>
            <a:r>
              <a:rPr lang="en-US" sz="1100" baseline="0"/>
              <a:t>   </a:t>
            </a:r>
            <a:r>
              <a:rPr lang="en-US" sz="1100"/>
              <a:t>         Add</a:t>
            </a:r>
            <a:r>
              <a:rPr lang="en-US" sz="1100" baseline="0"/>
              <a:t> New Agent</a:t>
            </a:r>
            <a:endParaRPr lang="en-US" sz="1100"/>
          </a:p>
        </xdr:txBody>
      </xdr:sp>
      <xdr:pic>
        <xdr:nvPicPr>
          <xdr:cNvPr id="12" name="Graphic 11" descr="Users with solid fill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9"/>
              </a:ext>
            </a:extLst>
          </a:blip>
          <a:stretch>
            <a:fillRect/>
          </a:stretch>
        </xdr:blipFill>
        <xdr:spPr>
          <a:xfrm>
            <a:off x="4267200" y="7896224"/>
            <a:ext cx="676275" cy="6762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323850</xdr:colOff>
      <xdr:row>42</xdr:row>
      <xdr:rowOff>109014</xdr:rowOff>
    </xdr:from>
    <xdr:to>
      <xdr:col>11</xdr:col>
      <xdr:colOff>400050</xdr:colOff>
      <xdr:row>45</xdr:row>
      <xdr:rowOff>171450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pSpPr/>
      </xdr:nvGrpSpPr>
      <xdr:grpSpPr>
        <a:xfrm>
          <a:off x="4171950" y="8414814"/>
          <a:ext cx="1819275" cy="633936"/>
          <a:chOff x="4143375" y="8481489"/>
          <a:chExt cx="1819275" cy="633936"/>
        </a:xfrm>
      </xdr:grpSpPr>
      <xdr:sp macro="" textlink="">
        <xdr:nvSpPr>
          <xdr:cNvPr id="68" name="Rectangle 67">
            <a:hlinkClick xmlns:r="http://schemas.openxmlformats.org/officeDocument/2006/relationships" r:id="rId60"/>
            <a:extLst>
              <a:ext uri="{FF2B5EF4-FFF2-40B4-BE49-F238E27FC236}">
                <a16:creationId xmlns:a16="http://schemas.microsoft.com/office/drawing/2014/main" id="{00000000-0008-0000-0500-000044000000}"/>
              </a:ext>
            </a:extLst>
          </xdr:cNvPr>
          <xdr:cNvSpPr/>
        </xdr:nvSpPr>
        <xdr:spPr>
          <a:xfrm>
            <a:off x="4143375" y="8481489"/>
            <a:ext cx="1819275" cy="61131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</a:t>
            </a:r>
            <a:r>
              <a:rPr lang="en-US" sz="1100" baseline="0"/>
              <a:t>   </a:t>
            </a:r>
            <a:r>
              <a:rPr lang="en-US" sz="1100"/>
              <a:t>         QA</a:t>
            </a:r>
            <a:r>
              <a:rPr lang="en-US" sz="1100" baseline="0"/>
              <a:t> Assesment                             sheet         </a:t>
            </a:r>
            <a:endParaRPr lang="en-US" sz="1100"/>
          </a:p>
        </xdr:txBody>
      </xdr:sp>
      <xdr:pic>
        <xdr:nvPicPr>
          <xdr:cNvPr id="15" name="Graphic 14" descr="Books with solid fill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2"/>
              </a:ext>
            </a:extLst>
          </a:blip>
          <a:stretch>
            <a:fillRect/>
          </a:stretch>
        </xdr:blipFill>
        <xdr:spPr>
          <a:xfrm>
            <a:off x="4257675" y="8543925"/>
            <a:ext cx="571500" cy="5715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84398</xdr:colOff>
      <xdr:row>35</xdr:row>
      <xdr:rowOff>154208</xdr:rowOff>
    </xdr:from>
    <xdr:to>
      <xdr:col>20</xdr:col>
      <xdr:colOff>337595</xdr:colOff>
      <xdr:row>61</xdr:row>
      <xdr:rowOff>48227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11044176" y="7641581"/>
          <a:ext cx="3122754" cy="4970000"/>
          <a:chOff x="12635696" y="7267816"/>
          <a:chExt cx="2400300" cy="2833988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42</xdr:row>
          <xdr:rowOff>180975</xdr:rowOff>
        </xdr:from>
        <xdr:to>
          <xdr:col>19</xdr:col>
          <xdr:colOff>200025</xdr:colOff>
          <xdr:row>45</xdr:row>
          <xdr:rowOff>142875</xdr:rowOff>
        </xdr:to>
        <xdr:sp macro="" textlink="">
          <xdr:nvSpPr>
            <xdr:cNvPr id="19465" name="CommandButton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6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46</xdr:row>
          <xdr:rowOff>152400</xdr:rowOff>
        </xdr:from>
        <xdr:to>
          <xdr:col>19</xdr:col>
          <xdr:colOff>209550</xdr:colOff>
          <xdr:row>49</xdr:row>
          <xdr:rowOff>123825</xdr:rowOff>
        </xdr:to>
        <xdr:sp macro="" textlink="">
          <xdr:nvSpPr>
            <xdr:cNvPr id="19466" name="CommandButton2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6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50</xdr:row>
          <xdr:rowOff>152400</xdr:rowOff>
        </xdr:from>
        <xdr:to>
          <xdr:col>19</xdr:col>
          <xdr:colOff>247650</xdr:colOff>
          <xdr:row>53</xdr:row>
          <xdr:rowOff>123825</xdr:rowOff>
        </xdr:to>
        <xdr:sp macro="" textlink="">
          <xdr:nvSpPr>
            <xdr:cNvPr id="19467" name="CommandButton3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6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54</xdr:row>
          <xdr:rowOff>161925</xdr:rowOff>
        </xdr:from>
        <xdr:to>
          <xdr:col>19</xdr:col>
          <xdr:colOff>219075</xdr:colOff>
          <xdr:row>57</xdr:row>
          <xdr:rowOff>123825</xdr:rowOff>
        </xdr:to>
        <xdr:sp macro="" textlink="">
          <xdr:nvSpPr>
            <xdr:cNvPr id="19468" name="CommandButton4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6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200025</xdr:colOff>
          <xdr:row>58</xdr:row>
          <xdr:rowOff>152400</xdr:rowOff>
        </xdr:from>
        <xdr:to>
          <xdr:col>19</xdr:col>
          <xdr:colOff>228600</xdr:colOff>
          <xdr:row>61</xdr:row>
          <xdr:rowOff>114300</xdr:rowOff>
        </xdr:to>
        <xdr:sp macro="" textlink="">
          <xdr:nvSpPr>
            <xdr:cNvPr id="19469" name="CommandButton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6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676275</xdr:colOff>
      <xdr:row>1</xdr:row>
      <xdr:rowOff>47624</xdr:rowOff>
    </xdr:from>
    <xdr:to>
      <xdr:col>9</xdr:col>
      <xdr:colOff>542925</xdr:colOff>
      <xdr:row>18</xdr:row>
      <xdr:rowOff>161925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8467725" y="247649"/>
          <a:ext cx="2400300" cy="3352801"/>
          <a:chOff x="7743825" y="1533525"/>
          <a:chExt cx="2914650" cy="281940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7743825" y="1533525"/>
            <a:ext cx="291465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7753350" y="1543051"/>
            <a:ext cx="2886075" cy="50309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xdr:twoCellAnchor>
    <xdr:from>
      <xdr:col>11</xdr:col>
      <xdr:colOff>409575</xdr:colOff>
      <xdr:row>0</xdr:row>
      <xdr:rowOff>190500</xdr:rowOff>
    </xdr:from>
    <xdr:to>
      <xdr:col>18</xdr:col>
      <xdr:colOff>76200</xdr:colOff>
      <xdr:row>22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1953875" y="190500"/>
          <a:ext cx="3933825" cy="40100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INSTRUCTIONS</a:t>
          </a:r>
          <a:r>
            <a:rPr lang="en-US" sz="1100"/>
            <a:t>:</a:t>
          </a:r>
        </a:p>
        <a:p>
          <a:pPr algn="l"/>
          <a:endParaRPr lang="en-US" sz="1100"/>
        </a:p>
        <a:p>
          <a:pPr algn="l"/>
          <a:r>
            <a:rPr lang="en-US" sz="1100"/>
            <a:t>1) Download</a:t>
          </a:r>
          <a:r>
            <a:rPr lang="en-US" sz="1100" baseline="0"/>
            <a:t> the History report from AWS . 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2) It will be downloaded  as csv file contain data 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3) Make sure you copy the exact data from that spreadsheet.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4) The calculator has been Made to do the neccessary conversion to give you accurate hours.</a:t>
          </a:r>
        </a:p>
        <a:p>
          <a:pPr algn="l"/>
          <a:r>
            <a:rPr lang="en-US" sz="1100" baseline="0"/>
            <a:t>5)Copy the data in the generated Hours on column D to E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6) Then click Export.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15</xdr:row>
          <xdr:rowOff>28575</xdr:rowOff>
        </xdr:from>
        <xdr:to>
          <xdr:col>9</xdr:col>
          <xdr:colOff>180975</xdr:colOff>
          <xdr:row>17</xdr:row>
          <xdr:rowOff>114300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5</xdr:row>
          <xdr:rowOff>28575</xdr:rowOff>
        </xdr:from>
        <xdr:to>
          <xdr:col>9</xdr:col>
          <xdr:colOff>133350</xdr:colOff>
          <xdr:row>7</xdr:row>
          <xdr:rowOff>114300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8</xdr:row>
          <xdr:rowOff>85725</xdr:rowOff>
        </xdr:from>
        <xdr:to>
          <xdr:col>9</xdr:col>
          <xdr:colOff>161925</xdr:colOff>
          <xdr:row>10</xdr:row>
          <xdr:rowOff>171450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11</xdr:row>
          <xdr:rowOff>171450</xdr:rowOff>
        </xdr:from>
        <xdr:to>
          <xdr:col>9</xdr:col>
          <xdr:colOff>171450</xdr:colOff>
          <xdr:row>14</xdr:row>
          <xdr:rowOff>66675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4</xdr:row>
      <xdr:rowOff>133350</xdr:rowOff>
    </xdr:from>
    <xdr:to>
      <xdr:col>16</xdr:col>
      <xdr:colOff>104775</xdr:colOff>
      <xdr:row>19</xdr:row>
      <xdr:rowOff>95250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8924925" y="895350"/>
          <a:ext cx="2400300" cy="2819400"/>
          <a:chOff x="7743825" y="1533525"/>
          <a:chExt cx="2914650" cy="2819400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7743825" y="1533525"/>
            <a:ext cx="291465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7753350" y="1543050"/>
            <a:ext cx="2886075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8</xdr:row>
          <xdr:rowOff>161925</xdr:rowOff>
        </xdr:from>
        <xdr:to>
          <xdr:col>15</xdr:col>
          <xdr:colOff>285750</xdr:colOff>
          <xdr:row>11</xdr:row>
          <xdr:rowOff>47625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</xdr:row>
          <xdr:rowOff>180975</xdr:rowOff>
        </xdr:from>
        <xdr:to>
          <xdr:col>15</xdr:col>
          <xdr:colOff>285750</xdr:colOff>
          <xdr:row>14</xdr:row>
          <xdr:rowOff>66675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15</xdr:row>
          <xdr:rowOff>38100</xdr:rowOff>
        </xdr:from>
        <xdr:to>
          <xdr:col>15</xdr:col>
          <xdr:colOff>285750</xdr:colOff>
          <xdr:row>17</xdr:row>
          <xdr:rowOff>114300</xdr:rowOff>
        </xdr:to>
        <xdr:sp macro="" textlink="">
          <xdr:nvSpPr>
            <xdr:cNvPr id="22531" name="CommandButton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66675</xdr:colOff>
      <xdr:row>1</xdr:row>
      <xdr:rowOff>152400</xdr:rowOff>
    </xdr:from>
    <xdr:to>
      <xdr:col>23</xdr:col>
      <xdr:colOff>533400</xdr:colOff>
      <xdr:row>24</xdr:row>
      <xdr:rowOff>5426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11649075" y="342900"/>
          <a:ext cx="2905125" cy="4234526"/>
          <a:chOff x="12635696" y="7267816"/>
          <a:chExt cx="2400300" cy="2833988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7</xdr:row>
          <xdr:rowOff>142875</xdr:rowOff>
        </xdr:from>
        <xdr:to>
          <xdr:col>22</xdr:col>
          <xdr:colOff>495300</xdr:colOff>
          <xdr:row>10</xdr:row>
          <xdr:rowOff>95250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1</xdr:row>
      <xdr:rowOff>28578</xdr:rowOff>
    </xdr:from>
    <xdr:to>
      <xdr:col>15</xdr:col>
      <xdr:colOff>381001</xdr:colOff>
      <xdr:row>23</xdr:row>
      <xdr:rowOff>43527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5325726" y="219078"/>
          <a:ext cx="2819400" cy="4205949"/>
          <a:chOff x="13439775" y="219078"/>
          <a:chExt cx="3279099" cy="4224999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13439775" y="231348"/>
            <a:ext cx="3279099" cy="4212729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13450373" y="219078"/>
            <a:ext cx="3246951" cy="819150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6</xdr:row>
          <xdr:rowOff>66675</xdr:rowOff>
        </xdr:from>
        <xdr:to>
          <xdr:col>14</xdr:col>
          <xdr:colOff>419100</xdr:colOff>
          <xdr:row>8</xdr:row>
          <xdr:rowOff>123825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</xdr:colOff>
      <xdr:row>2</xdr:row>
      <xdr:rowOff>0</xdr:rowOff>
    </xdr:from>
    <xdr:to>
      <xdr:col>22</xdr:col>
      <xdr:colOff>533401</xdr:colOff>
      <xdr:row>24</xdr:row>
      <xdr:rowOff>43526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0972801" y="381000"/>
          <a:ext cx="2971800" cy="4234526"/>
          <a:chOff x="12635696" y="7267816"/>
          <a:chExt cx="2400300" cy="2833988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7</xdr:row>
          <xdr:rowOff>133350</xdr:rowOff>
        </xdr:from>
        <xdr:to>
          <xdr:col>21</xdr:col>
          <xdr:colOff>571500</xdr:colOff>
          <xdr:row>10</xdr:row>
          <xdr:rowOff>85725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</xdr:colOff>
      <xdr:row>3</xdr:row>
      <xdr:rowOff>0</xdr:rowOff>
    </xdr:from>
    <xdr:to>
      <xdr:col>22</xdr:col>
      <xdr:colOff>466725</xdr:colOff>
      <xdr:row>25</xdr:row>
      <xdr:rowOff>43526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10972801" y="571500"/>
          <a:ext cx="2905124" cy="4234526"/>
          <a:chOff x="12635696" y="7267816"/>
          <a:chExt cx="2400300" cy="2833988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8</xdr:row>
          <xdr:rowOff>152400</xdr:rowOff>
        </xdr:from>
        <xdr:to>
          <xdr:col>21</xdr:col>
          <xdr:colOff>466725</xdr:colOff>
          <xdr:row>11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C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69850</xdr:rowOff>
    </xdr:from>
    <xdr:to>
      <xdr:col>1</xdr:col>
      <xdr:colOff>370083</xdr:colOff>
      <xdr:row>1</xdr:row>
      <xdr:rowOff>158750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71450" y="69850"/>
          <a:ext cx="1068583" cy="292100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Refresh</a:t>
          </a:r>
        </a:p>
      </xdr:txBody>
    </xdr:sp>
    <xdr:clientData/>
  </xdr:twoCellAnchor>
  <xdr:twoCellAnchor editAs="absolute">
    <xdr:from>
      <xdr:col>1</xdr:col>
      <xdr:colOff>501650</xdr:colOff>
      <xdr:row>0</xdr:row>
      <xdr:rowOff>82550</xdr:rowOff>
    </xdr:from>
    <xdr:to>
      <xdr:col>2</xdr:col>
      <xdr:colOff>603250</xdr:colOff>
      <xdr:row>1</xdr:row>
      <xdr:rowOff>146050</xdr:rowOff>
    </xdr:to>
    <xdr:sp macro="[0]!Mark_Attendan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371600" y="82550"/>
          <a:ext cx="1225550" cy="266700"/>
        </a:xfrm>
        <a:prstGeom prst="roundRect">
          <a:avLst>
            <a:gd name="adj" fmla="val 5000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Mark Attendence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714375</xdr:colOff>
          <xdr:row>0</xdr:row>
          <xdr:rowOff>123825</xdr:rowOff>
        </xdr:from>
        <xdr:to>
          <xdr:col>5</xdr:col>
          <xdr:colOff>142875</xdr:colOff>
          <xdr:row>1</xdr:row>
          <xdr:rowOff>123825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D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Update data when already exist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180976</xdr:colOff>
      <xdr:row>4</xdr:row>
      <xdr:rowOff>85725</xdr:rowOff>
    </xdr:from>
    <xdr:to>
      <xdr:col>18</xdr:col>
      <xdr:colOff>76201</xdr:colOff>
      <xdr:row>30</xdr:row>
      <xdr:rowOff>110201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9791701" y="885825"/>
          <a:ext cx="2800350" cy="4234526"/>
          <a:chOff x="12635696" y="7267816"/>
          <a:chExt cx="2400300" cy="283398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11</xdr:row>
          <xdr:rowOff>85725</xdr:rowOff>
        </xdr:from>
        <xdr:to>
          <xdr:col>17</xdr:col>
          <xdr:colOff>247650</xdr:colOff>
          <xdr:row>15</xdr:row>
          <xdr:rowOff>0</xdr:rowOff>
        </xdr:to>
        <xdr:sp macro="" textlink="">
          <xdr:nvSpPr>
            <xdr:cNvPr id="2074" name="CommandButton1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D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16</xdr:row>
          <xdr:rowOff>47625</xdr:rowOff>
        </xdr:from>
        <xdr:to>
          <xdr:col>17</xdr:col>
          <xdr:colOff>190500</xdr:colOff>
          <xdr:row>19</xdr:row>
          <xdr:rowOff>152400</xdr:rowOff>
        </xdr:to>
        <xdr:sp macro="" textlink="">
          <xdr:nvSpPr>
            <xdr:cNvPr id="2076" name="CommandButton2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D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21</xdr:row>
          <xdr:rowOff>38100</xdr:rowOff>
        </xdr:from>
        <xdr:to>
          <xdr:col>17</xdr:col>
          <xdr:colOff>209550</xdr:colOff>
          <xdr:row>24</xdr:row>
          <xdr:rowOff>142875</xdr:rowOff>
        </xdr:to>
        <xdr:sp macro="" textlink="">
          <xdr:nvSpPr>
            <xdr:cNvPr id="2080" name="CommandButton3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D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18</xdr:col>
      <xdr:colOff>338198</xdr:colOff>
      <xdr:row>31</xdr:row>
      <xdr:rowOff>24476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10648950" y="1000125"/>
          <a:ext cx="3243323" cy="4234526"/>
          <a:chOff x="12635696" y="7267816"/>
          <a:chExt cx="2400300" cy="283398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12</xdr:row>
          <xdr:rowOff>19050</xdr:rowOff>
        </xdr:from>
        <xdr:to>
          <xdr:col>17</xdr:col>
          <xdr:colOff>314325</xdr:colOff>
          <xdr:row>15</xdr:row>
          <xdr:rowOff>123825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123825</xdr:colOff>
      <xdr:row>5</xdr:row>
      <xdr:rowOff>133350</xdr:rowOff>
    </xdr:from>
    <xdr:to>
      <xdr:col>44</xdr:col>
      <xdr:colOff>295275</xdr:colOff>
      <xdr:row>31</xdr:row>
      <xdr:rowOff>157826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13249275" y="971550"/>
          <a:ext cx="3076575" cy="4234526"/>
          <a:chOff x="12635696" y="7267816"/>
          <a:chExt cx="2400300" cy="2833988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295275</xdr:colOff>
          <xdr:row>12</xdr:row>
          <xdr:rowOff>152400</xdr:rowOff>
        </xdr:from>
        <xdr:to>
          <xdr:col>43</xdr:col>
          <xdr:colOff>285750</xdr:colOff>
          <xdr:row>15</xdr:row>
          <xdr:rowOff>142875</xdr:rowOff>
        </xdr:to>
        <xdr:sp macro="" textlink="">
          <xdr:nvSpPr>
            <xdr:cNvPr id="31747" name="CommandButton1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F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276225</xdr:colOff>
          <xdr:row>16</xdr:row>
          <xdr:rowOff>104775</xdr:rowOff>
        </xdr:from>
        <xdr:to>
          <xdr:col>43</xdr:col>
          <xdr:colOff>266700</xdr:colOff>
          <xdr:row>19</xdr:row>
          <xdr:rowOff>95250</xdr:rowOff>
        </xdr:to>
        <xdr:sp macro="" textlink="">
          <xdr:nvSpPr>
            <xdr:cNvPr id="31749" name="CommandButton2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F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295275</xdr:colOff>
          <xdr:row>20</xdr:row>
          <xdr:rowOff>19050</xdr:rowOff>
        </xdr:from>
        <xdr:to>
          <xdr:col>43</xdr:col>
          <xdr:colOff>285750</xdr:colOff>
          <xdr:row>23</xdr:row>
          <xdr:rowOff>9525</xdr:rowOff>
        </xdr:to>
        <xdr:sp macro="" textlink="">
          <xdr:nvSpPr>
            <xdr:cNvPr id="31751" name="CommandButton3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F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266700</xdr:colOff>
          <xdr:row>23</xdr:row>
          <xdr:rowOff>95250</xdr:rowOff>
        </xdr:from>
        <xdr:to>
          <xdr:col>43</xdr:col>
          <xdr:colOff>257175</xdr:colOff>
          <xdr:row>26</xdr:row>
          <xdr:rowOff>114300</xdr:rowOff>
        </xdr:to>
        <xdr:sp macro="" textlink="">
          <xdr:nvSpPr>
            <xdr:cNvPr id="31757" name="CommandButton4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F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285750</xdr:colOff>
          <xdr:row>27</xdr:row>
          <xdr:rowOff>66675</xdr:rowOff>
        </xdr:from>
        <xdr:to>
          <xdr:col>43</xdr:col>
          <xdr:colOff>247650</xdr:colOff>
          <xdr:row>30</xdr:row>
          <xdr:rowOff>66675</xdr:rowOff>
        </xdr:to>
        <xdr:sp macro="" textlink="">
          <xdr:nvSpPr>
            <xdr:cNvPr id="31763" name="CommandButton5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F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523876</xdr:colOff>
      <xdr:row>1</xdr:row>
      <xdr:rowOff>9525</xdr:rowOff>
    </xdr:from>
    <xdr:to>
      <xdr:col>22</xdr:col>
      <xdr:colOff>123826</xdr:colOff>
      <xdr:row>23</xdr:row>
      <xdr:rowOff>53051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pSpPr/>
      </xdr:nvGrpSpPr>
      <xdr:grpSpPr>
        <a:xfrm>
          <a:off x="11325226" y="200025"/>
          <a:ext cx="2647950" cy="4234526"/>
          <a:chOff x="12635696" y="7267816"/>
          <a:chExt cx="2400300" cy="2833988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533400</xdr:colOff>
          <xdr:row>6</xdr:row>
          <xdr:rowOff>171450</xdr:rowOff>
        </xdr:from>
        <xdr:to>
          <xdr:col>21</xdr:col>
          <xdr:colOff>47625</xdr:colOff>
          <xdr:row>9</xdr:row>
          <xdr:rowOff>104775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10</xdr:row>
          <xdr:rowOff>171450</xdr:rowOff>
        </xdr:from>
        <xdr:to>
          <xdr:col>21</xdr:col>
          <xdr:colOff>47625</xdr:colOff>
          <xdr:row>13</xdr:row>
          <xdr:rowOff>76200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142875</xdr:rowOff>
        </xdr:from>
        <xdr:to>
          <xdr:col>11</xdr:col>
          <xdr:colOff>85725</xdr:colOff>
          <xdr:row>4</xdr:row>
          <xdr:rowOff>9525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171452</xdr:colOff>
      <xdr:row>4</xdr:row>
      <xdr:rowOff>123825</xdr:rowOff>
    </xdr:from>
    <xdr:to>
      <xdr:col>12</xdr:col>
      <xdr:colOff>523876</xdr:colOff>
      <xdr:row>24</xdr:row>
      <xdr:rowOff>85724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pSpPr/>
      </xdr:nvGrpSpPr>
      <xdr:grpSpPr>
        <a:xfrm>
          <a:off x="2609852" y="885825"/>
          <a:ext cx="5229224" cy="3771899"/>
          <a:chOff x="7257276" y="-676276"/>
          <a:chExt cx="2895661" cy="3771899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7257337" y="-676276"/>
            <a:ext cx="2895600" cy="3771899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7257276" y="-666751"/>
            <a:ext cx="2867212" cy="752216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17</xdr:row>
          <xdr:rowOff>0</xdr:rowOff>
        </xdr:from>
        <xdr:to>
          <xdr:col>11</xdr:col>
          <xdr:colOff>600075</xdr:colOff>
          <xdr:row>19</xdr:row>
          <xdr:rowOff>28575</xdr:rowOff>
        </xdr:to>
        <xdr:sp macro="" textlink="">
          <xdr:nvSpPr>
            <xdr:cNvPr id="34824" name="CommandButton4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2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9</xdr:row>
          <xdr:rowOff>85725</xdr:rowOff>
        </xdr:from>
        <xdr:to>
          <xdr:col>7</xdr:col>
          <xdr:colOff>266700</xdr:colOff>
          <xdr:row>11</xdr:row>
          <xdr:rowOff>85725</xdr:rowOff>
        </xdr:to>
        <xdr:sp macro="" textlink="">
          <xdr:nvSpPr>
            <xdr:cNvPr id="34821" name="CommandButton1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2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9</xdr:row>
          <xdr:rowOff>66675</xdr:rowOff>
        </xdr:from>
        <xdr:to>
          <xdr:col>12</xdr:col>
          <xdr:colOff>57150</xdr:colOff>
          <xdr:row>11</xdr:row>
          <xdr:rowOff>66675</xdr:rowOff>
        </xdr:to>
        <xdr:sp macro="" textlink="">
          <xdr:nvSpPr>
            <xdr:cNvPr id="34822" name="CommandButton2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2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171450</xdr:rowOff>
        </xdr:from>
        <xdr:to>
          <xdr:col>7</xdr:col>
          <xdr:colOff>238125</xdr:colOff>
          <xdr:row>19</xdr:row>
          <xdr:rowOff>28575</xdr:rowOff>
        </xdr:to>
        <xdr:sp macro="" textlink="">
          <xdr:nvSpPr>
            <xdr:cNvPr id="34835" name="CommandButton3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12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0</xdr:row>
      <xdr:rowOff>57150</xdr:rowOff>
    </xdr:from>
    <xdr:to>
      <xdr:col>8</xdr:col>
      <xdr:colOff>438150</xdr:colOff>
      <xdr:row>20</xdr:row>
      <xdr:rowOff>176876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pSpPr/>
      </xdr:nvGrpSpPr>
      <xdr:grpSpPr>
        <a:xfrm>
          <a:off x="6124575" y="57150"/>
          <a:ext cx="2647950" cy="3939251"/>
          <a:chOff x="12635696" y="7267816"/>
          <a:chExt cx="2400300" cy="2833988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1400-00000C000000}"/>
              </a:ext>
            </a:extLst>
          </xdr:cNvPr>
          <xdr:cNvSpPr/>
        </xdr:nvSpPr>
        <xdr:spPr>
          <a:xfrm>
            <a:off x="12635696" y="7282404"/>
            <a:ext cx="240030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SpPr/>
        </xdr:nvSpPr>
        <xdr:spPr>
          <a:xfrm>
            <a:off x="12643540" y="7267816"/>
            <a:ext cx="2376768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6</xdr:row>
          <xdr:rowOff>9525</xdr:rowOff>
        </xdr:from>
        <xdr:to>
          <xdr:col>7</xdr:col>
          <xdr:colOff>1200150</xdr:colOff>
          <xdr:row>8</xdr:row>
          <xdr:rowOff>171450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4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8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9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5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2.xml"/><Relationship Id="rId5" Type="http://schemas.openxmlformats.org/officeDocument/2006/relationships/image" Target="../media/image56.emf"/><Relationship Id="rId4" Type="http://schemas.openxmlformats.org/officeDocument/2006/relationships/control" Target="../activeX/activeX11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9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0.emf"/><Relationship Id="rId4" Type="http://schemas.openxmlformats.org/officeDocument/2006/relationships/control" Target="../activeX/activeX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1.emf"/><Relationship Id="rId4" Type="http://schemas.openxmlformats.org/officeDocument/2006/relationships/control" Target="../activeX/activeX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62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9.xml"/><Relationship Id="rId5" Type="http://schemas.openxmlformats.org/officeDocument/2006/relationships/image" Target="../media/image6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8.xml"/><Relationship Id="rId9" Type="http://schemas.openxmlformats.org/officeDocument/2006/relationships/image" Target="../media/image65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66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8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23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69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8.xml"/><Relationship Id="rId5" Type="http://schemas.openxmlformats.org/officeDocument/2006/relationships/image" Target="../media/image72.emf"/><Relationship Id="rId4" Type="http://schemas.openxmlformats.org/officeDocument/2006/relationships/control" Target="../activeX/activeX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4.emf"/><Relationship Id="rId4" Type="http://schemas.openxmlformats.org/officeDocument/2006/relationships/control" Target="../activeX/activeX2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30.xml"/><Relationship Id="rId7" Type="http://schemas.openxmlformats.org/officeDocument/2006/relationships/control" Target="../activeX/activeX3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6" Type="http://schemas.openxmlformats.org/officeDocument/2006/relationships/image" Target="../media/image76.emf"/><Relationship Id="rId5" Type="http://schemas.openxmlformats.org/officeDocument/2006/relationships/control" Target="../activeX/activeX31.xml"/><Relationship Id="rId10" Type="http://schemas.openxmlformats.org/officeDocument/2006/relationships/image" Target="../media/image78.emf"/><Relationship Id="rId4" Type="http://schemas.openxmlformats.org/officeDocument/2006/relationships/image" Target="../media/image75.emf"/><Relationship Id="rId9" Type="http://schemas.openxmlformats.org/officeDocument/2006/relationships/control" Target="../activeX/activeX3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79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810D4-4470-4DE6-ADE5-99D5C669D176}">
  <sheetPr codeName="Sheet18"/>
  <dimension ref="A1:K3"/>
  <sheetViews>
    <sheetView workbookViewId="0">
      <selection activeCell="D13" sqref="D13"/>
    </sheetView>
  </sheetViews>
  <sheetFormatPr defaultRowHeight="15" x14ac:dyDescent="0.25"/>
  <cols>
    <col min="1" max="1" width="6.85546875" customWidth="1"/>
    <col min="2" max="11" width="17.85546875" customWidth="1"/>
  </cols>
  <sheetData>
    <row r="1" spans="1:11" x14ac:dyDescent="0.25">
      <c r="A1" s="3" t="s">
        <v>388</v>
      </c>
      <c r="B1" s="3" t="s">
        <v>387</v>
      </c>
      <c r="C1" s="3" t="s">
        <v>386</v>
      </c>
      <c r="D1" s="3" t="s">
        <v>385</v>
      </c>
      <c r="E1" s="114" t="s">
        <v>384</v>
      </c>
      <c r="F1" s="114" t="s">
        <v>383</v>
      </c>
      <c r="G1" s="3" t="s">
        <v>382</v>
      </c>
      <c r="H1" s="3" t="s">
        <v>381</v>
      </c>
      <c r="I1" s="3" t="s">
        <v>380</v>
      </c>
      <c r="J1" s="3" t="s">
        <v>151</v>
      </c>
      <c r="K1" s="3" t="s">
        <v>379</v>
      </c>
    </row>
    <row r="2" spans="1:11" x14ac:dyDescent="0.25">
      <c r="A2">
        <v>1</v>
      </c>
      <c r="B2" t="s">
        <v>378</v>
      </c>
      <c r="C2" t="s">
        <v>377</v>
      </c>
      <c r="D2" t="s">
        <v>376</v>
      </c>
      <c r="E2" s="112">
        <v>44554</v>
      </c>
      <c r="F2" s="112">
        <v>44546</v>
      </c>
      <c r="G2" t="s">
        <v>375</v>
      </c>
      <c r="H2" t="s">
        <v>374</v>
      </c>
      <c r="I2" t="s">
        <v>373</v>
      </c>
      <c r="K2" s="113">
        <v>44544.54005787037</v>
      </c>
    </row>
    <row r="3" spans="1:11" x14ac:dyDescent="0.25">
      <c r="A3">
        <v>2</v>
      </c>
      <c r="B3" t="s">
        <v>400</v>
      </c>
      <c r="C3" t="s">
        <v>396</v>
      </c>
      <c r="D3" t="s">
        <v>377</v>
      </c>
      <c r="E3" s="112">
        <v>44539</v>
      </c>
      <c r="F3" s="112"/>
      <c r="G3" t="s">
        <v>375</v>
      </c>
      <c r="H3" t="s">
        <v>374</v>
      </c>
      <c r="I3" t="s">
        <v>373</v>
      </c>
      <c r="J3" t="s">
        <v>401</v>
      </c>
      <c r="K3" s="113">
        <v>44550.129224537035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FB4B2-D989-41D1-8443-A4A6D75B77B7}">
  <sheetPr codeName="Sheet16"/>
  <dimension ref="A1:E35"/>
  <sheetViews>
    <sheetView showGridLines="0" workbookViewId="0">
      <selection activeCell="C35" sqref="C35"/>
    </sheetView>
  </sheetViews>
  <sheetFormatPr defaultRowHeight="15" x14ac:dyDescent="0.25"/>
  <cols>
    <col min="1" max="1" width="20.28515625" customWidth="1"/>
    <col min="2" max="2" width="12.140625" customWidth="1"/>
    <col min="3" max="3" width="16.42578125" style="125" customWidth="1"/>
    <col min="4" max="4" width="14.140625" customWidth="1"/>
    <col min="5" max="5" width="12.140625" customWidth="1"/>
  </cols>
  <sheetData>
    <row r="1" spans="1:5" x14ac:dyDescent="0.25">
      <c r="A1" s="3" t="s">
        <v>386</v>
      </c>
      <c r="B1" s="3" t="s">
        <v>385</v>
      </c>
      <c r="C1" s="123" t="s">
        <v>382</v>
      </c>
      <c r="D1" s="3" t="s">
        <v>381</v>
      </c>
      <c r="E1" s="3" t="s">
        <v>380</v>
      </c>
    </row>
    <row r="2" spans="1:5" x14ac:dyDescent="0.25">
      <c r="A2" s="108" t="s">
        <v>396</v>
      </c>
      <c r="B2" s="108" t="s">
        <v>377</v>
      </c>
      <c r="C2" s="124" t="str">
        <f>IF('Employee Master'!B2="","",'Employee Master'!B2)</f>
        <v>alexis.abeyta</v>
      </c>
      <c r="D2" s="108" t="s">
        <v>374</v>
      </c>
      <c r="E2" s="108" t="s">
        <v>373</v>
      </c>
    </row>
    <row r="3" spans="1:5" x14ac:dyDescent="0.25">
      <c r="A3" s="108" t="s">
        <v>377</v>
      </c>
      <c r="B3" s="108" t="s">
        <v>392</v>
      </c>
      <c r="C3" s="124" t="str">
        <f>IF('Employee Master'!B3="","",'Employee Master'!B3)</f>
        <v>brianna.mercer</v>
      </c>
      <c r="D3" s="108" t="s">
        <v>394</v>
      </c>
      <c r="E3" s="108" t="s">
        <v>393</v>
      </c>
    </row>
    <row r="4" spans="1:5" x14ac:dyDescent="0.25">
      <c r="A4" s="108" t="s">
        <v>392</v>
      </c>
      <c r="B4" s="108" t="s">
        <v>376</v>
      </c>
      <c r="C4" s="124" t="str">
        <f>IF('Employee Master'!B4="","",'Employee Master'!B4)</f>
        <v>catera.clark</v>
      </c>
      <c r="D4" s="108" t="s">
        <v>390</v>
      </c>
      <c r="E4" s="108"/>
    </row>
    <row r="5" spans="1:5" x14ac:dyDescent="0.25">
      <c r="A5" s="108" t="s">
        <v>376</v>
      </c>
      <c r="B5" s="108"/>
      <c r="C5" s="124" t="str">
        <f>IF('Employee Master'!B5="","",'Employee Master'!B5)</f>
        <v>dyasia.downing</v>
      </c>
      <c r="D5" s="108"/>
      <c r="E5" s="108"/>
    </row>
    <row r="6" spans="1:5" x14ac:dyDescent="0.25">
      <c r="C6" s="124" t="str">
        <f>IF('Employee Master'!B6="","",'Employee Master'!B6)</f>
        <v>elizabeth.greig</v>
      </c>
    </row>
    <row r="7" spans="1:5" x14ac:dyDescent="0.25">
      <c r="C7" s="124" t="str">
        <f>IF('Employee Master'!B7="","",'Employee Master'!B7)</f>
        <v>eric.johnson</v>
      </c>
    </row>
    <row r="8" spans="1:5" x14ac:dyDescent="0.25">
      <c r="C8" s="124" t="str">
        <f>IF('Employee Master'!B8="","",'Employee Master'!B8)</f>
        <v>ernest.hunter</v>
      </c>
    </row>
    <row r="9" spans="1:5" x14ac:dyDescent="0.25">
      <c r="C9" s="124" t="str">
        <f>IF('Employee Master'!B9="","",'Employee Master'!B9)</f>
        <v>irene.davison</v>
      </c>
    </row>
    <row r="10" spans="1:5" x14ac:dyDescent="0.25">
      <c r="C10" s="124" t="str">
        <f>IF('Employee Master'!B10="","",'Employee Master'!B10)</f>
        <v>irene.hurtado</v>
      </c>
    </row>
    <row r="11" spans="1:5" x14ac:dyDescent="0.25">
      <c r="C11" s="124" t="str">
        <f>IF('Employee Master'!B11="","",'Employee Master'!B11)</f>
        <v>jacqueline.hope</v>
      </c>
    </row>
    <row r="12" spans="1:5" x14ac:dyDescent="0.25">
      <c r="C12" s="124" t="str">
        <f>IF('Employee Master'!B12="","",'Employee Master'!B12)</f>
        <v>judy.gombert</v>
      </c>
    </row>
    <row r="13" spans="1:5" x14ac:dyDescent="0.25">
      <c r="C13" s="124" t="str">
        <f>IF('Employee Master'!B13="","",'Employee Master'!B13)</f>
        <v>makaylin.baker</v>
      </c>
    </row>
    <row r="14" spans="1:5" x14ac:dyDescent="0.25">
      <c r="C14" s="124" t="str">
        <f>IF('Employee Master'!B14="","",'Employee Master'!B14)</f>
        <v>naomi.bush</v>
      </c>
    </row>
    <row r="15" spans="1:5" x14ac:dyDescent="0.25">
      <c r="C15" s="124" t="str">
        <f>IF('Employee Master'!B15="","",'Employee Master'!B15)</f>
        <v>opal.watson</v>
      </c>
    </row>
    <row r="16" spans="1:5" x14ac:dyDescent="0.25">
      <c r="C16" s="124" t="str">
        <f>IF('Employee Master'!B16="","",'Employee Master'!B16)</f>
        <v>paris.fisher</v>
      </c>
    </row>
    <row r="17" spans="3:3" x14ac:dyDescent="0.25">
      <c r="C17" s="124" t="str">
        <f>IF('Employee Master'!B17="","",'Employee Master'!B17)</f>
        <v>raledja.pruitt</v>
      </c>
    </row>
    <row r="18" spans="3:3" x14ac:dyDescent="0.25">
      <c r="C18" s="124" t="str">
        <f>IF('Employee Master'!B18="","",'Employee Master'!B18)</f>
        <v>ramone.horst</v>
      </c>
    </row>
    <row r="19" spans="3:3" x14ac:dyDescent="0.25">
      <c r="C19" s="124" t="str">
        <f>IF('Employee Master'!B19="","",'Employee Master'!B19)</f>
        <v>samara.elliott</v>
      </c>
    </row>
    <row r="20" spans="3:3" x14ac:dyDescent="0.25">
      <c r="C20" s="124" t="str">
        <f>IF('Employee Master'!B20="","",'Employee Master'!B20)</f>
        <v>sharron.watley</v>
      </c>
    </row>
    <row r="21" spans="3:3" x14ac:dyDescent="0.25">
      <c r="C21" s="124" t="str">
        <f>IF('Employee Master'!B21="","",'Employee Master'!B21)</f>
        <v>shunta.fincher</v>
      </c>
    </row>
    <row r="22" spans="3:3" x14ac:dyDescent="0.25">
      <c r="C22" s="124" t="str">
        <f>IF('Employee Master'!B22="","",'Employee Master'!B22)</f>
        <v>stanford.antoine</v>
      </c>
    </row>
    <row r="23" spans="3:3" x14ac:dyDescent="0.25">
      <c r="C23" s="124" t="str">
        <f>IF('Employee Master'!B23="","",'Employee Master'!B23)</f>
        <v>t.railey</v>
      </c>
    </row>
    <row r="24" spans="3:3" x14ac:dyDescent="0.25">
      <c r="C24" s="124" t="str">
        <f>IF('Employee Master'!B24="","",'Employee Master'!B24)</f>
        <v>ghis.randaln</v>
      </c>
    </row>
    <row r="25" spans="3:3" x14ac:dyDescent="0.25">
      <c r="C25" s="124" t="str">
        <f>IF('Employee Master'!B25="","",'Employee Master'!B25)</f>
        <v>ghis.randaln</v>
      </c>
    </row>
    <row r="26" spans="3:3" x14ac:dyDescent="0.25">
      <c r="C26" s="124" t="str">
        <f>IF('Employee Master'!B26="","",'Employee Master'!B26)</f>
        <v>ghis.randaln</v>
      </c>
    </row>
    <row r="27" spans="3:3" x14ac:dyDescent="0.25">
      <c r="C27" s="124" t="str">
        <f>IF('Employee Master'!B27="","",'Employee Master'!B27)</f>
        <v>ghis.randaln</v>
      </c>
    </row>
    <row r="28" spans="3:3" x14ac:dyDescent="0.25">
      <c r="C28" s="124" t="str">
        <f>IF('Employee Master'!B28="","",'Employee Master'!B28)</f>
        <v>ghislain.indama</v>
      </c>
    </row>
    <row r="29" spans="3:3" x14ac:dyDescent="0.25">
      <c r="C29" s="124" t="str">
        <f>IF('Employee Master'!B29="","",'Employee Master'!B29)</f>
        <v>ghislain.indama</v>
      </c>
    </row>
    <row r="30" spans="3:3" x14ac:dyDescent="0.25">
      <c r="C30" s="124" t="str">
        <f>IF('Employee Master'!B30="","",'Employee Master'!B30)</f>
        <v>tagar</v>
      </c>
    </row>
    <row r="31" spans="3:3" x14ac:dyDescent="0.25">
      <c r="C31" s="124" t="str">
        <f>IF('Employee Master'!B31="","",'Employee Master'!B31)</f>
        <v>morales.john</v>
      </c>
    </row>
    <row r="32" spans="3:3" x14ac:dyDescent="0.25">
      <c r="C32" s="124" t="str">
        <f>IF('Employee Master'!B32="","",'Employee Master'!B32)</f>
        <v>ghislain.indama</v>
      </c>
    </row>
    <row r="33" spans="3:3" x14ac:dyDescent="0.25">
      <c r="C33" s="124" t="str">
        <f>IF('Employee Master'!B33="","",'Employee Master'!B33)</f>
        <v>tama.agggag</v>
      </c>
    </row>
    <row r="34" spans="3:3" x14ac:dyDescent="0.25">
      <c r="C34" s="124" t="str">
        <f>IF('Employee Master'!B34="","",'Employee Master'!B34)</f>
        <v>TROPCOMP</v>
      </c>
    </row>
    <row r="35" spans="3:3" x14ac:dyDescent="0.25">
      <c r="C35" s="124" t="str">
        <f>IF('Employee Master'!B35="","",'Employee Master'!B35)</f>
        <v>tamam.shaiva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6869-AFC1-4DCC-A42E-EA25095CFE73}">
  <sheetPr codeName="Sheet15"/>
  <dimension ref="A1:R5"/>
  <sheetViews>
    <sheetView showGridLines="0" workbookViewId="0">
      <selection activeCell="Q2" sqref="Q2:Q3"/>
    </sheetView>
  </sheetViews>
  <sheetFormatPr defaultRowHeight="15" x14ac:dyDescent="0.25"/>
  <cols>
    <col min="1" max="1" width="9.140625" bestFit="1" customWidth="1"/>
    <col min="2" max="2" width="8.85546875" bestFit="1" customWidth="1"/>
    <col min="5" max="5" width="13.140625" bestFit="1" customWidth="1"/>
    <col min="6" max="6" width="9.140625" style="90"/>
    <col min="7" max="7" width="3.85546875" customWidth="1"/>
    <col min="10" max="10" width="3.85546875" customWidth="1"/>
    <col min="11" max="11" width="11.140625" bestFit="1" customWidth="1"/>
    <col min="13" max="13" width="3.85546875" customWidth="1"/>
    <col min="14" max="14" width="11.140625" bestFit="1" customWidth="1"/>
    <col min="16" max="16" width="3.85546875" customWidth="1"/>
  </cols>
  <sheetData>
    <row r="1" spans="1:18" x14ac:dyDescent="0.25">
      <c r="A1" t="s">
        <v>399</v>
      </c>
      <c r="B1" s="112">
        <v>44511</v>
      </c>
      <c r="D1" s="115" t="s">
        <v>119</v>
      </c>
      <c r="E1" s="121" t="s">
        <v>386</v>
      </c>
      <c r="F1" s="121" t="s">
        <v>398</v>
      </c>
      <c r="G1" s="90"/>
      <c r="H1" s="120" t="s">
        <v>385</v>
      </c>
      <c r="I1" s="120" t="s">
        <v>398</v>
      </c>
      <c r="J1" s="90"/>
      <c r="K1" s="119" t="s">
        <v>382</v>
      </c>
      <c r="L1" s="119" t="s">
        <v>398</v>
      </c>
      <c r="M1" s="90"/>
      <c r="N1" s="118" t="s">
        <v>381</v>
      </c>
      <c r="O1" s="118" t="s">
        <v>398</v>
      </c>
      <c r="P1" s="90"/>
      <c r="Q1" s="117" t="s">
        <v>380</v>
      </c>
      <c r="R1" s="116" t="s">
        <v>398</v>
      </c>
    </row>
    <row r="2" spans="1:18" x14ac:dyDescent="0.25">
      <c r="A2" t="s">
        <v>397</v>
      </c>
      <c r="B2" s="112">
        <v>44554</v>
      </c>
      <c r="D2" s="115">
        <f>COUNTIFS(Data!E:E,"&gt;="&amp;Support!B1,Data!E:E,"&lt;="&amp;Support!B2)</f>
        <v>2</v>
      </c>
      <c r="E2" s="122" t="s">
        <v>396</v>
      </c>
      <c r="F2" s="90">
        <f>COUNTIFS(Data!E:E,"&gt;="&amp;Support!$B$1,Data!E:E,"&lt;="&amp;Support!$B$2,Data!C:C,Support!E2)</f>
        <v>1</v>
      </c>
      <c r="H2" s="122" t="s">
        <v>377</v>
      </c>
      <c r="I2" s="90">
        <f>COUNTIFS(Data!E:E,"&gt;="&amp;Support!$B$1,Data!E:E,"&lt;="&amp;Support!$B$2,Data!D:D,Support!H2)</f>
        <v>1</v>
      </c>
      <c r="K2" s="122" t="s">
        <v>395</v>
      </c>
      <c r="L2">
        <f>COUNTIFS(Data!E:E,"&gt;="&amp;Support!$B$1,Data!E:E,"&lt;="&amp;Support!$B$2,Data!G:G,Support!K2)</f>
        <v>0</v>
      </c>
      <c r="N2" s="122" t="s">
        <v>374</v>
      </c>
      <c r="O2">
        <f>COUNTIFS(Data!E:E,"&gt;="&amp;Support!$B$1,Data!E:E,"&lt;="&amp;Support!$B$2,Data!H:H,Support!N2)</f>
        <v>2</v>
      </c>
      <c r="Q2" s="122" t="s">
        <v>373</v>
      </c>
      <c r="R2">
        <f>COUNTIFS(Data!E:E,"&gt;="&amp;Support!$B$1,Data!E:E,"&lt;="&amp;Support!$B$2,Data!I:I,Support!Q2)</f>
        <v>2</v>
      </c>
    </row>
    <row r="3" spans="1:18" x14ac:dyDescent="0.25">
      <c r="E3" s="122" t="s">
        <v>377</v>
      </c>
      <c r="F3" s="122">
        <f>COUNTIFS(Data!E:E,"&gt;="&amp;Support!$B$1,Data!E:E,"&lt;="&amp;Support!$B$2,Data!C:C,Support!E3)</f>
        <v>1</v>
      </c>
      <c r="H3" s="122" t="s">
        <v>392</v>
      </c>
      <c r="I3" s="122">
        <f>COUNTIFS(Data!E:E,"&gt;="&amp;Support!$B$1,Data!E:E,"&lt;="&amp;Support!$B$2,Data!D:D,Support!H3)</f>
        <v>0</v>
      </c>
      <c r="K3" s="122" t="s">
        <v>375</v>
      </c>
      <c r="L3">
        <f>COUNTIFS(Data!E:E,"&gt;="&amp;Support!$B$1,Data!E:E,"&lt;="&amp;Support!$B$2,Data!G:G,Support!K3)</f>
        <v>2</v>
      </c>
      <c r="N3" s="122" t="s">
        <v>394</v>
      </c>
      <c r="O3">
        <f>COUNTIFS(Data!E:E,"&gt;="&amp;Support!$B$1,Data!E:E,"&lt;="&amp;Support!$B$2,Data!H:H,Support!N3)</f>
        <v>0</v>
      </c>
      <c r="Q3" s="122" t="s">
        <v>393</v>
      </c>
      <c r="R3">
        <f>COUNTIFS(Data!E:E,"&gt;="&amp;Support!$B$1,Data!E:E,"&lt;="&amp;Support!$B$2,Data!I:I,Support!Q3)</f>
        <v>0</v>
      </c>
    </row>
    <row r="4" spans="1:18" x14ac:dyDescent="0.25">
      <c r="E4" s="122" t="s">
        <v>392</v>
      </c>
      <c r="F4" s="122">
        <f>COUNTIFS(Data!E:E,"&gt;="&amp;Support!$B$1,Data!E:E,"&lt;="&amp;Support!$B$2,Data!C:C,Support!E4)</f>
        <v>0</v>
      </c>
      <c r="H4" s="122" t="s">
        <v>376</v>
      </c>
      <c r="I4" s="122">
        <f>COUNTIFS(Data!E:E,"&gt;="&amp;Support!$B$1,Data!E:E,"&lt;="&amp;Support!$B$2,Data!D:D,Support!H4)</f>
        <v>1</v>
      </c>
      <c r="K4" s="122" t="s">
        <v>391</v>
      </c>
      <c r="L4">
        <f>COUNTIFS(Data!E:E,"&gt;="&amp;Support!$B$1,Data!E:E,"&lt;="&amp;Support!$B$2,Data!G:G,Support!K4)</f>
        <v>0</v>
      </c>
      <c r="N4" s="122" t="s">
        <v>390</v>
      </c>
      <c r="O4">
        <f>COUNTIFS(Data!E:E,"&gt;="&amp;Support!$B$1,Data!E:E,"&lt;="&amp;Support!$B$2,Data!H:H,Support!N4)</f>
        <v>0</v>
      </c>
    </row>
    <row r="5" spans="1:18" x14ac:dyDescent="0.25">
      <c r="E5" s="122" t="s">
        <v>376</v>
      </c>
      <c r="F5" s="122">
        <f>COUNTIFS(Data!E:E,"&gt;="&amp;Support!$B$1,Data!E:E,"&lt;="&amp;Support!$B$2,Data!C:C,Support!E5)</f>
        <v>0</v>
      </c>
      <c r="K5" t="s">
        <v>389</v>
      </c>
      <c r="L5">
        <f>COUNTIFS(Data!E:E,"&gt;="&amp;Support!$B$1,Data!E:E,"&lt;="&amp;Support!$B$2,Data!G:G,Support!K5)</f>
        <v>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BC36-CA9B-4C91-99BF-CFD009C806C0}">
  <sheetPr codeName="Sheet14"/>
  <dimension ref="A1:K3"/>
  <sheetViews>
    <sheetView showGridLines="0" workbookViewId="0">
      <selection activeCell="B2" sqref="B2"/>
    </sheetView>
  </sheetViews>
  <sheetFormatPr defaultRowHeight="15" x14ac:dyDescent="0.25"/>
  <cols>
    <col min="1" max="1" width="6.140625" customWidth="1"/>
    <col min="2" max="4" width="15.5703125" customWidth="1"/>
    <col min="5" max="6" width="15.5703125" style="112" customWidth="1"/>
    <col min="7" max="11" width="15.5703125" customWidth="1"/>
  </cols>
  <sheetData>
    <row r="1" spans="1:11" ht="15" customHeight="1" x14ac:dyDescent="0.25">
      <c r="A1" s="3" t="s">
        <v>388</v>
      </c>
      <c r="B1" s="3" t="s">
        <v>387</v>
      </c>
      <c r="C1" s="3" t="s">
        <v>386</v>
      </c>
      <c r="D1" s="3" t="s">
        <v>385</v>
      </c>
      <c r="E1" s="114" t="s">
        <v>384</v>
      </c>
      <c r="F1" s="114" t="s">
        <v>383</v>
      </c>
      <c r="G1" s="3" t="s">
        <v>382</v>
      </c>
      <c r="H1" s="3" t="s">
        <v>381</v>
      </c>
      <c r="I1" s="3" t="s">
        <v>380</v>
      </c>
      <c r="J1" s="3" t="s">
        <v>151</v>
      </c>
      <c r="K1" s="3" t="s">
        <v>379</v>
      </c>
    </row>
    <row r="2" spans="1:11" x14ac:dyDescent="0.25">
      <c r="A2">
        <v>1</v>
      </c>
      <c r="B2" t="s">
        <v>378</v>
      </c>
      <c r="C2" t="s">
        <v>377</v>
      </c>
      <c r="D2" t="s">
        <v>376</v>
      </c>
      <c r="E2" s="112">
        <v>44554</v>
      </c>
      <c r="F2" s="112">
        <v>44546</v>
      </c>
      <c r="G2" t="s">
        <v>375</v>
      </c>
      <c r="H2" t="s">
        <v>374</v>
      </c>
      <c r="I2" t="s">
        <v>373</v>
      </c>
      <c r="K2" s="113">
        <v>44544.54005787037</v>
      </c>
    </row>
    <row r="3" spans="1:11" x14ac:dyDescent="0.25">
      <c r="A3">
        <v>2</v>
      </c>
      <c r="B3" t="s">
        <v>400</v>
      </c>
      <c r="C3" t="s">
        <v>396</v>
      </c>
      <c r="D3" t="s">
        <v>377</v>
      </c>
      <c r="E3" s="112">
        <v>44539</v>
      </c>
      <c r="G3" t="s">
        <v>375</v>
      </c>
      <c r="H3" t="s">
        <v>374</v>
      </c>
      <c r="I3" t="s">
        <v>373</v>
      </c>
      <c r="J3" t="s">
        <v>401</v>
      </c>
      <c r="K3" s="113">
        <v>44550.129224537035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38382-8C29-41EA-9226-F6A72370B316}">
  <sheetPr codeName="Sheet13"/>
  <dimension ref="A1:CP627"/>
  <sheetViews>
    <sheetView showGridLines="0" workbookViewId="0">
      <selection activeCell="K30" sqref="K30"/>
    </sheetView>
  </sheetViews>
  <sheetFormatPr defaultRowHeight="15" x14ac:dyDescent="0.25"/>
  <sheetData>
    <row r="1" spans="1:92" x14ac:dyDescent="0.25">
      <c r="A1" s="128" t="s">
        <v>372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</row>
    <row r="2" spans="1:92" x14ac:dyDescent="0.2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</row>
    <row r="3" spans="1:92" x14ac:dyDescent="0.25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0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  <c r="BF3" s="10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</row>
    <row r="4" spans="1:92" x14ac:dyDescent="0.25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0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</row>
    <row r="5" spans="1:92" x14ac:dyDescent="0.25">
      <c r="A5" s="110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0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09"/>
      <c r="CC5" s="109"/>
      <c r="CD5" s="109"/>
      <c r="CE5" s="109"/>
      <c r="CF5" s="109"/>
      <c r="CG5" s="109"/>
      <c r="CH5" s="109"/>
      <c r="CI5" s="109"/>
      <c r="CJ5" s="109"/>
      <c r="CK5" s="109"/>
      <c r="CL5" s="109"/>
      <c r="CM5" s="109"/>
      <c r="CN5" s="109"/>
    </row>
    <row r="6" spans="1:92" x14ac:dyDescent="0.25">
      <c r="A6" s="110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0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09"/>
      <c r="AZ6" s="109"/>
      <c r="BA6" s="109"/>
      <c r="BB6" s="109"/>
      <c r="BC6" s="109"/>
      <c r="BD6" s="109"/>
      <c r="BE6" s="109"/>
      <c r="BF6" s="109"/>
      <c r="BG6" s="109"/>
      <c r="BH6" s="109"/>
      <c r="BI6" s="109"/>
      <c r="BJ6" s="109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09"/>
      <c r="BZ6" s="109"/>
      <c r="CA6" s="109"/>
      <c r="CB6" s="109"/>
      <c r="CC6" s="109"/>
      <c r="CD6" s="109"/>
      <c r="CE6" s="109"/>
      <c r="CF6" s="109"/>
      <c r="CG6" s="109"/>
      <c r="CH6" s="109"/>
      <c r="CI6" s="109"/>
      <c r="CJ6" s="109"/>
      <c r="CK6" s="109"/>
      <c r="CL6" s="109"/>
      <c r="CM6" s="109"/>
      <c r="CN6" s="109"/>
    </row>
    <row r="7" spans="1:92" x14ac:dyDescent="0.25">
      <c r="A7" s="110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0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09"/>
      <c r="CL7" s="109"/>
      <c r="CM7" s="109"/>
      <c r="CN7" s="109"/>
    </row>
    <row r="8" spans="1:92" x14ac:dyDescent="0.25">
      <c r="A8" s="110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0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  <c r="CH8" s="109"/>
      <c r="CI8" s="109"/>
      <c r="CJ8" s="109"/>
      <c r="CK8" s="109"/>
      <c r="CL8" s="109"/>
      <c r="CM8" s="109"/>
      <c r="CN8" s="109"/>
    </row>
    <row r="9" spans="1:92" x14ac:dyDescent="0.25">
      <c r="A9" s="110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0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/>
      <c r="BO9" s="109"/>
      <c r="BP9" s="109"/>
      <c r="BQ9" s="109"/>
      <c r="BR9" s="109"/>
      <c r="BS9" s="109"/>
      <c r="BT9" s="109"/>
      <c r="BU9" s="109"/>
      <c r="BV9" s="109"/>
      <c r="BW9" s="109"/>
      <c r="BX9" s="109"/>
      <c r="BY9" s="109"/>
      <c r="BZ9" s="109"/>
      <c r="CA9" s="109"/>
      <c r="CB9" s="109"/>
      <c r="CC9" s="109"/>
      <c r="CD9" s="109"/>
      <c r="CE9" s="109"/>
      <c r="CF9" s="109"/>
      <c r="CG9" s="109"/>
      <c r="CH9" s="109"/>
      <c r="CI9" s="109"/>
      <c r="CJ9" s="109"/>
      <c r="CK9" s="109"/>
      <c r="CL9" s="109"/>
      <c r="CM9" s="109"/>
      <c r="CN9" s="109"/>
    </row>
    <row r="10" spans="1:92" x14ac:dyDescent="0.25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0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  <c r="BR10" s="109"/>
      <c r="BS10" s="109"/>
      <c r="BT10" s="109"/>
      <c r="BU10" s="109"/>
      <c r="BV10" s="109"/>
      <c r="BW10" s="109"/>
      <c r="BX10" s="109"/>
      <c r="BY10" s="109"/>
      <c r="BZ10" s="109"/>
      <c r="CA10" s="109"/>
      <c r="CB10" s="109"/>
      <c r="CC10" s="109"/>
      <c r="CD10" s="109"/>
      <c r="CE10" s="109"/>
      <c r="CF10" s="109"/>
      <c r="CG10" s="109"/>
      <c r="CH10" s="109"/>
      <c r="CI10" s="109"/>
      <c r="CJ10" s="109"/>
      <c r="CK10" s="109"/>
      <c r="CL10" s="109"/>
      <c r="CM10" s="109"/>
      <c r="CN10" s="109"/>
    </row>
    <row r="11" spans="1:92" x14ac:dyDescent="0.25">
      <c r="A11" s="110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0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</row>
    <row r="12" spans="1:92" x14ac:dyDescent="0.25">
      <c r="A12" s="110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0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09"/>
      <c r="CE12" s="109"/>
      <c r="CF12" s="109"/>
      <c r="CG12" s="109"/>
      <c r="CH12" s="109"/>
      <c r="CI12" s="109"/>
      <c r="CJ12" s="109"/>
      <c r="CK12" s="109"/>
      <c r="CL12" s="109"/>
      <c r="CM12" s="109"/>
      <c r="CN12" s="109"/>
    </row>
    <row r="13" spans="1:92" x14ac:dyDescent="0.25">
      <c r="A13" s="110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0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09"/>
      <c r="CE13" s="109"/>
      <c r="CF13" s="109"/>
      <c r="CG13" s="109"/>
      <c r="CH13" s="109"/>
      <c r="CI13" s="109"/>
      <c r="CJ13" s="109"/>
      <c r="CK13" s="109"/>
      <c r="CL13" s="109"/>
      <c r="CM13" s="109"/>
      <c r="CN13" s="109"/>
    </row>
    <row r="14" spans="1:92" x14ac:dyDescent="0.25">
      <c r="A14" s="110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0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09"/>
      <c r="CE14" s="109"/>
      <c r="CF14" s="109"/>
      <c r="CG14" s="109"/>
      <c r="CH14" s="109"/>
      <c r="CI14" s="109"/>
      <c r="CJ14" s="109"/>
      <c r="CK14" s="109"/>
      <c r="CL14" s="109"/>
      <c r="CM14" s="109"/>
      <c r="CN14" s="109"/>
    </row>
    <row r="15" spans="1:92" x14ac:dyDescent="0.25">
      <c r="A15" s="110"/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</row>
    <row r="16" spans="1:92" x14ac:dyDescent="0.25">
      <c r="A16" s="110"/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09"/>
      <c r="CC16" s="109"/>
      <c r="CD16" s="109"/>
      <c r="CE16" s="109"/>
      <c r="CF16" s="109"/>
      <c r="CG16" s="109"/>
      <c r="CH16" s="109"/>
      <c r="CI16" s="109"/>
      <c r="CJ16" s="109"/>
      <c r="CK16" s="109"/>
      <c r="CL16" s="109"/>
      <c r="CM16" s="109"/>
      <c r="CN16" s="109"/>
    </row>
    <row r="17" spans="1:94" x14ac:dyDescent="0.25">
      <c r="A17" s="110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09"/>
      <c r="CC17" s="109"/>
      <c r="CD17" s="109"/>
      <c r="CE17" s="109"/>
      <c r="CF17" s="109"/>
      <c r="CG17" s="109"/>
      <c r="CH17" s="109"/>
      <c r="CI17" s="109"/>
      <c r="CJ17" s="109"/>
      <c r="CK17" s="109"/>
      <c r="CL17" s="109"/>
      <c r="CM17" s="109"/>
      <c r="CN17" s="109"/>
    </row>
    <row r="18" spans="1:94" x14ac:dyDescent="0.25">
      <c r="A18" s="109"/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</row>
    <row r="19" spans="1:94" x14ac:dyDescent="0.25">
      <c r="A19" s="109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</row>
    <row r="20" spans="1:94" x14ac:dyDescent="0.25">
      <c r="A20" s="109"/>
      <c r="B20" s="10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</row>
    <row r="21" spans="1:94" x14ac:dyDescent="0.25">
      <c r="A21" s="109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</row>
    <row r="22" spans="1:94" x14ac:dyDescent="0.25">
      <c r="A22" s="109"/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</row>
    <row r="23" spans="1:94" x14ac:dyDescent="0.25">
      <c r="A23" s="109"/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</row>
    <row r="24" spans="1:94" x14ac:dyDescent="0.25">
      <c r="A24" s="109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</row>
    <row r="25" spans="1:94" x14ac:dyDescent="0.25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</row>
    <row r="26" spans="1:94" x14ac:dyDescent="0.25">
      <c r="A26" s="109"/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</row>
    <row r="27" spans="1:94" x14ac:dyDescent="0.25">
      <c r="A27" s="109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  <c r="BY27" s="109"/>
      <c r="BZ27" s="109"/>
      <c r="CA27" s="109"/>
      <c r="CB27" s="109"/>
      <c r="CC27" s="109"/>
      <c r="CD27" s="109"/>
      <c r="CE27" s="109"/>
      <c r="CF27" s="109"/>
      <c r="CG27" s="109"/>
      <c r="CH27" s="109"/>
      <c r="CI27" s="109"/>
      <c r="CJ27" s="109"/>
      <c r="CK27" s="109"/>
      <c r="CL27" s="109"/>
      <c r="CM27" s="109"/>
      <c r="CN27" s="109"/>
      <c r="CO27" s="109"/>
      <c r="CP27" s="109"/>
    </row>
    <row r="28" spans="1:94" x14ac:dyDescent="0.25">
      <c r="A28" s="109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  <c r="BY28" s="109"/>
      <c r="BZ28" s="109"/>
      <c r="CA28" s="109"/>
      <c r="CB28" s="109"/>
      <c r="CC28" s="109"/>
      <c r="CD28" s="109"/>
      <c r="CE28" s="109"/>
      <c r="CF28" s="109"/>
      <c r="CG28" s="109"/>
      <c r="CH28" s="109"/>
      <c r="CI28" s="109"/>
      <c r="CJ28" s="109"/>
      <c r="CK28" s="109"/>
      <c r="CL28" s="109"/>
      <c r="CM28" s="109"/>
      <c r="CN28" s="109"/>
      <c r="CO28" s="109"/>
      <c r="CP28" s="109"/>
    </row>
    <row r="29" spans="1:94" x14ac:dyDescent="0.25">
      <c r="A29" s="109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09"/>
      <c r="CC29" s="109"/>
      <c r="CD29" s="109"/>
      <c r="CE29" s="109"/>
      <c r="CF29" s="109"/>
      <c r="CG29" s="109"/>
      <c r="CH29" s="109"/>
      <c r="CI29" s="109"/>
      <c r="CJ29" s="109"/>
      <c r="CK29" s="109"/>
      <c r="CL29" s="109"/>
      <c r="CM29" s="109"/>
      <c r="CN29" s="109"/>
      <c r="CO29" s="109"/>
      <c r="CP29" s="109"/>
    </row>
    <row r="30" spans="1:94" x14ac:dyDescent="0.25">
      <c r="A30" s="109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09"/>
      <c r="CC30" s="109"/>
      <c r="CD30" s="109"/>
      <c r="CE30" s="109"/>
      <c r="CF30" s="109"/>
      <c r="CG30" s="109"/>
      <c r="CH30" s="109"/>
      <c r="CI30" s="109"/>
      <c r="CJ30" s="109"/>
      <c r="CK30" s="109"/>
      <c r="CL30" s="109"/>
      <c r="CM30" s="109"/>
      <c r="CN30" s="109"/>
      <c r="CO30" s="109"/>
      <c r="CP30" s="109"/>
    </row>
    <row r="31" spans="1:94" x14ac:dyDescent="0.25">
      <c r="A31" s="109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</row>
    <row r="32" spans="1:94" x14ac:dyDescent="0.25">
      <c r="A32" s="109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09"/>
      <c r="CJ32" s="109"/>
      <c r="CK32" s="109"/>
      <c r="CL32" s="109"/>
      <c r="CM32" s="109"/>
      <c r="CN32" s="109"/>
      <c r="CO32" s="109"/>
      <c r="CP32" s="109"/>
    </row>
    <row r="33" spans="1:94" x14ac:dyDescent="0.25">
      <c r="A33" s="109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</row>
    <row r="34" spans="1:94" x14ac:dyDescent="0.25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09"/>
      <c r="CC34" s="109"/>
      <c r="CD34" s="109"/>
      <c r="CE34" s="109"/>
      <c r="CF34" s="109"/>
      <c r="CG34" s="109"/>
      <c r="CH34" s="109"/>
      <c r="CI34" s="109"/>
      <c r="CJ34" s="109"/>
      <c r="CK34" s="109"/>
      <c r="CL34" s="109"/>
      <c r="CM34" s="109"/>
      <c r="CN34" s="109"/>
      <c r="CO34" s="109"/>
      <c r="CP34" s="109"/>
    </row>
    <row r="35" spans="1:94" x14ac:dyDescent="0.25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09"/>
      <c r="CC35" s="109"/>
      <c r="CD35" s="109"/>
      <c r="CE35" s="109"/>
      <c r="CF35" s="109"/>
      <c r="CG35" s="109"/>
      <c r="CH35" s="109"/>
      <c r="CI35" s="109"/>
      <c r="CJ35" s="109"/>
      <c r="CK35" s="109"/>
      <c r="CL35" s="109"/>
      <c r="CM35" s="109"/>
      <c r="CN35" s="109"/>
      <c r="CO35" s="109"/>
      <c r="CP35" s="109"/>
    </row>
    <row r="36" spans="1:94" x14ac:dyDescent="0.25">
      <c r="A36" s="109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09"/>
      <c r="CC36" s="109"/>
      <c r="CD36" s="109"/>
      <c r="CE36" s="109"/>
      <c r="CF36" s="109"/>
      <c r="CG36" s="109"/>
      <c r="CH36" s="109"/>
      <c r="CI36" s="109"/>
      <c r="CJ36" s="109"/>
      <c r="CK36" s="109"/>
      <c r="CL36" s="109"/>
      <c r="CM36" s="109"/>
      <c r="CN36" s="109"/>
      <c r="CO36" s="109"/>
      <c r="CP36" s="109"/>
    </row>
    <row r="37" spans="1:94" x14ac:dyDescent="0.25">
      <c r="A37" s="109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09"/>
      <c r="CC37" s="109"/>
      <c r="CD37" s="109"/>
      <c r="CE37" s="109"/>
      <c r="CF37" s="109"/>
      <c r="CG37" s="109"/>
      <c r="CH37" s="109"/>
      <c r="CI37" s="109"/>
      <c r="CJ37" s="109"/>
      <c r="CK37" s="109"/>
      <c r="CL37" s="109"/>
      <c r="CM37" s="109"/>
      <c r="CN37" s="109"/>
      <c r="CO37" s="109"/>
      <c r="CP37" s="109"/>
    </row>
    <row r="38" spans="1:94" x14ac:dyDescent="0.25">
      <c r="A38" s="109"/>
      <c r="B38" s="10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09"/>
      <c r="CP38" s="109"/>
    </row>
    <row r="39" spans="1:94" x14ac:dyDescent="0.25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09"/>
      <c r="CC39" s="109"/>
      <c r="CD39" s="109"/>
      <c r="CE39" s="109"/>
      <c r="CF39" s="109"/>
      <c r="CG39" s="109"/>
      <c r="CH39" s="109"/>
      <c r="CI39" s="109"/>
      <c r="CJ39" s="109"/>
      <c r="CK39" s="109"/>
      <c r="CL39" s="109"/>
      <c r="CM39" s="109"/>
      <c r="CN39" s="109"/>
      <c r="CO39" s="109"/>
      <c r="CP39" s="109"/>
    </row>
    <row r="40" spans="1:94" x14ac:dyDescent="0.25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09"/>
      <c r="CC40" s="109"/>
      <c r="CD40" s="109"/>
      <c r="CE40" s="109"/>
      <c r="CF40" s="109"/>
      <c r="CG40" s="109"/>
      <c r="CH40" s="109"/>
      <c r="CI40" s="109"/>
      <c r="CJ40" s="109"/>
      <c r="CK40" s="109"/>
      <c r="CL40" s="109"/>
      <c r="CM40" s="109"/>
      <c r="CN40" s="109"/>
      <c r="CO40" s="109"/>
      <c r="CP40" s="109"/>
    </row>
    <row r="41" spans="1:94" x14ac:dyDescent="0.25">
      <c r="A41" s="109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09"/>
      <c r="CC41" s="109"/>
      <c r="CD41" s="109"/>
      <c r="CE41" s="109"/>
      <c r="CF41" s="109"/>
      <c r="CG41" s="109"/>
      <c r="CH41" s="109"/>
      <c r="CI41" s="109"/>
      <c r="CJ41" s="109"/>
      <c r="CK41" s="109"/>
      <c r="CL41" s="109"/>
      <c r="CM41" s="109"/>
      <c r="CN41" s="109"/>
      <c r="CO41" s="109"/>
      <c r="CP41" s="109"/>
    </row>
    <row r="42" spans="1:94" x14ac:dyDescent="0.25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09"/>
      <c r="CC42" s="109"/>
      <c r="CD42" s="109"/>
      <c r="CE42" s="109"/>
      <c r="CF42" s="109"/>
      <c r="CG42" s="109"/>
      <c r="CH42" s="109"/>
      <c r="CI42" s="109"/>
      <c r="CJ42" s="109"/>
      <c r="CK42" s="109"/>
      <c r="CL42" s="109"/>
      <c r="CM42" s="109"/>
      <c r="CN42" s="109"/>
      <c r="CO42" s="109"/>
      <c r="CP42" s="109"/>
    </row>
    <row r="43" spans="1:94" x14ac:dyDescent="0.25">
      <c r="A43" s="109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09"/>
      <c r="CC43" s="109"/>
      <c r="CD43" s="109"/>
      <c r="CE43" s="109"/>
      <c r="CF43" s="109"/>
      <c r="CG43" s="109"/>
      <c r="CH43" s="109"/>
      <c r="CI43" s="109"/>
      <c r="CJ43" s="109"/>
      <c r="CK43" s="109"/>
      <c r="CL43" s="109"/>
      <c r="CM43" s="109"/>
      <c r="CN43" s="109"/>
      <c r="CO43" s="109"/>
      <c r="CP43" s="109"/>
    </row>
    <row r="44" spans="1:94" x14ac:dyDescent="0.25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09"/>
      <c r="CC44" s="109"/>
      <c r="CD44" s="109"/>
      <c r="CE44" s="109"/>
      <c r="CF44" s="109"/>
      <c r="CG44" s="109"/>
      <c r="CH44" s="109"/>
      <c r="CI44" s="109"/>
      <c r="CJ44" s="109"/>
      <c r="CK44" s="109"/>
      <c r="CL44" s="109"/>
      <c r="CM44" s="109"/>
      <c r="CN44" s="109"/>
      <c r="CO44" s="109"/>
      <c r="CP44" s="109"/>
    </row>
    <row r="45" spans="1:94" x14ac:dyDescent="0.25">
      <c r="A45" s="109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09"/>
      <c r="CC45" s="109"/>
      <c r="CD45" s="109"/>
      <c r="CE45" s="109"/>
      <c r="CF45" s="109"/>
      <c r="CG45" s="109"/>
      <c r="CH45" s="109"/>
      <c r="CI45" s="109"/>
      <c r="CJ45" s="109"/>
      <c r="CK45" s="109"/>
      <c r="CL45" s="109"/>
      <c r="CM45" s="109"/>
      <c r="CN45" s="109"/>
      <c r="CO45" s="109"/>
      <c r="CP45" s="109"/>
    </row>
    <row r="46" spans="1:94" x14ac:dyDescent="0.25">
      <c r="A46" s="109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09"/>
      <c r="CC46" s="109"/>
      <c r="CD46" s="109"/>
      <c r="CE46" s="109"/>
      <c r="CF46" s="109"/>
      <c r="CG46" s="109"/>
      <c r="CH46" s="109"/>
      <c r="CI46" s="109"/>
      <c r="CJ46" s="109"/>
      <c r="CK46" s="109"/>
      <c r="CL46" s="109"/>
      <c r="CM46" s="109"/>
      <c r="CN46" s="109"/>
      <c r="CO46" s="109"/>
      <c r="CP46" s="109"/>
    </row>
    <row r="47" spans="1:94" x14ac:dyDescent="0.25">
      <c r="A47" s="109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  <c r="BY47" s="109"/>
      <c r="BZ47" s="109"/>
      <c r="CA47" s="109"/>
      <c r="CB47" s="109"/>
      <c r="CC47" s="109"/>
      <c r="CD47" s="109"/>
      <c r="CE47" s="109"/>
      <c r="CF47" s="109"/>
      <c r="CG47" s="109"/>
      <c r="CH47" s="109"/>
      <c r="CI47" s="109"/>
      <c r="CJ47" s="109"/>
      <c r="CK47" s="109"/>
      <c r="CL47" s="109"/>
      <c r="CM47" s="109"/>
      <c r="CN47" s="109"/>
      <c r="CO47" s="109"/>
      <c r="CP47" s="109"/>
    </row>
    <row r="48" spans="1:94" x14ac:dyDescent="0.25">
      <c r="A48" s="109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  <c r="BY48" s="109"/>
      <c r="BZ48" s="109"/>
      <c r="CA48" s="109"/>
      <c r="CB48" s="109"/>
      <c r="CC48" s="109"/>
      <c r="CD48" s="109"/>
      <c r="CE48" s="109"/>
      <c r="CF48" s="109"/>
      <c r="CG48" s="109"/>
      <c r="CH48" s="109"/>
      <c r="CI48" s="109"/>
      <c r="CJ48" s="109"/>
      <c r="CK48" s="109"/>
      <c r="CL48" s="109"/>
      <c r="CM48" s="109"/>
      <c r="CN48" s="109"/>
      <c r="CO48" s="109"/>
      <c r="CP48" s="109"/>
    </row>
    <row r="49" spans="1:94" x14ac:dyDescent="0.2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  <c r="BY49" s="109"/>
      <c r="BZ49" s="109"/>
      <c r="CA49" s="109"/>
      <c r="CB49" s="109"/>
      <c r="CC49" s="109"/>
      <c r="CD49" s="109"/>
      <c r="CE49" s="109"/>
      <c r="CF49" s="109"/>
      <c r="CG49" s="109"/>
      <c r="CH49" s="109"/>
      <c r="CI49" s="109"/>
      <c r="CJ49" s="109"/>
      <c r="CK49" s="109"/>
      <c r="CL49" s="109"/>
      <c r="CM49" s="109"/>
      <c r="CN49" s="109"/>
      <c r="CO49" s="109"/>
      <c r="CP49" s="109"/>
    </row>
    <row r="50" spans="1:94" x14ac:dyDescent="0.25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  <c r="BY50" s="109"/>
      <c r="BZ50" s="109"/>
      <c r="CA50" s="109"/>
      <c r="CB50" s="109"/>
      <c r="CC50" s="109"/>
      <c r="CD50" s="109"/>
      <c r="CE50" s="109"/>
      <c r="CF50" s="109"/>
      <c r="CG50" s="109"/>
      <c r="CH50" s="109"/>
      <c r="CI50" s="109"/>
      <c r="CJ50" s="109"/>
      <c r="CK50" s="109"/>
      <c r="CL50" s="109"/>
      <c r="CM50" s="109"/>
      <c r="CN50" s="109"/>
      <c r="CO50" s="109"/>
      <c r="CP50" s="109"/>
    </row>
    <row r="51" spans="1:94" x14ac:dyDescent="0.25">
      <c r="A51" s="109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  <c r="BY51" s="109"/>
      <c r="BZ51" s="109"/>
      <c r="CA51" s="109"/>
      <c r="CB51" s="109"/>
      <c r="CC51" s="109"/>
      <c r="CD51" s="109"/>
      <c r="CE51" s="109"/>
      <c r="CF51" s="109"/>
      <c r="CG51" s="109"/>
      <c r="CH51" s="109"/>
      <c r="CI51" s="109"/>
      <c r="CJ51" s="109"/>
      <c r="CK51" s="109"/>
      <c r="CL51" s="109"/>
      <c r="CM51" s="109"/>
      <c r="CN51" s="109"/>
      <c r="CO51" s="109"/>
      <c r="CP51" s="109"/>
    </row>
    <row r="52" spans="1:94" x14ac:dyDescent="0.25">
      <c r="A52" s="109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</row>
    <row r="53" spans="1:94" x14ac:dyDescent="0.25">
      <c r="A53" s="109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  <c r="BY53" s="109"/>
      <c r="BZ53" s="109"/>
      <c r="CA53" s="109"/>
      <c r="CB53" s="109"/>
      <c r="CC53" s="109"/>
      <c r="CD53" s="109"/>
      <c r="CE53" s="109"/>
      <c r="CF53" s="109"/>
      <c r="CG53" s="109"/>
      <c r="CH53" s="109"/>
      <c r="CI53" s="109"/>
      <c r="CJ53" s="109"/>
      <c r="CK53" s="109"/>
      <c r="CL53" s="109"/>
      <c r="CM53" s="109"/>
      <c r="CN53" s="109"/>
      <c r="CO53" s="109"/>
      <c r="CP53" s="109"/>
    </row>
    <row r="54" spans="1:94" x14ac:dyDescent="0.25">
      <c r="A54" s="109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09"/>
      <c r="CJ54" s="109"/>
      <c r="CK54" s="109"/>
      <c r="CL54" s="109"/>
      <c r="CM54" s="109"/>
      <c r="CN54" s="109"/>
      <c r="CO54" s="109"/>
      <c r="CP54" s="109"/>
    </row>
    <row r="55" spans="1:94" x14ac:dyDescent="0.25">
      <c r="A55" s="109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  <c r="BY55" s="109"/>
      <c r="BZ55" s="109"/>
      <c r="CA55" s="109"/>
      <c r="CB55" s="109"/>
      <c r="CC55" s="109"/>
      <c r="CD55" s="109"/>
      <c r="CE55" s="109"/>
      <c r="CF55" s="109"/>
      <c r="CG55" s="109"/>
      <c r="CH55" s="109"/>
      <c r="CI55" s="109"/>
      <c r="CJ55" s="109"/>
      <c r="CK55" s="109"/>
      <c r="CL55" s="109"/>
      <c r="CM55" s="109"/>
      <c r="CN55" s="109"/>
      <c r="CO55" s="109"/>
      <c r="CP55" s="109"/>
    </row>
    <row r="56" spans="1:94" x14ac:dyDescent="0.25">
      <c r="A56" s="109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  <c r="BY56" s="109"/>
      <c r="BZ56" s="109"/>
      <c r="CA56" s="109"/>
      <c r="CB56" s="109"/>
      <c r="CC56" s="109"/>
      <c r="CD56" s="109"/>
      <c r="CE56" s="109"/>
      <c r="CF56" s="109"/>
      <c r="CG56" s="109"/>
      <c r="CH56" s="109"/>
      <c r="CI56" s="109"/>
      <c r="CJ56" s="109"/>
      <c r="CK56" s="109"/>
      <c r="CL56" s="109"/>
      <c r="CM56" s="109"/>
      <c r="CN56" s="109"/>
      <c r="CO56" s="109"/>
      <c r="CP56" s="109"/>
    </row>
    <row r="57" spans="1:94" x14ac:dyDescent="0.25">
      <c r="A57" s="109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9"/>
      <c r="CE57" s="109"/>
      <c r="CF57" s="109"/>
      <c r="CG57" s="109"/>
      <c r="CH57" s="109"/>
      <c r="CI57" s="109"/>
      <c r="CJ57" s="109"/>
      <c r="CK57" s="109"/>
      <c r="CL57" s="109"/>
      <c r="CM57" s="109"/>
      <c r="CN57" s="109"/>
      <c r="CO57" s="109"/>
      <c r="CP57" s="109"/>
    </row>
    <row r="58" spans="1:94" x14ac:dyDescent="0.25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9"/>
      <c r="CE58" s="109"/>
      <c r="CF58" s="109"/>
      <c r="CG58" s="109"/>
      <c r="CH58" s="109"/>
      <c r="CI58" s="109"/>
      <c r="CJ58" s="109"/>
      <c r="CK58" s="109"/>
      <c r="CL58" s="109"/>
      <c r="CM58" s="109"/>
      <c r="CN58" s="109"/>
      <c r="CO58" s="109"/>
      <c r="CP58" s="109"/>
    </row>
    <row r="59" spans="1:94" x14ac:dyDescent="0.25">
      <c r="A59" s="109"/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9"/>
      <c r="CE59" s="109"/>
      <c r="CF59" s="109"/>
      <c r="CG59" s="109"/>
      <c r="CH59" s="109"/>
      <c r="CI59" s="109"/>
      <c r="CJ59" s="109"/>
      <c r="CK59" s="109"/>
      <c r="CL59" s="109"/>
      <c r="CM59" s="109"/>
      <c r="CN59" s="109"/>
      <c r="CO59" s="109"/>
      <c r="CP59" s="109"/>
    </row>
    <row r="60" spans="1:94" x14ac:dyDescent="0.25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9"/>
      <c r="CE60" s="109"/>
      <c r="CF60" s="109"/>
      <c r="CG60" s="109"/>
      <c r="CH60" s="109"/>
      <c r="CI60" s="109"/>
      <c r="CJ60" s="109"/>
      <c r="CK60" s="109"/>
      <c r="CL60" s="109"/>
      <c r="CM60" s="109"/>
      <c r="CN60" s="109"/>
      <c r="CO60" s="109"/>
      <c r="CP60" s="109"/>
    </row>
    <row r="61" spans="1:94" x14ac:dyDescent="0.25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9"/>
      <c r="CE61" s="109"/>
      <c r="CF61" s="109"/>
      <c r="CG61" s="109"/>
      <c r="CH61" s="109"/>
      <c r="CI61" s="109"/>
      <c r="CJ61" s="109"/>
      <c r="CK61" s="109"/>
      <c r="CL61" s="109"/>
      <c r="CM61" s="109"/>
      <c r="CN61" s="109"/>
      <c r="CO61" s="109"/>
      <c r="CP61" s="109"/>
    </row>
    <row r="62" spans="1:94" x14ac:dyDescent="0.25">
      <c r="A62" s="109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9"/>
      <c r="CE62" s="109"/>
      <c r="CF62" s="109"/>
      <c r="CG62" s="109"/>
      <c r="CH62" s="109"/>
      <c r="CI62" s="109"/>
      <c r="CJ62" s="109"/>
      <c r="CK62" s="109"/>
      <c r="CL62" s="109"/>
      <c r="CM62" s="109"/>
      <c r="CN62" s="109"/>
      <c r="CO62" s="109"/>
      <c r="CP62" s="109"/>
    </row>
    <row r="63" spans="1:94" x14ac:dyDescent="0.25">
      <c r="A63" s="109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9"/>
      <c r="CE63" s="109"/>
      <c r="CF63" s="109"/>
      <c r="CG63" s="109"/>
      <c r="CH63" s="109"/>
      <c r="CI63" s="109"/>
      <c r="CJ63" s="109"/>
      <c r="CK63" s="109"/>
      <c r="CL63" s="109"/>
      <c r="CM63" s="109"/>
      <c r="CN63" s="109"/>
      <c r="CO63" s="109"/>
      <c r="CP63" s="109"/>
    </row>
    <row r="64" spans="1:94" x14ac:dyDescent="0.25">
      <c r="A64" s="109"/>
      <c r="B64" s="10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9"/>
      <c r="CE64" s="109"/>
      <c r="CF64" s="109"/>
      <c r="CG64" s="109"/>
      <c r="CH64" s="109"/>
      <c r="CI64" s="109"/>
      <c r="CJ64" s="109"/>
      <c r="CK64" s="109"/>
      <c r="CL64" s="109"/>
      <c r="CM64" s="109"/>
      <c r="CN64" s="109"/>
      <c r="CO64" s="109"/>
      <c r="CP64" s="109"/>
    </row>
    <row r="65" spans="1:94" x14ac:dyDescent="0.25">
      <c r="A65" s="109"/>
      <c r="B65" s="10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9"/>
      <c r="CE65" s="109"/>
      <c r="CF65" s="109"/>
      <c r="CG65" s="109"/>
      <c r="CH65" s="109"/>
      <c r="CI65" s="109"/>
      <c r="CJ65" s="109"/>
      <c r="CK65" s="109"/>
      <c r="CL65" s="109"/>
      <c r="CM65" s="109"/>
      <c r="CN65" s="109"/>
      <c r="CO65" s="109"/>
      <c r="CP65" s="109"/>
    </row>
    <row r="66" spans="1:94" x14ac:dyDescent="0.25">
      <c r="A66" s="109"/>
      <c r="B66" s="10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  <c r="BY66" s="109"/>
      <c r="BZ66" s="109"/>
      <c r="CA66" s="109"/>
      <c r="CB66" s="109"/>
      <c r="CC66" s="109"/>
      <c r="CD66" s="109"/>
      <c r="CE66" s="109"/>
      <c r="CF66" s="109"/>
      <c r="CG66" s="109"/>
      <c r="CH66" s="109"/>
      <c r="CI66" s="109"/>
      <c r="CJ66" s="109"/>
      <c r="CK66" s="109"/>
      <c r="CL66" s="109"/>
      <c r="CM66" s="109"/>
      <c r="CN66" s="109"/>
      <c r="CO66" s="109"/>
      <c r="CP66" s="109"/>
    </row>
    <row r="67" spans="1:94" x14ac:dyDescent="0.25">
      <c r="A67" s="109"/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  <c r="BY67" s="109"/>
      <c r="BZ67" s="109"/>
      <c r="CA67" s="109"/>
      <c r="CB67" s="109"/>
      <c r="CC67" s="109"/>
      <c r="CD67" s="109"/>
      <c r="CE67" s="109"/>
      <c r="CF67" s="109"/>
      <c r="CG67" s="109"/>
      <c r="CH67" s="109"/>
      <c r="CI67" s="109"/>
      <c r="CJ67" s="109"/>
      <c r="CK67" s="109"/>
      <c r="CL67" s="109"/>
      <c r="CM67" s="109"/>
      <c r="CN67" s="109"/>
      <c r="CO67" s="109"/>
      <c r="CP67" s="109"/>
    </row>
    <row r="68" spans="1:94" x14ac:dyDescent="0.25">
      <c r="A68" s="109"/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  <c r="BY68" s="109"/>
      <c r="BZ68" s="109"/>
      <c r="CA68" s="109"/>
      <c r="CB68" s="109"/>
      <c r="CC68" s="109"/>
      <c r="CD68" s="109"/>
      <c r="CE68" s="109"/>
      <c r="CF68" s="109"/>
      <c r="CG68" s="109"/>
      <c r="CH68" s="109"/>
      <c r="CI68" s="109"/>
      <c r="CJ68" s="109"/>
      <c r="CK68" s="109"/>
      <c r="CL68" s="109"/>
      <c r="CM68" s="109"/>
      <c r="CN68" s="109"/>
      <c r="CO68" s="109"/>
      <c r="CP68" s="109"/>
    </row>
    <row r="69" spans="1:94" x14ac:dyDescent="0.25">
      <c r="A69" s="109"/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  <c r="BY69" s="109"/>
      <c r="BZ69" s="109"/>
      <c r="CA69" s="109"/>
      <c r="CB69" s="109"/>
      <c r="CC69" s="109"/>
      <c r="CD69" s="109"/>
      <c r="CE69" s="109"/>
      <c r="CF69" s="109"/>
      <c r="CG69" s="109"/>
      <c r="CH69" s="109"/>
      <c r="CI69" s="109"/>
      <c r="CJ69" s="109"/>
      <c r="CK69" s="109"/>
      <c r="CL69" s="109"/>
      <c r="CM69" s="109"/>
      <c r="CN69" s="109"/>
      <c r="CO69" s="109"/>
      <c r="CP69" s="109"/>
    </row>
    <row r="70" spans="1:94" x14ac:dyDescent="0.25">
      <c r="A70" s="109"/>
      <c r="B70" s="10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</row>
    <row r="71" spans="1:94" x14ac:dyDescent="0.25">
      <c r="A71" s="109"/>
      <c r="B71" s="10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  <c r="BY71" s="109"/>
      <c r="BZ71" s="109"/>
      <c r="CA71" s="109"/>
      <c r="CB71" s="109"/>
      <c r="CC71" s="109"/>
      <c r="CD71" s="109"/>
      <c r="CE71" s="109"/>
      <c r="CF71" s="109"/>
      <c r="CG71" s="109"/>
      <c r="CH71" s="109"/>
      <c r="CI71" s="109"/>
      <c r="CJ71" s="109"/>
      <c r="CK71" s="109"/>
      <c r="CL71" s="109"/>
      <c r="CM71" s="109"/>
      <c r="CN71" s="109"/>
      <c r="CO71" s="109"/>
      <c r="CP71" s="109"/>
    </row>
    <row r="72" spans="1:94" x14ac:dyDescent="0.25">
      <c r="A72" s="109"/>
      <c r="B72" s="10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  <c r="BY72" s="109"/>
      <c r="BZ72" s="109"/>
      <c r="CA72" s="109"/>
      <c r="CB72" s="109"/>
      <c r="CC72" s="109"/>
      <c r="CD72" s="109"/>
      <c r="CE72" s="109"/>
      <c r="CF72" s="109"/>
      <c r="CG72" s="109"/>
      <c r="CH72" s="109"/>
      <c r="CI72" s="109"/>
      <c r="CJ72" s="109"/>
      <c r="CK72" s="109"/>
      <c r="CL72" s="109"/>
      <c r="CM72" s="109"/>
      <c r="CN72" s="109"/>
      <c r="CO72" s="109"/>
      <c r="CP72" s="109"/>
    </row>
    <row r="73" spans="1:94" x14ac:dyDescent="0.25">
      <c r="A73" s="109"/>
      <c r="B73" s="10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  <c r="BY73" s="109"/>
      <c r="BZ73" s="109"/>
      <c r="CA73" s="109"/>
      <c r="CB73" s="109"/>
      <c r="CC73" s="109"/>
      <c r="CD73" s="109"/>
      <c r="CE73" s="109"/>
      <c r="CF73" s="109"/>
      <c r="CG73" s="109"/>
      <c r="CH73" s="109"/>
      <c r="CI73" s="109"/>
      <c r="CJ73" s="109"/>
      <c r="CK73" s="109"/>
      <c r="CL73" s="109"/>
      <c r="CM73" s="109"/>
      <c r="CN73" s="109"/>
      <c r="CO73" s="109"/>
      <c r="CP73" s="109"/>
    </row>
    <row r="74" spans="1:94" x14ac:dyDescent="0.25">
      <c r="A74" s="109"/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  <c r="BY74" s="109"/>
      <c r="BZ74" s="109"/>
      <c r="CA74" s="109"/>
      <c r="CB74" s="109"/>
      <c r="CC74" s="109"/>
      <c r="CD74" s="109"/>
      <c r="CE74" s="109"/>
      <c r="CF74" s="109"/>
      <c r="CG74" s="109"/>
      <c r="CH74" s="109"/>
      <c r="CI74" s="109"/>
      <c r="CJ74" s="109"/>
      <c r="CK74" s="109"/>
      <c r="CL74" s="109"/>
      <c r="CM74" s="109"/>
      <c r="CN74" s="109"/>
      <c r="CO74" s="109"/>
      <c r="CP74" s="109"/>
    </row>
    <row r="75" spans="1:94" x14ac:dyDescent="0.25">
      <c r="A75" s="109"/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  <c r="BY75" s="109"/>
      <c r="BZ75" s="109"/>
      <c r="CA75" s="109"/>
      <c r="CB75" s="109"/>
      <c r="CC75" s="109"/>
      <c r="CD75" s="109"/>
      <c r="CE75" s="109"/>
      <c r="CF75" s="109"/>
      <c r="CG75" s="109"/>
      <c r="CH75" s="109"/>
      <c r="CI75" s="109"/>
      <c r="CJ75" s="109"/>
      <c r="CK75" s="109"/>
      <c r="CL75" s="109"/>
      <c r="CM75" s="109"/>
      <c r="CN75" s="109"/>
      <c r="CO75" s="109"/>
      <c r="CP75" s="109"/>
    </row>
    <row r="76" spans="1:94" x14ac:dyDescent="0.25">
      <c r="A76" s="109"/>
      <c r="B76" s="10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  <c r="BY76" s="109"/>
      <c r="BZ76" s="109"/>
      <c r="CA76" s="109"/>
      <c r="CB76" s="109"/>
      <c r="CC76" s="109"/>
      <c r="CD76" s="109"/>
      <c r="CE76" s="109"/>
      <c r="CF76" s="109"/>
      <c r="CG76" s="109"/>
      <c r="CH76" s="109"/>
      <c r="CI76" s="109"/>
      <c r="CJ76" s="109"/>
      <c r="CK76" s="109"/>
      <c r="CL76" s="109"/>
      <c r="CM76" s="109"/>
      <c r="CN76" s="109"/>
      <c r="CO76" s="109"/>
      <c r="CP76" s="109"/>
    </row>
    <row r="77" spans="1:94" x14ac:dyDescent="0.25">
      <c r="A77" s="109"/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  <c r="BR77" s="109"/>
      <c r="BS77" s="109"/>
      <c r="BT77" s="109"/>
      <c r="BU77" s="109"/>
      <c r="BV77" s="109"/>
      <c r="BW77" s="109"/>
      <c r="BX77" s="109"/>
      <c r="BY77" s="109"/>
      <c r="BZ77" s="109"/>
      <c r="CA77" s="109"/>
      <c r="CB77" s="109"/>
      <c r="CC77" s="109"/>
      <c r="CD77" s="109"/>
      <c r="CE77" s="109"/>
      <c r="CF77" s="109"/>
      <c r="CG77" s="109"/>
      <c r="CH77" s="109"/>
      <c r="CI77" s="109"/>
      <c r="CJ77" s="109"/>
      <c r="CK77" s="109"/>
      <c r="CL77" s="109"/>
      <c r="CM77" s="109"/>
      <c r="CN77" s="109"/>
      <c r="CO77" s="109"/>
      <c r="CP77" s="109"/>
    </row>
    <row r="78" spans="1:94" x14ac:dyDescent="0.25">
      <c r="A78" s="109"/>
      <c r="B78" s="10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  <c r="BY78" s="109"/>
      <c r="BZ78" s="109"/>
      <c r="CA78" s="109"/>
      <c r="CB78" s="109"/>
      <c r="CC78" s="109"/>
      <c r="CD78" s="109"/>
      <c r="CE78" s="109"/>
      <c r="CF78" s="109"/>
      <c r="CG78" s="109"/>
      <c r="CH78" s="109"/>
      <c r="CI78" s="109"/>
      <c r="CJ78" s="109"/>
      <c r="CK78" s="109"/>
      <c r="CL78" s="109"/>
      <c r="CM78" s="109"/>
      <c r="CN78" s="109"/>
      <c r="CO78" s="109"/>
      <c r="CP78" s="109"/>
    </row>
    <row r="79" spans="1:94" x14ac:dyDescent="0.25">
      <c r="A79" s="109"/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  <c r="BY79" s="109"/>
      <c r="BZ79" s="109"/>
      <c r="CA79" s="109"/>
      <c r="CB79" s="109"/>
      <c r="CC79" s="109"/>
      <c r="CD79" s="109"/>
      <c r="CE79" s="109"/>
      <c r="CF79" s="109"/>
      <c r="CG79" s="109"/>
      <c r="CH79" s="109"/>
      <c r="CI79" s="109"/>
      <c r="CJ79" s="109"/>
      <c r="CK79" s="109"/>
      <c r="CL79" s="109"/>
      <c r="CM79" s="109"/>
      <c r="CN79" s="109"/>
      <c r="CO79" s="109"/>
      <c r="CP79" s="109"/>
    </row>
    <row r="80" spans="1:94" x14ac:dyDescent="0.25">
      <c r="A80" s="109"/>
      <c r="B80" s="10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  <c r="BY80" s="109"/>
      <c r="BZ80" s="109"/>
      <c r="CA80" s="109"/>
      <c r="CB80" s="109"/>
      <c r="CC80" s="109"/>
      <c r="CD80" s="109"/>
      <c r="CE80" s="109"/>
      <c r="CF80" s="109"/>
      <c r="CG80" s="109"/>
      <c r="CH80" s="109"/>
      <c r="CI80" s="109"/>
      <c r="CJ80" s="109"/>
      <c r="CK80" s="109"/>
      <c r="CL80" s="109"/>
      <c r="CM80" s="109"/>
      <c r="CN80" s="109"/>
      <c r="CO80" s="109"/>
      <c r="CP80" s="109"/>
    </row>
    <row r="81" spans="1:94" x14ac:dyDescent="0.25">
      <c r="A81" s="109"/>
      <c r="B81" s="10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  <c r="BY81" s="109"/>
      <c r="BZ81" s="109"/>
      <c r="CA81" s="109"/>
      <c r="CB81" s="109"/>
      <c r="CC81" s="109"/>
      <c r="CD81" s="109"/>
      <c r="CE81" s="109"/>
      <c r="CF81" s="109"/>
      <c r="CG81" s="109"/>
      <c r="CH81" s="109"/>
      <c r="CI81" s="109"/>
      <c r="CJ81" s="109"/>
      <c r="CK81" s="109"/>
      <c r="CL81" s="109"/>
      <c r="CM81" s="109"/>
      <c r="CN81" s="109"/>
      <c r="CO81" s="109"/>
      <c r="CP81" s="109"/>
    </row>
    <row r="82" spans="1:94" x14ac:dyDescent="0.25">
      <c r="A82" s="109"/>
      <c r="B82" s="10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  <c r="BY82" s="109"/>
      <c r="BZ82" s="109"/>
      <c r="CA82" s="109"/>
      <c r="CB82" s="109"/>
      <c r="CC82" s="109"/>
      <c r="CD82" s="109"/>
      <c r="CE82" s="109"/>
      <c r="CF82" s="109"/>
      <c r="CG82" s="109"/>
      <c r="CH82" s="109"/>
      <c r="CI82" s="109"/>
      <c r="CJ82" s="109"/>
      <c r="CK82" s="109"/>
      <c r="CL82" s="109"/>
      <c r="CM82" s="109"/>
      <c r="CN82" s="109"/>
      <c r="CO82" s="109"/>
      <c r="CP82" s="109"/>
    </row>
    <row r="83" spans="1:94" x14ac:dyDescent="0.25">
      <c r="A83" s="109"/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  <c r="BY83" s="109"/>
      <c r="BZ83" s="109"/>
      <c r="CA83" s="109"/>
      <c r="CB83" s="109"/>
      <c r="CC83" s="109"/>
      <c r="CD83" s="109"/>
      <c r="CE83" s="109"/>
      <c r="CF83" s="109"/>
      <c r="CG83" s="109"/>
      <c r="CH83" s="109"/>
      <c r="CI83" s="109"/>
      <c r="CJ83" s="109"/>
      <c r="CK83" s="109"/>
      <c r="CL83" s="109"/>
      <c r="CM83" s="109"/>
      <c r="CN83" s="109"/>
      <c r="CO83" s="109"/>
      <c r="CP83" s="109"/>
    </row>
    <row r="84" spans="1:94" x14ac:dyDescent="0.25">
      <c r="A84" s="109"/>
      <c r="B84" s="10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  <c r="BY84" s="109"/>
      <c r="BZ84" s="109"/>
      <c r="CA84" s="109"/>
      <c r="CB84" s="109"/>
      <c r="CC84" s="109"/>
      <c r="CD84" s="109"/>
      <c r="CE84" s="109"/>
      <c r="CF84" s="109"/>
      <c r="CG84" s="109"/>
      <c r="CH84" s="109"/>
      <c r="CI84" s="109"/>
      <c r="CJ84" s="109"/>
      <c r="CK84" s="109"/>
      <c r="CL84" s="109"/>
      <c r="CM84" s="109"/>
      <c r="CN84" s="109"/>
      <c r="CO84" s="109"/>
      <c r="CP84" s="109"/>
    </row>
    <row r="85" spans="1:94" x14ac:dyDescent="0.25">
      <c r="A85" s="109"/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  <c r="BR85" s="109"/>
      <c r="BS85" s="109"/>
      <c r="BT85" s="109"/>
      <c r="BU85" s="109"/>
      <c r="BV85" s="109"/>
      <c r="BW85" s="109"/>
      <c r="BX85" s="109"/>
      <c r="BY85" s="109"/>
      <c r="BZ85" s="109"/>
      <c r="CA85" s="109"/>
      <c r="CB85" s="109"/>
      <c r="CC85" s="109"/>
      <c r="CD85" s="109"/>
      <c r="CE85" s="109"/>
      <c r="CF85" s="109"/>
      <c r="CG85" s="109"/>
      <c r="CH85" s="109"/>
      <c r="CI85" s="109"/>
      <c r="CJ85" s="109"/>
      <c r="CK85" s="109"/>
      <c r="CL85" s="109"/>
      <c r="CM85" s="109"/>
      <c r="CN85" s="109"/>
      <c r="CO85" s="109"/>
      <c r="CP85" s="109"/>
    </row>
    <row r="86" spans="1:94" x14ac:dyDescent="0.25">
      <c r="A86" s="109"/>
      <c r="B86" s="10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/>
      <c r="BU86" s="109"/>
      <c r="BV86" s="109"/>
      <c r="BW86" s="109"/>
      <c r="BX86" s="109"/>
      <c r="BY86" s="109"/>
      <c r="BZ86" s="109"/>
      <c r="CA86" s="109"/>
      <c r="CB86" s="109"/>
      <c r="CC86" s="109"/>
      <c r="CD86" s="109"/>
      <c r="CE86" s="109"/>
      <c r="CF86" s="109"/>
      <c r="CG86" s="109"/>
      <c r="CH86" s="109"/>
      <c r="CI86" s="109"/>
      <c r="CJ86" s="109"/>
      <c r="CK86" s="109"/>
      <c r="CL86" s="109"/>
      <c r="CM86" s="109"/>
      <c r="CN86" s="109"/>
      <c r="CO86" s="109"/>
      <c r="CP86" s="109"/>
    </row>
    <row r="87" spans="1:94" x14ac:dyDescent="0.25">
      <c r="A87" s="109"/>
      <c r="B87" s="10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  <c r="BY87" s="109"/>
      <c r="BZ87" s="109"/>
      <c r="CA87" s="109"/>
      <c r="CB87" s="109"/>
      <c r="CC87" s="109"/>
      <c r="CD87" s="109"/>
      <c r="CE87" s="109"/>
      <c r="CF87" s="109"/>
      <c r="CG87" s="109"/>
      <c r="CH87" s="109"/>
      <c r="CI87" s="109"/>
      <c r="CJ87" s="109"/>
      <c r="CK87" s="109"/>
      <c r="CL87" s="109"/>
      <c r="CM87" s="109"/>
      <c r="CN87" s="109"/>
      <c r="CO87" s="109"/>
      <c r="CP87" s="109"/>
    </row>
    <row r="88" spans="1:94" x14ac:dyDescent="0.25">
      <c r="A88" s="109"/>
      <c r="B88" s="10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  <c r="BY88" s="109"/>
      <c r="BZ88" s="109"/>
      <c r="CA88" s="109"/>
      <c r="CB88" s="109"/>
      <c r="CC88" s="109"/>
      <c r="CD88" s="109"/>
      <c r="CE88" s="109"/>
      <c r="CF88" s="109"/>
      <c r="CG88" s="109"/>
      <c r="CH88" s="109"/>
      <c r="CI88" s="109"/>
      <c r="CJ88" s="109"/>
      <c r="CK88" s="109"/>
      <c r="CL88" s="109"/>
      <c r="CM88" s="109"/>
      <c r="CN88" s="109"/>
      <c r="CO88" s="109"/>
      <c r="CP88" s="109"/>
    </row>
    <row r="89" spans="1:94" x14ac:dyDescent="0.25">
      <c r="A89" s="109"/>
      <c r="B89" s="10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/>
      <c r="BY89" s="109"/>
      <c r="BZ89" s="109"/>
      <c r="CA89" s="109"/>
      <c r="CB89" s="109"/>
      <c r="CC89" s="109"/>
      <c r="CD89" s="109"/>
      <c r="CE89" s="109"/>
      <c r="CF89" s="109"/>
      <c r="CG89" s="109"/>
      <c r="CH89" s="109"/>
      <c r="CI89" s="109"/>
      <c r="CJ89" s="109"/>
      <c r="CK89" s="109"/>
      <c r="CL89" s="109"/>
      <c r="CM89" s="109"/>
      <c r="CN89" s="109"/>
      <c r="CO89" s="109"/>
      <c r="CP89" s="109"/>
    </row>
    <row r="90" spans="1:94" x14ac:dyDescent="0.25">
      <c r="A90" s="109"/>
      <c r="B90" s="10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  <c r="BY90" s="109"/>
      <c r="BZ90" s="109"/>
      <c r="CA90" s="109"/>
      <c r="CB90" s="109"/>
      <c r="CC90" s="109"/>
      <c r="CD90" s="109"/>
      <c r="CE90" s="109"/>
      <c r="CF90" s="109"/>
      <c r="CG90" s="109"/>
      <c r="CH90" s="109"/>
      <c r="CI90" s="109"/>
      <c r="CJ90" s="109"/>
      <c r="CK90" s="109"/>
      <c r="CL90" s="109"/>
      <c r="CM90" s="109"/>
      <c r="CN90" s="109"/>
      <c r="CO90" s="109"/>
      <c r="CP90" s="109"/>
    </row>
    <row r="91" spans="1:94" x14ac:dyDescent="0.25">
      <c r="A91" s="109"/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  <c r="BY91" s="109"/>
      <c r="BZ91" s="109"/>
      <c r="CA91" s="109"/>
      <c r="CB91" s="109"/>
      <c r="CC91" s="109"/>
      <c r="CD91" s="109"/>
      <c r="CE91" s="109"/>
      <c r="CF91" s="109"/>
      <c r="CG91" s="109"/>
      <c r="CH91" s="109"/>
      <c r="CI91" s="109"/>
      <c r="CJ91" s="109"/>
      <c r="CK91" s="109"/>
      <c r="CL91" s="109"/>
      <c r="CM91" s="109"/>
      <c r="CN91" s="109"/>
      <c r="CO91" s="109"/>
      <c r="CP91" s="109"/>
    </row>
    <row r="92" spans="1:94" x14ac:dyDescent="0.25">
      <c r="A92" s="109"/>
      <c r="B92" s="10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  <c r="BY92" s="109"/>
      <c r="BZ92" s="109"/>
      <c r="CA92" s="109"/>
      <c r="CB92" s="109"/>
      <c r="CC92" s="109"/>
      <c r="CD92" s="109"/>
      <c r="CE92" s="109"/>
      <c r="CF92" s="109"/>
      <c r="CG92" s="109"/>
      <c r="CH92" s="109"/>
      <c r="CI92" s="109"/>
      <c r="CJ92" s="109"/>
      <c r="CK92" s="109"/>
      <c r="CL92" s="109"/>
      <c r="CM92" s="109"/>
      <c r="CN92" s="109"/>
      <c r="CO92" s="109"/>
      <c r="CP92" s="109"/>
    </row>
    <row r="93" spans="1:94" x14ac:dyDescent="0.25">
      <c r="A93" s="109"/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  <c r="BY93" s="109"/>
      <c r="BZ93" s="109"/>
      <c r="CA93" s="109"/>
      <c r="CB93" s="109"/>
      <c r="CC93" s="109"/>
      <c r="CD93" s="109"/>
      <c r="CE93" s="109"/>
      <c r="CF93" s="109"/>
      <c r="CG93" s="109"/>
      <c r="CH93" s="109"/>
      <c r="CI93" s="109"/>
      <c r="CJ93" s="109"/>
      <c r="CK93" s="109"/>
      <c r="CL93" s="109"/>
      <c r="CM93" s="109"/>
      <c r="CN93" s="109"/>
      <c r="CO93" s="109"/>
      <c r="CP93" s="109"/>
    </row>
    <row r="94" spans="1:94" x14ac:dyDescent="0.25">
      <c r="A94" s="109"/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  <c r="BY94" s="109"/>
      <c r="BZ94" s="109"/>
      <c r="CA94" s="109"/>
      <c r="CB94" s="109"/>
      <c r="CC94" s="109"/>
      <c r="CD94" s="109"/>
      <c r="CE94" s="109"/>
      <c r="CF94" s="109"/>
      <c r="CG94" s="109"/>
      <c r="CH94" s="109"/>
      <c r="CI94" s="109"/>
      <c r="CJ94" s="109"/>
      <c r="CK94" s="109"/>
      <c r="CL94" s="109"/>
      <c r="CM94" s="109"/>
      <c r="CN94" s="109"/>
      <c r="CO94" s="109"/>
      <c r="CP94" s="109"/>
    </row>
    <row r="95" spans="1:94" x14ac:dyDescent="0.25">
      <c r="A95" s="109"/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  <c r="BY95" s="109"/>
      <c r="BZ95" s="109"/>
      <c r="CA95" s="109"/>
      <c r="CB95" s="109"/>
      <c r="CC95" s="109"/>
      <c r="CD95" s="109"/>
      <c r="CE95" s="109"/>
      <c r="CF95" s="109"/>
      <c r="CG95" s="109"/>
      <c r="CH95" s="109"/>
      <c r="CI95" s="109"/>
      <c r="CJ95" s="109"/>
      <c r="CK95" s="109"/>
      <c r="CL95" s="109"/>
      <c r="CM95" s="109"/>
      <c r="CN95" s="109"/>
      <c r="CO95" s="109"/>
      <c r="CP95" s="109"/>
    </row>
    <row r="96" spans="1:94" x14ac:dyDescent="0.25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  <c r="BY96" s="109"/>
      <c r="BZ96" s="109"/>
      <c r="CA96" s="109"/>
      <c r="CB96" s="109"/>
      <c r="CC96" s="109"/>
      <c r="CD96" s="109"/>
      <c r="CE96" s="109"/>
      <c r="CF96" s="109"/>
      <c r="CG96" s="109"/>
      <c r="CH96" s="109"/>
      <c r="CI96" s="109"/>
      <c r="CJ96" s="109"/>
      <c r="CK96" s="109"/>
      <c r="CL96" s="109"/>
      <c r="CM96" s="109"/>
      <c r="CN96" s="109"/>
      <c r="CO96" s="109"/>
      <c r="CP96" s="109"/>
    </row>
    <row r="97" spans="1:94" x14ac:dyDescent="0.25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  <c r="BY97" s="109"/>
      <c r="BZ97" s="109"/>
      <c r="CA97" s="109"/>
      <c r="CB97" s="109"/>
      <c r="CC97" s="109"/>
      <c r="CD97" s="109"/>
      <c r="CE97" s="109"/>
      <c r="CF97" s="109"/>
      <c r="CG97" s="109"/>
      <c r="CH97" s="109"/>
      <c r="CI97" s="109"/>
      <c r="CJ97" s="109"/>
      <c r="CK97" s="109"/>
      <c r="CL97" s="109"/>
      <c r="CM97" s="109"/>
      <c r="CN97" s="109"/>
      <c r="CO97" s="109"/>
      <c r="CP97" s="109"/>
    </row>
    <row r="98" spans="1:94" x14ac:dyDescent="0.25">
      <c r="A98" s="109"/>
      <c r="B98" s="10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  <c r="BY98" s="109"/>
      <c r="BZ98" s="109"/>
      <c r="CA98" s="109"/>
      <c r="CB98" s="109"/>
      <c r="CC98" s="109"/>
      <c r="CD98" s="109"/>
      <c r="CE98" s="109"/>
      <c r="CF98" s="109"/>
      <c r="CG98" s="109"/>
      <c r="CH98" s="109"/>
      <c r="CI98" s="109"/>
      <c r="CJ98" s="109"/>
      <c r="CK98" s="109"/>
      <c r="CL98" s="109"/>
      <c r="CM98" s="109"/>
      <c r="CN98" s="109"/>
      <c r="CO98" s="109"/>
      <c r="CP98" s="109"/>
    </row>
    <row r="99" spans="1:94" x14ac:dyDescent="0.25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  <c r="BY99" s="109"/>
      <c r="BZ99" s="109"/>
      <c r="CA99" s="109"/>
      <c r="CB99" s="109"/>
      <c r="CC99" s="109"/>
      <c r="CD99" s="109"/>
      <c r="CE99" s="109"/>
      <c r="CF99" s="109"/>
      <c r="CG99" s="109"/>
      <c r="CH99" s="109"/>
      <c r="CI99" s="109"/>
      <c r="CJ99" s="109"/>
      <c r="CK99" s="109"/>
      <c r="CL99" s="109"/>
      <c r="CM99" s="109"/>
      <c r="CN99" s="109"/>
      <c r="CO99" s="109"/>
      <c r="CP99" s="109"/>
    </row>
    <row r="100" spans="1:94" x14ac:dyDescent="0.25">
      <c r="A100" s="109"/>
      <c r="B100" s="10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  <c r="BY100" s="109"/>
      <c r="BZ100" s="109"/>
      <c r="CA100" s="109"/>
      <c r="CB100" s="109"/>
      <c r="CC100" s="109"/>
      <c r="CD100" s="109"/>
      <c r="CE100" s="109"/>
      <c r="CF100" s="109"/>
      <c r="CG100" s="109"/>
      <c r="CH100" s="109"/>
      <c r="CI100" s="109"/>
      <c r="CJ100" s="109"/>
      <c r="CK100" s="109"/>
      <c r="CL100" s="109"/>
      <c r="CM100" s="109"/>
      <c r="CN100" s="109"/>
      <c r="CO100" s="109"/>
      <c r="CP100" s="109"/>
    </row>
    <row r="101" spans="1:94" x14ac:dyDescent="0.25">
      <c r="A101" s="109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  <c r="BY101" s="109"/>
      <c r="BZ101" s="109"/>
      <c r="CA101" s="109"/>
      <c r="CB101" s="109"/>
      <c r="CC101" s="109"/>
      <c r="CD101" s="109"/>
      <c r="CE101" s="109"/>
      <c r="CF101" s="109"/>
      <c r="CG101" s="109"/>
      <c r="CH101" s="109"/>
      <c r="CI101" s="109"/>
      <c r="CJ101" s="109"/>
      <c r="CK101" s="109"/>
      <c r="CL101" s="109"/>
      <c r="CM101" s="109"/>
      <c r="CN101" s="109"/>
      <c r="CO101" s="109"/>
      <c r="CP101" s="109"/>
    </row>
    <row r="102" spans="1:94" x14ac:dyDescent="0.25">
      <c r="A102" s="109"/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  <c r="BY102" s="109"/>
      <c r="BZ102" s="109"/>
      <c r="CA102" s="109"/>
      <c r="CB102" s="109"/>
      <c r="CC102" s="109"/>
      <c r="CD102" s="109"/>
      <c r="CE102" s="109"/>
      <c r="CF102" s="109"/>
      <c r="CG102" s="109"/>
      <c r="CH102" s="109"/>
      <c r="CI102" s="109"/>
      <c r="CJ102" s="109"/>
      <c r="CK102" s="109"/>
      <c r="CL102" s="109"/>
      <c r="CM102" s="109"/>
      <c r="CN102" s="109"/>
      <c r="CO102" s="109"/>
      <c r="CP102" s="109"/>
    </row>
    <row r="103" spans="1:94" x14ac:dyDescent="0.25">
      <c r="A103" s="109"/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  <c r="BY103" s="109"/>
      <c r="BZ103" s="109"/>
      <c r="CA103" s="109"/>
      <c r="CB103" s="109"/>
      <c r="CC103" s="109"/>
      <c r="CD103" s="109"/>
      <c r="CE103" s="109"/>
      <c r="CF103" s="109"/>
      <c r="CG103" s="109"/>
      <c r="CH103" s="109"/>
      <c r="CI103" s="109"/>
      <c r="CJ103" s="109"/>
      <c r="CK103" s="109"/>
      <c r="CL103" s="109"/>
      <c r="CM103" s="109"/>
      <c r="CN103" s="109"/>
      <c r="CO103" s="109"/>
      <c r="CP103" s="109"/>
    </row>
    <row r="104" spans="1:94" x14ac:dyDescent="0.25">
      <c r="A104" s="109"/>
      <c r="B104" s="10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  <c r="BY104" s="109"/>
      <c r="BZ104" s="109"/>
      <c r="CA104" s="109"/>
      <c r="CB104" s="109"/>
      <c r="CC104" s="109"/>
      <c r="CD104" s="109"/>
      <c r="CE104" s="109"/>
      <c r="CF104" s="109"/>
      <c r="CG104" s="109"/>
      <c r="CH104" s="109"/>
      <c r="CI104" s="109"/>
      <c r="CJ104" s="109"/>
      <c r="CK104" s="109"/>
      <c r="CL104" s="109"/>
      <c r="CM104" s="109"/>
      <c r="CN104" s="109"/>
      <c r="CO104" s="109"/>
      <c r="CP104" s="109"/>
    </row>
    <row r="105" spans="1:94" x14ac:dyDescent="0.25">
      <c r="A105" s="109"/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  <c r="BY105" s="109"/>
      <c r="BZ105" s="109"/>
      <c r="CA105" s="109"/>
      <c r="CB105" s="109"/>
      <c r="CC105" s="109"/>
      <c r="CD105" s="109"/>
      <c r="CE105" s="109"/>
      <c r="CF105" s="109"/>
      <c r="CG105" s="109"/>
      <c r="CH105" s="109"/>
      <c r="CI105" s="109"/>
      <c r="CJ105" s="109"/>
      <c r="CK105" s="109"/>
      <c r="CL105" s="109"/>
      <c r="CM105" s="109"/>
      <c r="CN105" s="109"/>
      <c r="CO105" s="109"/>
      <c r="CP105" s="109"/>
    </row>
    <row r="106" spans="1:94" x14ac:dyDescent="0.25">
      <c r="A106" s="109"/>
      <c r="B106" s="10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  <c r="BY106" s="109"/>
      <c r="BZ106" s="109"/>
      <c r="CA106" s="109"/>
      <c r="CB106" s="109"/>
      <c r="CC106" s="109"/>
      <c r="CD106" s="109"/>
      <c r="CE106" s="109"/>
      <c r="CF106" s="109"/>
      <c r="CG106" s="109"/>
      <c r="CH106" s="109"/>
      <c r="CI106" s="109"/>
      <c r="CJ106" s="109"/>
      <c r="CK106" s="109"/>
      <c r="CL106" s="109"/>
      <c r="CM106" s="109"/>
      <c r="CN106" s="109"/>
      <c r="CO106" s="109"/>
      <c r="CP106" s="109"/>
    </row>
    <row r="107" spans="1:94" x14ac:dyDescent="0.25">
      <c r="A107" s="109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/>
      <c r="BY107" s="109"/>
      <c r="BZ107" s="109"/>
      <c r="CA107" s="109"/>
      <c r="CB107" s="109"/>
      <c r="CC107" s="109"/>
      <c r="CD107" s="109"/>
      <c r="CE107" s="109"/>
      <c r="CF107" s="109"/>
      <c r="CG107" s="109"/>
      <c r="CH107" s="109"/>
      <c r="CI107" s="109"/>
      <c r="CJ107" s="109"/>
      <c r="CK107" s="109"/>
      <c r="CL107" s="109"/>
      <c r="CM107" s="109"/>
      <c r="CN107" s="109"/>
      <c r="CO107" s="109"/>
      <c r="CP107" s="109"/>
    </row>
    <row r="108" spans="1:94" x14ac:dyDescent="0.25">
      <c r="A108" s="109"/>
      <c r="B108" s="10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  <c r="BY108" s="109"/>
      <c r="BZ108" s="109"/>
      <c r="CA108" s="109"/>
      <c r="CB108" s="109"/>
      <c r="CC108" s="109"/>
      <c r="CD108" s="109"/>
      <c r="CE108" s="109"/>
      <c r="CF108" s="109"/>
      <c r="CG108" s="109"/>
      <c r="CH108" s="109"/>
      <c r="CI108" s="109"/>
      <c r="CJ108" s="109"/>
      <c r="CK108" s="109"/>
      <c r="CL108" s="109"/>
      <c r="CM108" s="109"/>
      <c r="CN108" s="109"/>
      <c r="CO108" s="109"/>
      <c r="CP108" s="109"/>
    </row>
    <row r="109" spans="1:94" x14ac:dyDescent="0.25">
      <c r="A109" s="109"/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/>
      <c r="BT109" s="109"/>
      <c r="BU109" s="109"/>
      <c r="BV109" s="109"/>
      <c r="BW109" s="109"/>
      <c r="BX109" s="109"/>
      <c r="BY109" s="109"/>
      <c r="BZ109" s="109"/>
      <c r="CA109" s="109"/>
      <c r="CB109" s="109"/>
      <c r="CC109" s="109"/>
      <c r="CD109" s="109"/>
      <c r="CE109" s="109"/>
      <c r="CF109" s="109"/>
      <c r="CG109" s="109"/>
      <c r="CH109" s="109"/>
      <c r="CI109" s="109"/>
      <c r="CJ109" s="109"/>
      <c r="CK109" s="109"/>
      <c r="CL109" s="109"/>
      <c r="CM109" s="109"/>
      <c r="CN109" s="109"/>
      <c r="CO109" s="109"/>
      <c r="CP109" s="109"/>
    </row>
    <row r="110" spans="1:94" x14ac:dyDescent="0.25">
      <c r="A110" s="109"/>
      <c r="B110" s="10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  <c r="BY110" s="109"/>
      <c r="BZ110" s="109"/>
      <c r="CA110" s="109"/>
      <c r="CB110" s="109"/>
      <c r="CC110" s="109"/>
      <c r="CD110" s="109"/>
      <c r="CE110" s="109"/>
      <c r="CF110" s="109"/>
      <c r="CG110" s="109"/>
      <c r="CH110" s="109"/>
      <c r="CI110" s="109"/>
      <c r="CJ110" s="109"/>
      <c r="CK110" s="109"/>
      <c r="CL110" s="109"/>
      <c r="CM110" s="109"/>
      <c r="CN110" s="109"/>
      <c r="CO110" s="109"/>
      <c r="CP110" s="109"/>
    </row>
    <row r="111" spans="1:94" x14ac:dyDescent="0.25">
      <c r="A111" s="109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  <c r="BY111" s="109"/>
      <c r="BZ111" s="109"/>
      <c r="CA111" s="109"/>
      <c r="CB111" s="109"/>
      <c r="CC111" s="109"/>
      <c r="CD111" s="109"/>
      <c r="CE111" s="109"/>
      <c r="CF111" s="109"/>
      <c r="CG111" s="109"/>
      <c r="CH111" s="109"/>
      <c r="CI111" s="109"/>
      <c r="CJ111" s="109"/>
      <c r="CK111" s="109"/>
      <c r="CL111" s="109"/>
      <c r="CM111" s="109"/>
      <c r="CN111" s="109"/>
      <c r="CO111" s="109"/>
      <c r="CP111" s="109"/>
    </row>
    <row r="112" spans="1:94" x14ac:dyDescent="0.25">
      <c r="A112" s="109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  <c r="BY112" s="109"/>
      <c r="BZ112" s="109"/>
      <c r="CA112" s="109"/>
      <c r="CB112" s="109"/>
      <c r="CC112" s="109"/>
      <c r="CD112" s="109"/>
      <c r="CE112" s="109"/>
      <c r="CF112" s="109"/>
      <c r="CG112" s="109"/>
      <c r="CH112" s="109"/>
      <c r="CI112" s="109"/>
      <c r="CJ112" s="109"/>
      <c r="CK112" s="109"/>
      <c r="CL112" s="109"/>
      <c r="CM112" s="109"/>
      <c r="CN112" s="109"/>
      <c r="CO112" s="109"/>
      <c r="CP112" s="109"/>
    </row>
    <row r="113" spans="1:94" x14ac:dyDescent="0.25">
      <c r="A113" s="109"/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  <c r="BY113" s="109"/>
      <c r="BZ113" s="109"/>
      <c r="CA113" s="109"/>
      <c r="CB113" s="109"/>
      <c r="CC113" s="109"/>
      <c r="CD113" s="109"/>
      <c r="CE113" s="109"/>
      <c r="CF113" s="109"/>
      <c r="CG113" s="109"/>
      <c r="CH113" s="109"/>
      <c r="CI113" s="109"/>
      <c r="CJ113" s="109"/>
      <c r="CK113" s="109"/>
      <c r="CL113" s="109"/>
      <c r="CM113" s="109"/>
      <c r="CN113" s="109"/>
      <c r="CO113" s="109"/>
      <c r="CP113" s="109"/>
    </row>
    <row r="114" spans="1:94" x14ac:dyDescent="0.25">
      <c r="A114" s="109"/>
      <c r="B114" s="10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  <c r="BY114" s="109"/>
      <c r="BZ114" s="109"/>
      <c r="CA114" s="109"/>
      <c r="CB114" s="109"/>
      <c r="CC114" s="109"/>
      <c r="CD114" s="109"/>
      <c r="CE114" s="109"/>
      <c r="CF114" s="109"/>
      <c r="CG114" s="109"/>
      <c r="CH114" s="109"/>
      <c r="CI114" s="109"/>
      <c r="CJ114" s="109"/>
      <c r="CK114" s="109"/>
      <c r="CL114" s="109"/>
      <c r="CM114" s="109"/>
      <c r="CN114" s="109"/>
      <c r="CO114" s="109"/>
      <c r="CP114" s="109"/>
    </row>
    <row r="115" spans="1:94" x14ac:dyDescent="0.25">
      <c r="A115" s="109"/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  <c r="BY115" s="109"/>
      <c r="BZ115" s="109"/>
      <c r="CA115" s="109"/>
      <c r="CB115" s="109"/>
      <c r="CC115" s="109"/>
      <c r="CD115" s="109"/>
      <c r="CE115" s="109"/>
      <c r="CF115" s="109"/>
      <c r="CG115" s="109"/>
      <c r="CH115" s="109"/>
      <c r="CI115" s="109"/>
      <c r="CJ115" s="109"/>
      <c r="CK115" s="109"/>
      <c r="CL115" s="109"/>
      <c r="CM115" s="109"/>
      <c r="CN115" s="109"/>
      <c r="CO115" s="109"/>
      <c r="CP115" s="109"/>
    </row>
    <row r="116" spans="1:94" x14ac:dyDescent="0.25">
      <c r="A116" s="109"/>
      <c r="B116" s="10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  <c r="BR116" s="109"/>
      <c r="BS116" s="109"/>
      <c r="BT116" s="109"/>
      <c r="BU116" s="109"/>
      <c r="BV116" s="109"/>
      <c r="BW116" s="109"/>
      <c r="BX116" s="109"/>
      <c r="BY116" s="109"/>
      <c r="BZ116" s="109"/>
      <c r="CA116" s="109"/>
      <c r="CB116" s="109"/>
      <c r="CC116" s="109"/>
      <c r="CD116" s="109"/>
      <c r="CE116" s="109"/>
      <c r="CF116" s="109"/>
      <c r="CG116" s="109"/>
      <c r="CH116" s="109"/>
      <c r="CI116" s="109"/>
      <c r="CJ116" s="109"/>
      <c r="CK116" s="109"/>
      <c r="CL116" s="109"/>
      <c r="CM116" s="109"/>
      <c r="CN116" s="109"/>
      <c r="CO116" s="109"/>
      <c r="CP116" s="109"/>
    </row>
    <row r="117" spans="1:94" x14ac:dyDescent="0.25">
      <c r="A117" s="109"/>
      <c r="B117" s="10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  <c r="BR117" s="109"/>
      <c r="BS117" s="109"/>
      <c r="BT117" s="109"/>
      <c r="BU117" s="109"/>
      <c r="BV117" s="109"/>
      <c r="BW117" s="109"/>
      <c r="BX117" s="109"/>
      <c r="BY117" s="109"/>
      <c r="BZ117" s="109"/>
      <c r="CA117" s="109"/>
      <c r="CB117" s="109"/>
      <c r="CC117" s="109"/>
      <c r="CD117" s="109"/>
      <c r="CE117" s="109"/>
      <c r="CF117" s="109"/>
      <c r="CG117" s="109"/>
      <c r="CH117" s="109"/>
      <c r="CI117" s="109"/>
      <c r="CJ117" s="109"/>
      <c r="CK117" s="109"/>
      <c r="CL117" s="109"/>
      <c r="CM117" s="109"/>
      <c r="CN117" s="109"/>
      <c r="CO117" s="109"/>
      <c r="CP117" s="109"/>
    </row>
    <row r="118" spans="1:94" x14ac:dyDescent="0.25">
      <c r="A118" s="109"/>
      <c r="B118" s="10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  <c r="BR118" s="109"/>
      <c r="BS118" s="109"/>
      <c r="BT118" s="109"/>
      <c r="BU118" s="109"/>
      <c r="BV118" s="109"/>
      <c r="BW118" s="109"/>
      <c r="BX118" s="109"/>
      <c r="BY118" s="109"/>
      <c r="BZ118" s="109"/>
      <c r="CA118" s="109"/>
      <c r="CB118" s="109"/>
      <c r="CC118" s="109"/>
      <c r="CD118" s="109"/>
      <c r="CE118" s="109"/>
      <c r="CF118" s="109"/>
      <c r="CG118" s="109"/>
      <c r="CH118" s="109"/>
      <c r="CI118" s="109"/>
      <c r="CJ118" s="109"/>
      <c r="CK118" s="109"/>
      <c r="CL118" s="109"/>
      <c r="CM118" s="109"/>
      <c r="CN118" s="109"/>
      <c r="CO118" s="109"/>
      <c r="CP118" s="109"/>
    </row>
    <row r="119" spans="1:94" x14ac:dyDescent="0.25">
      <c r="A119" s="109"/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  <c r="BR119" s="109"/>
      <c r="BS119" s="109"/>
      <c r="BT119" s="109"/>
      <c r="BU119" s="109"/>
      <c r="BV119" s="109"/>
      <c r="BW119" s="109"/>
      <c r="BX119" s="109"/>
      <c r="BY119" s="109"/>
      <c r="BZ119" s="109"/>
      <c r="CA119" s="109"/>
      <c r="CB119" s="109"/>
      <c r="CC119" s="109"/>
      <c r="CD119" s="109"/>
      <c r="CE119" s="109"/>
      <c r="CF119" s="109"/>
      <c r="CG119" s="109"/>
      <c r="CH119" s="109"/>
      <c r="CI119" s="109"/>
      <c r="CJ119" s="109"/>
      <c r="CK119" s="109"/>
      <c r="CL119" s="109"/>
      <c r="CM119" s="109"/>
      <c r="CN119" s="109"/>
      <c r="CO119" s="109"/>
      <c r="CP119" s="109"/>
    </row>
    <row r="120" spans="1:94" x14ac:dyDescent="0.25">
      <c r="A120" s="109"/>
      <c r="B120" s="10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  <c r="BR120" s="109"/>
      <c r="BS120" s="109"/>
      <c r="BT120" s="109"/>
      <c r="BU120" s="109"/>
      <c r="BV120" s="109"/>
      <c r="BW120" s="109"/>
      <c r="BX120" s="109"/>
      <c r="BY120" s="109"/>
      <c r="BZ120" s="109"/>
      <c r="CA120" s="109"/>
      <c r="CB120" s="109"/>
      <c r="CC120" s="109"/>
      <c r="CD120" s="109"/>
      <c r="CE120" s="109"/>
      <c r="CF120" s="109"/>
      <c r="CG120" s="109"/>
      <c r="CH120" s="109"/>
      <c r="CI120" s="109"/>
      <c r="CJ120" s="109"/>
      <c r="CK120" s="109"/>
      <c r="CL120" s="109"/>
      <c r="CM120" s="109"/>
      <c r="CN120" s="109"/>
      <c r="CO120" s="109"/>
      <c r="CP120" s="109"/>
    </row>
    <row r="121" spans="1:94" x14ac:dyDescent="0.25">
      <c r="A121" s="109"/>
      <c r="B121" s="10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  <c r="BR121" s="109"/>
      <c r="BS121" s="109"/>
      <c r="BT121" s="109"/>
      <c r="BU121" s="109"/>
      <c r="BV121" s="109"/>
      <c r="BW121" s="109"/>
      <c r="BX121" s="109"/>
      <c r="BY121" s="109"/>
      <c r="BZ121" s="109"/>
      <c r="CA121" s="109"/>
      <c r="CB121" s="109"/>
      <c r="CC121" s="109"/>
      <c r="CD121" s="109"/>
      <c r="CE121" s="109"/>
      <c r="CF121" s="109"/>
      <c r="CG121" s="109"/>
      <c r="CH121" s="109"/>
      <c r="CI121" s="109"/>
      <c r="CJ121" s="109"/>
      <c r="CK121" s="109"/>
      <c r="CL121" s="109"/>
      <c r="CM121" s="109"/>
      <c r="CN121" s="109"/>
      <c r="CO121" s="109"/>
      <c r="CP121" s="109"/>
    </row>
    <row r="122" spans="1:94" x14ac:dyDescent="0.25">
      <c r="A122" s="109"/>
      <c r="B122" s="10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  <c r="BR122" s="109"/>
      <c r="BS122" s="109"/>
      <c r="BT122" s="109"/>
      <c r="BU122" s="109"/>
      <c r="BV122" s="109"/>
      <c r="BW122" s="109"/>
      <c r="BX122" s="109"/>
      <c r="BY122" s="109"/>
      <c r="BZ122" s="109"/>
      <c r="CA122" s="109"/>
      <c r="CB122" s="109"/>
      <c r="CC122" s="109"/>
      <c r="CD122" s="109"/>
      <c r="CE122" s="109"/>
      <c r="CF122" s="109"/>
      <c r="CG122" s="109"/>
      <c r="CH122" s="109"/>
      <c r="CI122" s="109"/>
      <c r="CJ122" s="109"/>
      <c r="CK122" s="109"/>
      <c r="CL122" s="109"/>
      <c r="CM122" s="109"/>
      <c r="CN122" s="109"/>
      <c r="CO122" s="109"/>
      <c r="CP122" s="109"/>
    </row>
    <row r="123" spans="1:94" x14ac:dyDescent="0.25">
      <c r="A123" s="109"/>
      <c r="B123" s="10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  <c r="BR123" s="109"/>
      <c r="BS123" s="109"/>
      <c r="BT123" s="109"/>
      <c r="BU123" s="109"/>
      <c r="BV123" s="109"/>
      <c r="BW123" s="109"/>
      <c r="BX123" s="109"/>
      <c r="BY123" s="109"/>
      <c r="BZ123" s="109"/>
      <c r="CA123" s="109"/>
      <c r="CB123" s="109"/>
      <c r="CC123" s="109"/>
      <c r="CD123" s="109"/>
      <c r="CE123" s="109"/>
      <c r="CF123" s="109"/>
      <c r="CG123" s="109"/>
      <c r="CH123" s="109"/>
      <c r="CI123" s="109"/>
      <c r="CJ123" s="109"/>
      <c r="CK123" s="109"/>
      <c r="CL123" s="109"/>
      <c r="CM123" s="109"/>
      <c r="CN123" s="109"/>
      <c r="CO123" s="109"/>
      <c r="CP123" s="109"/>
    </row>
    <row r="124" spans="1:94" x14ac:dyDescent="0.25">
      <c r="A124" s="109"/>
      <c r="B124" s="10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  <c r="BY124" s="109"/>
      <c r="BZ124" s="109"/>
      <c r="CA124" s="109"/>
      <c r="CB124" s="109"/>
      <c r="CC124" s="109"/>
      <c r="CD124" s="109"/>
      <c r="CE124" s="109"/>
      <c r="CF124" s="109"/>
      <c r="CG124" s="109"/>
      <c r="CH124" s="109"/>
      <c r="CI124" s="109"/>
      <c r="CJ124" s="109"/>
      <c r="CK124" s="109"/>
      <c r="CL124" s="109"/>
      <c r="CM124" s="109"/>
      <c r="CN124" s="109"/>
      <c r="CO124" s="109"/>
      <c r="CP124" s="109"/>
    </row>
    <row r="125" spans="1:94" x14ac:dyDescent="0.25">
      <c r="A125" s="109"/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  <c r="BY125" s="109"/>
      <c r="BZ125" s="109"/>
      <c r="CA125" s="109"/>
      <c r="CB125" s="109"/>
      <c r="CC125" s="109"/>
      <c r="CD125" s="109"/>
      <c r="CE125" s="109"/>
      <c r="CF125" s="109"/>
      <c r="CG125" s="109"/>
      <c r="CH125" s="109"/>
      <c r="CI125" s="109"/>
      <c r="CJ125" s="109"/>
      <c r="CK125" s="109"/>
      <c r="CL125" s="109"/>
      <c r="CM125" s="109"/>
      <c r="CN125" s="109"/>
      <c r="CO125" s="109"/>
      <c r="CP125" s="109"/>
    </row>
    <row r="126" spans="1:94" x14ac:dyDescent="0.25">
      <c r="A126" s="109"/>
      <c r="B126" s="10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  <c r="BY126" s="109"/>
      <c r="BZ126" s="109"/>
      <c r="CA126" s="109"/>
      <c r="CB126" s="109"/>
      <c r="CC126" s="109"/>
      <c r="CD126" s="109"/>
      <c r="CE126" s="109"/>
      <c r="CF126" s="109"/>
      <c r="CG126" s="109"/>
      <c r="CH126" s="109"/>
      <c r="CI126" s="109"/>
      <c r="CJ126" s="109"/>
      <c r="CK126" s="109"/>
      <c r="CL126" s="109"/>
      <c r="CM126" s="109"/>
      <c r="CN126" s="109"/>
      <c r="CO126" s="109"/>
      <c r="CP126" s="109"/>
    </row>
    <row r="127" spans="1:94" x14ac:dyDescent="0.25">
      <c r="A127" s="109"/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  <c r="BR127" s="109"/>
      <c r="BS127" s="109"/>
      <c r="BT127" s="109"/>
      <c r="BU127" s="109"/>
      <c r="BV127" s="109"/>
      <c r="BW127" s="109"/>
      <c r="BX127" s="109"/>
      <c r="BY127" s="109"/>
      <c r="BZ127" s="109"/>
      <c r="CA127" s="109"/>
      <c r="CB127" s="109"/>
      <c r="CC127" s="109"/>
      <c r="CD127" s="109"/>
      <c r="CE127" s="109"/>
      <c r="CF127" s="109"/>
      <c r="CG127" s="109"/>
      <c r="CH127" s="109"/>
      <c r="CI127" s="109"/>
      <c r="CJ127" s="109"/>
      <c r="CK127" s="109"/>
      <c r="CL127" s="109"/>
      <c r="CM127" s="109"/>
      <c r="CN127" s="109"/>
      <c r="CO127" s="109"/>
      <c r="CP127" s="109"/>
    </row>
    <row r="128" spans="1:94" x14ac:dyDescent="0.25">
      <c r="A128" s="109"/>
      <c r="B128" s="10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  <c r="BR128" s="109"/>
      <c r="BS128" s="109"/>
      <c r="BT128" s="109"/>
      <c r="BU128" s="109"/>
      <c r="BV128" s="109"/>
      <c r="BW128" s="109"/>
      <c r="BX128" s="109"/>
      <c r="BY128" s="109"/>
      <c r="BZ128" s="109"/>
      <c r="CA128" s="109"/>
      <c r="CB128" s="109"/>
      <c r="CC128" s="109"/>
      <c r="CD128" s="109"/>
      <c r="CE128" s="109"/>
      <c r="CF128" s="109"/>
      <c r="CG128" s="109"/>
      <c r="CH128" s="109"/>
      <c r="CI128" s="109"/>
      <c r="CJ128" s="109"/>
      <c r="CK128" s="109"/>
      <c r="CL128" s="109"/>
      <c r="CM128" s="109"/>
      <c r="CN128" s="109"/>
      <c r="CO128" s="109"/>
      <c r="CP128" s="109"/>
    </row>
    <row r="129" spans="1:94" x14ac:dyDescent="0.25">
      <c r="A129" s="109"/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  <c r="BR129" s="109"/>
      <c r="BS129" s="109"/>
      <c r="BT129" s="109"/>
      <c r="BU129" s="109"/>
      <c r="BV129" s="109"/>
      <c r="BW129" s="109"/>
      <c r="BX129" s="109"/>
      <c r="BY129" s="109"/>
      <c r="BZ129" s="109"/>
      <c r="CA129" s="109"/>
      <c r="CB129" s="109"/>
      <c r="CC129" s="109"/>
      <c r="CD129" s="109"/>
      <c r="CE129" s="109"/>
      <c r="CF129" s="109"/>
      <c r="CG129" s="109"/>
      <c r="CH129" s="109"/>
      <c r="CI129" s="109"/>
      <c r="CJ129" s="109"/>
      <c r="CK129" s="109"/>
      <c r="CL129" s="109"/>
      <c r="CM129" s="109"/>
      <c r="CN129" s="109"/>
      <c r="CO129" s="109"/>
      <c r="CP129" s="109"/>
    </row>
    <row r="130" spans="1:94" x14ac:dyDescent="0.25">
      <c r="A130" s="109"/>
      <c r="B130" s="10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  <c r="BR130" s="109"/>
      <c r="BS130" s="109"/>
      <c r="BT130" s="109"/>
      <c r="BU130" s="109"/>
      <c r="BV130" s="109"/>
      <c r="BW130" s="109"/>
      <c r="BX130" s="109"/>
      <c r="BY130" s="109"/>
      <c r="BZ130" s="109"/>
      <c r="CA130" s="109"/>
      <c r="CB130" s="109"/>
      <c r="CC130" s="109"/>
      <c r="CD130" s="109"/>
      <c r="CE130" s="109"/>
      <c r="CF130" s="109"/>
      <c r="CG130" s="109"/>
      <c r="CH130" s="109"/>
      <c r="CI130" s="109"/>
      <c r="CJ130" s="109"/>
      <c r="CK130" s="109"/>
      <c r="CL130" s="109"/>
      <c r="CM130" s="109"/>
      <c r="CN130" s="109"/>
      <c r="CO130" s="109"/>
      <c r="CP130" s="109"/>
    </row>
    <row r="131" spans="1:94" x14ac:dyDescent="0.25">
      <c r="A131" s="109"/>
      <c r="B131" s="10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  <c r="BR131" s="109"/>
      <c r="BS131" s="109"/>
      <c r="BT131" s="109"/>
      <c r="BU131" s="109"/>
      <c r="BV131" s="109"/>
      <c r="BW131" s="109"/>
      <c r="BX131" s="109"/>
      <c r="BY131" s="109"/>
      <c r="BZ131" s="109"/>
      <c r="CA131" s="109"/>
      <c r="CB131" s="109"/>
      <c r="CC131" s="109"/>
      <c r="CD131" s="109"/>
      <c r="CE131" s="109"/>
      <c r="CF131" s="109"/>
      <c r="CG131" s="109"/>
      <c r="CH131" s="109"/>
      <c r="CI131" s="109"/>
      <c r="CJ131" s="109"/>
      <c r="CK131" s="109"/>
      <c r="CL131" s="109"/>
      <c r="CM131" s="109"/>
      <c r="CN131" s="109"/>
      <c r="CO131" s="109"/>
      <c r="CP131" s="109"/>
    </row>
    <row r="132" spans="1:94" x14ac:dyDescent="0.25">
      <c r="A132" s="109"/>
      <c r="B132" s="10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  <c r="BR132" s="109"/>
      <c r="BS132" s="109"/>
      <c r="BT132" s="109"/>
      <c r="BU132" s="109"/>
      <c r="BV132" s="109"/>
      <c r="BW132" s="109"/>
      <c r="BX132" s="109"/>
      <c r="BY132" s="109"/>
      <c r="BZ132" s="109"/>
      <c r="CA132" s="109"/>
      <c r="CB132" s="109"/>
      <c r="CC132" s="109"/>
      <c r="CD132" s="109"/>
      <c r="CE132" s="109"/>
      <c r="CF132" s="109"/>
      <c r="CG132" s="109"/>
      <c r="CH132" s="109"/>
      <c r="CI132" s="109"/>
      <c r="CJ132" s="109"/>
      <c r="CK132" s="109"/>
      <c r="CL132" s="109"/>
      <c r="CM132" s="109"/>
      <c r="CN132" s="109"/>
      <c r="CO132" s="109"/>
      <c r="CP132" s="109"/>
    </row>
    <row r="133" spans="1:94" x14ac:dyDescent="0.25">
      <c r="A133" s="109"/>
      <c r="B133" s="10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  <c r="BR133" s="109"/>
      <c r="BS133" s="109"/>
      <c r="BT133" s="109"/>
      <c r="BU133" s="109"/>
      <c r="BV133" s="109"/>
      <c r="BW133" s="109"/>
      <c r="BX133" s="109"/>
      <c r="BY133" s="109"/>
      <c r="BZ133" s="109"/>
      <c r="CA133" s="109"/>
      <c r="CB133" s="109"/>
      <c r="CC133" s="109"/>
      <c r="CD133" s="109"/>
      <c r="CE133" s="109"/>
      <c r="CF133" s="109"/>
      <c r="CG133" s="109"/>
      <c r="CH133" s="109"/>
      <c r="CI133" s="109"/>
      <c r="CJ133" s="109"/>
      <c r="CK133" s="109"/>
      <c r="CL133" s="109"/>
      <c r="CM133" s="109"/>
      <c r="CN133" s="109"/>
      <c r="CO133" s="109"/>
      <c r="CP133" s="109"/>
    </row>
    <row r="134" spans="1:94" x14ac:dyDescent="0.25">
      <c r="A134" s="109"/>
      <c r="B134" s="10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  <c r="BY134" s="109"/>
      <c r="BZ134" s="109"/>
      <c r="CA134" s="109"/>
      <c r="CB134" s="109"/>
      <c r="CC134" s="109"/>
      <c r="CD134" s="109"/>
      <c r="CE134" s="109"/>
      <c r="CF134" s="109"/>
      <c r="CG134" s="109"/>
      <c r="CH134" s="109"/>
      <c r="CI134" s="109"/>
      <c r="CJ134" s="109"/>
      <c r="CK134" s="109"/>
      <c r="CL134" s="109"/>
      <c r="CM134" s="109"/>
      <c r="CN134" s="109"/>
      <c r="CO134" s="109"/>
      <c r="CP134" s="109"/>
    </row>
    <row r="135" spans="1:94" x14ac:dyDescent="0.25">
      <c r="A135" s="109"/>
      <c r="B135" s="10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  <c r="BR135" s="109"/>
      <c r="BS135" s="109"/>
      <c r="BT135" s="109"/>
      <c r="BU135" s="109"/>
      <c r="BV135" s="109"/>
      <c r="BW135" s="109"/>
      <c r="BX135" s="109"/>
      <c r="BY135" s="109"/>
      <c r="BZ135" s="109"/>
      <c r="CA135" s="109"/>
      <c r="CB135" s="109"/>
      <c r="CC135" s="109"/>
      <c r="CD135" s="109"/>
      <c r="CE135" s="109"/>
      <c r="CF135" s="109"/>
      <c r="CG135" s="109"/>
      <c r="CH135" s="109"/>
      <c r="CI135" s="109"/>
      <c r="CJ135" s="109"/>
      <c r="CK135" s="109"/>
      <c r="CL135" s="109"/>
      <c r="CM135" s="109"/>
      <c r="CN135" s="109"/>
      <c r="CO135" s="109"/>
      <c r="CP135" s="109"/>
    </row>
    <row r="136" spans="1:94" x14ac:dyDescent="0.25">
      <c r="A136" s="109"/>
      <c r="B136" s="10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  <c r="BR136" s="109"/>
      <c r="BS136" s="109"/>
      <c r="BT136" s="109"/>
      <c r="BU136" s="109"/>
      <c r="BV136" s="109"/>
      <c r="BW136" s="109"/>
      <c r="BX136" s="109"/>
      <c r="BY136" s="109"/>
      <c r="BZ136" s="109"/>
      <c r="CA136" s="109"/>
      <c r="CB136" s="109"/>
      <c r="CC136" s="109"/>
      <c r="CD136" s="109"/>
      <c r="CE136" s="109"/>
      <c r="CF136" s="109"/>
      <c r="CG136" s="109"/>
      <c r="CH136" s="109"/>
      <c r="CI136" s="109"/>
      <c r="CJ136" s="109"/>
      <c r="CK136" s="109"/>
      <c r="CL136" s="109"/>
      <c r="CM136" s="109"/>
      <c r="CN136" s="109"/>
      <c r="CO136" s="109"/>
      <c r="CP136" s="109"/>
    </row>
    <row r="137" spans="1:94" x14ac:dyDescent="0.25">
      <c r="A137" s="109"/>
      <c r="B137" s="10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  <c r="BR137" s="109"/>
      <c r="BS137" s="109"/>
      <c r="BT137" s="109"/>
      <c r="BU137" s="109"/>
      <c r="BV137" s="109"/>
      <c r="BW137" s="109"/>
      <c r="BX137" s="109"/>
      <c r="BY137" s="109"/>
      <c r="BZ137" s="109"/>
      <c r="CA137" s="109"/>
      <c r="CB137" s="109"/>
      <c r="CC137" s="109"/>
      <c r="CD137" s="109"/>
      <c r="CE137" s="109"/>
      <c r="CF137" s="109"/>
      <c r="CG137" s="109"/>
      <c r="CH137" s="109"/>
      <c r="CI137" s="109"/>
      <c r="CJ137" s="109"/>
      <c r="CK137" s="109"/>
      <c r="CL137" s="109"/>
      <c r="CM137" s="109"/>
      <c r="CN137" s="109"/>
      <c r="CO137" s="109"/>
      <c r="CP137" s="109"/>
    </row>
    <row r="138" spans="1:94" x14ac:dyDescent="0.25">
      <c r="A138" s="109"/>
      <c r="B138" s="10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  <c r="BR138" s="109"/>
      <c r="BS138" s="109"/>
      <c r="BT138" s="109"/>
      <c r="BU138" s="109"/>
      <c r="BV138" s="109"/>
      <c r="BW138" s="109"/>
      <c r="BX138" s="109"/>
      <c r="BY138" s="109"/>
      <c r="BZ138" s="109"/>
      <c r="CA138" s="109"/>
      <c r="CB138" s="109"/>
      <c r="CC138" s="109"/>
      <c r="CD138" s="109"/>
      <c r="CE138" s="109"/>
      <c r="CF138" s="109"/>
      <c r="CG138" s="109"/>
      <c r="CH138" s="109"/>
      <c r="CI138" s="109"/>
      <c r="CJ138" s="109"/>
      <c r="CK138" s="109"/>
      <c r="CL138" s="109"/>
      <c r="CM138" s="109"/>
      <c r="CN138" s="109"/>
      <c r="CO138" s="109"/>
      <c r="CP138" s="109"/>
    </row>
    <row r="139" spans="1:94" x14ac:dyDescent="0.25">
      <c r="A139" s="109"/>
      <c r="B139" s="10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  <c r="BY139" s="109"/>
      <c r="BZ139" s="109"/>
      <c r="CA139" s="109"/>
      <c r="CB139" s="109"/>
      <c r="CC139" s="109"/>
      <c r="CD139" s="109"/>
      <c r="CE139" s="109"/>
      <c r="CF139" s="109"/>
      <c r="CG139" s="109"/>
      <c r="CH139" s="109"/>
      <c r="CI139" s="109"/>
      <c r="CJ139" s="109"/>
      <c r="CK139" s="109"/>
      <c r="CL139" s="109"/>
      <c r="CM139" s="109"/>
      <c r="CN139" s="109"/>
      <c r="CO139" s="109"/>
      <c r="CP139" s="109"/>
    </row>
    <row r="140" spans="1:94" x14ac:dyDescent="0.25">
      <c r="A140" s="109"/>
      <c r="B140" s="10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  <c r="BR140" s="109"/>
      <c r="BS140" s="109"/>
      <c r="BT140" s="109"/>
      <c r="BU140" s="109"/>
      <c r="BV140" s="109"/>
      <c r="BW140" s="109"/>
      <c r="BX140" s="109"/>
      <c r="BY140" s="109"/>
      <c r="BZ140" s="109"/>
      <c r="CA140" s="109"/>
      <c r="CB140" s="109"/>
      <c r="CC140" s="109"/>
      <c r="CD140" s="109"/>
      <c r="CE140" s="109"/>
      <c r="CF140" s="109"/>
      <c r="CG140" s="109"/>
      <c r="CH140" s="109"/>
      <c r="CI140" s="109"/>
      <c r="CJ140" s="109"/>
      <c r="CK140" s="109"/>
      <c r="CL140" s="109"/>
      <c r="CM140" s="109"/>
      <c r="CN140" s="109"/>
      <c r="CO140" s="109"/>
      <c r="CP140" s="109"/>
    </row>
    <row r="141" spans="1:94" x14ac:dyDescent="0.25">
      <c r="A141" s="109"/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  <c r="BY141" s="109"/>
      <c r="BZ141" s="109"/>
      <c r="CA141" s="109"/>
      <c r="CB141" s="109"/>
      <c r="CC141" s="109"/>
      <c r="CD141" s="109"/>
      <c r="CE141" s="109"/>
      <c r="CF141" s="109"/>
      <c r="CG141" s="109"/>
      <c r="CH141" s="109"/>
      <c r="CI141" s="109"/>
      <c r="CJ141" s="109"/>
      <c r="CK141" s="109"/>
      <c r="CL141" s="109"/>
      <c r="CM141" s="109"/>
      <c r="CN141" s="109"/>
      <c r="CO141" s="109"/>
      <c r="CP141" s="109"/>
    </row>
    <row r="142" spans="1:94" x14ac:dyDescent="0.25">
      <c r="A142" s="109"/>
      <c r="B142" s="10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  <c r="BY142" s="109"/>
      <c r="BZ142" s="109"/>
      <c r="CA142" s="109"/>
      <c r="CB142" s="109"/>
      <c r="CC142" s="109"/>
      <c r="CD142" s="109"/>
      <c r="CE142" s="109"/>
      <c r="CF142" s="109"/>
      <c r="CG142" s="109"/>
      <c r="CH142" s="109"/>
      <c r="CI142" s="109"/>
      <c r="CJ142" s="109"/>
      <c r="CK142" s="109"/>
      <c r="CL142" s="109"/>
      <c r="CM142" s="109"/>
      <c r="CN142" s="109"/>
      <c r="CO142" s="109"/>
      <c r="CP142" s="109"/>
    </row>
    <row r="143" spans="1:94" x14ac:dyDescent="0.25">
      <c r="A143" s="109"/>
      <c r="B143" s="10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  <c r="BY143" s="109"/>
      <c r="BZ143" s="109"/>
      <c r="CA143" s="109"/>
      <c r="CB143" s="109"/>
      <c r="CC143" s="109"/>
      <c r="CD143" s="109"/>
      <c r="CE143" s="109"/>
      <c r="CF143" s="109"/>
      <c r="CG143" s="109"/>
      <c r="CH143" s="109"/>
      <c r="CI143" s="109"/>
      <c r="CJ143" s="109"/>
      <c r="CK143" s="109"/>
      <c r="CL143" s="109"/>
      <c r="CM143" s="109"/>
      <c r="CN143" s="109"/>
      <c r="CO143" s="109"/>
      <c r="CP143" s="109"/>
    </row>
    <row r="144" spans="1:94" x14ac:dyDescent="0.25">
      <c r="A144" s="109"/>
      <c r="B144" s="10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  <c r="BY144" s="109"/>
      <c r="BZ144" s="109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</row>
    <row r="145" spans="1:94" x14ac:dyDescent="0.25">
      <c r="A145" s="109"/>
      <c r="B145" s="10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  <c r="BY145" s="109"/>
      <c r="BZ145" s="109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</row>
    <row r="146" spans="1:94" x14ac:dyDescent="0.25">
      <c r="A146" s="109"/>
      <c r="B146" s="10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/>
      <c r="BY146" s="109"/>
      <c r="BZ146" s="109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</row>
    <row r="147" spans="1:94" x14ac:dyDescent="0.25">
      <c r="A147" s="109"/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  <c r="BY147" s="109"/>
      <c r="BZ147" s="109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</row>
    <row r="148" spans="1:94" x14ac:dyDescent="0.25">
      <c r="A148" s="109"/>
      <c r="B148" s="10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  <c r="BY148" s="109"/>
      <c r="BZ148" s="109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</row>
    <row r="149" spans="1:94" x14ac:dyDescent="0.25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  <c r="BY149" s="109"/>
      <c r="BZ149" s="109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</row>
    <row r="150" spans="1:94" x14ac:dyDescent="0.25">
      <c r="A150" s="109"/>
      <c r="B150" s="10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  <c r="BY150" s="109"/>
      <c r="BZ150" s="109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</row>
    <row r="151" spans="1:94" x14ac:dyDescent="0.25">
      <c r="A151" s="109"/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  <c r="BY151" s="109"/>
      <c r="BZ151" s="109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</row>
    <row r="152" spans="1:94" x14ac:dyDescent="0.25">
      <c r="A152" s="109"/>
      <c r="B152" s="10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  <c r="BY152" s="109"/>
      <c r="BZ152" s="109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</row>
    <row r="153" spans="1:94" x14ac:dyDescent="0.25">
      <c r="A153" s="109"/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  <c r="BY153" s="109"/>
      <c r="BZ153" s="109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</row>
    <row r="154" spans="1:94" x14ac:dyDescent="0.25">
      <c r="A154" s="109"/>
      <c r="B154" s="10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  <c r="BY154" s="109"/>
      <c r="BZ154" s="109"/>
      <c r="CA154" s="109"/>
      <c r="CB154" s="109"/>
      <c r="CC154" s="109"/>
      <c r="CD154" s="109"/>
      <c r="CE154" s="109"/>
      <c r="CF154" s="109"/>
      <c r="CG154" s="109"/>
      <c r="CH154" s="109"/>
      <c r="CI154" s="109"/>
      <c r="CJ154" s="109"/>
      <c r="CK154" s="109"/>
      <c r="CL154" s="109"/>
      <c r="CM154" s="109"/>
      <c r="CN154" s="109"/>
      <c r="CO154" s="109"/>
      <c r="CP154" s="109"/>
    </row>
    <row r="155" spans="1:94" x14ac:dyDescent="0.25">
      <c r="A155" s="109"/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  <c r="BY155" s="109"/>
      <c r="BZ155" s="109"/>
      <c r="CA155" s="109"/>
      <c r="CB155" s="109"/>
      <c r="CC155" s="109"/>
      <c r="CD155" s="109"/>
      <c r="CE155" s="109"/>
      <c r="CF155" s="109"/>
      <c r="CG155" s="109"/>
      <c r="CH155" s="109"/>
      <c r="CI155" s="109"/>
      <c r="CJ155" s="109"/>
      <c r="CK155" s="109"/>
      <c r="CL155" s="109"/>
      <c r="CM155" s="109"/>
      <c r="CN155" s="109"/>
      <c r="CO155" s="109"/>
      <c r="CP155" s="109"/>
    </row>
    <row r="156" spans="1:94" x14ac:dyDescent="0.25">
      <c r="A156" s="109"/>
      <c r="B156" s="10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  <c r="BY156" s="109"/>
      <c r="BZ156" s="109"/>
      <c r="CA156" s="109"/>
      <c r="CB156" s="109"/>
      <c r="CC156" s="109"/>
      <c r="CD156" s="109"/>
      <c r="CE156" s="109"/>
      <c r="CF156" s="109"/>
      <c r="CG156" s="109"/>
      <c r="CH156" s="109"/>
      <c r="CI156" s="109"/>
      <c r="CJ156" s="109"/>
      <c r="CK156" s="109"/>
      <c r="CL156" s="109"/>
      <c r="CM156" s="109"/>
      <c r="CN156" s="109"/>
      <c r="CO156" s="109"/>
      <c r="CP156" s="109"/>
    </row>
    <row r="157" spans="1:94" x14ac:dyDescent="0.25">
      <c r="A157" s="109"/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  <c r="BY157" s="109"/>
      <c r="BZ157" s="109"/>
      <c r="CA157" s="109"/>
      <c r="CB157" s="109"/>
      <c r="CC157" s="109"/>
      <c r="CD157" s="109"/>
      <c r="CE157" s="109"/>
      <c r="CF157" s="109"/>
      <c r="CG157" s="109"/>
      <c r="CH157" s="109"/>
      <c r="CI157" s="109"/>
      <c r="CJ157" s="109"/>
      <c r="CK157" s="109"/>
      <c r="CL157" s="109"/>
      <c r="CM157" s="109"/>
      <c r="CN157" s="109"/>
      <c r="CO157" s="109"/>
      <c r="CP157" s="109"/>
    </row>
    <row r="158" spans="1:94" x14ac:dyDescent="0.25">
      <c r="A158" s="109"/>
      <c r="B158" s="10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  <c r="BY158" s="109"/>
      <c r="BZ158" s="109"/>
      <c r="CA158" s="109"/>
      <c r="CB158" s="109"/>
      <c r="CC158" s="109"/>
      <c r="CD158" s="109"/>
      <c r="CE158" s="109"/>
      <c r="CF158" s="109"/>
      <c r="CG158" s="109"/>
      <c r="CH158" s="109"/>
      <c r="CI158" s="109"/>
      <c r="CJ158" s="109"/>
      <c r="CK158" s="109"/>
      <c r="CL158" s="109"/>
      <c r="CM158" s="109"/>
      <c r="CN158" s="109"/>
      <c r="CO158" s="109"/>
      <c r="CP158" s="109"/>
    </row>
    <row r="159" spans="1:94" x14ac:dyDescent="0.25">
      <c r="A159" s="109"/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  <c r="BY159" s="109"/>
      <c r="BZ159" s="109"/>
      <c r="CA159" s="109"/>
      <c r="CB159" s="109"/>
      <c r="CC159" s="109"/>
      <c r="CD159" s="109"/>
      <c r="CE159" s="109"/>
      <c r="CF159" s="109"/>
      <c r="CG159" s="109"/>
      <c r="CH159" s="109"/>
      <c r="CI159" s="109"/>
      <c r="CJ159" s="109"/>
      <c r="CK159" s="109"/>
      <c r="CL159" s="109"/>
      <c r="CM159" s="109"/>
      <c r="CN159" s="109"/>
      <c r="CO159" s="109"/>
      <c r="CP159" s="109"/>
    </row>
    <row r="160" spans="1:94" x14ac:dyDescent="0.25">
      <c r="A160" s="109"/>
      <c r="B160" s="10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  <c r="BY160" s="109"/>
      <c r="BZ160" s="109"/>
      <c r="CA160" s="109"/>
      <c r="CB160" s="109"/>
      <c r="CC160" s="109"/>
      <c r="CD160" s="109"/>
      <c r="CE160" s="109"/>
      <c r="CF160" s="109"/>
      <c r="CG160" s="109"/>
      <c r="CH160" s="109"/>
      <c r="CI160" s="109"/>
      <c r="CJ160" s="109"/>
      <c r="CK160" s="109"/>
      <c r="CL160" s="109"/>
      <c r="CM160" s="109"/>
      <c r="CN160" s="109"/>
      <c r="CO160" s="109"/>
      <c r="CP160" s="109"/>
    </row>
    <row r="161" spans="1:94" x14ac:dyDescent="0.25">
      <c r="A161" s="109"/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  <c r="BY161" s="109"/>
      <c r="BZ161" s="109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</row>
    <row r="162" spans="1:94" x14ac:dyDescent="0.25">
      <c r="A162" s="109"/>
      <c r="B162" s="10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  <c r="BY162" s="109"/>
      <c r="BZ162" s="109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</row>
    <row r="163" spans="1:94" x14ac:dyDescent="0.25">
      <c r="A163" s="109"/>
      <c r="B163" s="10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  <c r="BY163" s="109"/>
      <c r="BZ163" s="109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</row>
    <row r="164" spans="1:94" x14ac:dyDescent="0.25">
      <c r="A164" s="109"/>
      <c r="B164" s="10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  <c r="BY164" s="109"/>
      <c r="BZ164" s="109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</row>
    <row r="165" spans="1:94" x14ac:dyDescent="0.25">
      <c r="A165" s="109"/>
      <c r="B165" s="10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  <c r="BY165" s="109"/>
      <c r="BZ165" s="109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</row>
    <row r="166" spans="1:94" x14ac:dyDescent="0.25">
      <c r="A166" s="109"/>
      <c r="B166" s="10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  <c r="BY166" s="109"/>
      <c r="BZ166" s="109"/>
      <c r="CA166" s="109"/>
      <c r="CB166" s="109"/>
      <c r="CC166" s="109"/>
      <c r="CD166" s="109"/>
      <c r="CE166" s="109"/>
      <c r="CF166" s="109"/>
      <c r="CG166" s="109"/>
      <c r="CH166" s="109"/>
      <c r="CI166" s="109"/>
      <c r="CJ166" s="109"/>
      <c r="CK166" s="109"/>
      <c r="CL166" s="109"/>
      <c r="CM166" s="109"/>
      <c r="CN166" s="109"/>
      <c r="CO166" s="109"/>
      <c r="CP166" s="109"/>
    </row>
    <row r="167" spans="1:94" x14ac:dyDescent="0.25">
      <c r="A167" s="109"/>
      <c r="B167" s="10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  <c r="BY167" s="109"/>
      <c r="BZ167" s="109"/>
      <c r="CA167" s="109"/>
      <c r="CB167" s="109"/>
      <c r="CC167" s="109"/>
      <c r="CD167" s="109"/>
      <c r="CE167" s="109"/>
      <c r="CF167" s="109"/>
      <c r="CG167" s="109"/>
      <c r="CH167" s="109"/>
      <c r="CI167" s="109"/>
      <c r="CJ167" s="109"/>
      <c r="CK167" s="109"/>
      <c r="CL167" s="109"/>
      <c r="CM167" s="109"/>
      <c r="CN167" s="109"/>
      <c r="CO167" s="109"/>
      <c r="CP167" s="109"/>
    </row>
    <row r="168" spans="1:94" x14ac:dyDescent="0.25">
      <c r="A168" s="109"/>
      <c r="B168" s="10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  <c r="BY168" s="109"/>
      <c r="BZ168" s="109"/>
      <c r="CA168" s="109"/>
      <c r="CB168" s="109"/>
      <c r="CC168" s="109"/>
      <c r="CD168" s="109"/>
      <c r="CE168" s="109"/>
      <c r="CF168" s="109"/>
      <c r="CG168" s="109"/>
      <c r="CH168" s="109"/>
      <c r="CI168" s="109"/>
      <c r="CJ168" s="109"/>
      <c r="CK168" s="109"/>
      <c r="CL168" s="109"/>
      <c r="CM168" s="109"/>
      <c r="CN168" s="109"/>
      <c r="CO168" s="109"/>
      <c r="CP168" s="109"/>
    </row>
    <row r="169" spans="1:94" x14ac:dyDescent="0.25">
      <c r="A169" s="109"/>
      <c r="B169" s="10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  <c r="BY169" s="109"/>
      <c r="BZ169" s="109"/>
      <c r="CA169" s="109"/>
      <c r="CB169" s="109"/>
      <c r="CC169" s="109"/>
      <c r="CD169" s="109"/>
      <c r="CE169" s="109"/>
      <c r="CF169" s="109"/>
      <c r="CG169" s="109"/>
      <c r="CH169" s="109"/>
      <c r="CI169" s="109"/>
      <c r="CJ169" s="109"/>
      <c r="CK169" s="109"/>
      <c r="CL169" s="109"/>
      <c r="CM169" s="109"/>
      <c r="CN169" s="109"/>
      <c r="CO169" s="109"/>
      <c r="CP169" s="109"/>
    </row>
    <row r="170" spans="1:94" x14ac:dyDescent="0.25">
      <c r="A170" s="109"/>
      <c r="B170" s="10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  <c r="BY170" s="109"/>
      <c r="BZ170" s="109"/>
      <c r="CA170" s="109"/>
      <c r="CB170" s="109"/>
      <c r="CC170" s="109"/>
      <c r="CD170" s="109"/>
      <c r="CE170" s="109"/>
      <c r="CF170" s="109"/>
      <c r="CG170" s="109"/>
      <c r="CH170" s="109"/>
      <c r="CI170" s="109"/>
      <c r="CJ170" s="109"/>
      <c r="CK170" s="109"/>
      <c r="CL170" s="109"/>
      <c r="CM170" s="109"/>
      <c r="CN170" s="109"/>
      <c r="CO170" s="109"/>
      <c r="CP170" s="109"/>
    </row>
    <row r="171" spans="1:94" x14ac:dyDescent="0.25">
      <c r="A171" s="109"/>
      <c r="B171" s="10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  <c r="BY171" s="109"/>
      <c r="BZ171" s="109"/>
      <c r="CA171" s="109"/>
      <c r="CB171" s="109"/>
      <c r="CC171" s="109"/>
      <c r="CD171" s="109"/>
      <c r="CE171" s="109"/>
      <c r="CF171" s="109"/>
      <c r="CG171" s="109"/>
      <c r="CH171" s="109"/>
      <c r="CI171" s="109"/>
      <c r="CJ171" s="109"/>
      <c r="CK171" s="109"/>
      <c r="CL171" s="109"/>
      <c r="CM171" s="109"/>
      <c r="CN171" s="109"/>
      <c r="CO171" s="109"/>
      <c r="CP171" s="109"/>
    </row>
    <row r="172" spans="1:94" x14ac:dyDescent="0.25">
      <c r="A172" s="109"/>
      <c r="B172" s="10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  <c r="BY172" s="109"/>
      <c r="BZ172" s="109"/>
      <c r="CA172" s="109"/>
      <c r="CB172" s="109"/>
      <c r="CC172" s="109"/>
      <c r="CD172" s="109"/>
      <c r="CE172" s="109"/>
      <c r="CF172" s="109"/>
      <c r="CG172" s="109"/>
      <c r="CH172" s="109"/>
      <c r="CI172" s="109"/>
      <c r="CJ172" s="109"/>
      <c r="CK172" s="109"/>
      <c r="CL172" s="109"/>
      <c r="CM172" s="109"/>
      <c r="CN172" s="109"/>
      <c r="CO172" s="109"/>
      <c r="CP172" s="109"/>
    </row>
    <row r="173" spans="1:94" x14ac:dyDescent="0.25">
      <c r="A173" s="109"/>
      <c r="B173" s="10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  <c r="BY173" s="109"/>
      <c r="BZ173" s="109"/>
      <c r="CA173" s="109"/>
      <c r="CB173" s="109"/>
      <c r="CC173" s="109"/>
      <c r="CD173" s="109"/>
      <c r="CE173" s="109"/>
      <c r="CF173" s="109"/>
      <c r="CG173" s="109"/>
      <c r="CH173" s="109"/>
      <c r="CI173" s="109"/>
      <c r="CJ173" s="109"/>
      <c r="CK173" s="109"/>
      <c r="CL173" s="109"/>
      <c r="CM173" s="109"/>
      <c r="CN173" s="109"/>
      <c r="CO173" s="109"/>
      <c r="CP173" s="109"/>
    </row>
    <row r="174" spans="1:94" x14ac:dyDescent="0.25">
      <c r="A174" s="109"/>
      <c r="B174" s="10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  <c r="BY174" s="109"/>
      <c r="BZ174" s="109"/>
      <c r="CA174" s="109"/>
      <c r="CB174" s="109"/>
      <c r="CC174" s="109"/>
      <c r="CD174" s="109"/>
      <c r="CE174" s="109"/>
      <c r="CF174" s="109"/>
      <c r="CG174" s="109"/>
      <c r="CH174" s="109"/>
      <c r="CI174" s="109"/>
      <c r="CJ174" s="109"/>
      <c r="CK174" s="109"/>
      <c r="CL174" s="109"/>
      <c r="CM174" s="109"/>
      <c r="CN174" s="109"/>
      <c r="CO174" s="109"/>
      <c r="CP174" s="109"/>
    </row>
    <row r="175" spans="1:94" x14ac:dyDescent="0.25">
      <c r="A175" s="109"/>
      <c r="B175" s="10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  <c r="BY175" s="109"/>
      <c r="BZ175" s="109"/>
      <c r="CA175" s="109"/>
      <c r="CB175" s="109"/>
      <c r="CC175" s="109"/>
      <c r="CD175" s="109"/>
      <c r="CE175" s="109"/>
      <c r="CF175" s="109"/>
      <c r="CG175" s="109"/>
      <c r="CH175" s="109"/>
      <c r="CI175" s="109"/>
      <c r="CJ175" s="109"/>
      <c r="CK175" s="109"/>
      <c r="CL175" s="109"/>
      <c r="CM175" s="109"/>
      <c r="CN175" s="109"/>
      <c r="CO175" s="109"/>
      <c r="CP175" s="109"/>
    </row>
    <row r="176" spans="1:94" x14ac:dyDescent="0.25">
      <c r="A176" s="109"/>
      <c r="B176" s="10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  <c r="BY176" s="109"/>
      <c r="BZ176" s="109"/>
      <c r="CA176" s="109"/>
      <c r="CB176" s="109"/>
      <c r="CC176" s="109"/>
      <c r="CD176" s="109"/>
      <c r="CE176" s="109"/>
      <c r="CF176" s="109"/>
      <c r="CG176" s="109"/>
      <c r="CH176" s="109"/>
      <c r="CI176" s="109"/>
      <c r="CJ176" s="109"/>
      <c r="CK176" s="109"/>
      <c r="CL176" s="109"/>
      <c r="CM176" s="109"/>
      <c r="CN176" s="109"/>
      <c r="CO176" s="109"/>
      <c r="CP176" s="109"/>
    </row>
    <row r="177" spans="1:94" x14ac:dyDescent="0.25">
      <c r="A177" s="109"/>
      <c r="B177" s="10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  <c r="BY177" s="109"/>
      <c r="BZ177" s="109"/>
      <c r="CA177" s="109"/>
      <c r="CB177" s="109"/>
      <c r="CC177" s="109"/>
      <c r="CD177" s="109"/>
      <c r="CE177" s="109"/>
      <c r="CF177" s="109"/>
      <c r="CG177" s="109"/>
      <c r="CH177" s="109"/>
      <c r="CI177" s="109"/>
      <c r="CJ177" s="109"/>
      <c r="CK177" s="109"/>
      <c r="CL177" s="109"/>
      <c r="CM177" s="109"/>
      <c r="CN177" s="109"/>
      <c r="CO177" s="109"/>
      <c r="CP177" s="109"/>
    </row>
    <row r="178" spans="1:94" x14ac:dyDescent="0.25">
      <c r="A178" s="109"/>
      <c r="B178" s="10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  <c r="BR178" s="109"/>
      <c r="BS178" s="109"/>
      <c r="BT178" s="109"/>
      <c r="BU178" s="109"/>
      <c r="BV178" s="109"/>
      <c r="BW178" s="109"/>
      <c r="BX178" s="109"/>
      <c r="BY178" s="109"/>
      <c r="BZ178" s="109"/>
      <c r="CA178" s="109"/>
      <c r="CB178" s="109"/>
      <c r="CC178" s="109"/>
      <c r="CD178" s="109"/>
      <c r="CE178" s="109"/>
      <c r="CF178" s="109"/>
      <c r="CG178" s="109"/>
      <c r="CH178" s="109"/>
      <c r="CI178" s="109"/>
      <c r="CJ178" s="109"/>
      <c r="CK178" s="109"/>
      <c r="CL178" s="109"/>
      <c r="CM178" s="109"/>
      <c r="CN178" s="109"/>
      <c r="CO178" s="109"/>
      <c r="CP178" s="109"/>
    </row>
    <row r="179" spans="1:94" x14ac:dyDescent="0.25">
      <c r="A179" s="109"/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  <c r="BY179" s="109"/>
      <c r="BZ179" s="109"/>
      <c r="CA179" s="109"/>
      <c r="CB179" s="109"/>
      <c r="CC179" s="109"/>
      <c r="CD179" s="109"/>
      <c r="CE179" s="109"/>
      <c r="CF179" s="109"/>
      <c r="CG179" s="109"/>
      <c r="CH179" s="109"/>
      <c r="CI179" s="109"/>
      <c r="CJ179" s="109"/>
      <c r="CK179" s="109"/>
      <c r="CL179" s="109"/>
      <c r="CM179" s="109"/>
      <c r="CN179" s="109"/>
      <c r="CO179" s="109"/>
      <c r="CP179" s="109"/>
    </row>
    <row r="180" spans="1:94" x14ac:dyDescent="0.25">
      <c r="A180" s="109"/>
      <c r="B180" s="10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109"/>
      <c r="CG180" s="109"/>
      <c r="CH180" s="109"/>
      <c r="CI180" s="109"/>
      <c r="CJ180" s="109"/>
      <c r="CK180" s="109"/>
      <c r="CL180" s="109"/>
      <c r="CM180" s="109"/>
      <c r="CN180" s="109"/>
      <c r="CO180" s="109"/>
      <c r="CP180" s="109"/>
    </row>
    <row r="181" spans="1:94" x14ac:dyDescent="0.25">
      <c r="A181" s="109"/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  <c r="BY181" s="109"/>
      <c r="BZ181" s="109"/>
      <c r="CA181" s="109"/>
      <c r="CB181" s="109"/>
      <c r="CC181" s="109"/>
      <c r="CD181" s="109"/>
      <c r="CE181" s="109"/>
      <c r="CF181" s="109"/>
      <c r="CG181" s="109"/>
      <c r="CH181" s="109"/>
      <c r="CI181" s="109"/>
      <c r="CJ181" s="109"/>
      <c r="CK181" s="109"/>
      <c r="CL181" s="109"/>
      <c r="CM181" s="109"/>
      <c r="CN181" s="109"/>
      <c r="CO181" s="109"/>
      <c r="CP181" s="109"/>
    </row>
    <row r="182" spans="1:94" x14ac:dyDescent="0.25">
      <c r="A182" s="109"/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  <c r="BY182" s="109"/>
      <c r="BZ182" s="109"/>
      <c r="CA182" s="109"/>
      <c r="CB182" s="109"/>
      <c r="CC182" s="109"/>
      <c r="CD182" s="109"/>
      <c r="CE182" s="109"/>
      <c r="CF182" s="109"/>
      <c r="CG182" s="109"/>
      <c r="CH182" s="109"/>
      <c r="CI182" s="109"/>
      <c r="CJ182" s="109"/>
      <c r="CK182" s="109"/>
      <c r="CL182" s="109"/>
      <c r="CM182" s="109"/>
      <c r="CN182" s="109"/>
      <c r="CO182" s="109"/>
      <c r="CP182" s="109"/>
    </row>
    <row r="183" spans="1:94" x14ac:dyDescent="0.25">
      <c r="A183" s="109"/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  <c r="BY183" s="109"/>
      <c r="BZ183" s="109"/>
      <c r="CA183" s="109"/>
      <c r="CB183" s="109"/>
      <c r="CC183" s="109"/>
      <c r="CD183" s="109"/>
      <c r="CE183" s="109"/>
      <c r="CF183" s="109"/>
      <c r="CG183" s="109"/>
      <c r="CH183" s="109"/>
      <c r="CI183" s="109"/>
      <c r="CJ183" s="109"/>
      <c r="CK183" s="109"/>
      <c r="CL183" s="109"/>
      <c r="CM183" s="109"/>
      <c r="CN183" s="109"/>
      <c r="CO183" s="109"/>
      <c r="CP183" s="109"/>
    </row>
    <row r="184" spans="1:94" x14ac:dyDescent="0.25">
      <c r="A184" s="109"/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  <c r="BY184" s="109"/>
      <c r="BZ184" s="109"/>
      <c r="CA184" s="109"/>
      <c r="CB184" s="109"/>
      <c r="CC184" s="109"/>
      <c r="CD184" s="109"/>
      <c r="CE184" s="109"/>
      <c r="CF184" s="109"/>
      <c r="CG184" s="109"/>
      <c r="CH184" s="109"/>
      <c r="CI184" s="109"/>
      <c r="CJ184" s="109"/>
      <c r="CK184" s="109"/>
      <c r="CL184" s="109"/>
      <c r="CM184" s="109"/>
      <c r="CN184" s="109"/>
      <c r="CO184" s="109"/>
      <c r="CP184" s="109"/>
    </row>
    <row r="185" spans="1:94" x14ac:dyDescent="0.25">
      <c r="A185" s="109"/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  <c r="BY185" s="109"/>
      <c r="BZ185" s="109"/>
      <c r="CA185" s="109"/>
      <c r="CB185" s="109"/>
      <c r="CC185" s="109"/>
      <c r="CD185" s="109"/>
      <c r="CE185" s="109"/>
      <c r="CF185" s="109"/>
      <c r="CG185" s="109"/>
      <c r="CH185" s="109"/>
      <c r="CI185" s="109"/>
      <c r="CJ185" s="109"/>
      <c r="CK185" s="109"/>
      <c r="CL185" s="109"/>
      <c r="CM185" s="109"/>
      <c r="CN185" s="109"/>
      <c r="CO185" s="109"/>
      <c r="CP185" s="109"/>
    </row>
    <row r="186" spans="1:94" x14ac:dyDescent="0.25">
      <c r="A186" s="109"/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  <c r="BY186" s="109"/>
      <c r="BZ186" s="109"/>
      <c r="CA186" s="109"/>
      <c r="CB186" s="109"/>
      <c r="CC186" s="109"/>
      <c r="CD186" s="109"/>
      <c r="CE186" s="109"/>
      <c r="CF186" s="109"/>
      <c r="CG186" s="109"/>
      <c r="CH186" s="109"/>
      <c r="CI186" s="109"/>
      <c r="CJ186" s="109"/>
      <c r="CK186" s="109"/>
      <c r="CL186" s="109"/>
      <c r="CM186" s="109"/>
      <c r="CN186" s="109"/>
      <c r="CO186" s="109"/>
      <c r="CP186" s="109"/>
    </row>
    <row r="187" spans="1:94" x14ac:dyDescent="0.25">
      <c r="A187" s="109"/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  <c r="BY187" s="109"/>
      <c r="BZ187" s="109"/>
      <c r="CA187" s="109"/>
      <c r="CB187" s="109"/>
      <c r="CC187" s="109"/>
      <c r="CD187" s="109"/>
      <c r="CE187" s="109"/>
      <c r="CF187" s="109"/>
      <c r="CG187" s="109"/>
      <c r="CH187" s="109"/>
      <c r="CI187" s="109"/>
      <c r="CJ187" s="109"/>
      <c r="CK187" s="109"/>
      <c r="CL187" s="109"/>
      <c r="CM187" s="109"/>
      <c r="CN187" s="109"/>
      <c r="CO187" s="109"/>
      <c r="CP187" s="109"/>
    </row>
    <row r="188" spans="1:94" x14ac:dyDescent="0.25">
      <c r="A188" s="109"/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  <c r="CH188" s="109"/>
      <c r="CI188" s="109"/>
      <c r="CJ188" s="109"/>
      <c r="CK188" s="109"/>
      <c r="CL188" s="109"/>
      <c r="CM188" s="109"/>
      <c r="CN188" s="109"/>
      <c r="CO188" s="109"/>
      <c r="CP188" s="109"/>
    </row>
    <row r="189" spans="1:94" x14ac:dyDescent="0.25">
      <c r="A189" s="109"/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  <c r="BY189" s="109"/>
      <c r="BZ189" s="109"/>
      <c r="CA189" s="109"/>
      <c r="CB189" s="109"/>
      <c r="CC189" s="109"/>
      <c r="CD189" s="109"/>
      <c r="CE189" s="109"/>
      <c r="CF189" s="109"/>
      <c r="CG189" s="109"/>
      <c r="CH189" s="109"/>
      <c r="CI189" s="109"/>
      <c r="CJ189" s="109"/>
      <c r="CK189" s="109"/>
      <c r="CL189" s="109"/>
      <c r="CM189" s="109"/>
      <c r="CN189" s="109"/>
      <c r="CO189" s="109"/>
      <c r="CP189" s="109"/>
    </row>
    <row r="190" spans="1:94" x14ac:dyDescent="0.25">
      <c r="A190" s="109"/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  <c r="BY190" s="109"/>
      <c r="BZ190" s="109"/>
      <c r="CA190" s="109"/>
      <c r="CB190" s="109"/>
      <c r="CC190" s="109"/>
      <c r="CD190" s="109"/>
      <c r="CE190" s="109"/>
      <c r="CF190" s="109"/>
      <c r="CG190" s="109"/>
      <c r="CH190" s="109"/>
      <c r="CI190" s="109"/>
      <c r="CJ190" s="109"/>
      <c r="CK190" s="109"/>
      <c r="CL190" s="109"/>
      <c r="CM190" s="109"/>
      <c r="CN190" s="109"/>
      <c r="CO190" s="109"/>
      <c r="CP190" s="109"/>
    </row>
    <row r="191" spans="1:94" x14ac:dyDescent="0.25">
      <c r="A191" s="109"/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  <c r="BY191" s="109"/>
      <c r="BZ191" s="109"/>
      <c r="CA191" s="109"/>
      <c r="CB191" s="109"/>
      <c r="CC191" s="109"/>
      <c r="CD191" s="109"/>
      <c r="CE191" s="109"/>
      <c r="CF191" s="109"/>
      <c r="CG191" s="109"/>
      <c r="CH191" s="109"/>
      <c r="CI191" s="109"/>
      <c r="CJ191" s="109"/>
      <c r="CK191" s="109"/>
      <c r="CL191" s="109"/>
      <c r="CM191" s="109"/>
      <c r="CN191" s="109"/>
      <c r="CO191" s="109"/>
      <c r="CP191" s="109"/>
    </row>
    <row r="192" spans="1:94" x14ac:dyDescent="0.25">
      <c r="A192" s="109"/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  <c r="BY192" s="109"/>
      <c r="BZ192" s="109"/>
      <c r="CA192" s="109"/>
      <c r="CB192" s="109"/>
      <c r="CC192" s="109"/>
      <c r="CD192" s="109"/>
      <c r="CE192" s="109"/>
      <c r="CF192" s="109"/>
      <c r="CG192" s="109"/>
      <c r="CH192" s="109"/>
      <c r="CI192" s="109"/>
      <c r="CJ192" s="109"/>
      <c r="CK192" s="109"/>
      <c r="CL192" s="109"/>
      <c r="CM192" s="109"/>
      <c r="CN192" s="109"/>
      <c r="CO192" s="109"/>
      <c r="CP192" s="109"/>
    </row>
    <row r="193" spans="1:94" x14ac:dyDescent="0.25">
      <c r="A193" s="109"/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  <c r="BY193" s="109"/>
      <c r="BZ193" s="109"/>
      <c r="CA193" s="109"/>
      <c r="CB193" s="109"/>
      <c r="CC193" s="109"/>
      <c r="CD193" s="109"/>
      <c r="CE193" s="109"/>
      <c r="CF193" s="109"/>
      <c r="CG193" s="109"/>
      <c r="CH193" s="109"/>
      <c r="CI193" s="109"/>
      <c r="CJ193" s="109"/>
      <c r="CK193" s="109"/>
      <c r="CL193" s="109"/>
      <c r="CM193" s="109"/>
      <c r="CN193" s="109"/>
      <c r="CO193" s="109"/>
      <c r="CP193" s="109"/>
    </row>
    <row r="194" spans="1:94" x14ac:dyDescent="0.25">
      <c r="A194" s="109"/>
      <c r="B194" s="10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  <c r="BY194" s="109"/>
      <c r="BZ194" s="109"/>
      <c r="CA194" s="109"/>
      <c r="CB194" s="109"/>
      <c r="CC194" s="109"/>
      <c r="CD194" s="109"/>
      <c r="CE194" s="109"/>
      <c r="CF194" s="109"/>
      <c r="CG194" s="109"/>
      <c r="CH194" s="109"/>
      <c r="CI194" s="109"/>
      <c r="CJ194" s="109"/>
      <c r="CK194" s="109"/>
      <c r="CL194" s="109"/>
      <c r="CM194" s="109"/>
      <c r="CN194" s="109"/>
      <c r="CO194" s="109"/>
      <c r="CP194" s="109"/>
    </row>
    <row r="195" spans="1:94" x14ac:dyDescent="0.25">
      <c r="A195" s="109"/>
      <c r="B195" s="10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  <c r="BY195" s="109"/>
      <c r="BZ195" s="109"/>
      <c r="CA195" s="109"/>
      <c r="CB195" s="109"/>
      <c r="CC195" s="109"/>
      <c r="CD195" s="109"/>
      <c r="CE195" s="109"/>
      <c r="CF195" s="109"/>
      <c r="CG195" s="109"/>
      <c r="CH195" s="109"/>
      <c r="CI195" s="109"/>
      <c r="CJ195" s="109"/>
      <c r="CK195" s="109"/>
      <c r="CL195" s="109"/>
      <c r="CM195" s="109"/>
      <c r="CN195" s="109"/>
      <c r="CO195" s="109"/>
      <c r="CP195" s="109"/>
    </row>
    <row r="196" spans="1:94" x14ac:dyDescent="0.25">
      <c r="A196" s="109"/>
      <c r="B196" s="10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  <c r="BY196" s="109"/>
      <c r="BZ196" s="109"/>
      <c r="CA196" s="109"/>
      <c r="CB196" s="109"/>
      <c r="CC196" s="109"/>
      <c r="CD196" s="109"/>
      <c r="CE196" s="109"/>
      <c r="CF196" s="109"/>
      <c r="CG196" s="109"/>
      <c r="CH196" s="109"/>
      <c r="CI196" s="109"/>
      <c r="CJ196" s="109"/>
      <c r="CK196" s="109"/>
      <c r="CL196" s="109"/>
      <c r="CM196" s="109"/>
      <c r="CN196" s="109"/>
      <c r="CO196" s="109"/>
      <c r="CP196" s="109"/>
    </row>
    <row r="197" spans="1:94" x14ac:dyDescent="0.25">
      <c r="A197" s="109"/>
      <c r="B197" s="10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  <c r="BY197" s="109"/>
      <c r="BZ197" s="109"/>
      <c r="CA197" s="109"/>
      <c r="CB197" s="109"/>
      <c r="CC197" s="109"/>
      <c r="CD197" s="109"/>
      <c r="CE197" s="109"/>
      <c r="CF197" s="109"/>
      <c r="CG197" s="109"/>
      <c r="CH197" s="109"/>
      <c r="CI197" s="109"/>
      <c r="CJ197" s="109"/>
      <c r="CK197" s="109"/>
      <c r="CL197" s="109"/>
      <c r="CM197" s="109"/>
      <c r="CN197" s="109"/>
      <c r="CO197" s="109"/>
      <c r="CP197" s="109"/>
    </row>
    <row r="198" spans="1:94" x14ac:dyDescent="0.25">
      <c r="A198" s="109"/>
      <c r="B198" s="10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  <c r="BY198" s="109"/>
      <c r="BZ198" s="109"/>
      <c r="CA198" s="109"/>
      <c r="CB198" s="109"/>
      <c r="CC198" s="109"/>
      <c r="CD198" s="109"/>
      <c r="CE198" s="109"/>
      <c r="CF198" s="109"/>
      <c r="CG198" s="109"/>
      <c r="CH198" s="109"/>
      <c r="CI198" s="109"/>
      <c r="CJ198" s="109"/>
      <c r="CK198" s="109"/>
      <c r="CL198" s="109"/>
      <c r="CM198" s="109"/>
      <c r="CN198" s="109"/>
      <c r="CO198" s="109"/>
      <c r="CP198" s="109"/>
    </row>
    <row r="199" spans="1:94" x14ac:dyDescent="0.25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  <c r="BY199" s="109"/>
      <c r="BZ199" s="109"/>
      <c r="CA199" s="109"/>
      <c r="CB199" s="109"/>
      <c r="CC199" s="109"/>
      <c r="CD199" s="109"/>
      <c r="CE199" s="109"/>
      <c r="CF199" s="109"/>
      <c r="CG199" s="109"/>
      <c r="CH199" s="109"/>
      <c r="CI199" s="109"/>
      <c r="CJ199" s="109"/>
      <c r="CK199" s="109"/>
      <c r="CL199" s="109"/>
      <c r="CM199" s="109"/>
      <c r="CN199" s="109"/>
      <c r="CO199" s="109"/>
      <c r="CP199" s="109"/>
    </row>
    <row r="200" spans="1:94" x14ac:dyDescent="0.25">
      <c r="A200" s="109"/>
      <c r="B200" s="10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  <c r="BY200" s="109"/>
      <c r="BZ200" s="109"/>
      <c r="CA200" s="109"/>
      <c r="CB200" s="109"/>
      <c r="CC200" s="109"/>
      <c r="CD200" s="109"/>
      <c r="CE200" s="109"/>
      <c r="CF200" s="109"/>
      <c r="CG200" s="109"/>
      <c r="CH200" s="109"/>
      <c r="CI200" s="109"/>
      <c r="CJ200" s="109"/>
      <c r="CK200" s="109"/>
      <c r="CL200" s="109"/>
      <c r="CM200" s="109"/>
      <c r="CN200" s="109"/>
      <c r="CO200" s="109"/>
      <c r="CP200" s="109"/>
    </row>
    <row r="201" spans="1:94" x14ac:dyDescent="0.25">
      <c r="A201" s="109"/>
      <c r="B201" s="10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  <c r="BY201" s="109"/>
      <c r="BZ201" s="109"/>
      <c r="CA201" s="109"/>
      <c r="CB201" s="109"/>
      <c r="CC201" s="109"/>
      <c r="CD201" s="109"/>
      <c r="CE201" s="109"/>
      <c r="CF201" s="109"/>
      <c r="CG201" s="109"/>
      <c r="CH201" s="109"/>
      <c r="CI201" s="109"/>
      <c r="CJ201" s="109"/>
      <c r="CK201" s="109"/>
      <c r="CL201" s="109"/>
      <c r="CM201" s="109"/>
      <c r="CN201" s="109"/>
      <c r="CO201" s="109"/>
      <c r="CP201" s="109"/>
    </row>
    <row r="202" spans="1:94" x14ac:dyDescent="0.25">
      <c r="A202" s="109"/>
      <c r="B202" s="10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  <c r="BY202" s="109"/>
      <c r="BZ202" s="109"/>
      <c r="CA202" s="109"/>
      <c r="CB202" s="109"/>
      <c r="CC202" s="109"/>
      <c r="CD202" s="109"/>
      <c r="CE202" s="109"/>
      <c r="CF202" s="109"/>
      <c r="CG202" s="109"/>
      <c r="CH202" s="109"/>
      <c r="CI202" s="109"/>
      <c r="CJ202" s="109"/>
      <c r="CK202" s="109"/>
      <c r="CL202" s="109"/>
      <c r="CM202" s="109"/>
      <c r="CN202" s="109"/>
      <c r="CO202" s="109"/>
      <c r="CP202" s="109"/>
    </row>
    <row r="203" spans="1:94" x14ac:dyDescent="0.25">
      <c r="A203" s="109"/>
      <c r="B203" s="10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  <c r="BY203" s="109"/>
      <c r="BZ203" s="109"/>
      <c r="CA203" s="109"/>
      <c r="CB203" s="109"/>
      <c r="CC203" s="109"/>
      <c r="CD203" s="109"/>
      <c r="CE203" s="109"/>
      <c r="CF203" s="109"/>
      <c r="CG203" s="109"/>
      <c r="CH203" s="109"/>
      <c r="CI203" s="109"/>
      <c r="CJ203" s="109"/>
      <c r="CK203" s="109"/>
      <c r="CL203" s="109"/>
      <c r="CM203" s="109"/>
      <c r="CN203" s="109"/>
      <c r="CO203" s="109"/>
      <c r="CP203" s="109"/>
    </row>
    <row r="204" spans="1:94" x14ac:dyDescent="0.25">
      <c r="A204" s="109"/>
      <c r="B204" s="10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  <c r="BY204" s="109"/>
      <c r="BZ204" s="109"/>
      <c r="CA204" s="109"/>
      <c r="CB204" s="109"/>
      <c r="CC204" s="109"/>
      <c r="CD204" s="109"/>
      <c r="CE204" s="109"/>
      <c r="CF204" s="109"/>
      <c r="CG204" s="109"/>
      <c r="CH204" s="109"/>
      <c r="CI204" s="109"/>
      <c r="CJ204" s="109"/>
      <c r="CK204" s="109"/>
      <c r="CL204" s="109"/>
      <c r="CM204" s="109"/>
      <c r="CN204" s="109"/>
      <c r="CO204" s="109"/>
      <c r="CP204" s="109"/>
    </row>
    <row r="205" spans="1:94" x14ac:dyDescent="0.25">
      <c r="A205" s="109"/>
      <c r="B205" s="10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  <c r="BY205" s="109"/>
      <c r="BZ205" s="109"/>
      <c r="CA205" s="109"/>
      <c r="CB205" s="109"/>
      <c r="CC205" s="109"/>
      <c r="CD205" s="109"/>
      <c r="CE205" s="109"/>
      <c r="CF205" s="109"/>
      <c r="CG205" s="109"/>
      <c r="CH205" s="109"/>
      <c r="CI205" s="109"/>
      <c r="CJ205" s="109"/>
      <c r="CK205" s="109"/>
      <c r="CL205" s="109"/>
      <c r="CM205" s="109"/>
      <c r="CN205" s="109"/>
      <c r="CO205" s="109"/>
      <c r="CP205" s="109"/>
    </row>
    <row r="206" spans="1:94" x14ac:dyDescent="0.25">
      <c r="A206" s="109"/>
      <c r="B206" s="10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  <c r="BY206" s="109"/>
      <c r="BZ206" s="109"/>
      <c r="CA206" s="109"/>
      <c r="CB206" s="109"/>
      <c r="CC206" s="109"/>
      <c r="CD206" s="109"/>
      <c r="CE206" s="109"/>
      <c r="CF206" s="109"/>
      <c r="CG206" s="109"/>
      <c r="CH206" s="109"/>
      <c r="CI206" s="109"/>
      <c r="CJ206" s="109"/>
      <c r="CK206" s="109"/>
      <c r="CL206" s="109"/>
      <c r="CM206" s="109"/>
      <c r="CN206" s="109"/>
      <c r="CO206" s="109"/>
      <c r="CP206" s="109"/>
    </row>
    <row r="207" spans="1:94" x14ac:dyDescent="0.25">
      <c r="A207" s="109"/>
      <c r="B207" s="10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  <c r="BY207" s="109"/>
      <c r="BZ207" s="109"/>
      <c r="CA207" s="109"/>
      <c r="CB207" s="109"/>
      <c r="CC207" s="109"/>
      <c r="CD207" s="109"/>
      <c r="CE207" s="109"/>
      <c r="CF207" s="109"/>
      <c r="CG207" s="109"/>
      <c r="CH207" s="109"/>
      <c r="CI207" s="109"/>
      <c r="CJ207" s="109"/>
      <c r="CK207" s="109"/>
      <c r="CL207" s="109"/>
      <c r="CM207" s="109"/>
      <c r="CN207" s="109"/>
      <c r="CO207" s="109"/>
      <c r="CP207" s="109"/>
    </row>
    <row r="208" spans="1:94" x14ac:dyDescent="0.25">
      <c r="A208" s="109"/>
      <c r="B208" s="10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  <c r="BY208" s="109"/>
      <c r="BZ208" s="109"/>
      <c r="CA208" s="109"/>
      <c r="CB208" s="109"/>
      <c r="CC208" s="109"/>
      <c r="CD208" s="109"/>
      <c r="CE208" s="109"/>
      <c r="CF208" s="109"/>
      <c r="CG208" s="109"/>
      <c r="CH208" s="109"/>
      <c r="CI208" s="109"/>
      <c r="CJ208" s="109"/>
      <c r="CK208" s="109"/>
      <c r="CL208" s="109"/>
      <c r="CM208" s="109"/>
      <c r="CN208" s="109"/>
      <c r="CO208" s="109"/>
      <c r="CP208" s="109"/>
    </row>
    <row r="209" spans="1:94" x14ac:dyDescent="0.25">
      <c r="A209" s="109"/>
      <c r="B209" s="10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  <c r="BY209" s="109"/>
      <c r="BZ209" s="109"/>
      <c r="CA209" s="109"/>
      <c r="CB209" s="109"/>
      <c r="CC209" s="109"/>
      <c r="CD209" s="109"/>
      <c r="CE209" s="109"/>
      <c r="CF209" s="109"/>
      <c r="CG209" s="109"/>
      <c r="CH209" s="109"/>
      <c r="CI209" s="109"/>
      <c r="CJ209" s="109"/>
      <c r="CK209" s="109"/>
      <c r="CL209" s="109"/>
      <c r="CM209" s="109"/>
      <c r="CN209" s="109"/>
      <c r="CO209" s="109"/>
      <c r="CP209" s="109"/>
    </row>
    <row r="210" spans="1:94" x14ac:dyDescent="0.25">
      <c r="A210" s="109"/>
      <c r="B210" s="10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  <c r="BY210" s="109"/>
      <c r="BZ210" s="109"/>
      <c r="CA210" s="109"/>
      <c r="CB210" s="109"/>
      <c r="CC210" s="109"/>
      <c r="CD210" s="109"/>
      <c r="CE210" s="109"/>
      <c r="CF210" s="109"/>
      <c r="CG210" s="109"/>
      <c r="CH210" s="109"/>
      <c r="CI210" s="109"/>
      <c r="CJ210" s="109"/>
      <c r="CK210" s="109"/>
      <c r="CL210" s="109"/>
      <c r="CM210" s="109"/>
      <c r="CN210" s="109"/>
      <c r="CO210" s="109"/>
      <c r="CP210" s="109"/>
    </row>
    <row r="211" spans="1:94" x14ac:dyDescent="0.25">
      <c r="A211" s="109"/>
      <c r="B211" s="10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  <c r="BR211" s="109"/>
      <c r="BS211" s="109"/>
      <c r="BT211" s="109"/>
      <c r="BU211" s="109"/>
      <c r="BV211" s="109"/>
      <c r="BW211" s="109"/>
      <c r="BX211" s="109"/>
      <c r="BY211" s="109"/>
      <c r="BZ211" s="109"/>
      <c r="CA211" s="109"/>
      <c r="CB211" s="109"/>
      <c r="CC211" s="109"/>
      <c r="CD211" s="109"/>
      <c r="CE211" s="109"/>
      <c r="CF211" s="109"/>
      <c r="CG211" s="109"/>
      <c r="CH211" s="109"/>
      <c r="CI211" s="109"/>
      <c r="CJ211" s="109"/>
      <c r="CK211" s="109"/>
      <c r="CL211" s="109"/>
      <c r="CM211" s="109"/>
      <c r="CN211" s="109"/>
      <c r="CO211" s="109"/>
      <c r="CP211" s="109"/>
    </row>
    <row r="212" spans="1:94" x14ac:dyDescent="0.25">
      <c r="A212" s="109"/>
      <c r="B212" s="10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/>
      <c r="BW212" s="109"/>
      <c r="BX212" s="109"/>
      <c r="BY212" s="109"/>
      <c r="BZ212" s="109"/>
      <c r="CA212" s="109"/>
      <c r="CB212" s="109"/>
      <c r="CC212" s="109"/>
      <c r="CD212" s="109"/>
      <c r="CE212" s="109"/>
      <c r="CF212" s="109"/>
      <c r="CG212" s="109"/>
      <c r="CH212" s="109"/>
      <c r="CI212" s="109"/>
      <c r="CJ212" s="109"/>
      <c r="CK212" s="109"/>
      <c r="CL212" s="109"/>
      <c r="CM212" s="109"/>
      <c r="CN212" s="109"/>
      <c r="CO212" s="109"/>
      <c r="CP212" s="109"/>
    </row>
    <row r="213" spans="1:94" x14ac:dyDescent="0.25">
      <c r="A213" s="109"/>
      <c r="B213" s="10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  <c r="BR213" s="109"/>
      <c r="BS213" s="109"/>
      <c r="BT213" s="109"/>
      <c r="BU213" s="109"/>
      <c r="BV213" s="109"/>
      <c r="BW213" s="109"/>
      <c r="BX213" s="109"/>
      <c r="BY213" s="109"/>
      <c r="BZ213" s="109"/>
      <c r="CA213" s="109"/>
      <c r="CB213" s="109"/>
      <c r="CC213" s="109"/>
      <c r="CD213" s="109"/>
      <c r="CE213" s="109"/>
      <c r="CF213" s="109"/>
      <c r="CG213" s="109"/>
      <c r="CH213" s="109"/>
      <c r="CI213" s="109"/>
      <c r="CJ213" s="109"/>
      <c r="CK213" s="109"/>
      <c r="CL213" s="109"/>
      <c r="CM213" s="109"/>
      <c r="CN213" s="109"/>
      <c r="CO213" s="109"/>
      <c r="CP213" s="109"/>
    </row>
    <row r="214" spans="1:94" x14ac:dyDescent="0.25">
      <c r="A214" s="109"/>
      <c r="B214" s="10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  <c r="BY214" s="109"/>
      <c r="BZ214" s="109"/>
      <c r="CA214" s="109"/>
      <c r="CB214" s="109"/>
      <c r="CC214" s="109"/>
      <c r="CD214" s="109"/>
      <c r="CE214" s="109"/>
      <c r="CF214" s="109"/>
      <c r="CG214" s="109"/>
      <c r="CH214" s="109"/>
      <c r="CI214" s="109"/>
      <c r="CJ214" s="109"/>
      <c r="CK214" s="109"/>
      <c r="CL214" s="109"/>
      <c r="CM214" s="109"/>
      <c r="CN214" s="109"/>
      <c r="CO214" s="109"/>
      <c r="CP214" s="109"/>
    </row>
    <row r="215" spans="1:94" x14ac:dyDescent="0.25">
      <c r="A215" s="109"/>
      <c r="B215" s="10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  <c r="BR215" s="109"/>
      <c r="BS215" s="109"/>
      <c r="BT215" s="109"/>
      <c r="BU215" s="109"/>
      <c r="BV215" s="109"/>
      <c r="BW215" s="109"/>
      <c r="BX215" s="109"/>
      <c r="BY215" s="109"/>
      <c r="BZ215" s="109"/>
      <c r="CA215" s="109"/>
      <c r="CB215" s="109"/>
      <c r="CC215" s="109"/>
      <c r="CD215" s="109"/>
      <c r="CE215" s="109"/>
      <c r="CF215" s="109"/>
      <c r="CG215" s="109"/>
      <c r="CH215" s="109"/>
      <c r="CI215" s="109"/>
      <c r="CJ215" s="109"/>
      <c r="CK215" s="109"/>
      <c r="CL215" s="109"/>
      <c r="CM215" s="109"/>
      <c r="CN215" s="109"/>
      <c r="CO215" s="109"/>
      <c r="CP215" s="109"/>
    </row>
    <row r="216" spans="1:94" x14ac:dyDescent="0.25">
      <c r="A216" s="109"/>
      <c r="B216" s="10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  <c r="BR216" s="109"/>
      <c r="BS216" s="109"/>
      <c r="BT216" s="109"/>
      <c r="BU216" s="109"/>
      <c r="BV216" s="109"/>
      <c r="BW216" s="109"/>
      <c r="BX216" s="109"/>
      <c r="BY216" s="109"/>
      <c r="BZ216" s="109"/>
      <c r="CA216" s="109"/>
      <c r="CB216" s="109"/>
      <c r="CC216" s="109"/>
      <c r="CD216" s="109"/>
      <c r="CE216" s="109"/>
      <c r="CF216" s="109"/>
      <c r="CG216" s="109"/>
      <c r="CH216" s="109"/>
      <c r="CI216" s="109"/>
      <c r="CJ216" s="109"/>
      <c r="CK216" s="109"/>
      <c r="CL216" s="109"/>
      <c r="CM216" s="109"/>
      <c r="CN216" s="109"/>
      <c r="CO216" s="109"/>
      <c r="CP216" s="109"/>
    </row>
    <row r="217" spans="1:94" x14ac:dyDescent="0.25">
      <c r="A217" s="109"/>
      <c r="B217" s="10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  <c r="BR217" s="109"/>
      <c r="BS217" s="109"/>
      <c r="BT217" s="109"/>
      <c r="BU217" s="109"/>
      <c r="BV217" s="109"/>
      <c r="BW217" s="109"/>
      <c r="BX217" s="109"/>
      <c r="BY217" s="109"/>
      <c r="BZ217" s="109"/>
      <c r="CA217" s="109"/>
      <c r="CB217" s="109"/>
      <c r="CC217" s="109"/>
      <c r="CD217" s="109"/>
      <c r="CE217" s="109"/>
      <c r="CF217" s="109"/>
      <c r="CG217" s="109"/>
      <c r="CH217" s="109"/>
      <c r="CI217" s="109"/>
      <c r="CJ217" s="109"/>
      <c r="CK217" s="109"/>
      <c r="CL217" s="109"/>
      <c r="CM217" s="109"/>
      <c r="CN217" s="109"/>
      <c r="CO217" s="109"/>
      <c r="CP217" s="109"/>
    </row>
    <row r="218" spans="1:94" x14ac:dyDescent="0.25">
      <c r="A218" s="109"/>
      <c r="B218" s="10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  <c r="BR218" s="109"/>
      <c r="BS218" s="109"/>
      <c r="BT218" s="109"/>
      <c r="BU218" s="109"/>
      <c r="BV218" s="109"/>
      <c r="BW218" s="109"/>
      <c r="BX218" s="109"/>
      <c r="BY218" s="109"/>
      <c r="BZ218" s="109"/>
      <c r="CA218" s="109"/>
      <c r="CB218" s="109"/>
      <c r="CC218" s="109"/>
      <c r="CD218" s="109"/>
      <c r="CE218" s="109"/>
      <c r="CF218" s="109"/>
      <c r="CG218" s="109"/>
      <c r="CH218" s="109"/>
      <c r="CI218" s="109"/>
      <c r="CJ218" s="109"/>
      <c r="CK218" s="109"/>
      <c r="CL218" s="109"/>
      <c r="CM218" s="109"/>
      <c r="CN218" s="109"/>
      <c r="CO218" s="109"/>
      <c r="CP218" s="109"/>
    </row>
    <row r="219" spans="1:94" x14ac:dyDescent="0.25">
      <c r="A219" s="109"/>
      <c r="B219" s="10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  <c r="BR219" s="109"/>
      <c r="BS219" s="109"/>
      <c r="BT219" s="109"/>
      <c r="BU219" s="109"/>
      <c r="BV219" s="109"/>
      <c r="BW219" s="109"/>
      <c r="BX219" s="109"/>
      <c r="BY219" s="109"/>
      <c r="BZ219" s="109"/>
      <c r="CA219" s="109"/>
      <c r="CB219" s="109"/>
      <c r="CC219" s="109"/>
      <c r="CD219" s="109"/>
      <c r="CE219" s="109"/>
      <c r="CF219" s="109"/>
      <c r="CG219" s="109"/>
      <c r="CH219" s="109"/>
      <c r="CI219" s="109"/>
      <c r="CJ219" s="109"/>
      <c r="CK219" s="109"/>
      <c r="CL219" s="109"/>
      <c r="CM219" s="109"/>
      <c r="CN219" s="109"/>
      <c r="CO219" s="109"/>
      <c r="CP219" s="109"/>
    </row>
    <row r="220" spans="1:94" x14ac:dyDescent="0.25">
      <c r="A220" s="109"/>
      <c r="B220" s="10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  <c r="BR220" s="109"/>
      <c r="BS220" s="109"/>
      <c r="BT220" s="109"/>
      <c r="BU220" s="109"/>
      <c r="BV220" s="109"/>
      <c r="BW220" s="109"/>
      <c r="BX220" s="109"/>
      <c r="BY220" s="109"/>
      <c r="BZ220" s="109"/>
      <c r="CA220" s="109"/>
      <c r="CB220" s="109"/>
      <c r="CC220" s="109"/>
      <c r="CD220" s="109"/>
      <c r="CE220" s="109"/>
      <c r="CF220" s="109"/>
      <c r="CG220" s="109"/>
      <c r="CH220" s="109"/>
      <c r="CI220" s="109"/>
      <c r="CJ220" s="109"/>
      <c r="CK220" s="109"/>
      <c r="CL220" s="109"/>
      <c r="CM220" s="109"/>
      <c r="CN220" s="109"/>
      <c r="CO220" s="109"/>
      <c r="CP220" s="109"/>
    </row>
    <row r="221" spans="1:94" x14ac:dyDescent="0.25">
      <c r="A221" s="109"/>
      <c r="B221" s="10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  <c r="BR221" s="109"/>
      <c r="BS221" s="109"/>
      <c r="BT221" s="109"/>
      <c r="BU221" s="109"/>
      <c r="BV221" s="109"/>
      <c r="BW221" s="109"/>
      <c r="BX221" s="109"/>
      <c r="BY221" s="109"/>
      <c r="BZ221" s="109"/>
      <c r="CA221" s="109"/>
      <c r="CB221" s="109"/>
      <c r="CC221" s="109"/>
      <c r="CD221" s="109"/>
      <c r="CE221" s="109"/>
      <c r="CF221" s="109"/>
      <c r="CG221" s="109"/>
      <c r="CH221" s="109"/>
      <c r="CI221" s="109"/>
      <c r="CJ221" s="109"/>
      <c r="CK221" s="109"/>
      <c r="CL221" s="109"/>
      <c r="CM221" s="109"/>
      <c r="CN221" s="109"/>
      <c r="CO221" s="109"/>
      <c r="CP221" s="109"/>
    </row>
    <row r="222" spans="1:94" x14ac:dyDescent="0.25">
      <c r="A222" s="109"/>
      <c r="B222" s="10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  <c r="BR222" s="109"/>
      <c r="BS222" s="109"/>
      <c r="BT222" s="109"/>
      <c r="BU222" s="109"/>
      <c r="BV222" s="109"/>
      <c r="BW222" s="109"/>
      <c r="BX222" s="109"/>
      <c r="BY222" s="109"/>
      <c r="BZ222" s="109"/>
      <c r="CA222" s="109"/>
      <c r="CB222" s="109"/>
      <c r="CC222" s="109"/>
      <c r="CD222" s="109"/>
      <c r="CE222" s="109"/>
      <c r="CF222" s="109"/>
      <c r="CG222" s="109"/>
      <c r="CH222" s="109"/>
      <c r="CI222" s="109"/>
      <c r="CJ222" s="109"/>
      <c r="CK222" s="109"/>
      <c r="CL222" s="109"/>
      <c r="CM222" s="109"/>
      <c r="CN222" s="109"/>
      <c r="CO222" s="109"/>
      <c r="CP222" s="109"/>
    </row>
    <row r="223" spans="1:94" x14ac:dyDescent="0.25">
      <c r="A223" s="109"/>
      <c r="B223" s="10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  <c r="BR223" s="109"/>
      <c r="BS223" s="109"/>
      <c r="BT223" s="109"/>
      <c r="BU223" s="109"/>
      <c r="BV223" s="109"/>
      <c r="BW223" s="109"/>
      <c r="BX223" s="109"/>
      <c r="BY223" s="109"/>
      <c r="BZ223" s="109"/>
      <c r="CA223" s="109"/>
      <c r="CB223" s="109"/>
      <c r="CC223" s="109"/>
      <c r="CD223" s="109"/>
      <c r="CE223" s="109"/>
      <c r="CF223" s="109"/>
      <c r="CG223" s="109"/>
      <c r="CH223" s="109"/>
      <c r="CI223" s="109"/>
      <c r="CJ223" s="109"/>
      <c r="CK223" s="109"/>
      <c r="CL223" s="109"/>
      <c r="CM223" s="109"/>
      <c r="CN223" s="109"/>
      <c r="CO223" s="109"/>
      <c r="CP223" s="109"/>
    </row>
    <row r="224" spans="1:94" x14ac:dyDescent="0.25">
      <c r="A224" s="109"/>
      <c r="B224" s="10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  <c r="BR224" s="109"/>
      <c r="BS224" s="109"/>
      <c r="BT224" s="109"/>
      <c r="BU224" s="109"/>
      <c r="BV224" s="109"/>
      <c r="BW224" s="109"/>
      <c r="BX224" s="109"/>
      <c r="BY224" s="109"/>
      <c r="BZ224" s="109"/>
      <c r="CA224" s="109"/>
      <c r="CB224" s="109"/>
      <c r="CC224" s="109"/>
      <c r="CD224" s="109"/>
      <c r="CE224" s="109"/>
      <c r="CF224" s="109"/>
      <c r="CG224" s="109"/>
      <c r="CH224" s="109"/>
      <c r="CI224" s="109"/>
      <c r="CJ224" s="109"/>
      <c r="CK224" s="109"/>
      <c r="CL224" s="109"/>
      <c r="CM224" s="109"/>
      <c r="CN224" s="109"/>
      <c r="CO224" s="109"/>
      <c r="CP224" s="109"/>
    </row>
    <row r="225" spans="1:94" x14ac:dyDescent="0.25">
      <c r="A225" s="109"/>
      <c r="B225" s="10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  <c r="BR225" s="109"/>
      <c r="BS225" s="109"/>
      <c r="BT225" s="109"/>
      <c r="BU225" s="109"/>
      <c r="BV225" s="109"/>
      <c r="BW225" s="109"/>
      <c r="BX225" s="109"/>
      <c r="BY225" s="109"/>
      <c r="BZ225" s="109"/>
      <c r="CA225" s="109"/>
      <c r="CB225" s="109"/>
      <c r="CC225" s="109"/>
      <c r="CD225" s="109"/>
      <c r="CE225" s="109"/>
      <c r="CF225" s="109"/>
      <c r="CG225" s="109"/>
      <c r="CH225" s="109"/>
      <c r="CI225" s="109"/>
      <c r="CJ225" s="109"/>
      <c r="CK225" s="109"/>
      <c r="CL225" s="109"/>
      <c r="CM225" s="109"/>
      <c r="CN225" s="109"/>
      <c r="CO225" s="109"/>
      <c r="CP225" s="109"/>
    </row>
    <row r="226" spans="1:94" x14ac:dyDescent="0.25">
      <c r="A226" s="109"/>
      <c r="B226" s="10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  <c r="BR226" s="109"/>
      <c r="BS226" s="109"/>
      <c r="BT226" s="109"/>
      <c r="BU226" s="109"/>
      <c r="BV226" s="109"/>
      <c r="BW226" s="109"/>
      <c r="BX226" s="109"/>
      <c r="BY226" s="109"/>
      <c r="BZ226" s="109"/>
      <c r="CA226" s="109"/>
      <c r="CB226" s="109"/>
      <c r="CC226" s="109"/>
      <c r="CD226" s="109"/>
      <c r="CE226" s="109"/>
      <c r="CF226" s="109"/>
      <c r="CG226" s="109"/>
      <c r="CH226" s="109"/>
      <c r="CI226" s="109"/>
      <c r="CJ226" s="109"/>
      <c r="CK226" s="109"/>
      <c r="CL226" s="109"/>
      <c r="CM226" s="109"/>
      <c r="CN226" s="109"/>
      <c r="CO226" s="109"/>
      <c r="CP226" s="109"/>
    </row>
    <row r="227" spans="1:94" x14ac:dyDescent="0.25">
      <c r="A227" s="109"/>
      <c r="B227" s="10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  <c r="BR227" s="109"/>
      <c r="BS227" s="109"/>
      <c r="BT227" s="109"/>
      <c r="BU227" s="109"/>
      <c r="BV227" s="109"/>
      <c r="BW227" s="109"/>
      <c r="BX227" s="109"/>
      <c r="BY227" s="109"/>
      <c r="BZ227" s="109"/>
      <c r="CA227" s="109"/>
      <c r="CB227" s="109"/>
      <c r="CC227" s="109"/>
      <c r="CD227" s="109"/>
      <c r="CE227" s="109"/>
      <c r="CF227" s="109"/>
      <c r="CG227" s="109"/>
      <c r="CH227" s="109"/>
      <c r="CI227" s="109"/>
      <c r="CJ227" s="109"/>
      <c r="CK227" s="109"/>
      <c r="CL227" s="109"/>
      <c r="CM227" s="109"/>
      <c r="CN227" s="109"/>
      <c r="CO227" s="109"/>
      <c r="CP227" s="109"/>
    </row>
    <row r="228" spans="1:94" x14ac:dyDescent="0.25">
      <c r="A228" s="109"/>
      <c r="B228" s="10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  <c r="BR228" s="109"/>
      <c r="BS228" s="109"/>
      <c r="BT228" s="109"/>
      <c r="BU228" s="109"/>
      <c r="BV228" s="109"/>
      <c r="BW228" s="109"/>
      <c r="BX228" s="109"/>
      <c r="BY228" s="109"/>
      <c r="BZ228" s="109"/>
      <c r="CA228" s="109"/>
      <c r="CB228" s="109"/>
      <c r="CC228" s="109"/>
      <c r="CD228" s="109"/>
      <c r="CE228" s="109"/>
      <c r="CF228" s="109"/>
      <c r="CG228" s="109"/>
      <c r="CH228" s="109"/>
      <c r="CI228" s="109"/>
      <c r="CJ228" s="109"/>
      <c r="CK228" s="109"/>
      <c r="CL228" s="109"/>
      <c r="CM228" s="109"/>
      <c r="CN228" s="109"/>
      <c r="CO228" s="109"/>
      <c r="CP228" s="109"/>
    </row>
    <row r="229" spans="1:94" x14ac:dyDescent="0.25">
      <c r="A229" s="109"/>
      <c r="B229" s="10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  <c r="BR229" s="109"/>
      <c r="BS229" s="109"/>
      <c r="BT229" s="109"/>
      <c r="BU229" s="109"/>
      <c r="BV229" s="109"/>
      <c r="BW229" s="109"/>
      <c r="BX229" s="109"/>
      <c r="BY229" s="109"/>
      <c r="BZ229" s="109"/>
      <c r="CA229" s="109"/>
      <c r="CB229" s="109"/>
      <c r="CC229" s="109"/>
      <c r="CD229" s="109"/>
      <c r="CE229" s="109"/>
      <c r="CF229" s="109"/>
      <c r="CG229" s="109"/>
      <c r="CH229" s="109"/>
      <c r="CI229" s="109"/>
      <c r="CJ229" s="109"/>
      <c r="CK229" s="109"/>
      <c r="CL229" s="109"/>
      <c r="CM229" s="109"/>
      <c r="CN229" s="109"/>
      <c r="CO229" s="109"/>
      <c r="CP229" s="109"/>
    </row>
    <row r="230" spans="1:94" x14ac:dyDescent="0.25">
      <c r="A230" s="109"/>
      <c r="B230" s="10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  <c r="BR230" s="109"/>
      <c r="BS230" s="109"/>
      <c r="BT230" s="109"/>
      <c r="BU230" s="109"/>
      <c r="BV230" s="109"/>
      <c r="BW230" s="109"/>
      <c r="BX230" s="109"/>
      <c r="BY230" s="109"/>
      <c r="BZ230" s="109"/>
      <c r="CA230" s="109"/>
      <c r="CB230" s="109"/>
      <c r="CC230" s="109"/>
      <c r="CD230" s="109"/>
      <c r="CE230" s="109"/>
      <c r="CF230" s="109"/>
      <c r="CG230" s="109"/>
      <c r="CH230" s="109"/>
      <c r="CI230" s="109"/>
      <c r="CJ230" s="109"/>
      <c r="CK230" s="109"/>
      <c r="CL230" s="109"/>
      <c r="CM230" s="109"/>
      <c r="CN230" s="109"/>
      <c r="CO230" s="109"/>
      <c r="CP230" s="109"/>
    </row>
    <row r="231" spans="1:94" x14ac:dyDescent="0.25">
      <c r="A231" s="109"/>
      <c r="B231" s="10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  <c r="BR231" s="109"/>
      <c r="BS231" s="109"/>
      <c r="BT231" s="109"/>
      <c r="BU231" s="109"/>
      <c r="BV231" s="109"/>
      <c r="BW231" s="109"/>
      <c r="BX231" s="109"/>
      <c r="BY231" s="109"/>
      <c r="BZ231" s="109"/>
      <c r="CA231" s="109"/>
      <c r="CB231" s="109"/>
      <c r="CC231" s="109"/>
      <c r="CD231" s="109"/>
      <c r="CE231" s="109"/>
      <c r="CF231" s="109"/>
      <c r="CG231" s="109"/>
      <c r="CH231" s="109"/>
      <c r="CI231" s="109"/>
      <c r="CJ231" s="109"/>
      <c r="CK231" s="109"/>
      <c r="CL231" s="109"/>
      <c r="CM231" s="109"/>
      <c r="CN231" s="109"/>
      <c r="CO231" s="109"/>
      <c r="CP231" s="109"/>
    </row>
    <row r="232" spans="1:94" x14ac:dyDescent="0.25">
      <c r="A232" s="109"/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  <c r="BR232" s="109"/>
      <c r="BS232" s="109"/>
      <c r="BT232" s="109"/>
      <c r="BU232" s="109"/>
      <c r="BV232" s="109"/>
      <c r="BW232" s="109"/>
      <c r="BX232" s="109"/>
      <c r="BY232" s="109"/>
      <c r="BZ232" s="109"/>
      <c r="CA232" s="109"/>
      <c r="CB232" s="109"/>
      <c r="CC232" s="109"/>
      <c r="CD232" s="109"/>
      <c r="CE232" s="109"/>
      <c r="CF232" s="109"/>
      <c r="CG232" s="109"/>
      <c r="CH232" s="109"/>
      <c r="CI232" s="109"/>
      <c r="CJ232" s="109"/>
      <c r="CK232" s="109"/>
      <c r="CL232" s="109"/>
      <c r="CM232" s="109"/>
      <c r="CN232" s="109"/>
      <c r="CO232" s="109"/>
      <c r="CP232" s="109"/>
    </row>
    <row r="233" spans="1:94" x14ac:dyDescent="0.25">
      <c r="A233" s="109"/>
      <c r="B233" s="10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  <c r="BR233" s="109"/>
      <c r="BS233" s="109"/>
      <c r="BT233" s="109"/>
      <c r="BU233" s="109"/>
      <c r="BV233" s="109"/>
      <c r="BW233" s="109"/>
      <c r="BX233" s="109"/>
      <c r="BY233" s="109"/>
      <c r="BZ233" s="109"/>
      <c r="CA233" s="109"/>
      <c r="CB233" s="109"/>
      <c r="CC233" s="109"/>
      <c r="CD233" s="109"/>
      <c r="CE233" s="109"/>
      <c r="CF233" s="109"/>
      <c r="CG233" s="109"/>
      <c r="CH233" s="109"/>
      <c r="CI233" s="109"/>
      <c r="CJ233" s="109"/>
      <c r="CK233" s="109"/>
      <c r="CL233" s="109"/>
      <c r="CM233" s="109"/>
      <c r="CN233" s="109"/>
      <c r="CO233" s="109"/>
      <c r="CP233" s="109"/>
    </row>
    <row r="234" spans="1:94" x14ac:dyDescent="0.25">
      <c r="A234" s="109"/>
      <c r="B234" s="10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  <c r="BR234" s="109"/>
      <c r="BS234" s="109"/>
      <c r="BT234" s="109"/>
      <c r="BU234" s="109"/>
      <c r="BV234" s="109"/>
      <c r="BW234" s="109"/>
      <c r="BX234" s="109"/>
      <c r="BY234" s="109"/>
      <c r="BZ234" s="109"/>
      <c r="CA234" s="109"/>
      <c r="CB234" s="109"/>
      <c r="CC234" s="109"/>
      <c r="CD234" s="109"/>
      <c r="CE234" s="109"/>
      <c r="CF234" s="109"/>
      <c r="CG234" s="109"/>
      <c r="CH234" s="109"/>
      <c r="CI234" s="109"/>
      <c r="CJ234" s="109"/>
      <c r="CK234" s="109"/>
      <c r="CL234" s="109"/>
      <c r="CM234" s="109"/>
      <c r="CN234" s="109"/>
      <c r="CO234" s="109"/>
      <c r="CP234" s="109"/>
    </row>
    <row r="235" spans="1:94" x14ac:dyDescent="0.25">
      <c r="A235" s="109"/>
      <c r="B235" s="10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  <c r="BR235" s="109"/>
      <c r="BS235" s="109"/>
      <c r="BT235" s="109"/>
      <c r="BU235" s="109"/>
      <c r="BV235" s="109"/>
      <c r="BW235" s="109"/>
      <c r="BX235" s="109"/>
      <c r="BY235" s="109"/>
      <c r="BZ235" s="109"/>
      <c r="CA235" s="109"/>
      <c r="CB235" s="109"/>
      <c r="CC235" s="109"/>
      <c r="CD235" s="109"/>
      <c r="CE235" s="109"/>
      <c r="CF235" s="109"/>
      <c r="CG235" s="109"/>
      <c r="CH235" s="109"/>
      <c r="CI235" s="109"/>
      <c r="CJ235" s="109"/>
      <c r="CK235" s="109"/>
      <c r="CL235" s="109"/>
      <c r="CM235" s="109"/>
      <c r="CN235" s="109"/>
      <c r="CO235" s="109"/>
      <c r="CP235" s="109"/>
    </row>
    <row r="236" spans="1:94" x14ac:dyDescent="0.25">
      <c r="A236" s="109"/>
      <c r="B236" s="10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  <c r="BR236" s="109"/>
      <c r="BS236" s="109"/>
      <c r="BT236" s="109"/>
      <c r="BU236" s="109"/>
      <c r="BV236" s="109"/>
      <c r="BW236" s="109"/>
      <c r="BX236" s="109"/>
      <c r="BY236" s="109"/>
      <c r="BZ236" s="109"/>
      <c r="CA236" s="109"/>
      <c r="CB236" s="109"/>
      <c r="CC236" s="109"/>
      <c r="CD236" s="109"/>
      <c r="CE236" s="109"/>
      <c r="CF236" s="109"/>
      <c r="CG236" s="109"/>
      <c r="CH236" s="109"/>
      <c r="CI236" s="109"/>
      <c r="CJ236" s="109"/>
      <c r="CK236" s="109"/>
      <c r="CL236" s="109"/>
      <c r="CM236" s="109"/>
      <c r="CN236" s="109"/>
      <c r="CO236" s="109"/>
      <c r="CP236" s="109"/>
    </row>
    <row r="237" spans="1:94" x14ac:dyDescent="0.25">
      <c r="A237" s="109"/>
      <c r="B237" s="10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  <c r="BR237" s="109"/>
      <c r="BS237" s="109"/>
      <c r="BT237" s="109"/>
      <c r="BU237" s="109"/>
      <c r="BV237" s="109"/>
      <c r="BW237" s="109"/>
      <c r="BX237" s="109"/>
      <c r="BY237" s="109"/>
      <c r="BZ237" s="109"/>
      <c r="CA237" s="109"/>
      <c r="CB237" s="109"/>
      <c r="CC237" s="109"/>
      <c r="CD237" s="109"/>
      <c r="CE237" s="109"/>
      <c r="CF237" s="109"/>
      <c r="CG237" s="109"/>
      <c r="CH237" s="109"/>
      <c r="CI237" s="109"/>
      <c r="CJ237" s="109"/>
      <c r="CK237" s="109"/>
      <c r="CL237" s="109"/>
      <c r="CM237" s="109"/>
      <c r="CN237" s="109"/>
      <c r="CO237" s="109"/>
      <c r="CP237" s="109"/>
    </row>
    <row r="238" spans="1:94" x14ac:dyDescent="0.25">
      <c r="A238" s="109"/>
      <c r="B238" s="10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  <c r="BR238" s="109"/>
      <c r="BS238" s="109"/>
      <c r="BT238" s="109"/>
      <c r="BU238" s="109"/>
      <c r="BV238" s="109"/>
      <c r="BW238" s="109"/>
      <c r="BX238" s="109"/>
      <c r="BY238" s="109"/>
      <c r="BZ238" s="109"/>
      <c r="CA238" s="109"/>
      <c r="CB238" s="109"/>
      <c r="CC238" s="109"/>
      <c r="CD238" s="109"/>
      <c r="CE238" s="109"/>
      <c r="CF238" s="109"/>
      <c r="CG238" s="109"/>
      <c r="CH238" s="109"/>
      <c r="CI238" s="109"/>
      <c r="CJ238" s="109"/>
      <c r="CK238" s="109"/>
      <c r="CL238" s="109"/>
      <c r="CM238" s="109"/>
      <c r="CN238" s="109"/>
      <c r="CO238" s="109"/>
      <c r="CP238" s="109"/>
    </row>
    <row r="239" spans="1:94" x14ac:dyDescent="0.25">
      <c r="A239" s="109"/>
      <c r="B239" s="10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  <c r="BR239" s="109"/>
      <c r="BS239" s="109"/>
      <c r="BT239" s="109"/>
      <c r="BU239" s="109"/>
      <c r="BV239" s="109"/>
      <c r="BW239" s="109"/>
      <c r="BX239" s="109"/>
      <c r="BY239" s="109"/>
      <c r="BZ239" s="109"/>
      <c r="CA239" s="109"/>
      <c r="CB239" s="109"/>
      <c r="CC239" s="109"/>
      <c r="CD239" s="109"/>
      <c r="CE239" s="109"/>
      <c r="CF239" s="109"/>
      <c r="CG239" s="109"/>
      <c r="CH239" s="109"/>
      <c r="CI239" s="109"/>
      <c r="CJ239" s="109"/>
      <c r="CK239" s="109"/>
      <c r="CL239" s="109"/>
      <c r="CM239" s="109"/>
      <c r="CN239" s="109"/>
      <c r="CO239" s="109"/>
      <c r="CP239" s="109"/>
    </row>
    <row r="240" spans="1:94" x14ac:dyDescent="0.25">
      <c r="A240" s="109"/>
      <c r="B240" s="10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  <c r="BR240" s="109"/>
      <c r="BS240" s="109"/>
      <c r="BT240" s="109"/>
      <c r="BU240" s="109"/>
      <c r="BV240" s="109"/>
      <c r="BW240" s="109"/>
      <c r="BX240" s="109"/>
      <c r="BY240" s="109"/>
      <c r="BZ240" s="109"/>
      <c r="CA240" s="109"/>
      <c r="CB240" s="109"/>
      <c r="CC240" s="109"/>
      <c r="CD240" s="109"/>
      <c r="CE240" s="109"/>
      <c r="CF240" s="109"/>
      <c r="CG240" s="109"/>
      <c r="CH240" s="109"/>
      <c r="CI240" s="109"/>
      <c r="CJ240" s="109"/>
      <c r="CK240" s="109"/>
      <c r="CL240" s="109"/>
      <c r="CM240" s="109"/>
      <c r="CN240" s="109"/>
      <c r="CO240" s="109"/>
      <c r="CP240" s="109"/>
    </row>
    <row r="241" spans="1:94" x14ac:dyDescent="0.25">
      <c r="A241" s="109"/>
      <c r="B241" s="10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  <c r="BR241" s="109"/>
      <c r="BS241" s="109"/>
      <c r="BT241" s="109"/>
      <c r="BU241" s="109"/>
      <c r="BV241" s="109"/>
      <c r="BW241" s="109"/>
      <c r="BX241" s="109"/>
      <c r="BY241" s="109"/>
      <c r="BZ241" s="109"/>
      <c r="CA241" s="109"/>
      <c r="CB241" s="109"/>
      <c r="CC241" s="109"/>
      <c r="CD241" s="109"/>
      <c r="CE241" s="109"/>
      <c r="CF241" s="109"/>
      <c r="CG241" s="109"/>
      <c r="CH241" s="109"/>
      <c r="CI241" s="109"/>
      <c r="CJ241" s="109"/>
      <c r="CK241" s="109"/>
      <c r="CL241" s="109"/>
      <c r="CM241" s="109"/>
      <c r="CN241" s="109"/>
      <c r="CO241" s="109"/>
      <c r="CP241" s="109"/>
    </row>
    <row r="242" spans="1:94" x14ac:dyDescent="0.25">
      <c r="A242" s="109"/>
      <c r="B242" s="10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  <c r="BR242" s="109"/>
      <c r="BS242" s="109"/>
      <c r="BT242" s="109"/>
      <c r="BU242" s="109"/>
      <c r="BV242" s="109"/>
      <c r="BW242" s="109"/>
      <c r="BX242" s="109"/>
      <c r="BY242" s="109"/>
      <c r="BZ242" s="109"/>
      <c r="CA242" s="109"/>
      <c r="CB242" s="109"/>
      <c r="CC242" s="109"/>
      <c r="CD242" s="109"/>
      <c r="CE242" s="109"/>
      <c r="CF242" s="109"/>
      <c r="CG242" s="109"/>
      <c r="CH242" s="109"/>
      <c r="CI242" s="109"/>
      <c r="CJ242" s="109"/>
      <c r="CK242" s="109"/>
      <c r="CL242" s="109"/>
      <c r="CM242" s="109"/>
      <c r="CN242" s="109"/>
      <c r="CO242" s="109"/>
      <c r="CP242" s="109"/>
    </row>
    <row r="243" spans="1:94" x14ac:dyDescent="0.25">
      <c r="A243" s="109"/>
      <c r="B243" s="10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  <c r="BR243" s="109"/>
      <c r="BS243" s="109"/>
      <c r="BT243" s="109"/>
      <c r="BU243" s="109"/>
      <c r="BV243" s="109"/>
      <c r="BW243" s="109"/>
      <c r="BX243" s="109"/>
      <c r="BY243" s="109"/>
      <c r="BZ243" s="109"/>
      <c r="CA243" s="109"/>
      <c r="CB243" s="109"/>
      <c r="CC243" s="109"/>
      <c r="CD243" s="109"/>
      <c r="CE243" s="109"/>
      <c r="CF243" s="109"/>
      <c r="CG243" s="109"/>
      <c r="CH243" s="109"/>
      <c r="CI243" s="109"/>
      <c r="CJ243" s="109"/>
      <c r="CK243" s="109"/>
      <c r="CL243" s="109"/>
      <c r="CM243" s="109"/>
      <c r="CN243" s="109"/>
      <c r="CO243" s="109"/>
      <c r="CP243" s="109"/>
    </row>
    <row r="244" spans="1:94" x14ac:dyDescent="0.25">
      <c r="A244" s="109"/>
      <c r="B244" s="10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  <c r="BY244" s="109"/>
      <c r="BZ244" s="109"/>
      <c r="CA244" s="109"/>
      <c r="CB244" s="109"/>
      <c r="CC244" s="109"/>
      <c r="CD244" s="109"/>
      <c r="CE244" s="109"/>
      <c r="CF244" s="109"/>
      <c r="CG244" s="109"/>
      <c r="CH244" s="109"/>
      <c r="CI244" s="109"/>
      <c r="CJ244" s="109"/>
      <c r="CK244" s="109"/>
      <c r="CL244" s="109"/>
      <c r="CM244" s="109"/>
      <c r="CN244" s="109"/>
      <c r="CO244" s="109"/>
      <c r="CP244" s="109"/>
    </row>
    <row r="245" spans="1:94" x14ac:dyDescent="0.25">
      <c r="A245" s="109"/>
      <c r="B245" s="10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  <c r="BR245" s="109"/>
      <c r="BS245" s="109"/>
      <c r="BT245" s="109"/>
      <c r="BU245" s="109"/>
      <c r="BV245" s="109"/>
      <c r="BW245" s="109"/>
      <c r="BX245" s="109"/>
      <c r="BY245" s="109"/>
      <c r="BZ245" s="109"/>
      <c r="CA245" s="109"/>
      <c r="CB245" s="109"/>
      <c r="CC245" s="109"/>
      <c r="CD245" s="109"/>
      <c r="CE245" s="109"/>
      <c r="CF245" s="109"/>
      <c r="CG245" s="109"/>
      <c r="CH245" s="109"/>
      <c r="CI245" s="109"/>
      <c r="CJ245" s="109"/>
      <c r="CK245" s="109"/>
      <c r="CL245" s="109"/>
      <c r="CM245" s="109"/>
      <c r="CN245" s="109"/>
      <c r="CO245" s="109"/>
      <c r="CP245" s="109"/>
    </row>
    <row r="246" spans="1:94" x14ac:dyDescent="0.25">
      <c r="A246" s="109"/>
      <c r="B246" s="10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  <c r="BR246" s="109"/>
      <c r="BS246" s="109"/>
      <c r="BT246" s="109"/>
      <c r="BU246" s="109"/>
      <c r="BV246" s="109"/>
      <c r="BW246" s="109"/>
      <c r="BX246" s="109"/>
      <c r="BY246" s="109"/>
      <c r="BZ246" s="109"/>
      <c r="CA246" s="109"/>
      <c r="CB246" s="109"/>
      <c r="CC246" s="109"/>
      <c r="CD246" s="109"/>
      <c r="CE246" s="109"/>
      <c r="CF246" s="109"/>
      <c r="CG246" s="109"/>
      <c r="CH246" s="109"/>
      <c r="CI246" s="109"/>
      <c r="CJ246" s="109"/>
      <c r="CK246" s="109"/>
      <c r="CL246" s="109"/>
      <c r="CM246" s="109"/>
      <c r="CN246" s="109"/>
      <c r="CO246" s="109"/>
      <c r="CP246" s="109"/>
    </row>
    <row r="247" spans="1:94" x14ac:dyDescent="0.25">
      <c r="A247" s="109"/>
      <c r="B247" s="10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  <c r="BR247" s="109"/>
      <c r="BS247" s="109"/>
      <c r="BT247" s="109"/>
      <c r="BU247" s="109"/>
      <c r="BV247" s="109"/>
      <c r="BW247" s="109"/>
      <c r="BX247" s="109"/>
      <c r="BY247" s="109"/>
      <c r="BZ247" s="109"/>
      <c r="CA247" s="109"/>
      <c r="CB247" s="109"/>
      <c r="CC247" s="109"/>
      <c r="CD247" s="109"/>
      <c r="CE247" s="109"/>
      <c r="CF247" s="109"/>
      <c r="CG247" s="109"/>
      <c r="CH247" s="109"/>
      <c r="CI247" s="109"/>
      <c r="CJ247" s="109"/>
      <c r="CK247" s="109"/>
      <c r="CL247" s="109"/>
      <c r="CM247" s="109"/>
      <c r="CN247" s="109"/>
      <c r="CO247" s="109"/>
      <c r="CP247" s="109"/>
    </row>
    <row r="248" spans="1:94" x14ac:dyDescent="0.25">
      <c r="A248" s="109"/>
      <c r="B248" s="10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  <c r="BR248" s="109"/>
      <c r="BS248" s="109"/>
      <c r="BT248" s="109"/>
      <c r="BU248" s="109"/>
      <c r="BV248" s="109"/>
      <c r="BW248" s="109"/>
      <c r="BX248" s="109"/>
      <c r="BY248" s="109"/>
      <c r="BZ248" s="109"/>
      <c r="CA248" s="109"/>
      <c r="CB248" s="109"/>
      <c r="CC248" s="109"/>
      <c r="CD248" s="109"/>
      <c r="CE248" s="109"/>
      <c r="CF248" s="109"/>
      <c r="CG248" s="109"/>
      <c r="CH248" s="109"/>
      <c r="CI248" s="109"/>
      <c r="CJ248" s="109"/>
      <c r="CK248" s="109"/>
      <c r="CL248" s="109"/>
      <c r="CM248" s="109"/>
      <c r="CN248" s="109"/>
      <c r="CO248" s="109"/>
      <c r="CP248" s="109"/>
    </row>
    <row r="249" spans="1:94" x14ac:dyDescent="0.25">
      <c r="A249" s="109"/>
      <c r="B249" s="10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  <c r="BR249" s="109"/>
      <c r="BS249" s="109"/>
      <c r="BT249" s="109"/>
      <c r="BU249" s="109"/>
      <c r="BV249" s="109"/>
      <c r="BW249" s="109"/>
      <c r="BX249" s="109"/>
      <c r="BY249" s="109"/>
      <c r="BZ249" s="109"/>
      <c r="CA249" s="109"/>
      <c r="CB249" s="109"/>
      <c r="CC249" s="109"/>
      <c r="CD249" s="109"/>
      <c r="CE249" s="109"/>
      <c r="CF249" s="109"/>
      <c r="CG249" s="109"/>
      <c r="CH249" s="109"/>
      <c r="CI249" s="109"/>
      <c r="CJ249" s="109"/>
      <c r="CK249" s="109"/>
      <c r="CL249" s="109"/>
      <c r="CM249" s="109"/>
      <c r="CN249" s="109"/>
      <c r="CO249" s="109"/>
      <c r="CP249" s="109"/>
    </row>
    <row r="250" spans="1:94" x14ac:dyDescent="0.25">
      <c r="A250" s="109"/>
      <c r="B250" s="10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  <c r="BR250" s="109"/>
      <c r="BS250" s="109"/>
      <c r="BT250" s="109"/>
      <c r="BU250" s="109"/>
      <c r="BV250" s="109"/>
      <c r="BW250" s="109"/>
      <c r="BX250" s="109"/>
      <c r="BY250" s="109"/>
      <c r="BZ250" s="109"/>
      <c r="CA250" s="109"/>
      <c r="CB250" s="109"/>
      <c r="CC250" s="109"/>
      <c r="CD250" s="109"/>
      <c r="CE250" s="109"/>
      <c r="CF250" s="109"/>
      <c r="CG250" s="109"/>
      <c r="CH250" s="109"/>
      <c r="CI250" s="109"/>
      <c r="CJ250" s="109"/>
      <c r="CK250" s="109"/>
      <c r="CL250" s="109"/>
      <c r="CM250" s="109"/>
      <c r="CN250" s="109"/>
      <c r="CO250" s="109"/>
      <c r="CP250" s="109"/>
    </row>
    <row r="251" spans="1:94" x14ac:dyDescent="0.25">
      <c r="A251" s="109"/>
      <c r="B251" s="10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  <c r="BR251" s="109"/>
      <c r="BS251" s="109"/>
      <c r="BT251" s="109"/>
      <c r="BU251" s="109"/>
      <c r="BV251" s="109"/>
      <c r="BW251" s="109"/>
      <c r="BX251" s="109"/>
      <c r="BY251" s="109"/>
      <c r="BZ251" s="109"/>
      <c r="CA251" s="109"/>
      <c r="CB251" s="109"/>
      <c r="CC251" s="109"/>
      <c r="CD251" s="109"/>
      <c r="CE251" s="109"/>
      <c r="CF251" s="109"/>
      <c r="CG251" s="109"/>
      <c r="CH251" s="109"/>
      <c r="CI251" s="109"/>
      <c r="CJ251" s="109"/>
      <c r="CK251" s="109"/>
      <c r="CL251" s="109"/>
      <c r="CM251" s="109"/>
      <c r="CN251" s="109"/>
      <c r="CO251" s="109"/>
      <c r="CP251" s="109"/>
    </row>
    <row r="252" spans="1:94" x14ac:dyDescent="0.25">
      <c r="A252" s="109"/>
      <c r="B252" s="10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  <c r="BR252" s="109"/>
      <c r="BS252" s="109"/>
      <c r="BT252" s="109"/>
      <c r="BU252" s="109"/>
      <c r="BV252" s="109"/>
      <c r="BW252" s="109"/>
      <c r="BX252" s="109"/>
      <c r="BY252" s="109"/>
      <c r="BZ252" s="109"/>
      <c r="CA252" s="109"/>
      <c r="CB252" s="109"/>
      <c r="CC252" s="109"/>
      <c r="CD252" s="109"/>
      <c r="CE252" s="109"/>
      <c r="CF252" s="109"/>
      <c r="CG252" s="109"/>
      <c r="CH252" s="109"/>
      <c r="CI252" s="109"/>
      <c r="CJ252" s="109"/>
      <c r="CK252" s="109"/>
      <c r="CL252" s="109"/>
      <c r="CM252" s="109"/>
      <c r="CN252" s="109"/>
      <c r="CO252" s="109"/>
      <c r="CP252" s="109"/>
    </row>
    <row r="253" spans="1:94" x14ac:dyDescent="0.25">
      <c r="A253" s="109"/>
      <c r="B253" s="10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  <c r="BR253" s="109"/>
      <c r="BS253" s="109"/>
      <c r="BT253" s="109"/>
      <c r="BU253" s="109"/>
      <c r="BV253" s="109"/>
      <c r="BW253" s="109"/>
      <c r="BX253" s="109"/>
      <c r="BY253" s="109"/>
      <c r="BZ253" s="109"/>
      <c r="CA253" s="109"/>
      <c r="CB253" s="109"/>
      <c r="CC253" s="109"/>
      <c r="CD253" s="109"/>
      <c r="CE253" s="109"/>
      <c r="CF253" s="109"/>
      <c r="CG253" s="109"/>
      <c r="CH253" s="109"/>
      <c r="CI253" s="109"/>
      <c r="CJ253" s="109"/>
      <c r="CK253" s="109"/>
      <c r="CL253" s="109"/>
      <c r="CM253" s="109"/>
      <c r="CN253" s="109"/>
      <c r="CO253" s="109"/>
      <c r="CP253" s="109"/>
    </row>
    <row r="254" spans="1:94" x14ac:dyDescent="0.25">
      <c r="A254" s="109"/>
      <c r="B254" s="10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  <c r="BR254" s="109"/>
      <c r="BS254" s="109"/>
      <c r="BT254" s="109"/>
      <c r="BU254" s="109"/>
      <c r="BV254" s="109"/>
      <c r="BW254" s="109"/>
      <c r="BX254" s="109"/>
      <c r="BY254" s="109"/>
      <c r="BZ254" s="109"/>
      <c r="CA254" s="109"/>
      <c r="CB254" s="109"/>
      <c r="CC254" s="109"/>
      <c r="CD254" s="109"/>
      <c r="CE254" s="109"/>
      <c r="CF254" s="109"/>
      <c r="CG254" s="109"/>
      <c r="CH254" s="109"/>
      <c r="CI254" s="109"/>
      <c r="CJ254" s="109"/>
      <c r="CK254" s="109"/>
      <c r="CL254" s="109"/>
      <c r="CM254" s="109"/>
      <c r="CN254" s="109"/>
      <c r="CO254" s="109"/>
      <c r="CP254" s="109"/>
    </row>
    <row r="255" spans="1:94" x14ac:dyDescent="0.25">
      <c r="A255" s="109"/>
      <c r="B255" s="10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  <c r="BR255" s="109"/>
      <c r="BS255" s="109"/>
      <c r="BT255" s="109"/>
      <c r="BU255" s="109"/>
      <c r="BV255" s="109"/>
      <c r="BW255" s="109"/>
      <c r="BX255" s="109"/>
      <c r="BY255" s="109"/>
      <c r="BZ255" s="109"/>
      <c r="CA255" s="109"/>
      <c r="CB255" s="109"/>
      <c r="CC255" s="109"/>
      <c r="CD255" s="109"/>
      <c r="CE255" s="109"/>
      <c r="CF255" s="109"/>
      <c r="CG255" s="109"/>
      <c r="CH255" s="109"/>
      <c r="CI255" s="109"/>
      <c r="CJ255" s="109"/>
      <c r="CK255" s="109"/>
      <c r="CL255" s="109"/>
      <c r="CM255" s="109"/>
      <c r="CN255" s="109"/>
      <c r="CO255" s="109"/>
      <c r="CP255" s="109"/>
    </row>
    <row r="256" spans="1:94" x14ac:dyDescent="0.25">
      <c r="A256" s="109"/>
      <c r="B256" s="10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  <c r="BR256" s="109"/>
      <c r="BS256" s="109"/>
      <c r="BT256" s="109"/>
      <c r="BU256" s="109"/>
      <c r="BV256" s="109"/>
      <c r="BW256" s="109"/>
      <c r="BX256" s="109"/>
      <c r="BY256" s="109"/>
      <c r="BZ256" s="109"/>
      <c r="CA256" s="109"/>
      <c r="CB256" s="109"/>
      <c r="CC256" s="109"/>
      <c r="CD256" s="109"/>
      <c r="CE256" s="109"/>
      <c r="CF256" s="109"/>
      <c r="CG256" s="109"/>
      <c r="CH256" s="109"/>
      <c r="CI256" s="109"/>
      <c r="CJ256" s="109"/>
      <c r="CK256" s="109"/>
      <c r="CL256" s="109"/>
      <c r="CM256" s="109"/>
      <c r="CN256" s="109"/>
      <c r="CO256" s="109"/>
      <c r="CP256" s="109"/>
    </row>
    <row r="257" spans="1:94" x14ac:dyDescent="0.25">
      <c r="A257" s="109"/>
      <c r="B257" s="10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  <c r="BR257" s="109"/>
      <c r="BS257" s="109"/>
      <c r="BT257" s="109"/>
      <c r="BU257" s="109"/>
      <c r="BV257" s="109"/>
      <c r="BW257" s="109"/>
      <c r="BX257" s="109"/>
      <c r="BY257" s="109"/>
      <c r="BZ257" s="109"/>
      <c r="CA257" s="109"/>
      <c r="CB257" s="109"/>
      <c r="CC257" s="109"/>
      <c r="CD257" s="109"/>
      <c r="CE257" s="109"/>
      <c r="CF257" s="109"/>
      <c r="CG257" s="109"/>
      <c r="CH257" s="109"/>
      <c r="CI257" s="109"/>
      <c r="CJ257" s="109"/>
      <c r="CK257" s="109"/>
      <c r="CL257" s="109"/>
      <c r="CM257" s="109"/>
      <c r="CN257" s="109"/>
      <c r="CO257" s="109"/>
      <c r="CP257" s="109"/>
    </row>
    <row r="258" spans="1:94" x14ac:dyDescent="0.25">
      <c r="A258" s="109"/>
      <c r="B258" s="10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  <c r="BR258" s="109"/>
      <c r="BS258" s="109"/>
      <c r="BT258" s="109"/>
      <c r="BU258" s="109"/>
      <c r="BV258" s="109"/>
      <c r="BW258" s="109"/>
      <c r="BX258" s="109"/>
      <c r="BY258" s="109"/>
      <c r="BZ258" s="109"/>
      <c r="CA258" s="109"/>
      <c r="CB258" s="109"/>
      <c r="CC258" s="109"/>
      <c r="CD258" s="109"/>
      <c r="CE258" s="109"/>
      <c r="CF258" s="109"/>
      <c r="CG258" s="109"/>
      <c r="CH258" s="109"/>
      <c r="CI258" s="109"/>
      <c r="CJ258" s="109"/>
      <c r="CK258" s="109"/>
      <c r="CL258" s="109"/>
      <c r="CM258" s="109"/>
      <c r="CN258" s="109"/>
      <c r="CO258" s="109"/>
      <c r="CP258" s="109"/>
    </row>
    <row r="259" spans="1:94" x14ac:dyDescent="0.25">
      <c r="A259" s="109"/>
      <c r="B259" s="10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  <c r="BR259" s="109"/>
      <c r="BS259" s="109"/>
      <c r="BT259" s="109"/>
      <c r="BU259" s="109"/>
      <c r="BV259" s="109"/>
      <c r="BW259" s="109"/>
      <c r="BX259" s="109"/>
      <c r="BY259" s="109"/>
      <c r="BZ259" s="109"/>
      <c r="CA259" s="109"/>
      <c r="CB259" s="109"/>
      <c r="CC259" s="109"/>
      <c r="CD259" s="109"/>
      <c r="CE259" s="109"/>
      <c r="CF259" s="109"/>
      <c r="CG259" s="109"/>
      <c r="CH259" s="109"/>
      <c r="CI259" s="109"/>
      <c r="CJ259" s="109"/>
      <c r="CK259" s="109"/>
      <c r="CL259" s="109"/>
      <c r="CM259" s="109"/>
      <c r="CN259" s="109"/>
      <c r="CO259" s="109"/>
      <c r="CP259" s="109"/>
    </row>
    <row r="260" spans="1:94" x14ac:dyDescent="0.25">
      <c r="A260" s="109"/>
      <c r="B260" s="10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  <c r="BR260" s="109"/>
      <c r="BS260" s="109"/>
      <c r="BT260" s="109"/>
      <c r="BU260" s="109"/>
      <c r="BV260" s="109"/>
      <c r="BW260" s="109"/>
      <c r="BX260" s="109"/>
      <c r="BY260" s="109"/>
      <c r="BZ260" s="109"/>
      <c r="CA260" s="109"/>
      <c r="CB260" s="109"/>
      <c r="CC260" s="109"/>
      <c r="CD260" s="109"/>
      <c r="CE260" s="109"/>
      <c r="CF260" s="109"/>
      <c r="CG260" s="109"/>
      <c r="CH260" s="109"/>
      <c r="CI260" s="109"/>
      <c r="CJ260" s="109"/>
      <c r="CK260" s="109"/>
      <c r="CL260" s="109"/>
      <c r="CM260" s="109"/>
      <c r="CN260" s="109"/>
      <c r="CO260" s="109"/>
      <c r="CP260" s="109"/>
    </row>
    <row r="261" spans="1:94" x14ac:dyDescent="0.25">
      <c r="A261" s="109"/>
      <c r="B261" s="10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  <c r="BR261" s="109"/>
      <c r="BS261" s="109"/>
      <c r="BT261" s="109"/>
      <c r="BU261" s="109"/>
      <c r="BV261" s="109"/>
      <c r="BW261" s="109"/>
      <c r="BX261" s="109"/>
      <c r="BY261" s="109"/>
      <c r="BZ261" s="109"/>
      <c r="CA261" s="109"/>
      <c r="CB261" s="109"/>
      <c r="CC261" s="109"/>
      <c r="CD261" s="109"/>
      <c r="CE261" s="109"/>
      <c r="CF261" s="109"/>
      <c r="CG261" s="109"/>
      <c r="CH261" s="109"/>
      <c r="CI261" s="109"/>
      <c r="CJ261" s="109"/>
      <c r="CK261" s="109"/>
      <c r="CL261" s="109"/>
      <c r="CM261" s="109"/>
      <c r="CN261" s="109"/>
      <c r="CO261" s="109"/>
      <c r="CP261" s="109"/>
    </row>
    <row r="262" spans="1:94" x14ac:dyDescent="0.25">
      <c r="A262" s="109"/>
      <c r="B262" s="10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  <c r="BR262" s="109"/>
      <c r="BS262" s="109"/>
      <c r="BT262" s="109"/>
      <c r="BU262" s="109"/>
      <c r="BV262" s="109"/>
      <c r="BW262" s="109"/>
      <c r="BX262" s="109"/>
      <c r="BY262" s="109"/>
      <c r="BZ262" s="109"/>
      <c r="CA262" s="109"/>
      <c r="CB262" s="109"/>
      <c r="CC262" s="109"/>
      <c r="CD262" s="109"/>
      <c r="CE262" s="109"/>
      <c r="CF262" s="109"/>
      <c r="CG262" s="109"/>
      <c r="CH262" s="109"/>
      <c r="CI262" s="109"/>
      <c r="CJ262" s="109"/>
      <c r="CK262" s="109"/>
      <c r="CL262" s="109"/>
      <c r="CM262" s="109"/>
      <c r="CN262" s="109"/>
      <c r="CO262" s="109"/>
      <c r="CP262" s="109"/>
    </row>
    <row r="263" spans="1:94" x14ac:dyDescent="0.25">
      <c r="A263" s="109"/>
      <c r="B263" s="10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  <c r="BR263" s="109"/>
      <c r="BS263" s="109"/>
      <c r="BT263" s="109"/>
      <c r="BU263" s="109"/>
      <c r="BV263" s="109"/>
      <c r="BW263" s="109"/>
      <c r="BX263" s="109"/>
      <c r="BY263" s="109"/>
      <c r="BZ263" s="109"/>
      <c r="CA263" s="109"/>
      <c r="CB263" s="109"/>
      <c r="CC263" s="109"/>
      <c r="CD263" s="109"/>
      <c r="CE263" s="109"/>
      <c r="CF263" s="109"/>
      <c r="CG263" s="109"/>
      <c r="CH263" s="109"/>
      <c r="CI263" s="109"/>
      <c r="CJ263" s="109"/>
      <c r="CK263" s="109"/>
      <c r="CL263" s="109"/>
      <c r="CM263" s="109"/>
      <c r="CN263" s="109"/>
      <c r="CO263" s="109"/>
      <c r="CP263" s="109"/>
    </row>
    <row r="264" spans="1:94" x14ac:dyDescent="0.25">
      <c r="A264" s="109"/>
      <c r="B264" s="10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  <c r="BR264" s="109"/>
      <c r="BS264" s="109"/>
      <c r="BT264" s="109"/>
      <c r="BU264" s="109"/>
      <c r="BV264" s="109"/>
      <c r="BW264" s="109"/>
      <c r="BX264" s="109"/>
      <c r="BY264" s="109"/>
      <c r="BZ264" s="109"/>
      <c r="CA264" s="109"/>
      <c r="CB264" s="109"/>
      <c r="CC264" s="109"/>
      <c r="CD264" s="109"/>
      <c r="CE264" s="109"/>
      <c r="CF264" s="109"/>
      <c r="CG264" s="109"/>
      <c r="CH264" s="109"/>
      <c r="CI264" s="109"/>
      <c r="CJ264" s="109"/>
      <c r="CK264" s="109"/>
      <c r="CL264" s="109"/>
      <c r="CM264" s="109"/>
      <c r="CN264" s="109"/>
      <c r="CO264" s="109"/>
      <c r="CP264" s="109"/>
    </row>
    <row r="265" spans="1:94" x14ac:dyDescent="0.25">
      <c r="A265" s="109"/>
      <c r="B265" s="10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  <c r="BR265" s="109"/>
      <c r="BS265" s="109"/>
      <c r="BT265" s="109"/>
      <c r="BU265" s="109"/>
      <c r="BV265" s="109"/>
      <c r="BW265" s="109"/>
      <c r="BX265" s="109"/>
      <c r="BY265" s="109"/>
      <c r="BZ265" s="109"/>
      <c r="CA265" s="109"/>
      <c r="CB265" s="109"/>
      <c r="CC265" s="109"/>
      <c r="CD265" s="109"/>
      <c r="CE265" s="109"/>
      <c r="CF265" s="109"/>
      <c r="CG265" s="109"/>
      <c r="CH265" s="109"/>
      <c r="CI265" s="109"/>
      <c r="CJ265" s="109"/>
      <c r="CK265" s="109"/>
      <c r="CL265" s="109"/>
      <c r="CM265" s="109"/>
      <c r="CN265" s="109"/>
      <c r="CO265" s="109"/>
      <c r="CP265" s="109"/>
    </row>
    <row r="266" spans="1:94" x14ac:dyDescent="0.25">
      <c r="A266" s="109"/>
      <c r="B266" s="10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  <c r="BR266" s="109"/>
      <c r="BS266" s="109"/>
      <c r="BT266" s="109"/>
      <c r="BU266" s="109"/>
      <c r="BV266" s="109"/>
      <c r="BW266" s="109"/>
      <c r="BX266" s="109"/>
      <c r="BY266" s="109"/>
      <c r="BZ266" s="109"/>
      <c r="CA266" s="109"/>
      <c r="CB266" s="109"/>
      <c r="CC266" s="109"/>
      <c r="CD266" s="109"/>
      <c r="CE266" s="109"/>
      <c r="CF266" s="109"/>
      <c r="CG266" s="109"/>
      <c r="CH266" s="109"/>
      <c r="CI266" s="109"/>
      <c r="CJ266" s="109"/>
      <c r="CK266" s="109"/>
      <c r="CL266" s="109"/>
      <c r="CM266" s="109"/>
      <c r="CN266" s="109"/>
      <c r="CO266" s="109"/>
      <c r="CP266" s="109"/>
    </row>
    <row r="267" spans="1:94" x14ac:dyDescent="0.25">
      <c r="A267" s="109"/>
      <c r="B267" s="10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  <c r="BR267" s="109"/>
      <c r="BS267" s="109"/>
      <c r="BT267" s="109"/>
      <c r="BU267" s="109"/>
      <c r="BV267" s="109"/>
      <c r="BW267" s="109"/>
      <c r="BX267" s="109"/>
      <c r="BY267" s="109"/>
      <c r="BZ267" s="109"/>
      <c r="CA267" s="109"/>
      <c r="CB267" s="109"/>
      <c r="CC267" s="109"/>
      <c r="CD267" s="109"/>
      <c r="CE267" s="109"/>
      <c r="CF267" s="109"/>
      <c r="CG267" s="109"/>
      <c r="CH267" s="109"/>
      <c r="CI267" s="109"/>
      <c r="CJ267" s="109"/>
      <c r="CK267" s="109"/>
      <c r="CL267" s="109"/>
      <c r="CM267" s="109"/>
      <c r="CN267" s="109"/>
      <c r="CO267" s="109"/>
      <c r="CP267" s="109"/>
    </row>
    <row r="268" spans="1:94" x14ac:dyDescent="0.25">
      <c r="A268" s="109"/>
      <c r="B268" s="10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  <c r="BR268" s="109"/>
      <c r="BS268" s="109"/>
      <c r="BT268" s="109"/>
      <c r="BU268" s="109"/>
      <c r="BV268" s="109"/>
      <c r="BW268" s="109"/>
      <c r="BX268" s="109"/>
      <c r="BY268" s="109"/>
      <c r="BZ268" s="109"/>
      <c r="CA268" s="109"/>
      <c r="CB268" s="109"/>
      <c r="CC268" s="109"/>
      <c r="CD268" s="109"/>
      <c r="CE268" s="109"/>
      <c r="CF268" s="109"/>
      <c r="CG268" s="109"/>
      <c r="CH268" s="109"/>
      <c r="CI268" s="109"/>
      <c r="CJ268" s="109"/>
      <c r="CK268" s="109"/>
      <c r="CL268" s="109"/>
      <c r="CM268" s="109"/>
      <c r="CN268" s="109"/>
      <c r="CO268" s="109"/>
      <c r="CP268" s="109"/>
    </row>
    <row r="269" spans="1:94" x14ac:dyDescent="0.25">
      <c r="A269" s="109"/>
      <c r="B269" s="10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  <c r="BR269" s="109"/>
      <c r="BS269" s="109"/>
      <c r="BT269" s="109"/>
      <c r="BU269" s="109"/>
      <c r="BV269" s="109"/>
      <c r="BW269" s="109"/>
      <c r="BX269" s="109"/>
      <c r="BY269" s="109"/>
      <c r="BZ269" s="109"/>
      <c r="CA269" s="109"/>
      <c r="CB269" s="109"/>
      <c r="CC269" s="109"/>
      <c r="CD269" s="109"/>
      <c r="CE269" s="109"/>
      <c r="CF269" s="109"/>
      <c r="CG269" s="109"/>
      <c r="CH269" s="109"/>
      <c r="CI269" s="109"/>
      <c r="CJ269" s="109"/>
      <c r="CK269" s="109"/>
      <c r="CL269" s="109"/>
      <c r="CM269" s="109"/>
      <c r="CN269" s="109"/>
      <c r="CO269" s="109"/>
      <c r="CP269" s="109"/>
    </row>
    <row r="270" spans="1:94" x14ac:dyDescent="0.25">
      <c r="A270" s="109"/>
      <c r="B270" s="10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  <c r="BR270" s="109"/>
      <c r="BS270" s="109"/>
      <c r="BT270" s="109"/>
      <c r="BU270" s="109"/>
      <c r="BV270" s="109"/>
      <c r="BW270" s="109"/>
      <c r="BX270" s="109"/>
      <c r="BY270" s="109"/>
      <c r="BZ270" s="109"/>
      <c r="CA270" s="109"/>
      <c r="CB270" s="109"/>
      <c r="CC270" s="109"/>
      <c r="CD270" s="109"/>
      <c r="CE270" s="109"/>
      <c r="CF270" s="109"/>
      <c r="CG270" s="109"/>
      <c r="CH270" s="109"/>
      <c r="CI270" s="109"/>
      <c r="CJ270" s="109"/>
      <c r="CK270" s="109"/>
      <c r="CL270" s="109"/>
      <c r="CM270" s="109"/>
      <c r="CN270" s="109"/>
      <c r="CO270" s="109"/>
      <c r="CP270" s="109"/>
    </row>
    <row r="271" spans="1:94" x14ac:dyDescent="0.25">
      <c r="A271" s="109"/>
      <c r="B271" s="10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  <c r="BR271" s="109"/>
      <c r="BS271" s="109"/>
      <c r="BT271" s="109"/>
      <c r="BU271" s="109"/>
      <c r="BV271" s="109"/>
      <c r="BW271" s="109"/>
      <c r="BX271" s="109"/>
      <c r="BY271" s="109"/>
      <c r="BZ271" s="109"/>
      <c r="CA271" s="109"/>
      <c r="CB271" s="109"/>
      <c r="CC271" s="109"/>
      <c r="CD271" s="109"/>
      <c r="CE271" s="109"/>
      <c r="CF271" s="109"/>
      <c r="CG271" s="109"/>
      <c r="CH271" s="109"/>
      <c r="CI271" s="109"/>
      <c r="CJ271" s="109"/>
      <c r="CK271" s="109"/>
      <c r="CL271" s="109"/>
      <c r="CM271" s="109"/>
      <c r="CN271" s="109"/>
      <c r="CO271" s="109"/>
      <c r="CP271" s="109"/>
    </row>
    <row r="272" spans="1:94" x14ac:dyDescent="0.25">
      <c r="A272" s="109"/>
      <c r="B272" s="10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  <c r="BR272" s="109"/>
      <c r="BS272" s="109"/>
      <c r="BT272" s="109"/>
      <c r="BU272" s="109"/>
      <c r="BV272" s="109"/>
      <c r="BW272" s="109"/>
      <c r="BX272" s="109"/>
      <c r="BY272" s="109"/>
      <c r="BZ272" s="109"/>
      <c r="CA272" s="109"/>
      <c r="CB272" s="109"/>
      <c r="CC272" s="109"/>
      <c r="CD272" s="109"/>
      <c r="CE272" s="109"/>
      <c r="CF272" s="109"/>
      <c r="CG272" s="109"/>
      <c r="CH272" s="109"/>
      <c r="CI272" s="109"/>
      <c r="CJ272" s="109"/>
      <c r="CK272" s="109"/>
      <c r="CL272" s="109"/>
      <c r="CM272" s="109"/>
      <c r="CN272" s="109"/>
      <c r="CO272" s="109"/>
      <c r="CP272" s="109"/>
    </row>
    <row r="273" spans="1:94" x14ac:dyDescent="0.25">
      <c r="A273" s="109"/>
      <c r="B273" s="10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  <c r="BR273" s="109"/>
      <c r="BS273" s="109"/>
      <c r="BT273" s="109"/>
      <c r="BU273" s="109"/>
      <c r="BV273" s="109"/>
      <c r="BW273" s="109"/>
      <c r="BX273" s="109"/>
      <c r="BY273" s="109"/>
      <c r="BZ273" s="109"/>
      <c r="CA273" s="109"/>
      <c r="CB273" s="109"/>
      <c r="CC273" s="109"/>
      <c r="CD273" s="109"/>
      <c r="CE273" s="109"/>
      <c r="CF273" s="109"/>
      <c r="CG273" s="109"/>
      <c r="CH273" s="109"/>
      <c r="CI273" s="109"/>
      <c r="CJ273" s="109"/>
      <c r="CK273" s="109"/>
      <c r="CL273" s="109"/>
      <c r="CM273" s="109"/>
      <c r="CN273" s="109"/>
      <c r="CO273" s="109"/>
      <c r="CP273" s="109"/>
    </row>
    <row r="274" spans="1:94" x14ac:dyDescent="0.25">
      <c r="A274" s="109"/>
      <c r="B274" s="10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  <c r="BY274" s="109"/>
      <c r="BZ274" s="109"/>
      <c r="CA274" s="109"/>
      <c r="CB274" s="109"/>
      <c r="CC274" s="109"/>
      <c r="CD274" s="109"/>
      <c r="CE274" s="109"/>
      <c r="CF274" s="109"/>
      <c r="CG274" s="109"/>
      <c r="CH274" s="109"/>
      <c r="CI274" s="109"/>
      <c r="CJ274" s="109"/>
      <c r="CK274" s="109"/>
      <c r="CL274" s="109"/>
      <c r="CM274" s="109"/>
      <c r="CN274" s="109"/>
      <c r="CO274" s="109"/>
      <c r="CP274" s="109"/>
    </row>
    <row r="275" spans="1:94" x14ac:dyDescent="0.25">
      <c r="A275" s="109"/>
      <c r="B275" s="10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  <c r="BR275" s="109"/>
      <c r="BS275" s="109"/>
      <c r="BT275" s="109"/>
      <c r="BU275" s="109"/>
      <c r="BV275" s="109"/>
      <c r="BW275" s="109"/>
      <c r="BX275" s="109"/>
      <c r="BY275" s="109"/>
      <c r="BZ275" s="109"/>
      <c r="CA275" s="109"/>
      <c r="CB275" s="109"/>
      <c r="CC275" s="109"/>
      <c r="CD275" s="109"/>
      <c r="CE275" s="109"/>
      <c r="CF275" s="109"/>
      <c r="CG275" s="109"/>
      <c r="CH275" s="109"/>
      <c r="CI275" s="109"/>
      <c r="CJ275" s="109"/>
      <c r="CK275" s="109"/>
      <c r="CL275" s="109"/>
      <c r="CM275" s="109"/>
      <c r="CN275" s="109"/>
      <c r="CO275" s="109"/>
      <c r="CP275" s="109"/>
    </row>
    <row r="276" spans="1:94" x14ac:dyDescent="0.25">
      <c r="A276" s="109"/>
      <c r="B276" s="10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  <c r="BR276" s="109"/>
      <c r="BS276" s="109"/>
      <c r="BT276" s="109"/>
      <c r="BU276" s="109"/>
      <c r="BV276" s="109"/>
      <c r="BW276" s="109"/>
      <c r="BX276" s="109"/>
      <c r="BY276" s="109"/>
      <c r="BZ276" s="109"/>
      <c r="CA276" s="109"/>
      <c r="CB276" s="109"/>
      <c r="CC276" s="109"/>
      <c r="CD276" s="109"/>
      <c r="CE276" s="109"/>
      <c r="CF276" s="109"/>
      <c r="CG276" s="109"/>
      <c r="CH276" s="109"/>
      <c r="CI276" s="109"/>
      <c r="CJ276" s="109"/>
      <c r="CK276" s="109"/>
      <c r="CL276" s="109"/>
      <c r="CM276" s="109"/>
      <c r="CN276" s="109"/>
      <c r="CO276" s="109"/>
      <c r="CP276" s="109"/>
    </row>
    <row r="277" spans="1:94" x14ac:dyDescent="0.25">
      <c r="A277" s="109"/>
      <c r="B277" s="10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  <c r="BR277" s="109"/>
      <c r="BS277" s="109"/>
      <c r="BT277" s="109"/>
      <c r="BU277" s="109"/>
      <c r="BV277" s="109"/>
      <c r="BW277" s="109"/>
      <c r="BX277" s="109"/>
      <c r="BY277" s="109"/>
      <c r="BZ277" s="109"/>
      <c r="CA277" s="109"/>
      <c r="CB277" s="109"/>
      <c r="CC277" s="109"/>
      <c r="CD277" s="109"/>
      <c r="CE277" s="109"/>
      <c r="CF277" s="109"/>
      <c r="CG277" s="109"/>
      <c r="CH277" s="109"/>
      <c r="CI277" s="109"/>
      <c r="CJ277" s="109"/>
      <c r="CK277" s="109"/>
      <c r="CL277" s="109"/>
      <c r="CM277" s="109"/>
      <c r="CN277" s="109"/>
      <c r="CO277" s="109"/>
      <c r="CP277" s="109"/>
    </row>
    <row r="278" spans="1:94" x14ac:dyDescent="0.25">
      <c r="A278" s="109"/>
      <c r="B278" s="10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  <c r="BR278" s="109"/>
      <c r="BS278" s="109"/>
      <c r="BT278" s="109"/>
      <c r="BU278" s="109"/>
      <c r="BV278" s="109"/>
      <c r="BW278" s="109"/>
      <c r="BX278" s="109"/>
      <c r="BY278" s="109"/>
      <c r="BZ278" s="109"/>
      <c r="CA278" s="109"/>
      <c r="CB278" s="109"/>
      <c r="CC278" s="109"/>
      <c r="CD278" s="109"/>
      <c r="CE278" s="109"/>
      <c r="CF278" s="109"/>
      <c r="CG278" s="109"/>
      <c r="CH278" s="109"/>
      <c r="CI278" s="109"/>
      <c r="CJ278" s="109"/>
      <c r="CK278" s="109"/>
      <c r="CL278" s="109"/>
      <c r="CM278" s="109"/>
      <c r="CN278" s="109"/>
      <c r="CO278" s="109"/>
      <c r="CP278" s="109"/>
    </row>
    <row r="279" spans="1:94" x14ac:dyDescent="0.25">
      <c r="A279" s="109"/>
      <c r="B279" s="10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  <c r="BR279" s="109"/>
      <c r="BS279" s="109"/>
      <c r="BT279" s="109"/>
      <c r="BU279" s="109"/>
      <c r="BV279" s="109"/>
      <c r="BW279" s="109"/>
      <c r="BX279" s="109"/>
      <c r="BY279" s="109"/>
      <c r="BZ279" s="109"/>
      <c r="CA279" s="109"/>
      <c r="CB279" s="109"/>
      <c r="CC279" s="109"/>
      <c r="CD279" s="109"/>
      <c r="CE279" s="109"/>
      <c r="CF279" s="109"/>
      <c r="CG279" s="109"/>
      <c r="CH279" s="109"/>
      <c r="CI279" s="109"/>
      <c r="CJ279" s="109"/>
      <c r="CK279" s="109"/>
      <c r="CL279" s="109"/>
      <c r="CM279" s="109"/>
      <c r="CN279" s="109"/>
      <c r="CO279" s="109"/>
      <c r="CP279" s="109"/>
    </row>
    <row r="280" spans="1:94" x14ac:dyDescent="0.25">
      <c r="A280" s="109"/>
      <c r="B280" s="10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  <c r="BR280" s="109"/>
      <c r="BS280" s="109"/>
      <c r="BT280" s="109"/>
      <c r="BU280" s="109"/>
      <c r="BV280" s="109"/>
      <c r="BW280" s="109"/>
      <c r="BX280" s="109"/>
      <c r="BY280" s="109"/>
      <c r="BZ280" s="109"/>
      <c r="CA280" s="109"/>
      <c r="CB280" s="109"/>
      <c r="CC280" s="109"/>
      <c r="CD280" s="109"/>
      <c r="CE280" s="109"/>
      <c r="CF280" s="109"/>
      <c r="CG280" s="109"/>
      <c r="CH280" s="109"/>
      <c r="CI280" s="109"/>
      <c r="CJ280" s="109"/>
      <c r="CK280" s="109"/>
      <c r="CL280" s="109"/>
      <c r="CM280" s="109"/>
      <c r="CN280" s="109"/>
      <c r="CO280" s="109"/>
      <c r="CP280" s="109"/>
    </row>
    <row r="281" spans="1:94" x14ac:dyDescent="0.25">
      <c r="A281" s="109"/>
      <c r="B281" s="10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  <c r="BR281" s="109"/>
      <c r="BS281" s="109"/>
      <c r="BT281" s="109"/>
      <c r="BU281" s="109"/>
      <c r="BV281" s="109"/>
      <c r="BW281" s="109"/>
      <c r="BX281" s="109"/>
      <c r="BY281" s="109"/>
      <c r="BZ281" s="109"/>
      <c r="CA281" s="109"/>
      <c r="CB281" s="109"/>
      <c r="CC281" s="109"/>
      <c r="CD281" s="109"/>
      <c r="CE281" s="109"/>
      <c r="CF281" s="109"/>
      <c r="CG281" s="109"/>
      <c r="CH281" s="109"/>
      <c r="CI281" s="109"/>
      <c r="CJ281" s="109"/>
      <c r="CK281" s="109"/>
      <c r="CL281" s="109"/>
      <c r="CM281" s="109"/>
      <c r="CN281" s="109"/>
      <c r="CO281" s="109"/>
      <c r="CP281" s="109"/>
    </row>
    <row r="282" spans="1:94" x14ac:dyDescent="0.25">
      <c r="A282" s="109"/>
      <c r="B282" s="10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  <c r="BR282" s="109"/>
      <c r="BS282" s="109"/>
      <c r="BT282" s="109"/>
      <c r="BU282" s="109"/>
      <c r="BV282" s="109"/>
      <c r="BW282" s="109"/>
      <c r="BX282" s="109"/>
      <c r="BY282" s="109"/>
      <c r="BZ282" s="109"/>
      <c r="CA282" s="109"/>
      <c r="CB282" s="109"/>
      <c r="CC282" s="109"/>
      <c r="CD282" s="109"/>
      <c r="CE282" s="109"/>
      <c r="CF282" s="109"/>
      <c r="CG282" s="109"/>
      <c r="CH282" s="109"/>
      <c r="CI282" s="109"/>
      <c r="CJ282" s="109"/>
      <c r="CK282" s="109"/>
      <c r="CL282" s="109"/>
      <c r="CM282" s="109"/>
      <c r="CN282" s="109"/>
      <c r="CO282" s="109"/>
      <c r="CP282" s="109"/>
    </row>
    <row r="283" spans="1:94" x14ac:dyDescent="0.25">
      <c r="A283" s="109"/>
      <c r="B283" s="10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  <c r="BR283" s="109"/>
      <c r="BS283" s="109"/>
      <c r="BT283" s="109"/>
      <c r="BU283" s="109"/>
      <c r="BV283" s="109"/>
      <c r="BW283" s="109"/>
      <c r="BX283" s="109"/>
      <c r="BY283" s="109"/>
      <c r="BZ283" s="109"/>
      <c r="CA283" s="109"/>
      <c r="CB283" s="109"/>
      <c r="CC283" s="109"/>
      <c r="CD283" s="109"/>
      <c r="CE283" s="109"/>
      <c r="CF283" s="109"/>
      <c r="CG283" s="109"/>
      <c r="CH283" s="109"/>
      <c r="CI283" s="109"/>
      <c r="CJ283" s="109"/>
      <c r="CK283" s="109"/>
      <c r="CL283" s="109"/>
      <c r="CM283" s="109"/>
      <c r="CN283" s="109"/>
      <c r="CO283" s="109"/>
      <c r="CP283" s="109"/>
    </row>
    <row r="284" spans="1:94" x14ac:dyDescent="0.25">
      <c r="A284" s="109"/>
      <c r="B284" s="10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  <c r="BR284" s="109"/>
      <c r="BS284" s="109"/>
      <c r="BT284" s="109"/>
      <c r="BU284" s="109"/>
      <c r="BV284" s="109"/>
      <c r="BW284" s="109"/>
      <c r="BX284" s="109"/>
      <c r="BY284" s="109"/>
      <c r="BZ284" s="109"/>
      <c r="CA284" s="109"/>
      <c r="CB284" s="109"/>
      <c r="CC284" s="109"/>
      <c r="CD284" s="109"/>
      <c r="CE284" s="109"/>
      <c r="CF284" s="109"/>
      <c r="CG284" s="109"/>
      <c r="CH284" s="109"/>
      <c r="CI284" s="109"/>
      <c r="CJ284" s="109"/>
      <c r="CK284" s="109"/>
      <c r="CL284" s="109"/>
      <c r="CM284" s="109"/>
      <c r="CN284" s="109"/>
      <c r="CO284" s="109"/>
      <c r="CP284" s="109"/>
    </row>
    <row r="285" spans="1:94" x14ac:dyDescent="0.25">
      <c r="A285" s="109"/>
      <c r="B285" s="10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  <c r="BR285" s="109"/>
      <c r="BS285" s="109"/>
      <c r="BT285" s="109"/>
      <c r="BU285" s="109"/>
      <c r="BV285" s="109"/>
      <c r="BW285" s="109"/>
      <c r="BX285" s="109"/>
      <c r="BY285" s="109"/>
      <c r="BZ285" s="109"/>
      <c r="CA285" s="109"/>
      <c r="CB285" s="109"/>
      <c r="CC285" s="109"/>
      <c r="CD285" s="109"/>
      <c r="CE285" s="109"/>
      <c r="CF285" s="109"/>
      <c r="CG285" s="109"/>
      <c r="CH285" s="109"/>
      <c r="CI285" s="109"/>
      <c r="CJ285" s="109"/>
      <c r="CK285" s="109"/>
      <c r="CL285" s="109"/>
      <c r="CM285" s="109"/>
      <c r="CN285" s="109"/>
      <c r="CO285" s="109"/>
      <c r="CP285" s="109"/>
    </row>
    <row r="286" spans="1:94" x14ac:dyDescent="0.25">
      <c r="A286" s="109"/>
      <c r="B286" s="10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  <c r="BR286" s="109"/>
      <c r="BS286" s="109"/>
      <c r="BT286" s="109"/>
      <c r="BU286" s="109"/>
      <c r="BV286" s="109"/>
      <c r="BW286" s="109"/>
      <c r="BX286" s="109"/>
      <c r="BY286" s="109"/>
      <c r="BZ286" s="109"/>
      <c r="CA286" s="109"/>
      <c r="CB286" s="109"/>
      <c r="CC286" s="109"/>
      <c r="CD286" s="109"/>
      <c r="CE286" s="109"/>
      <c r="CF286" s="109"/>
      <c r="CG286" s="109"/>
      <c r="CH286" s="109"/>
      <c r="CI286" s="109"/>
      <c r="CJ286" s="109"/>
      <c r="CK286" s="109"/>
      <c r="CL286" s="109"/>
      <c r="CM286" s="109"/>
      <c r="CN286" s="109"/>
      <c r="CO286" s="109"/>
      <c r="CP286" s="109"/>
    </row>
    <row r="287" spans="1:94" x14ac:dyDescent="0.25">
      <c r="A287" s="109"/>
      <c r="B287" s="10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  <c r="BR287" s="109"/>
      <c r="BS287" s="109"/>
      <c r="BT287" s="109"/>
      <c r="BU287" s="109"/>
      <c r="BV287" s="109"/>
      <c r="BW287" s="109"/>
      <c r="BX287" s="109"/>
      <c r="BY287" s="109"/>
      <c r="BZ287" s="109"/>
      <c r="CA287" s="109"/>
      <c r="CB287" s="109"/>
      <c r="CC287" s="109"/>
      <c r="CD287" s="109"/>
      <c r="CE287" s="109"/>
      <c r="CF287" s="109"/>
      <c r="CG287" s="109"/>
      <c r="CH287" s="109"/>
      <c r="CI287" s="109"/>
      <c r="CJ287" s="109"/>
      <c r="CK287" s="109"/>
      <c r="CL287" s="109"/>
      <c r="CM287" s="109"/>
      <c r="CN287" s="109"/>
      <c r="CO287" s="109"/>
      <c r="CP287" s="109"/>
    </row>
    <row r="288" spans="1:94" x14ac:dyDescent="0.25">
      <c r="A288" s="109"/>
      <c r="B288" s="10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  <c r="BR288" s="109"/>
      <c r="BS288" s="109"/>
      <c r="BT288" s="109"/>
      <c r="BU288" s="109"/>
      <c r="BV288" s="109"/>
      <c r="BW288" s="109"/>
      <c r="BX288" s="109"/>
      <c r="BY288" s="109"/>
      <c r="BZ288" s="109"/>
      <c r="CA288" s="109"/>
      <c r="CB288" s="109"/>
      <c r="CC288" s="109"/>
      <c r="CD288" s="109"/>
      <c r="CE288" s="109"/>
      <c r="CF288" s="109"/>
      <c r="CG288" s="109"/>
      <c r="CH288" s="109"/>
      <c r="CI288" s="109"/>
      <c r="CJ288" s="109"/>
      <c r="CK288" s="109"/>
      <c r="CL288" s="109"/>
      <c r="CM288" s="109"/>
      <c r="CN288" s="109"/>
      <c r="CO288" s="109"/>
      <c r="CP288" s="109"/>
    </row>
    <row r="289" spans="1:94" x14ac:dyDescent="0.25">
      <c r="A289" s="109"/>
      <c r="B289" s="10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  <c r="BR289" s="109"/>
      <c r="BS289" s="109"/>
      <c r="BT289" s="109"/>
      <c r="BU289" s="109"/>
      <c r="BV289" s="109"/>
      <c r="BW289" s="109"/>
      <c r="BX289" s="109"/>
      <c r="BY289" s="109"/>
      <c r="BZ289" s="109"/>
      <c r="CA289" s="109"/>
      <c r="CB289" s="109"/>
      <c r="CC289" s="109"/>
      <c r="CD289" s="109"/>
      <c r="CE289" s="109"/>
      <c r="CF289" s="109"/>
      <c r="CG289" s="109"/>
      <c r="CH289" s="109"/>
      <c r="CI289" s="109"/>
      <c r="CJ289" s="109"/>
      <c r="CK289" s="109"/>
      <c r="CL289" s="109"/>
      <c r="CM289" s="109"/>
      <c r="CN289" s="109"/>
      <c r="CO289" s="109"/>
      <c r="CP289" s="109"/>
    </row>
    <row r="290" spans="1:94" x14ac:dyDescent="0.25">
      <c r="A290" s="109"/>
      <c r="B290" s="10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  <c r="BR290" s="109"/>
      <c r="BS290" s="109"/>
      <c r="BT290" s="109"/>
      <c r="BU290" s="109"/>
      <c r="BV290" s="109"/>
      <c r="BW290" s="109"/>
      <c r="BX290" s="109"/>
      <c r="BY290" s="109"/>
      <c r="BZ290" s="109"/>
      <c r="CA290" s="109"/>
      <c r="CB290" s="109"/>
      <c r="CC290" s="109"/>
      <c r="CD290" s="109"/>
      <c r="CE290" s="109"/>
      <c r="CF290" s="109"/>
      <c r="CG290" s="109"/>
      <c r="CH290" s="109"/>
      <c r="CI290" s="109"/>
      <c r="CJ290" s="109"/>
      <c r="CK290" s="109"/>
      <c r="CL290" s="109"/>
      <c r="CM290" s="109"/>
      <c r="CN290" s="109"/>
      <c r="CO290" s="109"/>
      <c r="CP290" s="109"/>
    </row>
    <row r="291" spans="1:94" x14ac:dyDescent="0.25">
      <c r="A291" s="109"/>
      <c r="B291" s="10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  <c r="BR291" s="109"/>
      <c r="BS291" s="109"/>
      <c r="BT291" s="109"/>
      <c r="BU291" s="109"/>
      <c r="BV291" s="109"/>
      <c r="BW291" s="109"/>
      <c r="BX291" s="109"/>
      <c r="BY291" s="109"/>
      <c r="BZ291" s="109"/>
      <c r="CA291" s="109"/>
      <c r="CB291" s="109"/>
      <c r="CC291" s="109"/>
      <c r="CD291" s="109"/>
      <c r="CE291" s="109"/>
      <c r="CF291" s="109"/>
      <c r="CG291" s="109"/>
      <c r="CH291" s="109"/>
      <c r="CI291" s="109"/>
      <c r="CJ291" s="109"/>
      <c r="CK291" s="109"/>
      <c r="CL291" s="109"/>
      <c r="CM291" s="109"/>
      <c r="CN291" s="109"/>
      <c r="CO291" s="109"/>
      <c r="CP291" s="109"/>
    </row>
    <row r="292" spans="1:94" x14ac:dyDescent="0.25">
      <c r="A292" s="109"/>
      <c r="B292" s="10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  <c r="BR292" s="109"/>
      <c r="BS292" s="109"/>
      <c r="BT292" s="109"/>
      <c r="BU292" s="109"/>
      <c r="BV292" s="109"/>
      <c r="BW292" s="109"/>
      <c r="BX292" s="109"/>
      <c r="BY292" s="109"/>
      <c r="BZ292" s="109"/>
      <c r="CA292" s="109"/>
      <c r="CB292" s="109"/>
      <c r="CC292" s="109"/>
      <c r="CD292" s="109"/>
      <c r="CE292" s="109"/>
      <c r="CF292" s="109"/>
      <c r="CG292" s="109"/>
      <c r="CH292" s="109"/>
      <c r="CI292" s="109"/>
      <c r="CJ292" s="109"/>
      <c r="CK292" s="109"/>
      <c r="CL292" s="109"/>
      <c r="CM292" s="109"/>
      <c r="CN292" s="109"/>
      <c r="CO292" s="109"/>
      <c r="CP292" s="109"/>
    </row>
    <row r="293" spans="1:94" x14ac:dyDescent="0.25">
      <c r="A293" s="109"/>
      <c r="B293" s="10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  <c r="BR293" s="109"/>
      <c r="BS293" s="109"/>
      <c r="BT293" s="109"/>
      <c r="BU293" s="109"/>
      <c r="BV293" s="109"/>
      <c r="BW293" s="109"/>
      <c r="BX293" s="109"/>
      <c r="BY293" s="109"/>
      <c r="BZ293" s="109"/>
      <c r="CA293" s="109"/>
      <c r="CB293" s="109"/>
      <c r="CC293" s="109"/>
      <c r="CD293" s="109"/>
      <c r="CE293" s="109"/>
      <c r="CF293" s="109"/>
      <c r="CG293" s="109"/>
      <c r="CH293" s="109"/>
      <c r="CI293" s="109"/>
      <c r="CJ293" s="109"/>
      <c r="CK293" s="109"/>
      <c r="CL293" s="109"/>
      <c r="CM293" s="109"/>
      <c r="CN293" s="109"/>
      <c r="CO293" s="109"/>
      <c r="CP293" s="109"/>
    </row>
    <row r="294" spans="1:94" x14ac:dyDescent="0.25">
      <c r="A294" s="109"/>
      <c r="B294" s="10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  <c r="BR294" s="109"/>
      <c r="BS294" s="109"/>
      <c r="BT294" s="109"/>
      <c r="BU294" s="109"/>
      <c r="BV294" s="109"/>
      <c r="BW294" s="109"/>
      <c r="BX294" s="109"/>
      <c r="BY294" s="109"/>
      <c r="BZ294" s="109"/>
      <c r="CA294" s="109"/>
      <c r="CB294" s="109"/>
      <c r="CC294" s="109"/>
      <c r="CD294" s="109"/>
      <c r="CE294" s="109"/>
      <c r="CF294" s="109"/>
      <c r="CG294" s="109"/>
      <c r="CH294" s="109"/>
      <c r="CI294" s="109"/>
      <c r="CJ294" s="109"/>
      <c r="CK294" s="109"/>
      <c r="CL294" s="109"/>
      <c r="CM294" s="109"/>
      <c r="CN294" s="109"/>
      <c r="CO294" s="109"/>
      <c r="CP294" s="109"/>
    </row>
    <row r="295" spans="1:94" x14ac:dyDescent="0.25">
      <c r="A295" s="109"/>
      <c r="B295" s="10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  <c r="BR295" s="109"/>
      <c r="BS295" s="109"/>
      <c r="BT295" s="109"/>
      <c r="BU295" s="109"/>
      <c r="BV295" s="109"/>
      <c r="BW295" s="109"/>
      <c r="BX295" s="109"/>
      <c r="BY295" s="109"/>
      <c r="BZ295" s="109"/>
      <c r="CA295" s="109"/>
      <c r="CB295" s="109"/>
      <c r="CC295" s="109"/>
      <c r="CD295" s="109"/>
      <c r="CE295" s="109"/>
      <c r="CF295" s="109"/>
      <c r="CG295" s="109"/>
      <c r="CH295" s="109"/>
      <c r="CI295" s="109"/>
      <c r="CJ295" s="109"/>
      <c r="CK295" s="109"/>
      <c r="CL295" s="109"/>
      <c r="CM295" s="109"/>
      <c r="CN295" s="109"/>
      <c r="CO295" s="109"/>
      <c r="CP295" s="109"/>
    </row>
    <row r="296" spans="1:94" x14ac:dyDescent="0.25">
      <c r="A296" s="109"/>
      <c r="B296" s="10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  <c r="BR296" s="109"/>
      <c r="BS296" s="109"/>
      <c r="BT296" s="109"/>
      <c r="BU296" s="109"/>
      <c r="BV296" s="109"/>
      <c r="BW296" s="109"/>
      <c r="BX296" s="109"/>
      <c r="BY296" s="109"/>
      <c r="BZ296" s="109"/>
      <c r="CA296" s="109"/>
      <c r="CB296" s="109"/>
      <c r="CC296" s="109"/>
      <c r="CD296" s="109"/>
      <c r="CE296" s="109"/>
      <c r="CF296" s="109"/>
      <c r="CG296" s="109"/>
      <c r="CH296" s="109"/>
      <c r="CI296" s="109"/>
      <c r="CJ296" s="109"/>
      <c r="CK296" s="109"/>
      <c r="CL296" s="109"/>
      <c r="CM296" s="109"/>
      <c r="CN296" s="109"/>
      <c r="CO296" s="109"/>
      <c r="CP296" s="109"/>
    </row>
    <row r="297" spans="1:94" x14ac:dyDescent="0.25">
      <c r="A297" s="109"/>
      <c r="B297" s="10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  <c r="BR297" s="109"/>
      <c r="BS297" s="109"/>
      <c r="BT297" s="109"/>
      <c r="BU297" s="109"/>
      <c r="BV297" s="109"/>
      <c r="BW297" s="109"/>
      <c r="BX297" s="109"/>
      <c r="BY297" s="109"/>
      <c r="BZ297" s="109"/>
      <c r="CA297" s="109"/>
      <c r="CB297" s="109"/>
      <c r="CC297" s="109"/>
      <c r="CD297" s="109"/>
      <c r="CE297" s="109"/>
      <c r="CF297" s="109"/>
      <c r="CG297" s="109"/>
      <c r="CH297" s="109"/>
      <c r="CI297" s="109"/>
      <c r="CJ297" s="109"/>
      <c r="CK297" s="109"/>
      <c r="CL297" s="109"/>
      <c r="CM297" s="109"/>
      <c r="CN297" s="109"/>
      <c r="CO297" s="109"/>
      <c r="CP297" s="109"/>
    </row>
    <row r="298" spans="1:94" x14ac:dyDescent="0.25">
      <c r="A298" s="109"/>
      <c r="B298" s="10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  <c r="BY298" s="109"/>
      <c r="BZ298" s="109"/>
      <c r="CA298" s="109"/>
      <c r="CB298" s="109"/>
      <c r="CC298" s="109"/>
      <c r="CD298" s="109"/>
      <c r="CE298" s="109"/>
      <c r="CF298" s="109"/>
      <c r="CG298" s="109"/>
      <c r="CH298" s="109"/>
      <c r="CI298" s="109"/>
      <c r="CJ298" s="109"/>
      <c r="CK298" s="109"/>
      <c r="CL298" s="109"/>
      <c r="CM298" s="109"/>
      <c r="CN298" s="109"/>
      <c r="CO298" s="109"/>
      <c r="CP298" s="109"/>
    </row>
    <row r="299" spans="1:94" x14ac:dyDescent="0.25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  <c r="BY299" s="109"/>
      <c r="BZ299" s="109"/>
      <c r="CA299" s="109"/>
      <c r="CB299" s="109"/>
      <c r="CC299" s="109"/>
      <c r="CD299" s="109"/>
      <c r="CE299" s="109"/>
      <c r="CF299" s="109"/>
      <c r="CG299" s="109"/>
      <c r="CH299" s="109"/>
      <c r="CI299" s="109"/>
      <c r="CJ299" s="109"/>
      <c r="CK299" s="109"/>
      <c r="CL299" s="109"/>
      <c r="CM299" s="109"/>
      <c r="CN299" s="109"/>
      <c r="CO299" s="109"/>
      <c r="CP299" s="109"/>
    </row>
    <row r="300" spans="1:94" x14ac:dyDescent="0.25">
      <c r="A300" s="109"/>
      <c r="B300" s="10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  <c r="BY300" s="109"/>
      <c r="BZ300" s="109"/>
      <c r="CA300" s="109"/>
      <c r="CB300" s="109"/>
      <c r="CC300" s="109"/>
      <c r="CD300" s="109"/>
      <c r="CE300" s="109"/>
      <c r="CF300" s="109"/>
      <c r="CG300" s="109"/>
      <c r="CH300" s="109"/>
      <c r="CI300" s="109"/>
      <c r="CJ300" s="109"/>
      <c r="CK300" s="109"/>
      <c r="CL300" s="109"/>
      <c r="CM300" s="109"/>
      <c r="CN300" s="109"/>
      <c r="CO300" s="109"/>
      <c r="CP300" s="109"/>
    </row>
    <row r="301" spans="1:94" x14ac:dyDescent="0.25">
      <c r="A301" s="109"/>
      <c r="B301" s="10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  <c r="BY301" s="109"/>
      <c r="BZ301" s="109"/>
      <c r="CA301" s="109"/>
      <c r="CB301" s="109"/>
      <c r="CC301" s="109"/>
      <c r="CD301" s="109"/>
      <c r="CE301" s="109"/>
      <c r="CF301" s="109"/>
      <c r="CG301" s="109"/>
      <c r="CH301" s="109"/>
      <c r="CI301" s="109"/>
      <c r="CJ301" s="109"/>
      <c r="CK301" s="109"/>
      <c r="CL301" s="109"/>
      <c r="CM301" s="109"/>
      <c r="CN301" s="109"/>
      <c r="CO301" s="109"/>
      <c r="CP301" s="109"/>
    </row>
    <row r="302" spans="1:94" x14ac:dyDescent="0.25">
      <c r="A302" s="109"/>
      <c r="B302" s="10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  <c r="BY302" s="109"/>
      <c r="BZ302" s="109"/>
      <c r="CA302" s="109"/>
      <c r="CB302" s="109"/>
      <c r="CC302" s="109"/>
      <c r="CD302" s="109"/>
      <c r="CE302" s="109"/>
      <c r="CF302" s="109"/>
      <c r="CG302" s="109"/>
      <c r="CH302" s="109"/>
      <c r="CI302" s="109"/>
      <c r="CJ302" s="109"/>
      <c r="CK302" s="109"/>
      <c r="CL302" s="109"/>
      <c r="CM302" s="109"/>
      <c r="CN302" s="109"/>
      <c r="CO302" s="109"/>
      <c r="CP302" s="109"/>
    </row>
    <row r="303" spans="1:94" x14ac:dyDescent="0.25">
      <c r="A303" s="109"/>
      <c r="B303" s="10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  <c r="BY303" s="109"/>
      <c r="BZ303" s="109"/>
      <c r="CA303" s="109"/>
      <c r="CB303" s="109"/>
      <c r="CC303" s="109"/>
      <c r="CD303" s="109"/>
      <c r="CE303" s="109"/>
      <c r="CF303" s="109"/>
      <c r="CG303" s="109"/>
      <c r="CH303" s="109"/>
      <c r="CI303" s="109"/>
      <c r="CJ303" s="109"/>
      <c r="CK303" s="109"/>
      <c r="CL303" s="109"/>
      <c r="CM303" s="109"/>
      <c r="CN303" s="109"/>
      <c r="CO303" s="109"/>
      <c r="CP303" s="109"/>
    </row>
    <row r="304" spans="1:94" x14ac:dyDescent="0.25">
      <c r="A304" s="109"/>
      <c r="B304" s="10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  <c r="BY304" s="109"/>
      <c r="BZ304" s="109"/>
      <c r="CA304" s="109"/>
      <c r="CB304" s="109"/>
      <c r="CC304" s="109"/>
      <c r="CD304" s="109"/>
      <c r="CE304" s="109"/>
      <c r="CF304" s="109"/>
      <c r="CG304" s="109"/>
      <c r="CH304" s="109"/>
      <c r="CI304" s="109"/>
      <c r="CJ304" s="109"/>
      <c r="CK304" s="109"/>
      <c r="CL304" s="109"/>
      <c r="CM304" s="109"/>
      <c r="CN304" s="109"/>
      <c r="CO304" s="109"/>
      <c r="CP304" s="109"/>
    </row>
    <row r="305" spans="1:94" x14ac:dyDescent="0.25">
      <c r="A305" s="109"/>
      <c r="B305" s="10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  <c r="BY305" s="109"/>
      <c r="BZ305" s="109"/>
      <c r="CA305" s="109"/>
      <c r="CB305" s="109"/>
      <c r="CC305" s="109"/>
      <c r="CD305" s="109"/>
      <c r="CE305" s="109"/>
      <c r="CF305" s="109"/>
      <c r="CG305" s="109"/>
      <c r="CH305" s="109"/>
      <c r="CI305" s="109"/>
      <c r="CJ305" s="109"/>
      <c r="CK305" s="109"/>
      <c r="CL305" s="109"/>
      <c r="CM305" s="109"/>
      <c r="CN305" s="109"/>
      <c r="CO305" s="109"/>
      <c r="CP305" s="109"/>
    </row>
    <row r="306" spans="1:94" x14ac:dyDescent="0.25">
      <c r="A306" s="109"/>
      <c r="B306" s="10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/>
      <c r="BY306" s="109"/>
      <c r="BZ306" s="109"/>
      <c r="CA306" s="109"/>
      <c r="CB306" s="109"/>
      <c r="CC306" s="109"/>
      <c r="CD306" s="109"/>
      <c r="CE306" s="109"/>
      <c r="CF306" s="109"/>
      <c r="CG306" s="109"/>
      <c r="CH306" s="109"/>
      <c r="CI306" s="109"/>
      <c r="CJ306" s="109"/>
      <c r="CK306" s="109"/>
      <c r="CL306" s="109"/>
      <c r="CM306" s="109"/>
      <c r="CN306" s="109"/>
      <c r="CO306" s="109"/>
      <c r="CP306" s="109"/>
    </row>
    <row r="307" spans="1:94" x14ac:dyDescent="0.25">
      <c r="A307" s="109"/>
      <c r="B307" s="10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  <c r="BY307" s="109"/>
      <c r="BZ307" s="109"/>
      <c r="CA307" s="109"/>
      <c r="CB307" s="109"/>
      <c r="CC307" s="109"/>
      <c r="CD307" s="109"/>
      <c r="CE307" s="109"/>
      <c r="CF307" s="109"/>
      <c r="CG307" s="109"/>
      <c r="CH307" s="109"/>
      <c r="CI307" s="109"/>
      <c r="CJ307" s="109"/>
      <c r="CK307" s="109"/>
      <c r="CL307" s="109"/>
      <c r="CM307" s="109"/>
      <c r="CN307" s="109"/>
      <c r="CO307" s="109"/>
      <c r="CP307" s="109"/>
    </row>
    <row r="308" spans="1:94" x14ac:dyDescent="0.25">
      <c r="A308" s="109"/>
      <c r="B308" s="10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  <c r="BY308" s="109"/>
      <c r="BZ308" s="109"/>
      <c r="CA308" s="109"/>
      <c r="CB308" s="109"/>
      <c r="CC308" s="109"/>
      <c r="CD308" s="109"/>
      <c r="CE308" s="109"/>
      <c r="CF308" s="109"/>
      <c r="CG308" s="109"/>
      <c r="CH308" s="109"/>
      <c r="CI308" s="109"/>
      <c r="CJ308" s="109"/>
      <c r="CK308" s="109"/>
      <c r="CL308" s="109"/>
      <c r="CM308" s="109"/>
      <c r="CN308" s="109"/>
      <c r="CO308" s="109"/>
      <c r="CP308" s="109"/>
    </row>
    <row r="309" spans="1:94" x14ac:dyDescent="0.25">
      <c r="A309" s="109"/>
      <c r="B309" s="10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  <c r="BY309" s="109"/>
      <c r="BZ309" s="109"/>
      <c r="CA309" s="109"/>
      <c r="CB309" s="109"/>
      <c r="CC309" s="109"/>
      <c r="CD309" s="109"/>
      <c r="CE309" s="109"/>
      <c r="CF309" s="109"/>
      <c r="CG309" s="109"/>
      <c r="CH309" s="109"/>
      <c r="CI309" s="109"/>
      <c r="CJ309" s="109"/>
      <c r="CK309" s="109"/>
      <c r="CL309" s="109"/>
      <c r="CM309" s="109"/>
      <c r="CN309" s="109"/>
      <c r="CO309" s="109"/>
      <c r="CP309" s="109"/>
    </row>
    <row r="310" spans="1:94" x14ac:dyDescent="0.25">
      <c r="A310" s="109"/>
      <c r="B310" s="10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  <c r="BY310" s="109"/>
      <c r="BZ310" s="109"/>
      <c r="CA310" s="109"/>
      <c r="CB310" s="109"/>
      <c r="CC310" s="109"/>
      <c r="CD310" s="109"/>
      <c r="CE310" s="109"/>
      <c r="CF310" s="109"/>
      <c r="CG310" s="109"/>
      <c r="CH310" s="109"/>
      <c r="CI310" s="109"/>
      <c r="CJ310" s="109"/>
      <c r="CK310" s="109"/>
      <c r="CL310" s="109"/>
      <c r="CM310" s="109"/>
      <c r="CN310" s="109"/>
      <c r="CO310" s="109"/>
      <c r="CP310" s="109"/>
    </row>
    <row r="311" spans="1:94" x14ac:dyDescent="0.25">
      <c r="A311" s="109"/>
      <c r="B311" s="10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  <c r="BY311" s="109"/>
      <c r="BZ311" s="109"/>
      <c r="CA311" s="109"/>
      <c r="CB311" s="109"/>
      <c r="CC311" s="109"/>
      <c r="CD311" s="109"/>
      <c r="CE311" s="109"/>
      <c r="CF311" s="109"/>
      <c r="CG311" s="109"/>
      <c r="CH311" s="109"/>
      <c r="CI311" s="109"/>
      <c r="CJ311" s="109"/>
      <c r="CK311" s="109"/>
      <c r="CL311" s="109"/>
      <c r="CM311" s="109"/>
      <c r="CN311" s="109"/>
      <c r="CO311" s="109"/>
      <c r="CP311" s="109"/>
    </row>
    <row r="312" spans="1:94" x14ac:dyDescent="0.25">
      <c r="A312" s="109"/>
      <c r="B312" s="10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  <c r="BY312" s="109"/>
      <c r="BZ312" s="109"/>
      <c r="CA312" s="109"/>
      <c r="CB312" s="109"/>
      <c r="CC312" s="109"/>
      <c r="CD312" s="109"/>
      <c r="CE312" s="109"/>
      <c r="CF312" s="109"/>
      <c r="CG312" s="109"/>
      <c r="CH312" s="109"/>
      <c r="CI312" s="109"/>
      <c r="CJ312" s="109"/>
      <c r="CK312" s="109"/>
      <c r="CL312" s="109"/>
      <c r="CM312" s="109"/>
      <c r="CN312" s="109"/>
      <c r="CO312" s="109"/>
      <c r="CP312" s="109"/>
    </row>
    <row r="313" spans="1:94" x14ac:dyDescent="0.25">
      <c r="A313" s="109"/>
      <c r="B313" s="10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  <c r="BY313" s="109"/>
      <c r="BZ313" s="109"/>
      <c r="CA313" s="109"/>
      <c r="CB313" s="109"/>
      <c r="CC313" s="109"/>
      <c r="CD313" s="109"/>
      <c r="CE313" s="109"/>
      <c r="CF313" s="109"/>
      <c r="CG313" s="109"/>
      <c r="CH313" s="109"/>
      <c r="CI313" s="109"/>
      <c r="CJ313" s="109"/>
      <c r="CK313" s="109"/>
      <c r="CL313" s="109"/>
      <c r="CM313" s="109"/>
      <c r="CN313" s="109"/>
      <c r="CO313" s="109"/>
      <c r="CP313" s="109"/>
    </row>
    <row r="314" spans="1:94" x14ac:dyDescent="0.25">
      <c r="A314" s="109"/>
      <c r="B314" s="10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  <c r="BY314" s="109"/>
      <c r="BZ314" s="109"/>
      <c r="CA314" s="109"/>
      <c r="CB314" s="109"/>
      <c r="CC314" s="109"/>
      <c r="CD314" s="109"/>
      <c r="CE314" s="109"/>
      <c r="CF314" s="109"/>
      <c r="CG314" s="109"/>
      <c r="CH314" s="109"/>
      <c r="CI314" s="109"/>
      <c r="CJ314" s="109"/>
      <c r="CK314" s="109"/>
      <c r="CL314" s="109"/>
      <c r="CM314" s="109"/>
      <c r="CN314" s="109"/>
      <c r="CO314" s="109"/>
      <c r="CP314" s="109"/>
    </row>
    <row r="315" spans="1:94" x14ac:dyDescent="0.25">
      <c r="A315" s="109"/>
      <c r="B315" s="10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  <c r="BY315" s="109"/>
      <c r="BZ315" s="109"/>
      <c r="CA315" s="109"/>
      <c r="CB315" s="109"/>
      <c r="CC315" s="109"/>
      <c r="CD315" s="109"/>
      <c r="CE315" s="109"/>
      <c r="CF315" s="109"/>
      <c r="CG315" s="109"/>
      <c r="CH315" s="109"/>
      <c r="CI315" s="109"/>
      <c r="CJ315" s="109"/>
      <c r="CK315" s="109"/>
      <c r="CL315" s="109"/>
      <c r="CM315" s="109"/>
      <c r="CN315" s="109"/>
      <c r="CO315" s="109"/>
      <c r="CP315" s="109"/>
    </row>
    <row r="316" spans="1:94" x14ac:dyDescent="0.25">
      <c r="A316" s="109"/>
      <c r="B316" s="10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  <c r="BY316" s="109"/>
      <c r="BZ316" s="109"/>
      <c r="CA316" s="109"/>
      <c r="CB316" s="109"/>
      <c r="CC316" s="109"/>
      <c r="CD316" s="109"/>
      <c r="CE316" s="109"/>
      <c r="CF316" s="109"/>
      <c r="CG316" s="109"/>
      <c r="CH316" s="109"/>
      <c r="CI316" s="109"/>
      <c r="CJ316" s="109"/>
      <c r="CK316" s="109"/>
      <c r="CL316" s="109"/>
      <c r="CM316" s="109"/>
      <c r="CN316" s="109"/>
      <c r="CO316" s="109"/>
      <c r="CP316" s="109"/>
    </row>
    <row r="317" spans="1:94" x14ac:dyDescent="0.25">
      <c r="A317" s="109"/>
      <c r="B317" s="10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/>
      <c r="BW317" s="109"/>
      <c r="BX317" s="109"/>
      <c r="BY317" s="109"/>
      <c r="BZ317" s="109"/>
      <c r="CA317" s="109"/>
      <c r="CB317" s="109"/>
      <c r="CC317" s="109"/>
      <c r="CD317" s="109"/>
      <c r="CE317" s="109"/>
      <c r="CF317" s="109"/>
      <c r="CG317" s="109"/>
      <c r="CH317" s="109"/>
      <c r="CI317" s="109"/>
      <c r="CJ317" s="109"/>
      <c r="CK317" s="109"/>
      <c r="CL317" s="109"/>
      <c r="CM317" s="109"/>
      <c r="CN317" s="109"/>
      <c r="CO317" s="109"/>
      <c r="CP317" s="109"/>
    </row>
    <row r="318" spans="1:94" x14ac:dyDescent="0.25">
      <c r="A318" s="109"/>
      <c r="B318" s="10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  <c r="BY318" s="109"/>
      <c r="BZ318" s="109"/>
      <c r="CA318" s="109"/>
      <c r="CB318" s="109"/>
      <c r="CC318" s="109"/>
      <c r="CD318" s="109"/>
      <c r="CE318" s="109"/>
      <c r="CF318" s="109"/>
      <c r="CG318" s="109"/>
      <c r="CH318" s="109"/>
      <c r="CI318" s="109"/>
      <c r="CJ318" s="109"/>
      <c r="CK318" s="109"/>
      <c r="CL318" s="109"/>
      <c r="CM318" s="109"/>
      <c r="CN318" s="109"/>
      <c r="CO318" s="109"/>
      <c r="CP318" s="109"/>
    </row>
    <row r="319" spans="1:94" x14ac:dyDescent="0.25">
      <c r="A319" s="109"/>
      <c r="B319" s="10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  <c r="BY319" s="109"/>
      <c r="BZ319" s="109"/>
      <c r="CA319" s="109"/>
      <c r="CB319" s="109"/>
      <c r="CC319" s="109"/>
      <c r="CD319" s="109"/>
      <c r="CE319" s="109"/>
      <c r="CF319" s="109"/>
      <c r="CG319" s="109"/>
      <c r="CH319" s="109"/>
      <c r="CI319" s="109"/>
      <c r="CJ319" s="109"/>
      <c r="CK319" s="109"/>
      <c r="CL319" s="109"/>
      <c r="CM319" s="109"/>
      <c r="CN319" s="109"/>
      <c r="CO319" s="109"/>
      <c r="CP319" s="109"/>
    </row>
    <row r="320" spans="1:94" x14ac:dyDescent="0.25">
      <c r="A320" s="109"/>
      <c r="B320" s="10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  <c r="BY320" s="109"/>
      <c r="BZ320" s="109"/>
      <c r="CA320" s="109"/>
      <c r="CB320" s="109"/>
      <c r="CC320" s="109"/>
      <c r="CD320" s="109"/>
      <c r="CE320" s="109"/>
      <c r="CF320" s="109"/>
      <c r="CG320" s="109"/>
      <c r="CH320" s="109"/>
      <c r="CI320" s="109"/>
      <c r="CJ320" s="109"/>
      <c r="CK320" s="109"/>
      <c r="CL320" s="109"/>
      <c r="CM320" s="109"/>
      <c r="CN320" s="109"/>
      <c r="CO320" s="109"/>
      <c r="CP320" s="109"/>
    </row>
    <row r="321" spans="1:94" x14ac:dyDescent="0.25">
      <c r="A321" s="109"/>
      <c r="B321" s="10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  <c r="BR321" s="109"/>
      <c r="BS321" s="109"/>
      <c r="BT321" s="109"/>
      <c r="BU321" s="109"/>
      <c r="BV321" s="109"/>
      <c r="BW321" s="109"/>
      <c r="BX321" s="109"/>
      <c r="BY321" s="109"/>
      <c r="BZ321" s="109"/>
      <c r="CA321" s="109"/>
      <c r="CB321" s="109"/>
      <c r="CC321" s="109"/>
      <c r="CD321" s="109"/>
      <c r="CE321" s="109"/>
      <c r="CF321" s="109"/>
      <c r="CG321" s="109"/>
      <c r="CH321" s="109"/>
      <c r="CI321" s="109"/>
      <c r="CJ321" s="109"/>
      <c r="CK321" s="109"/>
      <c r="CL321" s="109"/>
      <c r="CM321" s="109"/>
      <c r="CN321" s="109"/>
      <c r="CO321" s="109"/>
      <c r="CP321" s="109"/>
    </row>
    <row r="322" spans="1:94" x14ac:dyDescent="0.25">
      <c r="A322" s="109"/>
      <c r="B322" s="10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  <c r="BR322" s="109"/>
      <c r="BS322" s="109"/>
      <c r="BT322" s="109"/>
      <c r="BU322" s="109"/>
      <c r="BV322" s="109"/>
      <c r="BW322" s="109"/>
      <c r="BX322" s="109"/>
      <c r="BY322" s="109"/>
      <c r="BZ322" s="109"/>
      <c r="CA322" s="109"/>
      <c r="CB322" s="109"/>
      <c r="CC322" s="109"/>
      <c r="CD322" s="109"/>
      <c r="CE322" s="109"/>
      <c r="CF322" s="109"/>
      <c r="CG322" s="109"/>
      <c r="CH322" s="109"/>
      <c r="CI322" s="109"/>
      <c r="CJ322" s="109"/>
      <c r="CK322" s="109"/>
      <c r="CL322" s="109"/>
      <c r="CM322" s="109"/>
      <c r="CN322" s="109"/>
      <c r="CO322" s="109"/>
      <c r="CP322" s="109"/>
    </row>
    <row r="323" spans="1:94" x14ac:dyDescent="0.25">
      <c r="A323" s="109"/>
      <c r="B323" s="10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  <c r="BY323" s="109"/>
      <c r="BZ323" s="109"/>
      <c r="CA323" s="109"/>
      <c r="CB323" s="109"/>
      <c r="CC323" s="109"/>
      <c r="CD323" s="109"/>
      <c r="CE323" s="109"/>
      <c r="CF323" s="109"/>
      <c r="CG323" s="109"/>
      <c r="CH323" s="109"/>
      <c r="CI323" s="109"/>
      <c r="CJ323" s="109"/>
      <c r="CK323" s="109"/>
      <c r="CL323" s="109"/>
      <c r="CM323" s="109"/>
      <c r="CN323" s="109"/>
      <c r="CO323" s="109"/>
      <c r="CP323" s="109"/>
    </row>
    <row r="324" spans="1:94" x14ac:dyDescent="0.25">
      <c r="A324" s="109"/>
      <c r="B324" s="10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  <c r="BY324" s="109"/>
      <c r="BZ324" s="109"/>
      <c r="CA324" s="109"/>
      <c r="CB324" s="109"/>
      <c r="CC324" s="109"/>
      <c r="CD324" s="109"/>
      <c r="CE324" s="109"/>
      <c r="CF324" s="109"/>
      <c r="CG324" s="109"/>
      <c r="CH324" s="109"/>
      <c r="CI324" s="109"/>
      <c r="CJ324" s="109"/>
      <c r="CK324" s="109"/>
      <c r="CL324" s="109"/>
      <c r="CM324" s="109"/>
      <c r="CN324" s="109"/>
      <c r="CO324" s="109"/>
      <c r="CP324" s="109"/>
    </row>
    <row r="325" spans="1:94" x14ac:dyDescent="0.25">
      <c r="A325" s="109"/>
      <c r="B325" s="10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  <c r="BY325" s="109"/>
      <c r="BZ325" s="109"/>
      <c r="CA325" s="109"/>
      <c r="CB325" s="109"/>
      <c r="CC325" s="109"/>
      <c r="CD325" s="109"/>
      <c r="CE325" s="109"/>
      <c r="CF325" s="109"/>
      <c r="CG325" s="109"/>
      <c r="CH325" s="109"/>
      <c r="CI325" s="109"/>
      <c r="CJ325" s="109"/>
      <c r="CK325" s="109"/>
      <c r="CL325" s="109"/>
      <c r="CM325" s="109"/>
      <c r="CN325" s="109"/>
      <c r="CO325" s="109"/>
      <c r="CP325" s="109"/>
    </row>
    <row r="326" spans="1:94" x14ac:dyDescent="0.25">
      <c r="A326" s="109"/>
      <c r="B326" s="10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  <c r="BR326" s="109"/>
      <c r="BS326" s="109"/>
      <c r="BT326" s="109"/>
      <c r="BU326" s="109"/>
      <c r="BV326" s="109"/>
      <c r="BW326" s="109"/>
      <c r="BX326" s="109"/>
      <c r="BY326" s="109"/>
      <c r="BZ326" s="109"/>
      <c r="CA326" s="109"/>
      <c r="CB326" s="109"/>
      <c r="CC326" s="109"/>
      <c r="CD326" s="109"/>
      <c r="CE326" s="109"/>
      <c r="CF326" s="109"/>
      <c r="CG326" s="109"/>
      <c r="CH326" s="109"/>
      <c r="CI326" s="109"/>
      <c r="CJ326" s="109"/>
      <c r="CK326" s="109"/>
      <c r="CL326" s="109"/>
      <c r="CM326" s="109"/>
      <c r="CN326" s="109"/>
      <c r="CO326" s="109"/>
      <c r="CP326" s="109"/>
    </row>
    <row r="327" spans="1:94" x14ac:dyDescent="0.25">
      <c r="A327" s="109"/>
      <c r="B327" s="10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  <c r="BR327" s="109"/>
      <c r="BS327" s="109"/>
      <c r="BT327" s="109"/>
      <c r="BU327" s="109"/>
      <c r="BV327" s="109"/>
      <c r="BW327" s="109"/>
      <c r="BX327" s="109"/>
      <c r="BY327" s="109"/>
      <c r="BZ327" s="109"/>
      <c r="CA327" s="109"/>
      <c r="CB327" s="109"/>
      <c r="CC327" s="109"/>
      <c r="CD327" s="109"/>
      <c r="CE327" s="109"/>
      <c r="CF327" s="109"/>
      <c r="CG327" s="109"/>
      <c r="CH327" s="109"/>
      <c r="CI327" s="109"/>
      <c r="CJ327" s="109"/>
      <c r="CK327" s="109"/>
      <c r="CL327" s="109"/>
      <c r="CM327" s="109"/>
      <c r="CN327" s="109"/>
      <c r="CO327" s="109"/>
      <c r="CP327" s="109"/>
    </row>
    <row r="328" spans="1:94" x14ac:dyDescent="0.25">
      <c r="A328" s="109"/>
      <c r="B328" s="10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  <c r="BR328" s="109"/>
      <c r="BS328" s="109"/>
      <c r="BT328" s="109"/>
      <c r="BU328" s="109"/>
      <c r="BV328" s="109"/>
      <c r="BW328" s="109"/>
      <c r="BX328" s="109"/>
      <c r="BY328" s="109"/>
      <c r="BZ328" s="109"/>
      <c r="CA328" s="109"/>
      <c r="CB328" s="109"/>
      <c r="CC328" s="109"/>
      <c r="CD328" s="109"/>
      <c r="CE328" s="109"/>
      <c r="CF328" s="109"/>
      <c r="CG328" s="109"/>
      <c r="CH328" s="109"/>
      <c r="CI328" s="109"/>
      <c r="CJ328" s="109"/>
      <c r="CK328" s="109"/>
      <c r="CL328" s="109"/>
      <c r="CM328" s="109"/>
      <c r="CN328" s="109"/>
      <c r="CO328" s="109"/>
      <c r="CP328" s="109"/>
    </row>
    <row r="329" spans="1:94" x14ac:dyDescent="0.25">
      <c r="A329" s="109"/>
      <c r="B329" s="10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  <c r="BR329" s="109"/>
      <c r="BS329" s="109"/>
      <c r="BT329" s="109"/>
      <c r="BU329" s="109"/>
      <c r="BV329" s="109"/>
      <c r="BW329" s="109"/>
      <c r="BX329" s="109"/>
      <c r="BY329" s="109"/>
      <c r="BZ329" s="109"/>
      <c r="CA329" s="109"/>
      <c r="CB329" s="109"/>
      <c r="CC329" s="109"/>
      <c r="CD329" s="109"/>
      <c r="CE329" s="109"/>
      <c r="CF329" s="109"/>
      <c r="CG329" s="109"/>
      <c r="CH329" s="109"/>
      <c r="CI329" s="109"/>
      <c r="CJ329" s="109"/>
      <c r="CK329" s="109"/>
      <c r="CL329" s="109"/>
      <c r="CM329" s="109"/>
      <c r="CN329" s="109"/>
      <c r="CO329" s="109"/>
      <c r="CP329" s="109"/>
    </row>
    <row r="330" spans="1:94" x14ac:dyDescent="0.25">
      <c r="A330" s="109"/>
      <c r="B330" s="10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  <c r="BR330" s="109"/>
      <c r="BS330" s="109"/>
      <c r="BT330" s="109"/>
      <c r="BU330" s="109"/>
      <c r="BV330" s="109"/>
      <c r="BW330" s="109"/>
      <c r="BX330" s="109"/>
      <c r="BY330" s="109"/>
      <c r="BZ330" s="109"/>
      <c r="CA330" s="109"/>
      <c r="CB330" s="109"/>
      <c r="CC330" s="109"/>
      <c r="CD330" s="109"/>
      <c r="CE330" s="109"/>
      <c r="CF330" s="109"/>
      <c r="CG330" s="109"/>
      <c r="CH330" s="109"/>
      <c r="CI330" s="109"/>
      <c r="CJ330" s="109"/>
      <c r="CK330" s="109"/>
      <c r="CL330" s="109"/>
      <c r="CM330" s="109"/>
      <c r="CN330" s="109"/>
      <c r="CO330" s="109"/>
      <c r="CP330" s="109"/>
    </row>
    <row r="331" spans="1:94" x14ac:dyDescent="0.25">
      <c r="A331" s="109"/>
      <c r="B331" s="10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  <c r="BR331" s="109"/>
      <c r="BS331" s="109"/>
      <c r="BT331" s="109"/>
      <c r="BU331" s="109"/>
      <c r="BV331" s="109"/>
      <c r="BW331" s="109"/>
      <c r="BX331" s="109"/>
      <c r="BY331" s="109"/>
      <c r="BZ331" s="109"/>
      <c r="CA331" s="109"/>
      <c r="CB331" s="109"/>
      <c r="CC331" s="109"/>
      <c r="CD331" s="109"/>
      <c r="CE331" s="109"/>
      <c r="CF331" s="109"/>
      <c r="CG331" s="109"/>
      <c r="CH331" s="109"/>
      <c r="CI331" s="109"/>
      <c r="CJ331" s="109"/>
      <c r="CK331" s="109"/>
      <c r="CL331" s="109"/>
      <c r="CM331" s="109"/>
      <c r="CN331" s="109"/>
      <c r="CO331" s="109"/>
      <c r="CP331" s="109"/>
    </row>
    <row r="332" spans="1:94" x14ac:dyDescent="0.25">
      <c r="A332" s="109"/>
      <c r="B332" s="10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  <c r="BR332" s="109"/>
      <c r="BS332" s="109"/>
      <c r="BT332" s="109"/>
      <c r="BU332" s="109"/>
      <c r="BV332" s="109"/>
      <c r="BW332" s="109"/>
      <c r="BX332" s="109"/>
      <c r="BY332" s="109"/>
      <c r="BZ332" s="109"/>
      <c r="CA332" s="109"/>
      <c r="CB332" s="109"/>
      <c r="CC332" s="109"/>
      <c r="CD332" s="109"/>
      <c r="CE332" s="109"/>
      <c r="CF332" s="109"/>
      <c r="CG332" s="109"/>
      <c r="CH332" s="109"/>
      <c r="CI332" s="109"/>
      <c r="CJ332" s="109"/>
      <c r="CK332" s="109"/>
      <c r="CL332" s="109"/>
      <c r="CM332" s="109"/>
      <c r="CN332" s="109"/>
      <c r="CO332" s="109"/>
      <c r="CP332" s="109"/>
    </row>
    <row r="333" spans="1:94" x14ac:dyDescent="0.25">
      <c r="A333" s="109"/>
      <c r="B333" s="10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  <c r="BR333" s="109"/>
      <c r="BS333" s="109"/>
      <c r="BT333" s="109"/>
      <c r="BU333" s="109"/>
      <c r="BV333" s="109"/>
      <c r="BW333" s="109"/>
      <c r="BX333" s="109"/>
      <c r="BY333" s="109"/>
      <c r="BZ333" s="109"/>
      <c r="CA333" s="109"/>
      <c r="CB333" s="109"/>
      <c r="CC333" s="109"/>
      <c r="CD333" s="109"/>
      <c r="CE333" s="109"/>
      <c r="CF333" s="109"/>
      <c r="CG333" s="109"/>
      <c r="CH333" s="109"/>
      <c r="CI333" s="109"/>
      <c r="CJ333" s="109"/>
      <c r="CK333" s="109"/>
      <c r="CL333" s="109"/>
      <c r="CM333" s="109"/>
      <c r="CN333" s="109"/>
      <c r="CO333" s="109"/>
      <c r="CP333" s="109"/>
    </row>
    <row r="334" spans="1:94" x14ac:dyDescent="0.25">
      <c r="A334" s="109"/>
      <c r="B334" s="10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  <c r="BY334" s="109"/>
      <c r="BZ334" s="109"/>
      <c r="CA334" s="109"/>
      <c r="CB334" s="109"/>
      <c r="CC334" s="109"/>
      <c r="CD334" s="109"/>
      <c r="CE334" s="109"/>
      <c r="CF334" s="109"/>
      <c r="CG334" s="109"/>
      <c r="CH334" s="109"/>
      <c r="CI334" s="109"/>
      <c r="CJ334" s="109"/>
      <c r="CK334" s="109"/>
      <c r="CL334" s="109"/>
      <c r="CM334" s="109"/>
      <c r="CN334" s="109"/>
      <c r="CO334" s="109"/>
      <c r="CP334" s="109"/>
    </row>
    <row r="335" spans="1:94" x14ac:dyDescent="0.25">
      <c r="A335" s="109"/>
      <c r="B335" s="10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  <c r="BR335" s="109"/>
      <c r="BS335" s="109"/>
      <c r="BT335" s="109"/>
      <c r="BU335" s="109"/>
      <c r="BV335" s="109"/>
      <c r="BW335" s="109"/>
      <c r="BX335" s="109"/>
      <c r="BY335" s="109"/>
      <c r="BZ335" s="109"/>
      <c r="CA335" s="109"/>
      <c r="CB335" s="109"/>
      <c r="CC335" s="109"/>
      <c r="CD335" s="109"/>
      <c r="CE335" s="109"/>
      <c r="CF335" s="109"/>
      <c r="CG335" s="109"/>
      <c r="CH335" s="109"/>
      <c r="CI335" s="109"/>
      <c r="CJ335" s="109"/>
      <c r="CK335" s="109"/>
      <c r="CL335" s="109"/>
      <c r="CM335" s="109"/>
      <c r="CN335" s="109"/>
      <c r="CO335" s="109"/>
      <c r="CP335" s="109"/>
    </row>
    <row r="336" spans="1:94" x14ac:dyDescent="0.25">
      <c r="A336" s="109"/>
      <c r="B336" s="10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  <c r="BR336" s="109"/>
      <c r="BS336" s="109"/>
      <c r="BT336" s="109"/>
      <c r="BU336" s="109"/>
      <c r="BV336" s="109"/>
      <c r="BW336" s="109"/>
      <c r="BX336" s="109"/>
      <c r="BY336" s="109"/>
      <c r="BZ336" s="109"/>
      <c r="CA336" s="109"/>
      <c r="CB336" s="109"/>
      <c r="CC336" s="109"/>
      <c r="CD336" s="109"/>
      <c r="CE336" s="109"/>
      <c r="CF336" s="109"/>
      <c r="CG336" s="109"/>
      <c r="CH336" s="109"/>
      <c r="CI336" s="109"/>
      <c r="CJ336" s="109"/>
      <c r="CK336" s="109"/>
      <c r="CL336" s="109"/>
      <c r="CM336" s="109"/>
      <c r="CN336" s="109"/>
      <c r="CO336" s="109"/>
      <c r="CP336" s="109"/>
    </row>
    <row r="337" spans="1:94" x14ac:dyDescent="0.25">
      <c r="A337" s="109"/>
      <c r="B337" s="10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  <c r="BR337" s="109"/>
      <c r="BS337" s="109"/>
      <c r="BT337" s="109"/>
      <c r="BU337" s="109"/>
      <c r="BV337" s="109"/>
      <c r="BW337" s="109"/>
      <c r="BX337" s="109"/>
      <c r="BY337" s="109"/>
      <c r="BZ337" s="109"/>
      <c r="CA337" s="109"/>
      <c r="CB337" s="109"/>
      <c r="CC337" s="109"/>
      <c r="CD337" s="109"/>
      <c r="CE337" s="109"/>
      <c r="CF337" s="109"/>
      <c r="CG337" s="109"/>
      <c r="CH337" s="109"/>
      <c r="CI337" s="109"/>
      <c r="CJ337" s="109"/>
      <c r="CK337" s="109"/>
      <c r="CL337" s="109"/>
      <c r="CM337" s="109"/>
      <c r="CN337" s="109"/>
      <c r="CO337" s="109"/>
      <c r="CP337" s="109"/>
    </row>
    <row r="338" spans="1:94" x14ac:dyDescent="0.25">
      <c r="A338" s="109"/>
      <c r="B338" s="10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  <c r="BR338" s="109"/>
      <c r="BS338" s="109"/>
      <c r="BT338" s="109"/>
      <c r="BU338" s="109"/>
      <c r="BV338" s="109"/>
      <c r="BW338" s="109"/>
      <c r="BX338" s="109"/>
      <c r="BY338" s="109"/>
      <c r="BZ338" s="109"/>
      <c r="CA338" s="109"/>
      <c r="CB338" s="109"/>
      <c r="CC338" s="109"/>
      <c r="CD338" s="109"/>
      <c r="CE338" s="109"/>
      <c r="CF338" s="109"/>
      <c r="CG338" s="109"/>
      <c r="CH338" s="109"/>
      <c r="CI338" s="109"/>
      <c r="CJ338" s="109"/>
      <c r="CK338" s="109"/>
      <c r="CL338" s="109"/>
      <c r="CM338" s="109"/>
      <c r="CN338" s="109"/>
      <c r="CO338" s="109"/>
      <c r="CP338" s="109"/>
    </row>
    <row r="339" spans="1:94" x14ac:dyDescent="0.25">
      <c r="A339" s="109"/>
      <c r="B339" s="10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  <c r="BR339" s="109"/>
      <c r="BS339" s="109"/>
      <c r="BT339" s="109"/>
      <c r="BU339" s="109"/>
      <c r="BV339" s="109"/>
      <c r="BW339" s="109"/>
      <c r="BX339" s="109"/>
      <c r="BY339" s="109"/>
      <c r="BZ339" s="109"/>
      <c r="CA339" s="109"/>
      <c r="CB339" s="109"/>
      <c r="CC339" s="109"/>
      <c r="CD339" s="109"/>
      <c r="CE339" s="109"/>
      <c r="CF339" s="109"/>
      <c r="CG339" s="109"/>
      <c r="CH339" s="109"/>
      <c r="CI339" s="109"/>
      <c r="CJ339" s="109"/>
      <c r="CK339" s="109"/>
      <c r="CL339" s="109"/>
      <c r="CM339" s="109"/>
      <c r="CN339" s="109"/>
      <c r="CO339" s="109"/>
      <c r="CP339" s="109"/>
    </row>
    <row r="340" spans="1:94" x14ac:dyDescent="0.25">
      <c r="A340" s="109"/>
      <c r="B340" s="10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  <c r="BR340" s="109"/>
      <c r="BS340" s="109"/>
      <c r="BT340" s="109"/>
      <c r="BU340" s="109"/>
      <c r="BV340" s="109"/>
      <c r="BW340" s="109"/>
      <c r="BX340" s="109"/>
      <c r="BY340" s="109"/>
      <c r="BZ340" s="109"/>
      <c r="CA340" s="109"/>
      <c r="CB340" s="109"/>
      <c r="CC340" s="109"/>
      <c r="CD340" s="109"/>
      <c r="CE340" s="109"/>
      <c r="CF340" s="109"/>
      <c r="CG340" s="109"/>
      <c r="CH340" s="109"/>
      <c r="CI340" s="109"/>
      <c r="CJ340" s="109"/>
      <c r="CK340" s="109"/>
      <c r="CL340" s="109"/>
      <c r="CM340" s="109"/>
      <c r="CN340" s="109"/>
      <c r="CO340" s="109"/>
      <c r="CP340" s="109"/>
    </row>
    <row r="341" spans="1:94" x14ac:dyDescent="0.25">
      <c r="A341" s="109"/>
      <c r="B341" s="10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  <c r="BR341" s="109"/>
      <c r="BS341" s="109"/>
      <c r="BT341" s="109"/>
      <c r="BU341" s="109"/>
      <c r="BV341" s="109"/>
      <c r="BW341" s="109"/>
      <c r="BX341" s="109"/>
      <c r="BY341" s="109"/>
      <c r="BZ341" s="109"/>
      <c r="CA341" s="109"/>
      <c r="CB341" s="109"/>
      <c r="CC341" s="109"/>
      <c r="CD341" s="109"/>
      <c r="CE341" s="109"/>
      <c r="CF341" s="109"/>
      <c r="CG341" s="109"/>
      <c r="CH341" s="109"/>
      <c r="CI341" s="109"/>
      <c r="CJ341" s="109"/>
      <c r="CK341" s="109"/>
      <c r="CL341" s="109"/>
      <c r="CM341" s="109"/>
      <c r="CN341" s="109"/>
      <c r="CO341" s="109"/>
      <c r="CP341" s="109"/>
    </row>
    <row r="342" spans="1:94" x14ac:dyDescent="0.25">
      <c r="A342" s="109"/>
      <c r="B342" s="10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  <c r="BR342" s="109"/>
      <c r="BS342" s="109"/>
      <c r="BT342" s="109"/>
      <c r="BU342" s="109"/>
      <c r="BV342" s="109"/>
      <c r="BW342" s="109"/>
      <c r="BX342" s="109"/>
      <c r="BY342" s="109"/>
      <c r="BZ342" s="109"/>
      <c r="CA342" s="109"/>
      <c r="CB342" s="109"/>
      <c r="CC342" s="109"/>
      <c r="CD342" s="109"/>
      <c r="CE342" s="109"/>
      <c r="CF342" s="109"/>
      <c r="CG342" s="109"/>
      <c r="CH342" s="109"/>
      <c r="CI342" s="109"/>
      <c r="CJ342" s="109"/>
      <c r="CK342" s="109"/>
      <c r="CL342" s="109"/>
      <c r="CM342" s="109"/>
      <c r="CN342" s="109"/>
      <c r="CO342" s="109"/>
      <c r="CP342" s="109"/>
    </row>
    <row r="343" spans="1:94" x14ac:dyDescent="0.25">
      <c r="A343" s="109"/>
      <c r="B343" s="10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  <c r="BR343" s="109"/>
      <c r="BS343" s="109"/>
      <c r="BT343" s="109"/>
      <c r="BU343" s="109"/>
      <c r="BV343" s="109"/>
      <c r="BW343" s="109"/>
      <c r="BX343" s="109"/>
      <c r="BY343" s="109"/>
      <c r="BZ343" s="109"/>
      <c r="CA343" s="109"/>
      <c r="CB343" s="109"/>
      <c r="CC343" s="109"/>
      <c r="CD343" s="109"/>
      <c r="CE343" s="109"/>
      <c r="CF343" s="109"/>
      <c r="CG343" s="109"/>
      <c r="CH343" s="109"/>
      <c r="CI343" s="109"/>
      <c r="CJ343" s="109"/>
      <c r="CK343" s="109"/>
      <c r="CL343" s="109"/>
      <c r="CM343" s="109"/>
      <c r="CN343" s="109"/>
      <c r="CO343" s="109"/>
      <c r="CP343" s="109"/>
    </row>
    <row r="344" spans="1:94" x14ac:dyDescent="0.25">
      <c r="A344" s="109"/>
      <c r="B344" s="10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  <c r="BR344" s="109"/>
      <c r="BS344" s="109"/>
      <c r="BT344" s="109"/>
      <c r="BU344" s="109"/>
      <c r="BV344" s="109"/>
      <c r="BW344" s="109"/>
      <c r="BX344" s="109"/>
      <c r="BY344" s="109"/>
      <c r="BZ344" s="109"/>
      <c r="CA344" s="109"/>
      <c r="CB344" s="109"/>
      <c r="CC344" s="109"/>
      <c r="CD344" s="109"/>
      <c r="CE344" s="109"/>
      <c r="CF344" s="109"/>
      <c r="CG344" s="109"/>
      <c r="CH344" s="109"/>
      <c r="CI344" s="109"/>
      <c r="CJ344" s="109"/>
      <c r="CK344" s="109"/>
      <c r="CL344" s="109"/>
      <c r="CM344" s="109"/>
      <c r="CN344" s="109"/>
      <c r="CO344" s="109"/>
      <c r="CP344" s="109"/>
    </row>
    <row r="345" spans="1:94" x14ac:dyDescent="0.25">
      <c r="A345" s="109"/>
      <c r="B345" s="10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  <c r="BR345" s="109"/>
      <c r="BS345" s="109"/>
      <c r="BT345" s="109"/>
      <c r="BU345" s="109"/>
      <c r="BV345" s="109"/>
      <c r="BW345" s="109"/>
      <c r="BX345" s="109"/>
      <c r="BY345" s="109"/>
      <c r="BZ345" s="109"/>
      <c r="CA345" s="109"/>
      <c r="CB345" s="109"/>
      <c r="CC345" s="109"/>
      <c r="CD345" s="109"/>
      <c r="CE345" s="109"/>
      <c r="CF345" s="109"/>
      <c r="CG345" s="109"/>
      <c r="CH345" s="109"/>
      <c r="CI345" s="109"/>
      <c r="CJ345" s="109"/>
      <c r="CK345" s="109"/>
      <c r="CL345" s="109"/>
      <c r="CM345" s="109"/>
      <c r="CN345" s="109"/>
      <c r="CO345" s="109"/>
      <c r="CP345" s="109"/>
    </row>
    <row r="346" spans="1:94" x14ac:dyDescent="0.25">
      <c r="A346" s="109"/>
      <c r="B346" s="10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  <c r="BR346" s="109"/>
      <c r="BS346" s="109"/>
      <c r="BT346" s="109"/>
      <c r="BU346" s="109"/>
      <c r="BV346" s="109"/>
      <c r="BW346" s="109"/>
      <c r="BX346" s="109"/>
      <c r="BY346" s="109"/>
      <c r="BZ346" s="109"/>
      <c r="CA346" s="109"/>
      <c r="CB346" s="109"/>
      <c r="CC346" s="109"/>
      <c r="CD346" s="109"/>
      <c r="CE346" s="109"/>
      <c r="CF346" s="109"/>
      <c r="CG346" s="109"/>
      <c r="CH346" s="109"/>
      <c r="CI346" s="109"/>
      <c r="CJ346" s="109"/>
      <c r="CK346" s="109"/>
      <c r="CL346" s="109"/>
      <c r="CM346" s="109"/>
      <c r="CN346" s="109"/>
      <c r="CO346" s="109"/>
      <c r="CP346" s="109"/>
    </row>
    <row r="347" spans="1:94" x14ac:dyDescent="0.25">
      <c r="A347" s="109"/>
      <c r="B347" s="10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  <c r="BR347" s="109"/>
      <c r="BS347" s="109"/>
      <c r="BT347" s="109"/>
      <c r="BU347" s="109"/>
      <c r="BV347" s="109"/>
      <c r="BW347" s="109"/>
      <c r="BX347" s="109"/>
      <c r="BY347" s="109"/>
      <c r="BZ347" s="109"/>
      <c r="CA347" s="109"/>
      <c r="CB347" s="109"/>
      <c r="CC347" s="109"/>
      <c r="CD347" s="109"/>
      <c r="CE347" s="109"/>
      <c r="CF347" s="109"/>
      <c r="CG347" s="109"/>
      <c r="CH347" s="109"/>
      <c r="CI347" s="109"/>
      <c r="CJ347" s="109"/>
      <c r="CK347" s="109"/>
      <c r="CL347" s="109"/>
      <c r="CM347" s="109"/>
      <c r="CN347" s="109"/>
      <c r="CO347" s="109"/>
      <c r="CP347" s="109"/>
    </row>
    <row r="348" spans="1:94" x14ac:dyDescent="0.25">
      <c r="A348" s="109"/>
      <c r="B348" s="10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  <c r="BR348" s="109"/>
      <c r="BS348" s="109"/>
      <c r="BT348" s="109"/>
      <c r="BU348" s="109"/>
      <c r="BV348" s="109"/>
      <c r="BW348" s="109"/>
      <c r="BX348" s="109"/>
      <c r="BY348" s="109"/>
      <c r="BZ348" s="109"/>
      <c r="CA348" s="109"/>
      <c r="CB348" s="109"/>
      <c r="CC348" s="109"/>
      <c r="CD348" s="109"/>
      <c r="CE348" s="109"/>
      <c r="CF348" s="109"/>
      <c r="CG348" s="109"/>
      <c r="CH348" s="109"/>
      <c r="CI348" s="109"/>
      <c r="CJ348" s="109"/>
      <c r="CK348" s="109"/>
      <c r="CL348" s="109"/>
      <c r="CM348" s="109"/>
      <c r="CN348" s="109"/>
      <c r="CO348" s="109"/>
      <c r="CP348" s="109"/>
    </row>
    <row r="349" spans="1:94" x14ac:dyDescent="0.25">
      <c r="A349" s="109"/>
      <c r="B349" s="10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  <c r="BR349" s="109"/>
      <c r="BS349" s="109"/>
      <c r="BT349" s="109"/>
      <c r="BU349" s="109"/>
      <c r="BV349" s="109"/>
      <c r="BW349" s="109"/>
      <c r="BX349" s="109"/>
      <c r="BY349" s="109"/>
      <c r="BZ349" s="109"/>
      <c r="CA349" s="109"/>
      <c r="CB349" s="109"/>
      <c r="CC349" s="109"/>
      <c r="CD349" s="109"/>
      <c r="CE349" s="109"/>
      <c r="CF349" s="109"/>
      <c r="CG349" s="109"/>
      <c r="CH349" s="109"/>
      <c r="CI349" s="109"/>
      <c r="CJ349" s="109"/>
      <c r="CK349" s="109"/>
      <c r="CL349" s="109"/>
      <c r="CM349" s="109"/>
      <c r="CN349" s="109"/>
      <c r="CO349" s="109"/>
      <c r="CP349" s="109"/>
    </row>
    <row r="350" spans="1:94" x14ac:dyDescent="0.25">
      <c r="A350" s="109"/>
      <c r="B350" s="10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  <c r="BR350" s="109"/>
      <c r="BS350" s="109"/>
      <c r="BT350" s="109"/>
      <c r="BU350" s="109"/>
      <c r="BV350" s="109"/>
      <c r="BW350" s="109"/>
      <c r="BX350" s="109"/>
      <c r="BY350" s="109"/>
      <c r="BZ350" s="109"/>
      <c r="CA350" s="109"/>
      <c r="CB350" s="109"/>
      <c r="CC350" s="109"/>
      <c r="CD350" s="109"/>
      <c r="CE350" s="109"/>
      <c r="CF350" s="109"/>
      <c r="CG350" s="109"/>
      <c r="CH350" s="109"/>
      <c r="CI350" s="109"/>
      <c r="CJ350" s="109"/>
      <c r="CK350" s="109"/>
      <c r="CL350" s="109"/>
      <c r="CM350" s="109"/>
      <c r="CN350" s="109"/>
      <c r="CO350" s="109"/>
      <c r="CP350" s="109"/>
    </row>
    <row r="351" spans="1:94" x14ac:dyDescent="0.25">
      <c r="A351" s="109"/>
      <c r="B351" s="10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  <c r="BR351" s="109"/>
      <c r="BS351" s="109"/>
      <c r="BT351" s="109"/>
      <c r="BU351" s="109"/>
      <c r="BV351" s="109"/>
      <c r="BW351" s="109"/>
      <c r="BX351" s="109"/>
      <c r="BY351" s="109"/>
      <c r="BZ351" s="109"/>
      <c r="CA351" s="109"/>
      <c r="CB351" s="109"/>
      <c r="CC351" s="109"/>
      <c r="CD351" s="109"/>
      <c r="CE351" s="109"/>
      <c r="CF351" s="109"/>
      <c r="CG351" s="109"/>
      <c r="CH351" s="109"/>
      <c r="CI351" s="109"/>
      <c r="CJ351" s="109"/>
      <c r="CK351" s="109"/>
      <c r="CL351" s="109"/>
      <c r="CM351" s="109"/>
      <c r="CN351" s="109"/>
      <c r="CO351" s="109"/>
      <c r="CP351" s="109"/>
    </row>
    <row r="352" spans="1:94" x14ac:dyDescent="0.25">
      <c r="A352" s="109"/>
      <c r="B352" s="10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  <c r="BR352" s="109"/>
      <c r="BS352" s="109"/>
      <c r="BT352" s="109"/>
      <c r="BU352" s="109"/>
      <c r="BV352" s="109"/>
      <c r="BW352" s="109"/>
      <c r="BX352" s="109"/>
      <c r="BY352" s="109"/>
      <c r="BZ352" s="109"/>
      <c r="CA352" s="109"/>
      <c r="CB352" s="109"/>
      <c r="CC352" s="109"/>
      <c r="CD352" s="109"/>
      <c r="CE352" s="109"/>
      <c r="CF352" s="109"/>
      <c r="CG352" s="109"/>
      <c r="CH352" s="109"/>
      <c r="CI352" s="109"/>
      <c r="CJ352" s="109"/>
      <c r="CK352" s="109"/>
      <c r="CL352" s="109"/>
      <c r="CM352" s="109"/>
      <c r="CN352" s="109"/>
      <c r="CO352" s="109"/>
      <c r="CP352" s="109"/>
    </row>
    <row r="353" spans="1:94" x14ac:dyDescent="0.25">
      <c r="A353" s="109"/>
      <c r="B353" s="10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  <c r="BR353" s="109"/>
      <c r="BS353" s="109"/>
      <c r="BT353" s="109"/>
      <c r="BU353" s="109"/>
      <c r="BV353" s="109"/>
      <c r="BW353" s="109"/>
      <c r="BX353" s="109"/>
      <c r="BY353" s="109"/>
      <c r="BZ353" s="109"/>
      <c r="CA353" s="109"/>
      <c r="CB353" s="109"/>
      <c r="CC353" s="109"/>
      <c r="CD353" s="109"/>
      <c r="CE353" s="109"/>
      <c r="CF353" s="109"/>
      <c r="CG353" s="109"/>
      <c r="CH353" s="109"/>
      <c r="CI353" s="109"/>
      <c r="CJ353" s="109"/>
      <c r="CK353" s="109"/>
      <c r="CL353" s="109"/>
      <c r="CM353" s="109"/>
      <c r="CN353" s="109"/>
      <c r="CO353" s="109"/>
      <c r="CP353" s="109"/>
    </row>
    <row r="354" spans="1:94" x14ac:dyDescent="0.25">
      <c r="A354" s="109"/>
      <c r="B354" s="10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  <c r="BR354" s="109"/>
      <c r="BS354" s="109"/>
      <c r="BT354" s="109"/>
      <c r="BU354" s="109"/>
      <c r="BV354" s="109"/>
      <c r="BW354" s="109"/>
      <c r="BX354" s="109"/>
      <c r="BY354" s="109"/>
      <c r="BZ354" s="109"/>
      <c r="CA354" s="109"/>
      <c r="CB354" s="109"/>
      <c r="CC354" s="109"/>
      <c r="CD354" s="109"/>
      <c r="CE354" s="109"/>
      <c r="CF354" s="109"/>
      <c r="CG354" s="109"/>
      <c r="CH354" s="109"/>
      <c r="CI354" s="109"/>
      <c r="CJ354" s="109"/>
      <c r="CK354" s="109"/>
      <c r="CL354" s="109"/>
      <c r="CM354" s="109"/>
      <c r="CN354" s="109"/>
      <c r="CO354" s="109"/>
      <c r="CP354" s="109"/>
    </row>
    <row r="355" spans="1:94" x14ac:dyDescent="0.25">
      <c r="A355" s="109"/>
      <c r="B355" s="10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  <c r="BR355" s="109"/>
      <c r="BS355" s="109"/>
      <c r="BT355" s="109"/>
      <c r="BU355" s="109"/>
      <c r="BV355" s="109"/>
      <c r="BW355" s="109"/>
      <c r="BX355" s="109"/>
      <c r="BY355" s="109"/>
      <c r="BZ355" s="109"/>
      <c r="CA355" s="109"/>
      <c r="CB355" s="109"/>
      <c r="CC355" s="109"/>
      <c r="CD355" s="109"/>
      <c r="CE355" s="109"/>
      <c r="CF355" s="109"/>
      <c r="CG355" s="109"/>
      <c r="CH355" s="109"/>
      <c r="CI355" s="109"/>
      <c r="CJ355" s="109"/>
      <c r="CK355" s="109"/>
      <c r="CL355" s="109"/>
      <c r="CM355" s="109"/>
      <c r="CN355" s="109"/>
      <c r="CO355" s="109"/>
      <c r="CP355" s="109"/>
    </row>
    <row r="356" spans="1:94" x14ac:dyDescent="0.25">
      <c r="A356" s="109"/>
      <c r="B356" s="10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  <c r="BR356" s="109"/>
      <c r="BS356" s="109"/>
      <c r="BT356" s="109"/>
      <c r="BU356" s="109"/>
      <c r="BV356" s="109"/>
      <c r="BW356" s="109"/>
      <c r="BX356" s="109"/>
      <c r="BY356" s="109"/>
      <c r="BZ356" s="109"/>
      <c r="CA356" s="109"/>
      <c r="CB356" s="109"/>
      <c r="CC356" s="109"/>
      <c r="CD356" s="109"/>
      <c r="CE356" s="109"/>
      <c r="CF356" s="109"/>
      <c r="CG356" s="109"/>
      <c r="CH356" s="109"/>
      <c r="CI356" s="109"/>
      <c r="CJ356" s="109"/>
      <c r="CK356" s="109"/>
      <c r="CL356" s="109"/>
      <c r="CM356" s="109"/>
      <c r="CN356" s="109"/>
      <c r="CO356" s="109"/>
      <c r="CP356" s="109"/>
    </row>
    <row r="357" spans="1:94" x14ac:dyDescent="0.25">
      <c r="A357" s="109"/>
      <c r="B357" s="10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  <c r="BR357" s="109"/>
      <c r="BS357" s="109"/>
      <c r="BT357" s="109"/>
      <c r="BU357" s="109"/>
      <c r="BV357" s="109"/>
      <c r="BW357" s="109"/>
      <c r="BX357" s="109"/>
      <c r="BY357" s="109"/>
      <c r="BZ357" s="109"/>
      <c r="CA357" s="109"/>
      <c r="CB357" s="109"/>
      <c r="CC357" s="109"/>
      <c r="CD357" s="109"/>
      <c r="CE357" s="109"/>
      <c r="CF357" s="109"/>
      <c r="CG357" s="109"/>
      <c r="CH357" s="109"/>
      <c r="CI357" s="109"/>
      <c r="CJ357" s="109"/>
      <c r="CK357" s="109"/>
      <c r="CL357" s="109"/>
      <c r="CM357" s="109"/>
      <c r="CN357" s="109"/>
      <c r="CO357" s="109"/>
      <c r="CP357" s="109"/>
    </row>
    <row r="358" spans="1:94" x14ac:dyDescent="0.25">
      <c r="A358" s="109"/>
      <c r="B358" s="10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  <c r="BR358" s="109"/>
      <c r="BS358" s="109"/>
      <c r="BT358" s="109"/>
      <c r="BU358" s="109"/>
      <c r="BV358" s="109"/>
      <c r="BW358" s="109"/>
      <c r="BX358" s="109"/>
      <c r="BY358" s="109"/>
      <c r="BZ358" s="109"/>
      <c r="CA358" s="109"/>
      <c r="CB358" s="109"/>
      <c r="CC358" s="109"/>
      <c r="CD358" s="109"/>
      <c r="CE358" s="109"/>
      <c r="CF358" s="109"/>
      <c r="CG358" s="109"/>
      <c r="CH358" s="109"/>
      <c r="CI358" s="109"/>
      <c r="CJ358" s="109"/>
      <c r="CK358" s="109"/>
      <c r="CL358" s="109"/>
      <c r="CM358" s="109"/>
      <c r="CN358" s="109"/>
      <c r="CO358" s="109"/>
      <c r="CP358" s="109"/>
    </row>
    <row r="359" spans="1:94" x14ac:dyDescent="0.25">
      <c r="A359" s="109"/>
      <c r="B359" s="10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  <c r="BR359" s="109"/>
      <c r="BS359" s="109"/>
      <c r="BT359" s="109"/>
      <c r="BU359" s="109"/>
      <c r="BV359" s="109"/>
      <c r="BW359" s="109"/>
      <c r="BX359" s="109"/>
      <c r="BY359" s="109"/>
      <c r="BZ359" s="109"/>
      <c r="CA359" s="109"/>
      <c r="CB359" s="109"/>
      <c r="CC359" s="109"/>
      <c r="CD359" s="109"/>
      <c r="CE359" s="109"/>
      <c r="CF359" s="109"/>
      <c r="CG359" s="109"/>
      <c r="CH359" s="109"/>
      <c r="CI359" s="109"/>
      <c r="CJ359" s="109"/>
      <c r="CK359" s="109"/>
      <c r="CL359" s="109"/>
      <c r="CM359" s="109"/>
      <c r="CN359" s="109"/>
      <c r="CO359" s="109"/>
      <c r="CP359" s="109"/>
    </row>
    <row r="360" spans="1:94" x14ac:dyDescent="0.25">
      <c r="A360" s="109"/>
      <c r="B360" s="10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  <c r="BR360" s="109"/>
      <c r="BS360" s="109"/>
      <c r="BT360" s="109"/>
      <c r="BU360" s="109"/>
      <c r="BV360" s="109"/>
      <c r="BW360" s="109"/>
      <c r="BX360" s="109"/>
      <c r="BY360" s="109"/>
      <c r="BZ360" s="109"/>
      <c r="CA360" s="109"/>
      <c r="CB360" s="109"/>
      <c r="CC360" s="109"/>
      <c r="CD360" s="109"/>
      <c r="CE360" s="109"/>
      <c r="CF360" s="109"/>
      <c r="CG360" s="109"/>
      <c r="CH360" s="109"/>
      <c r="CI360" s="109"/>
      <c r="CJ360" s="109"/>
      <c r="CK360" s="109"/>
      <c r="CL360" s="109"/>
      <c r="CM360" s="109"/>
      <c r="CN360" s="109"/>
      <c r="CO360" s="109"/>
      <c r="CP360" s="109"/>
    </row>
    <row r="361" spans="1:94" x14ac:dyDescent="0.25">
      <c r="A361" s="109"/>
      <c r="B361" s="10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  <c r="BR361" s="109"/>
      <c r="BS361" s="109"/>
      <c r="BT361" s="109"/>
      <c r="BU361" s="109"/>
      <c r="BV361" s="109"/>
      <c r="BW361" s="109"/>
      <c r="BX361" s="109"/>
      <c r="BY361" s="109"/>
      <c r="BZ361" s="109"/>
      <c r="CA361" s="109"/>
      <c r="CB361" s="109"/>
      <c r="CC361" s="109"/>
      <c r="CD361" s="109"/>
      <c r="CE361" s="109"/>
      <c r="CF361" s="109"/>
      <c r="CG361" s="109"/>
      <c r="CH361" s="109"/>
      <c r="CI361" s="109"/>
      <c r="CJ361" s="109"/>
      <c r="CK361" s="109"/>
      <c r="CL361" s="109"/>
      <c r="CM361" s="109"/>
      <c r="CN361" s="109"/>
      <c r="CO361" s="109"/>
      <c r="CP361" s="109"/>
    </row>
    <row r="362" spans="1:94" x14ac:dyDescent="0.25">
      <c r="A362" s="109"/>
      <c r="B362" s="10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  <c r="BR362" s="109"/>
      <c r="BS362" s="109"/>
      <c r="BT362" s="109"/>
      <c r="BU362" s="109"/>
      <c r="BV362" s="109"/>
      <c r="BW362" s="109"/>
      <c r="BX362" s="109"/>
      <c r="BY362" s="109"/>
      <c r="BZ362" s="109"/>
      <c r="CA362" s="109"/>
      <c r="CB362" s="109"/>
      <c r="CC362" s="109"/>
      <c r="CD362" s="109"/>
      <c r="CE362" s="109"/>
      <c r="CF362" s="109"/>
      <c r="CG362" s="109"/>
      <c r="CH362" s="109"/>
      <c r="CI362" s="109"/>
      <c r="CJ362" s="109"/>
      <c r="CK362" s="109"/>
      <c r="CL362" s="109"/>
      <c r="CM362" s="109"/>
      <c r="CN362" s="109"/>
      <c r="CO362" s="109"/>
      <c r="CP362" s="109"/>
    </row>
    <row r="363" spans="1:94" x14ac:dyDescent="0.25">
      <c r="A363" s="109"/>
      <c r="B363" s="10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  <c r="BR363" s="109"/>
      <c r="BS363" s="109"/>
      <c r="BT363" s="109"/>
      <c r="BU363" s="109"/>
      <c r="BV363" s="109"/>
      <c r="BW363" s="109"/>
      <c r="BX363" s="109"/>
      <c r="BY363" s="109"/>
      <c r="BZ363" s="109"/>
      <c r="CA363" s="109"/>
      <c r="CB363" s="109"/>
      <c r="CC363" s="109"/>
      <c r="CD363" s="109"/>
      <c r="CE363" s="109"/>
      <c r="CF363" s="109"/>
      <c r="CG363" s="109"/>
      <c r="CH363" s="109"/>
      <c r="CI363" s="109"/>
      <c r="CJ363" s="109"/>
      <c r="CK363" s="109"/>
      <c r="CL363" s="109"/>
      <c r="CM363" s="109"/>
      <c r="CN363" s="109"/>
      <c r="CO363" s="109"/>
      <c r="CP363" s="109"/>
    </row>
    <row r="364" spans="1:94" x14ac:dyDescent="0.25">
      <c r="A364" s="109"/>
      <c r="B364" s="10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  <c r="BR364" s="109"/>
      <c r="BS364" s="109"/>
      <c r="BT364" s="109"/>
      <c r="BU364" s="109"/>
      <c r="BV364" s="109"/>
      <c r="BW364" s="109"/>
      <c r="BX364" s="109"/>
      <c r="BY364" s="109"/>
      <c r="BZ364" s="109"/>
      <c r="CA364" s="109"/>
      <c r="CB364" s="109"/>
      <c r="CC364" s="109"/>
      <c r="CD364" s="109"/>
      <c r="CE364" s="109"/>
      <c r="CF364" s="109"/>
      <c r="CG364" s="109"/>
      <c r="CH364" s="109"/>
      <c r="CI364" s="109"/>
      <c r="CJ364" s="109"/>
      <c r="CK364" s="109"/>
      <c r="CL364" s="109"/>
      <c r="CM364" s="109"/>
      <c r="CN364" s="109"/>
      <c r="CO364" s="109"/>
      <c r="CP364" s="109"/>
    </row>
    <row r="365" spans="1:94" x14ac:dyDescent="0.25">
      <c r="A365" s="109"/>
      <c r="B365" s="10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  <c r="BR365" s="109"/>
      <c r="BS365" s="109"/>
      <c r="BT365" s="109"/>
      <c r="BU365" s="109"/>
      <c r="BV365" s="109"/>
      <c r="BW365" s="109"/>
      <c r="BX365" s="109"/>
      <c r="BY365" s="109"/>
      <c r="BZ365" s="109"/>
      <c r="CA365" s="109"/>
      <c r="CB365" s="109"/>
      <c r="CC365" s="109"/>
      <c r="CD365" s="109"/>
      <c r="CE365" s="109"/>
      <c r="CF365" s="109"/>
      <c r="CG365" s="109"/>
      <c r="CH365" s="109"/>
      <c r="CI365" s="109"/>
      <c r="CJ365" s="109"/>
      <c r="CK365" s="109"/>
      <c r="CL365" s="109"/>
      <c r="CM365" s="109"/>
      <c r="CN365" s="109"/>
      <c r="CO365" s="109"/>
      <c r="CP365" s="109"/>
    </row>
    <row r="366" spans="1:94" x14ac:dyDescent="0.25">
      <c r="A366" s="109"/>
      <c r="B366" s="10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  <c r="BR366" s="109"/>
      <c r="BS366" s="109"/>
      <c r="BT366" s="109"/>
      <c r="BU366" s="109"/>
      <c r="BV366" s="109"/>
      <c r="BW366" s="109"/>
      <c r="BX366" s="109"/>
      <c r="BY366" s="109"/>
      <c r="BZ366" s="109"/>
      <c r="CA366" s="109"/>
      <c r="CB366" s="109"/>
      <c r="CC366" s="109"/>
      <c r="CD366" s="109"/>
      <c r="CE366" s="109"/>
      <c r="CF366" s="109"/>
      <c r="CG366" s="109"/>
      <c r="CH366" s="109"/>
      <c r="CI366" s="109"/>
      <c r="CJ366" s="109"/>
      <c r="CK366" s="109"/>
      <c r="CL366" s="109"/>
      <c r="CM366" s="109"/>
      <c r="CN366" s="109"/>
      <c r="CO366" s="109"/>
      <c r="CP366" s="109"/>
    </row>
    <row r="367" spans="1:94" x14ac:dyDescent="0.25">
      <c r="A367" s="109"/>
      <c r="B367" s="10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  <c r="BR367" s="109"/>
      <c r="BS367" s="109"/>
      <c r="BT367" s="109"/>
      <c r="BU367" s="109"/>
      <c r="BV367" s="109"/>
      <c r="BW367" s="109"/>
      <c r="BX367" s="109"/>
      <c r="BY367" s="109"/>
      <c r="BZ367" s="109"/>
      <c r="CA367" s="109"/>
      <c r="CB367" s="109"/>
      <c r="CC367" s="109"/>
      <c r="CD367" s="109"/>
      <c r="CE367" s="109"/>
      <c r="CF367" s="109"/>
      <c r="CG367" s="109"/>
      <c r="CH367" s="109"/>
      <c r="CI367" s="109"/>
      <c r="CJ367" s="109"/>
      <c r="CK367" s="109"/>
      <c r="CL367" s="109"/>
      <c r="CM367" s="109"/>
      <c r="CN367" s="109"/>
      <c r="CO367" s="109"/>
      <c r="CP367" s="109"/>
    </row>
    <row r="368" spans="1:94" x14ac:dyDescent="0.25">
      <c r="A368" s="109"/>
      <c r="B368" s="10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  <c r="BR368" s="109"/>
      <c r="BS368" s="109"/>
      <c r="BT368" s="109"/>
      <c r="BU368" s="109"/>
      <c r="BV368" s="109"/>
      <c r="BW368" s="109"/>
      <c r="BX368" s="109"/>
      <c r="BY368" s="109"/>
      <c r="BZ368" s="109"/>
      <c r="CA368" s="109"/>
      <c r="CB368" s="109"/>
      <c r="CC368" s="109"/>
      <c r="CD368" s="109"/>
      <c r="CE368" s="109"/>
      <c r="CF368" s="109"/>
      <c r="CG368" s="109"/>
      <c r="CH368" s="109"/>
      <c r="CI368" s="109"/>
      <c r="CJ368" s="109"/>
      <c r="CK368" s="109"/>
      <c r="CL368" s="109"/>
      <c r="CM368" s="109"/>
      <c r="CN368" s="109"/>
      <c r="CO368" s="109"/>
      <c r="CP368" s="109"/>
    </row>
    <row r="369" spans="1:94" x14ac:dyDescent="0.25">
      <c r="A369" s="109"/>
      <c r="B369" s="10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  <c r="BR369" s="109"/>
      <c r="BS369" s="109"/>
      <c r="BT369" s="109"/>
      <c r="BU369" s="109"/>
      <c r="BV369" s="109"/>
      <c r="BW369" s="109"/>
      <c r="BX369" s="109"/>
      <c r="BY369" s="109"/>
      <c r="BZ369" s="109"/>
      <c r="CA369" s="109"/>
      <c r="CB369" s="109"/>
      <c r="CC369" s="109"/>
      <c r="CD369" s="109"/>
      <c r="CE369" s="109"/>
      <c r="CF369" s="109"/>
      <c r="CG369" s="109"/>
      <c r="CH369" s="109"/>
      <c r="CI369" s="109"/>
      <c r="CJ369" s="109"/>
      <c r="CK369" s="109"/>
      <c r="CL369" s="109"/>
      <c r="CM369" s="109"/>
      <c r="CN369" s="109"/>
      <c r="CO369" s="109"/>
      <c r="CP369" s="109"/>
    </row>
    <row r="370" spans="1:94" x14ac:dyDescent="0.25">
      <c r="A370" s="109"/>
      <c r="B370" s="10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  <c r="BR370" s="109"/>
      <c r="BS370" s="109"/>
      <c r="BT370" s="109"/>
      <c r="BU370" s="109"/>
      <c r="BV370" s="109"/>
      <c r="BW370" s="109"/>
      <c r="BX370" s="109"/>
      <c r="BY370" s="109"/>
      <c r="BZ370" s="109"/>
      <c r="CA370" s="109"/>
      <c r="CB370" s="109"/>
      <c r="CC370" s="109"/>
      <c r="CD370" s="109"/>
      <c r="CE370" s="109"/>
      <c r="CF370" s="109"/>
      <c r="CG370" s="109"/>
      <c r="CH370" s="109"/>
      <c r="CI370" s="109"/>
      <c r="CJ370" s="109"/>
      <c r="CK370" s="109"/>
      <c r="CL370" s="109"/>
      <c r="CM370" s="109"/>
      <c r="CN370" s="109"/>
      <c r="CO370" s="109"/>
      <c r="CP370" s="109"/>
    </row>
    <row r="371" spans="1:94" x14ac:dyDescent="0.25">
      <c r="A371" s="109"/>
      <c r="B371" s="10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  <c r="BR371" s="109"/>
      <c r="BS371" s="109"/>
      <c r="BT371" s="109"/>
      <c r="BU371" s="109"/>
      <c r="BV371" s="109"/>
      <c r="BW371" s="109"/>
      <c r="BX371" s="109"/>
      <c r="BY371" s="109"/>
      <c r="BZ371" s="109"/>
      <c r="CA371" s="109"/>
      <c r="CB371" s="109"/>
      <c r="CC371" s="109"/>
      <c r="CD371" s="109"/>
      <c r="CE371" s="109"/>
      <c r="CF371" s="109"/>
      <c r="CG371" s="109"/>
      <c r="CH371" s="109"/>
      <c r="CI371" s="109"/>
      <c r="CJ371" s="109"/>
      <c r="CK371" s="109"/>
      <c r="CL371" s="109"/>
      <c r="CM371" s="109"/>
      <c r="CN371" s="109"/>
      <c r="CO371" s="109"/>
      <c r="CP371" s="109"/>
    </row>
    <row r="372" spans="1:94" x14ac:dyDescent="0.25">
      <c r="A372" s="109"/>
      <c r="B372" s="10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  <c r="BR372" s="109"/>
      <c r="BS372" s="109"/>
      <c r="BT372" s="109"/>
      <c r="BU372" s="109"/>
      <c r="BV372" s="109"/>
      <c r="BW372" s="109"/>
      <c r="BX372" s="109"/>
      <c r="BY372" s="109"/>
      <c r="BZ372" s="109"/>
      <c r="CA372" s="109"/>
      <c r="CB372" s="109"/>
      <c r="CC372" s="109"/>
      <c r="CD372" s="109"/>
      <c r="CE372" s="109"/>
      <c r="CF372" s="109"/>
      <c r="CG372" s="109"/>
      <c r="CH372" s="109"/>
      <c r="CI372" s="109"/>
      <c r="CJ372" s="109"/>
      <c r="CK372" s="109"/>
      <c r="CL372" s="109"/>
      <c r="CM372" s="109"/>
      <c r="CN372" s="109"/>
      <c r="CO372" s="109"/>
      <c r="CP372" s="109"/>
    </row>
    <row r="373" spans="1:94" x14ac:dyDescent="0.25">
      <c r="A373" s="109"/>
      <c r="B373" s="10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  <c r="BR373" s="109"/>
      <c r="BS373" s="109"/>
      <c r="BT373" s="109"/>
      <c r="BU373" s="109"/>
      <c r="BV373" s="109"/>
      <c r="BW373" s="109"/>
      <c r="BX373" s="109"/>
      <c r="BY373" s="109"/>
      <c r="BZ373" s="109"/>
      <c r="CA373" s="109"/>
      <c r="CB373" s="109"/>
      <c r="CC373" s="109"/>
      <c r="CD373" s="109"/>
      <c r="CE373" s="109"/>
      <c r="CF373" s="109"/>
      <c r="CG373" s="109"/>
      <c r="CH373" s="109"/>
      <c r="CI373" s="109"/>
      <c r="CJ373" s="109"/>
      <c r="CK373" s="109"/>
      <c r="CL373" s="109"/>
      <c r="CM373" s="109"/>
      <c r="CN373" s="109"/>
      <c r="CO373" s="109"/>
      <c r="CP373" s="109"/>
    </row>
    <row r="374" spans="1:94" x14ac:dyDescent="0.25">
      <c r="A374" s="109"/>
      <c r="B374" s="10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  <c r="BR374" s="109"/>
      <c r="BS374" s="109"/>
      <c r="BT374" s="109"/>
      <c r="BU374" s="109"/>
      <c r="BV374" s="109"/>
      <c r="BW374" s="109"/>
      <c r="BX374" s="109"/>
      <c r="BY374" s="109"/>
      <c r="BZ374" s="109"/>
      <c r="CA374" s="109"/>
      <c r="CB374" s="109"/>
      <c r="CC374" s="109"/>
      <c r="CD374" s="109"/>
      <c r="CE374" s="109"/>
      <c r="CF374" s="109"/>
      <c r="CG374" s="109"/>
      <c r="CH374" s="109"/>
      <c r="CI374" s="109"/>
      <c r="CJ374" s="109"/>
      <c r="CK374" s="109"/>
      <c r="CL374" s="109"/>
      <c r="CM374" s="109"/>
      <c r="CN374" s="109"/>
      <c r="CO374" s="109"/>
      <c r="CP374" s="109"/>
    </row>
    <row r="375" spans="1:94" x14ac:dyDescent="0.25">
      <c r="A375" s="109"/>
      <c r="B375" s="10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  <c r="BR375" s="109"/>
      <c r="BS375" s="109"/>
      <c r="BT375" s="109"/>
      <c r="BU375" s="109"/>
      <c r="BV375" s="109"/>
      <c r="BW375" s="109"/>
      <c r="BX375" s="109"/>
      <c r="BY375" s="109"/>
      <c r="BZ375" s="109"/>
      <c r="CA375" s="109"/>
      <c r="CB375" s="109"/>
      <c r="CC375" s="109"/>
      <c r="CD375" s="109"/>
      <c r="CE375" s="109"/>
      <c r="CF375" s="109"/>
      <c r="CG375" s="109"/>
      <c r="CH375" s="109"/>
      <c r="CI375" s="109"/>
      <c r="CJ375" s="109"/>
      <c r="CK375" s="109"/>
      <c r="CL375" s="109"/>
      <c r="CM375" s="109"/>
      <c r="CN375" s="109"/>
      <c r="CO375" s="109"/>
      <c r="CP375" s="109"/>
    </row>
    <row r="376" spans="1:94" x14ac:dyDescent="0.25">
      <c r="A376" s="109"/>
      <c r="B376" s="10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  <c r="BR376" s="109"/>
      <c r="BS376" s="109"/>
      <c r="BT376" s="109"/>
      <c r="BU376" s="109"/>
      <c r="BV376" s="109"/>
      <c r="BW376" s="109"/>
      <c r="BX376" s="109"/>
      <c r="BY376" s="109"/>
      <c r="BZ376" s="109"/>
      <c r="CA376" s="109"/>
      <c r="CB376" s="109"/>
      <c r="CC376" s="109"/>
      <c r="CD376" s="109"/>
      <c r="CE376" s="109"/>
      <c r="CF376" s="109"/>
      <c r="CG376" s="109"/>
      <c r="CH376" s="109"/>
      <c r="CI376" s="109"/>
      <c r="CJ376" s="109"/>
      <c r="CK376" s="109"/>
      <c r="CL376" s="109"/>
      <c r="CM376" s="109"/>
      <c r="CN376" s="109"/>
      <c r="CO376" s="109"/>
      <c r="CP376" s="109"/>
    </row>
    <row r="377" spans="1:94" x14ac:dyDescent="0.25">
      <c r="A377" s="109"/>
      <c r="B377" s="10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  <c r="BR377" s="109"/>
      <c r="BS377" s="109"/>
      <c r="BT377" s="109"/>
      <c r="BU377" s="109"/>
      <c r="BV377" s="109"/>
      <c r="BW377" s="109"/>
      <c r="BX377" s="109"/>
      <c r="BY377" s="109"/>
      <c r="BZ377" s="109"/>
      <c r="CA377" s="109"/>
      <c r="CB377" s="109"/>
      <c r="CC377" s="109"/>
      <c r="CD377" s="109"/>
      <c r="CE377" s="109"/>
      <c r="CF377" s="109"/>
      <c r="CG377" s="109"/>
      <c r="CH377" s="109"/>
      <c r="CI377" s="109"/>
      <c r="CJ377" s="109"/>
      <c r="CK377" s="109"/>
      <c r="CL377" s="109"/>
      <c r="CM377" s="109"/>
      <c r="CN377" s="109"/>
      <c r="CO377" s="109"/>
      <c r="CP377" s="109"/>
    </row>
    <row r="378" spans="1:94" x14ac:dyDescent="0.25">
      <c r="A378" s="109"/>
      <c r="B378" s="10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  <c r="BR378" s="109"/>
      <c r="BS378" s="109"/>
      <c r="BT378" s="109"/>
      <c r="BU378" s="109"/>
      <c r="BV378" s="109"/>
      <c r="BW378" s="109"/>
      <c r="BX378" s="109"/>
      <c r="BY378" s="109"/>
      <c r="BZ378" s="109"/>
      <c r="CA378" s="109"/>
      <c r="CB378" s="109"/>
      <c r="CC378" s="109"/>
      <c r="CD378" s="109"/>
      <c r="CE378" s="109"/>
      <c r="CF378" s="109"/>
      <c r="CG378" s="109"/>
      <c r="CH378" s="109"/>
      <c r="CI378" s="109"/>
      <c r="CJ378" s="109"/>
      <c r="CK378" s="109"/>
      <c r="CL378" s="109"/>
      <c r="CM378" s="109"/>
      <c r="CN378" s="109"/>
      <c r="CO378" s="109"/>
      <c r="CP378" s="109"/>
    </row>
    <row r="379" spans="1:94" x14ac:dyDescent="0.25">
      <c r="A379" s="109"/>
      <c r="B379" s="10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  <c r="BR379" s="109"/>
      <c r="BS379" s="109"/>
      <c r="BT379" s="109"/>
      <c r="BU379" s="109"/>
      <c r="BV379" s="109"/>
      <c r="BW379" s="109"/>
      <c r="BX379" s="109"/>
      <c r="BY379" s="109"/>
      <c r="BZ379" s="109"/>
      <c r="CA379" s="109"/>
      <c r="CB379" s="109"/>
      <c r="CC379" s="109"/>
      <c r="CD379" s="109"/>
      <c r="CE379" s="109"/>
      <c r="CF379" s="109"/>
      <c r="CG379" s="109"/>
      <c r="CH379" s="109"/>
      <c r="CI379" s="109"/>
      <c r="CJ379" s="109"/>
      <c r="CK379" s="109"/>
      <c r="CL379" s="109"/>
      <c r="CM379" s="109"/>
      <c r="CN379" s="109"/>
      <c r="CO379" s="109"/>
      <c r="CP379" s="109"/>
    </row>
    <row r="380" spans="1:94" x14ac:dyDescent="0.25">
      <c r="A380" s="109"/>
      <c r="B380" s="10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  <c r="BR380" s="109"/>
      <c r="BS380" s="109"/>
      <c r="BT380" s="109"/>
      <c r="BU380" s="109"/>
      <c r="BV380" s="109"/>
      <c r="BW380" s="109"/>
      <c r="BX380" s="109"/>
      <c r="BY380" s="109"/>
      <c r="BZ380" s="109"/>
      <c r="CA380" s="109"/>
      <c r="CB380" s="109"/>
      <c r="CC380" s="109"/>
      <c r="CD380" s="109"/>
      <c r="CE380" s="109"/>
      <c r="CF380" s="109"/>
      <c r="CG380" s="109"/>
      <c r="CH380" s="109"/>
      <c r="CI380" s="109"/>
      <c r="CJ380" s="109"/>
      <c r="CK380" s="109"/>
      <c r="CL380" s="109"/>
      <c r="CM380" s="109"/>
      <c r="CN380" s="109"/>
      <c r="CO380" s="109"/>
      <c r="CP380" s="109"/>
    </row>
    <row r="381" spans="1:94" x14ac:dyDescent="0.25">
      <c r="A381" s="109"/>
      <c r="B381" s="10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  <c r="BR381" s="109"/>
      <c r="BS381" s="109"/>
      <c r="BT381" s="109"/>
      <c r="BU381" s="109"/>
      <c r="BV381" s="109"/>
      <c r="BW381" s="109"/>
      <c r="BX381" s="109"/>
      <c r="BY381" s="109"/>
      <c r="BZ381" s="109"/>
      <c r="CA381" s="109"/>
      <c r="CB381" s="109"/>
      <c r="CC381" s="109"/>
      <c r="CD381" s="109"/>
      <c r="CE381" s="109"/>
      <c r="CF381" s="109"/>
      <c r="CG381" s="109"/>
      <c r="CH381" s="109"/>
      <c r="CI381" s="109"/>
      <c r="CJ381" s="109"/>
      <c r="CK381" s="109"/>
      <c r="CL381" s="109"/>
      <c r="CM381" s="109"/>
      <c r="CN381" s="109"/>
      <c r="CO381" s="109"/>
      <c r="CP381" s="109"/>
    </row>
    <row r="382" spans="1:94" x14ac:dyDescent="0.25">
      <c r="A382" s="109"/>
      <c r="B382" s="10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  <c r="BR382" s="109"/>
      <c r="BS382" s="109"/>
      <c r="BT382" s="109"/>
      <c r="BU382" s="109"/>
      <c r="BV382" s="109"/>
      <c r="BW382" s="109"/>
      <c r="BX382" s="109"/>
      <c r="BY382" s="109"/>
      <c r="BZ382" s="109"/>
      <c r="CA382" s="109"/>
      <c r="CB382" s="109"/>
      <c r="CC382" s="109"/>
      <c r="CD382" s="109"/>
      <c r="CE382" s="109"/>
      <c r="CF382" s="109"/>
      <c r="CG382" s="109"/>
      <c r="CH382" s="109"/>
      <c r="CI382" s="109"/>
      <c r="CJ382" s="109"/>
      <c r="CK382" s="109"/>
      <c r="CL382" s="109"/>
      <c r="CM382" s="109"/>
      <c r="CN382" s="109"/>
      <c r="CO382" s="109"/>
      <c r="CP382" s="109"/>
    </row>
    <row r="383" spans="1:94" x14ac:dyDescent="0.25">
      <c r="A383" s="109"/>
      <c r="B383" s="10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  <c r="BR383" s="109"/>
      <c r="BS383" s="109"/>
      <c r="BT383" s="109"/>
      <c r="BU383" s="109"/>
      <c r="BV383" s="109"/>
      <c r="BW383" s="109"/>
      <c r="BX383" s="109"/>
      <c r="BY383" s="109"/>
      <c r="BZ383" s="109"/>
      <c r="CA383" s="109"/>
      <c r="CB383" s="109"/>
      <c r="CC383" s="109"/>
      <c r="CD383" s="109"/>
      <c r="CE383" s="109"/>
      <c r="CF383" s="109"/>
      <c r="CG383" s="109"/>
      <c r="CH383" s="109"/>
      <c r="CI383" s="109"/>
      <c r="CJ383" s="109"/>
      <c r="CK383" s="109"/>
      <c r="CL383" s="109"/>
      <c r="CM383" s="109"/>
      <c r="CN383" s="109"/>
      <c r="CO383" s="109"/>
      <c r="CP383" s="109"/>
    </row>
    <row r="384" spans="1:94" x14ac:dyDescent="0.25">
      <c r="A384" s="109"/>
      <c r="B384" s="10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  <c r="BR384" s="109"/>
      <c r="BS384" s="109"/>
      <c r="BT384" s="109"/>
      <c r="BU384" s="109"/>
      <c r="BV384" s="109"/>
      <c r="BW384" s="109"/>
      <c r="BX384" s="109"/>
      <c r="BY384" s="109"/>
      <c r="BZ384" s="109"/>
      <c r="CA384" s="109"/>
      <c r="CB384" s="109"/>
      <c r="CC384" s="109"/>
      <c r="CD384" s="109"/>
      <c r="CE384" s="109"/>
      <c r="CF384" s="109"/>
      <c r="CG384" s="109"/>
      <c r="CH384" s="109"/>
      <c r="CI384" s="109"/>
      <c r="CJ384" s="109"/>
      <c r="CK384" s="109"/>
      <c r="CL384" s="109"/>
      <c r="CM384" s="109"/>
      <c r="CN384" s="109"/>
      <c r="CO384" s="109"/>
      <c r="CP384" s="109"/>
    </row>
    <row r="385" spans="1:94" x14ac:dyDescent="0.25">
      <c r="A385" s="109"/>
      <c r="B385" s="10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  <c r="BR385" s="109"/>
      <c r="BS385" s="109"/>
      <c r="BT385" s="109"/>
      <c r="BU385" s="109"/>
      <c r="BV385" s="109"/>
      <c r="BW385" s="109"/>
      <c r="BX385" s="109"/>
      <c r="BY385" s="109"/>
      <c r="BZ385" s="109"/>
      <c r="CA385" s="109"/>
      <c r="CB385" s="109"/>
      <c r="CC385" s="109"/>
      <c r="CD385" s="109"/>
      <c r="CE385" s="109"/>
      <c r="CF385" s="109"/>
      <c r="CG385" s="109"/>
      <c r="CH385" s="109"/>
      <c r="CI385" s="109"/>
      <c r="CJ385" s="109"/>
      <c r="CK385" s="109"/>
      <c r="CL385" s="109"/>
      <c r="CM385" s="109"/>
      <c r="CN385" s="109"/>
      <c r="CO385" s="109"/>
      <c r="CP385" s="109"/>
    </row>
    <row r="386" spans="1:94" x14ac:dyDescent="0.25">
      <c r="A386" s="109"/>
      <c r="B386" s="10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  <c r="BR386" s="109"/>
      <c r="BS386" s="109"/>
      <c r="BT386" s="109"/>
      <c r="BU386" s="109"/>
      <c r="BV386" s="109"/>
      <c r="BW386" s="109"/>
      <c r="BX386" s="109"/>
      <c r="BY386" s="109"/>
      <c r="BZ386" s="109"/>
      <c r="CA386" s="109"/>
      <c r="CB386" s="109"/>
      <c r="CC386" s="109"/>
      <c r="CD386" s="109"/>
      <c r="CE386" s="109"/>
      <c r="CF386" s="109"/>
      <c r="CG386" s="109"/>
      <c r="CH386" s="109"/>
      <c r="CI386" s="109"/>
      <c r="CJ386" s="109"/>
      <c r="CK386" s="109"/>
      <c r="CL386" s="109"/>
      <c r="CM386" s="109"/>
      <c r="CN386" s="109"/>
      <c r="CO386" s="109"/>
      <c r="CP386" s="109"/>
    </row>
    <row r="387" spans="1:94" x14ac:dyDescent="0.25">
      <c r="A387" s="109"/>
      <c r="B387" s="10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  <c r="BR387" s="109"/>
      <c r="BS387" s="109"/>
      <c r="BT387" s="109"/>
      <c r="BU387" s="109"/>
      <c r="BV387" s="109"/>
      <c r="BW387" s="109"/>
      <c r="BX387" s="109"/>
      <c r="BY387" s="109"/>
      <c r="BZ387" s="109"/>
      <c r="CA387" s="109"/>
      <c r="CB387" s="109"/>
      <c r="CC387" s="109"/>
      <c r="CD387" s="109"/>
      <c r="CE387" s="109"/>
      <c r="CF387" s="109"/>
      <c r="CG387" s="109"/>
      <c r="CH387" s="109"/>
      <c r="CI387" s="109"/>
      <c r="CJ387" s="109"/>
      <c r="CK387" s="109"/>
      <c r="CL387" s="109"/>
      <c r="CM387" s="109"/>
      <c r="CN387" s="109"/>
      <c r="CO387" s="109"/>
      <c r="CP387" s="109"/>
    </row>
    <row r="388" spans="1:94" x14ac:dyDescent="0.25">
      <c r="A388" s="109"/>
      <c r="B388" s="10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  <c r="BR388" s="109"/>
      <c r="BS388" s="109"/>
      <c r="BT388" s="109"/>
      <c r="BU388" s="109"/>
      <c r="BV388" s="109"/>
      <c r="BW388" s="109"/>
      <c r="BX388" s="109"/>
      <c r="BY388" s="109"/>
      <c r="BZ388" s="109"/>
      <c r="CA388" s="109"/>
      <c r="CB388" s="109"/>
      <c r="CC388" s="109"/>
      <c r="CD388" s="109"/>
      <c r="CE388" s="109"/>
      <c r="CF388" s="109"/>
      <c r="CG388" s="109"/>
      <c r="CH388" s="109"/>
      <c r="CI388" s="109"/>
      <c r="CJ388" s="109"/>
      <c r="CK388" s="109"/>
      <c r="CL388" s="109"/>
      <c r="CM388" s="109"/>
      <c r="CN388" s="109"/>
      <c r="CO388" s="109"/>
      <c r="CP388" s="109"/>
    </row>
    <row r="389" spans="1:94" x14ac:dyDescent="0.25">
      <c r="A389" s="109"/>
      <c r="B389" s="10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  <c r="BR389" s="109"/>
      <c r="BS389" s="109"/>
      <c r="BT389" s="109"/>
      <c r="BU389" s="109"/>
      <c r="BV389" s="109"/>
      <c r="BW389" s="109"/>
      <c r="BX389" s="109"/>
      <c r="BY389" s="109"/>
      <c r="BZ389" s="109"/>
      <c r="CA389" s="109"/>
      <c r="CB389" s="109"/>
      <c r="CC389" s="109"/>
      <c r="CD389" s="109"/>
      <c r="CE389" s="109"/>
      <c r="CF389" s="109"/>
      <c r="CG389" s="109"/>
      <c r="CH389" s="109"/>
      <c r="CI389" s="109"/>
      <c r="CJ389" s="109"/>
      <c r="CK389" s="109"/>
      <c r="CL389" s="109"/>
      <c r="CM389" s="109"/>
      <c r="CN389" s="109"/>
      <c r="CO389" s="109"/>
      <c r="CP389" s="109"/>
    </row>
    <row r="390" spans="1:94" x14ac:dyDescent="0.25">
      <c r="A390" s="109"/>
      <c r="B390" s="10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  <c r="BR390" s="109"/>
      <c r="BS390" s="109"/>
      <c r="BT390" s="109"/>
      <c r="BU390" s="109"/>
      <c r="BV390" s="109"/>
      <c r="BW390" s="109"/>
      <c r="BX390" s="109"/>
      <c r="BY390" s="109"/>
      <c r="BZ390" s="109"/>
      <c r="CA390" s="109"/>
      <c r="CB390" s="109"/>
      <c r="CC390" s="109"/>
      <c r="CD390" s="109"/>
      <c r="CE390" s="109"/>
      <c r="CF390" s="109"/>
      <c r="CG390" s="109"/>
      <c r="CH390" s="109"/>
      <c r="CI390" s="109"/>
      <c r="CJ390" s="109"/>
      <c r="CK390" s="109"/>
      <c r="CL390" s="109"/>
      <c r="CM390" s="109"/>
      <c r="CN390" s="109"/>
      <c r="CO390" s="109"/>
      <c r="CP390" s="109"/>
    </row>
    <row r="391" spans="1:94" x14ac:dyDescent="0.25">
      <c r="A391" s="109"/>
      <c r="B391" s="10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  <c r="BR391" s="109"/>
      <c r="BS391" s="109"/>
      <c r="BT391" s="109"/>
      <c r="BU391" s="109"/>
      <c r="BV391" s="109"/>
      <c r="BW391" s="109"/>
      <c r="BX391" s="109"/>
      <c r="BY391" s="109"/>
      <c r="BZ391" s="109"/>
      <c r="CA391" s="109"/>
      <c r="CB391" s="109"/>
      <c r="CC391" s="109"/>
      <c r="CD391" s="109"/>
      <c r="CE391" s="109"/>
      <c r="CF391" s="109"/>
      <c r="CG391" s="109"/>
      <c r="CH391" s="109"/>
      <c r="CI391" s="109"/>
      <c r="CJ391" s="109"/>
      <c r="CK391" s="109"/>
      <c r="CL391" s="109"/>
      <c r="CM391" s="109"/>
      <c r="CN391" s="109"/>
      <c r="CO391" s="109"/>
      <c r="CP391" s="109"/>
    </row>
    <row r="392" spans="1:94" x14ac:dyDescent="0.25">
      <c r="A392" s="109"/>
      <c r="B392" s="10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  <c r="BR392" s="109"/>
      <c r="BS392" s="109"/>
      <c r="BT392" s="109"/>
      <c r="BU392" s="109"/>
      <c r="BV392" s="109"/>
      <c r="BW392" s="109"/>
      <c r="BX392" s="109"/>
      <c r="BY392" s="109"/>
      <c r="BZ392" s="109"/>
      <c r="CA392" s="109"/>
      <c r="CB392" s="109"/>
      <c r="CC392" s="109"/>
      <c r="CD392" s="109"/>
      <c r="CE392" s="109"/>
      <c r="CF392" s="109"/>
      <c r="CG392" s="109"/>
      <c r="CH392" s="109"/>
      <c r="CI392" s="109"/>
      <c r="CJ392" s="109"/>
      <c r="CK392" s="109"/>
      <c r="CL392" s="109"/>
      <c r="CM392" s="109"/>
      <c r="CN392" s="109"/>
      <c r="CO392" s="109"/>
      <c r="CP392" s="109"/>
    </row>
    <row r="393" spans="1:94" x14ac:dyDescent="0.25">
      <c r="A393" s="109"/>
      <c r="B393" s="10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  <c r="BR393" s="109"/>
      <c r="BS393" s="109"/>
      <c r="BT393" s="109"/>
      <c r="BU393" s="109"/>
      <c r="BV393" s="109"/>
      <c r="BW393" s="109"/>
      <c r="BX393" s="109"/>
      <c r="BY393" s="109"/>
      <c r="BZ393" s="109"/>
      <c r="CA393" s="109"/>
      <c r="CB393" s="109"/>
      <c r="CC393" s="109"/>
      <c r="CD393" s="109"/>
      <c r="CE393" s="109"/>
      <c r="CF393" s="109"/>
      <c r="CG393" s="109"/>
      <c r="CH393" s="109"/>
      <c r="CI393" s="109"/>
      <c r="CJ393" s="109"/>
      <c r="CK393" s="109"/>
      <c r="CL393" s="109"/>
      <c r="CM393" s="109"/>
      <c r="CN393" s="109"/>
      <c r="CO393" s="109"/>
      <c r="CP393" s="109"/>
    </row>
    <row r="394" spans="1:94" x14ac:dyDescent="0.25">
      <c r="A394" s="109"/>
      <c r="B394" s="10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  <c r="BY394" s="109"/>
      <c r="BZ394" s="109"/>
      <c r="CA394" s="109"/>
      <c r="CB394" s="109"/>
      <c r="CC394" s="109"/>
      <c r="CD394" s="109"/>
      <c r="CE394" s="109"/>
      <c r="CF394" s="109"/>
      <c r="CG394" s="109"/>
      <c r="CH394" s="109"/>
      <c r="CI394" s="109"/>
      <c r="CJ394" s="109"/>
      <c r="CK394" s="109"/>
      <c r="CL394" s="109"/>
      <c r="CM394" s="109"/>
      <c r="CN394" s="109"/>
      <c r="CO394" s="109"/>
      <c r="CP394" s="109"/>
    </row>
    <row r="395" spans="1:94" x14ac:dyDescent="0.25">
      <c r="A395" s="109"/>
      <c r="B395" s="10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  <c r="BR395" s="109"/>
      <c r="BS395" s="109"/>
      <c r="BT395" s="109"/>
      <c r="BU395" s="109"/>
      <c r="BV395" s="109"/>
      <c r="BW395" s="109"/>
      <c r="BX395" s="109"/>
      <c r="BY395" s="109"/>
      <c r="BZ395" s="109"/>
      <c r="CA395" s="109"/>
      <c r="CB395" s="109"/>
      <c r="CC395" s="109"/>
      <c r="CD395" s="109"/>
      <c r="CE395" s="109"/>
      <c r="CF395" s="109"/>
      <c r="CG395" s="109"/>
      <c r="CH395" s="109"/>
      <c r="CI395" s="109"/>
      <c r="CJ395" s="109"/>
      <c r="CK395" s="109"/>
      <c r="CL395" s="109"/>
      <c r="CM395" s="109"/>
      <c r="CN395" s="109"/>
      <c r="CO395" s="109"/>
      <c r="CP395" s="109"/>
    </row>
    <row r="396" spans="1:94" x14ac:dyDescent="0.25">
      <c r="A396" s="109"/>
      <c r="B396" s="10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  <c r="BR396" s="109"/>
      <c r="BS396" s="109"/>
      <c r="BT396" s="109"/>
      <c r="BU396" s="109"/>
      <c r="BV396" s="109"/>
      <c r="BW396" s="109"/>
      <c r="BX396" s="109"/>
      <c r="BY396" s="109"/>
      <c r="BZ396" s="109"/>
      <c r="CA396" s="109"/>
      <c r="CB396" s="109"/>
      <c r="CC396" s="109"/>
      <c r="CD396" s="109"/>
      <c r="CE396" s="109"/>
      <c r="CF396" s="109"/>
      <c r="CG396" s="109"/>
      <c r="CH396" s="109"/>
      <c r="CI396" s="109"/>
      <c r="CJ396" s="109"/>
      <c r="CK396" s="109"/>
      <c r="CL396" s="109"/>
      <c r="CM396" s="109"/>
      <c r="CN396" s="109"/>
      <c r="CO396" s="109"/>
      <c r="CP396" s="109"/>
    </row>
    <row r="397" spans="1:94" x14ac:dyDescent="0.25">
      <c r="A397" s="109"/>
      <c r="B397" s="10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  <c r="BR397" s="109"/>
      <c r="BS397" s="109"/>
      <c r="BT397" s="109"/>
      <c r="BU397" s="109"/>
      <c r="BV397" s="109"/>
      <c r="BW397" s="109"/>
      <c r="BX397" s="109"/>
      <c r="BY397" s="109"/>
      <c r="BZ397" s="109"/>
      <c r="CA397" s="109"/>
      <c r="CB397" s="109"/>
      <c r="CC397" s="109"/>
      <c r="CD397" s="109"/>
      <c r="CE397" s="109"/>
      <c r="CF397" s="109"/>
      <c r="CG397" s="109"/>
      <c r="CH397" s="109"/>
      <c r="CI397" s="109"/>
      <c r="CJ397" s="109"/>
      <c r="CK397" s="109"/>
      <c r="CL397" s="109"/>
      <c r="CM397" s="109"/>
      <c r="CN397" s="109"/>
      <c r="CO397" s="109"/>
      <c r="CP397" s="109"/>
    </row>
    <row r="398" spans="1:94" x14ac:dyDescent="0.25">
      <c r="A398" s="109"/>
      <c r="B398" s="10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  <c r="BR398" s="109"/>
      <c r="BS398" s="109"/>
      <c r="BT398" s="109"/>
      <c r="BU398" s="109"/>
      <c r="BV398" s="109"/>
      <c r="BW398" s="109"/>
      <c r="BX398" s="109"/>
      <c r="BY398" s="109"/>
      <c r="BZ398" s="109"/>
      <c r="CA398" s="109"/>
      <c r="CB398" s="109"/>
      <c r="CC398" s="109"/>
      <c r="CD398" s="109"/>
      <c r="CE398" s="109"/>
      <c r="CF398" s="109"/>
      <c r="CG398" s="109"/>
      <c r="CH398" s="109"/>
      <c r="CI398" s="109"/>
      <c r="CJ398" s="109"/>
      <c r="CK398" s="109"/>
      <c r="CL398" s="109"/>
      <c r="CM398" s="109"/>
      <c r="CN398" s="109"/>
      <c r="CO398" s="109"/>
      <c r="CP398" s="109"/>
    </row>
    <row r="399" spans="1:94" x14ac:dyDescent="0.25">
      <c r="A399" s="109"/>
      <c r="B399" s="10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  <c r="BR399" s="109"/>
      <c r="BS399" s="109"/>
      <c r="BT399" s="109"/>
      <c r="BU399" s="109"/>
      <c r="BV399" s="109"/>
      <c r="BW399" s="109"/>
      <c r="BX399" s="109"/>
      <c r="BY399" s="109"/>
      <c r="BZ399" s="109"/>
      <c r="CA399" s="109"/>
      <c r="CB399" s="109"/>
      <c r="CC399" s="109"/>
      <c r="CD399" s="109"/>
      <c r="CE399" s="109"/>
      <c r="CF399" s="109"/>
      <c r="CG399" s="109"/>
      <c r="CH399" s="109"/>
      <c r="CI399" s="109"/>
      <c r="CJ399" s="109"/>
      <c r="CK399" s="109"/>
      <c r="CL399" s="109"/>
      <c r="CM399" s="109"/>
      <c r="CN399" s="109"/>
      <c r="CO399" s="109"/>
      <c r="CP399" s="109"/>
    </row>
    <row r="400" spans="1:94" x14ac:dyDescent="0.25">
      <c r="A400" s="109"/>
      <c r="B400" s="10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  <c r="BR400" s="109"/>
      <c r="BS400" s="109"/>
      <c r="BT400" s="109"/>
      <c r="BU400" s="109"/>
      <c r="BV400" s="109"/>
      <c r="BW400" s="109"/>
      <c r="BX400" s="109"/>
      <c r="BY400" s="109"/>
      <c r="BZ400" s="109"/>
      <c r="CA400" s="109"/>
      <c r="CB400" s="109"/>
      <c r="CC400" s="109"/>
      <c r="CD400" s="109"/>
      <c r="CE400" s="109"/>
      <c r="CF400" s="109"/>
      <c r="CG400" s="109"/>
      <c r="CH400" s="109"/>
      <c r="CI400" s="109"/>
      <c r="CJ400" s="109"/>
      <c r="CK400" s="109"/>
      <c r="CL400" s="109"/>
      <c r="CM400" s="109"/>
      <c r="CN400" s="109"/>
      <c r="CO400" s="109"/>
      <c r="CP400" s="109"/>
    </row>
    <row r="401" spans="1:94" x14ac:dyDescent="0.25">
      <c r="A401" s="109"/>
      <c r="B401" s="10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  <c r="BR401" s="109"/>
      <c r="BS401" s="109"/>
      <c r="BT401" s="109"/>
      <c r="BU401" s="109"/>
      <c r="BV401" s="109"/>
      <c r="BW401" s="109"/>
      <c r="BX401" s="109"/>
      <c r="BY401" s="109"/>
      <c r="BZ401" s="109"/>
      <c r="CA401" s="109"/>
      <c r="CB401" s="109"/>
      <c r="CC401" s="109"/>
      <c r="CD401" s="109"/>
      <c r="CE401" s="109"/>
      <c r="CF401" s="109"/>
      <c r="CG401" s="109"/>
      <c r="CH401" s="109"/>
      <c r="CI401" s="109"/>
      <c r="CJ401" s="109"/>
      <c r="CK401" s="109"/>
      <c r="CL401" s="109"/>
      <c r="CM401" s="109"/>
      <c r="CN401" s="109"/>
      <c r="CO401" s="109"/>
      <c r="CP401" s="109"/>
    </row>
    <row r="402" spans="1:94" x14ac:dyDescent="0.25">
      <c r="A402" s="109"/>
      <c r="B402" s="10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  <c r="BR402" s="109"/>
      <c r="BS402" s="109"/>
      <c r="BT402" s="109"/>
      <c r="BU402" s="109"/>
      <c r="BV402" s="109"/>
      <c r="BW402" s="109"/>
      <c r="BX402" s="109"/>
      <c r="BY402" s="109"/>
      <c r="BZ402" s="109"/>
      <c r="CA402" s="109"/>
      <c r="CB402" s="109"/>
      <c r="CC402" s="109"/>
      <c r="CD402" s="109"/>
      <c r="CE402" s="109"/>
      <c r="CF402" s="109"/>
      <c r="CG402" s="109"/>
      <c r="CH402" s="109"/>
      <c r="CI402" s="109"/>
      <c r="CJ402" s="109"/>
      <c r="CK402" s="109"/>
      <c r="CL402" s="109"/>
      <c r="CM402" s="109"/>
      <c r="CN402" s="109"/>
      <c r="CO402" s="109"/>
      <c r="CP402" s="109"/>
    </row>
    <row r="403" spans="1:94" x14ac:dyDescent="0.25">
      <c r="A403" s="109"/>
      <c r="B403" s="10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  <c r="BR403" s="109"/>
      <c r="BS403" s="109"/>
      <c r="BT403" s="109"/>
      <c r="BU403" s="109"/>
      <c r="BV403" s="109"/>
      <c r="BW403" s="109"/>
      <c r="BX403" s="109"/>
      <c r="BY403" s="109"/>
      <c r="BZ403" s="109"/>
      <c r="CA403" s="109"/>
      <c r="CB403" s="109"/>
      <c r="CC403" s="109"/>
      <c r="CD403" s="109"/>
      <c r="CE403" s="109"/>
      <c r="CF403" s="109"/>
      <c r="CG403" s="109"/>
      <c r="CH403" s="109"/>
      <c r="CI403" s="109"/>
      <c r="CJ403" s="109"/>
      <c r="CK403" s="109"/>
      <c r="CL403" s="109"/>
      <c r="CM403" s="109"/>
      <c r="CN403" s="109"/>
      <c r="CO403" s="109"/>
      <c r="CP403" s="109"/>
    </row>
    <row r="404" spans="1:94" x14ac:dyDescent="0.25">
      <c r="A404" s="109"/>
      <c r="B404" s="10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  <c r="BR404" s="109"/>
      <c r="BS404" s="109"/>
      <c r="BT404" s="109"/>
      <c r="BU404" s="109"/>
      <c r="BV404" s="109"/>
      <c r="BW404" s="109"/>
      <c r="BX404" s="109"/>
      <c r="BY404" s="109"/>
      <c r="BZ404" s="109"/>
      <c r="CA404" s="109"/>
      <c r="CB404" s="109"/>
      <c r="CC404" s="109"/>
      <c r="CD404" s="109"/>
      <c r="CE404" s="109"/>
      <c r="CF404" s="109"/>
      <c r="CG404" s="109"/>
      <c r="CH404" s="109"/>
      <c r="CI404" s="109"/>
      <c r="CJ404" s="109"/>
      <c r="CK404" s="109"/>
      <c r="CL404" s="109"/>
      <c r="CM404" s="109"/>
      <c r="CN404" s="109"/>
      <c r="CO404" s="109"/>
      <c r="CP404" s="109"/>
    </row>
    <row r="405" spans="1:94" x14ac:dyDescent="0.25">
      <c r="A405" s="109"/>
      <c r="B405" s="10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  <c r="BR405" s="109"/>
      <c r="BS405" s="109"/>
      <c r="BT405" s="109"/>
      <c r="BU405" s="109"/>
      <c r="BV405" s="109"/>
      <c r="BW405" s="109"/>
      <c r="BX405" s="109"/>
      <c r="BY405" s="109"/>
      <c r="BZ405" s="109"/>
      <c r="CA405" s="109"/>
      <c r="CB405" s="109"/>
      <c r="CC405" s="109"/>
      <c r="CD405" s="109"/>
      <c r="CE405" s="109"/>
      <c r="CF405" s="109"/>
      <c r="CG405" s="109"/>
      <c r="CH405" s="109"/>
      <c r="CI405" s="109"/>
      <c r="CJ405" s="109"/>
      <c r="CK405" s="109"/>
      <c r="CL405" s="109"/>
      <c r="CM405" s="109"/>
      <c r="CN405" s="109"/>
      <c r="CO405" s="109"/>
      <c r="CP405" s="109"/>
    </row>
    <row r="406" spans="1:94" x14ac:dyDescent="0.25">
      <c r="A406" s="109"/>
      <c r="B406" s="10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  <c r="BR406" s="109"/>
      <c r="BS406" s="109"/>
      <c r="BT406" s="109"/>
      <c r="BU406" s="109"/>
      <c r="BV406" s="109"/>
      <c r="BW406" s="109"/>
      <c r="BX406" s="109"/>
      <c r="BY406" s="109"/>
      <c r="BZ406" s="109"/>
      <c r="CA406" s="109"/>
      <c r="CB406" s="109"/>
      <c r="CC406" s="109"/>
      <c r="CD406" s="109"/>
      <c r="CE406" s="109"/>
      <c r="CF406" s="109"/>
      <c r="CG406" s="109"/>
      <c r="CH406" s="109"/>
      <c r="CI406" s="109"/>
      <c r="CJ406" s="109"/>
      <c r="CK406" s="109"/>
      <c r="CL406" s="109"/>
      <c r="CM406" s="109"/>
      <c r="CN406" s="109"/>
      <c r="CO406" s="109"/>
      <c r="CP406" s="109"/>
    </row>
    <row r="407" spans="1:94" x14ac:dyDescent="0.25">
      <c r="A407" s="109"/>
      <c r="B407" s="10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  <c r="BR407" s="109"/>
      <c r="BS407" s="109"/>
      <c r="BT407" s="109"/>
      <c r="BU407" s="109"/>
      <c r="BV407" s="109"/>
      <c r="BW407" s="109"/>
      <c r="BX407" s="109"/>
      <c r="BY407" s="109"/>
      <c r="BZ407" s="109"/>
      <c r="CA407" s="109"/>
      <c r="CB407" s="109"/>
      <c r="CC407" s="109"/>
      <c r="CD407" s="109"/>
      <c r="CE407" s="109"/>
      <c r="CF407" s="109"/>
      <c r="CG407" s="109"/>
      <c r="CH407" s="109"/>
      <c r="CI407" s="109"/>
      <c r="CJ407" s="109"/>
      <c r="CK407" s="109"/>
      <c r="CL407" s="109"/>
      <c r="CM407" s="109"/>
      <c r="CN407" s="109"/>
      <c r="CO407" s="109"/>
      <c r="CP407" s="109"/>
    </row>
    <row r="408" spans="1:94" x14ac:dyDescent="0.25">
      <c r="A408" s="109"/>
      <c r="B408" s="10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  <c r="BR408" s="109"/>
      <c r="BS408" s="109"/>
      <c r="BT408" s="109"/>
      <c r="BU408" s="109"/>
      <c r="BV408" s="109"/>
      <c r="BW408" s="109"/>
      <c r="BX408" s="109"/>
      <c r="BY408" s="109"/>
      <c r="BZ408" s="109"/>
      <c r="CA408" s="109"/>
      <c r="CB408" s="109"/>
      <c r="CC408" s="109"/>
      <c r="CD408" s="109"/>
      <c r="CE408" s="109"/>
      <c r="CF408" s="109"/>
      <c r="CG408" s="109"/>
      <c r="CH408" s="109"/>
      <c r="CI408" s="109"/>
      <c r="CJ408" s="109"/>
      <c r="CK408" s="109"/>
      <c r="CL408" s="109"/>
      <c r="CM408" s="109"/>
      <c r="CN408" s="109"/>
      <c r="CO408" s="109"/>
      <c r="CP408" s="109"/>
    </row>
    <row r="409" spans="1:94" x14ac:dyDescent="0.25">
      <c r="A409" s="109"/>
      <c r="B409" s="10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  <c r="BR409" s="109"/>
      <c r="BS409" s="109"/>
      <c r="BT409" s="109"/>
      <c r="BU409" s="109"/>
      <c r="BV409" s="109"/>
      <c r="BW409" s="109"/>
      <c r="BX409" s="109"/>
      <c r="BY409" s="109"/>
      <c r="BZ409" s="109"/>
      <c r="CA409" s="109"/>
      <c r="CB409" s="109"/>
      <c r="CC409" s="109"/>
      <c r="CD409" s="109"/>
      <c r="CE409" s="109"/>
      <c r="CF409" s="109"/>
      <c r="CG409" s="109"/>
      <c r="CH409" s="109"/>
      <c r="CI409" s="109"/>
      <c r="CJ409" s="109"/>
      <c r="CK409" s="109"/>
      <c r="CL409" s="109"/>
      <c r="CM409" s="109"/>
      <c r="CN409" s="109"/>
      <c r="CO409" s="109"/>
      <c r="CP409" s="109"/>
    </row>
    <row r="410" spans="1:94" x14ac:dyDescent="0.25">
      <c r="A410" s="109"/>
      <c r="B410" s="10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  <c r="BR410" s="109"/>
      <c r="BS410" s="109"/>
      <c r="BT410" s="109"/>
      <c r="BU410" s="109"/>
      <c r="BV410" s="109"/>
      <c r="BW410" s="109"/>
      <c r="BX410" s="109"/>
      <c r="BY410" s="109"/>
      <c r="BZ410" s="109"/>
      <c r="CA410" s="109"/>
      <c r="CB410" s="109"/>
      <c r="CC410" s="109"/>
      <c r="CD410" s="109"/>
      <c r="CE410" s="109"/>
      <c r="CF410" s="109"/>
      <c r="CG410" s="109"/>
      <c r="CH410" s="109"/>
      <c r="CI410" s="109"/>
      <c r="CJ410" s="109"/>
      <c r="CK410" s="109"/>
      <c r="CL410" s="109"/>
      <c r="CM410" s="109"/>
      <c r="CN410" s="109"/>
      <c r="CO410" s="109"/>
      <c r="CP410" s="109"/>
    </row>
    <row r="411" spans="1:94" x14ac:dyDescent="0.25">
      <c r="A411" s="109"/>
      <c r="B411" s="10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  <c r="BR411" s="109"/>
      <c r="BS411" s="109"/>
      <c r="BT411" s="109"/>
      <c r="BU411" s="109"/>
      <c r="BV411" s="109"/>
      <c r="BW411" s="109"/>
      <c r="BX411" s="109"/>
      <c r="BY411" s="109"/>
      <c r="BZ411" s="109"/>
      <c r="CA411" s="109"/>
      <c r="CB411" s="109"/>
      <c r="CC411" s="109"/>
      <c r="CD411" s="109"/>
      <c r="CE411" s="109"/>
      <c r="CF411" s="109"/>
      <c r="CG411" s="109"/>
      <c r="CH411" s="109"/>
      <c r="CI411" s="109"/>
      <c r="CJ411" s="109"/>
      <c r="CK411" s="109"/>
      <c r="CL411" s="109"/>
      <c r="CM411" s="109"/>
      <c r="CN411" s="109"/>
      <c r="CO411" s="109"/>
      <c r="CP411" s="109"/>
    </row>
    <row r="412" spans="1:94" x14ac:dyDescent="0.25">
      <c r="A412" s="109"/>
      <c r="B412" s="10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  <c r="BR412" s="109"/>
      <c r="BS412" s="109"/>
      <c r="BT412" s="109"/>
      <c r="BU412" s="109"/>
      <c r="BV412" s="109"/>
      <c r="BW412" s="109"/>
      <c r="BX412" s="109"/>
      <c r="BY412" s="109"/>
      <c r="BZ412" s="109"/>
      <c r="CA412" s="109"/>
      <c r="CB412" s="109"/>
      <c r="CC412" s="109"/>
      <c r="CD412" s="109"/>
      <c r="CE412" s="109"/>
      <c r="CF412" s="109"/>
      <c r="CG412" s="109"/>
      <c r="CH412" s="109"/>
      <c r="CI412" s="109"/>
      <c r="CJ412" s="109"/>
      <c r="CK412" s="109"/>
      <c r="CL412" s="109"/>
      <c r="CM412" s="109"/>
      <c r="CN412" s="109"/>
      <c r="CO412" s="109"/>
      <c r="CP412" s="109"/>
    </row>
    <row r="413" spans="1:94" x14ac:dyDescent="0.25">
      <c r="A413" s="109"/>
      <c r="B413" s="10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  <c r="BR413" s="109"/>
      <c r="BS413" s="109"/>
      <c r="BT413" s="109"/>
      <c r="BU413" s="109"/>
      <c r="BV413" s="109"/>
      <c r="BW413" s="109"/>
      <c r="BX413" s="109"/>
      <c r="BY413" s="109"/>
      <c r="BZ413" s="109"/>
      <c r="CA413" s="109"/>
      <c r="CB413" s="109"/>
      <c r="CC413" s="109"/>
      <c r="CD413" s="109"/>
      <c r="CE413" s="109"/>
      <c r="CF413" s="109"/>
      <c r="CG413" s="109"/>
      <c r="CH413" s="109"/>
      <c r="CI413" s="109"/>
      <c r="CJ413" s="109"/>
      <c r="CK413" s="109"/>
      <c r="CL413" s="109"/>
      <c r="CM413" s="109"/>
      <c r="CN413" s="109"/>
      <c r="CO413" s="109"/>
      <c r="CP413" s="109"/>
    </row>
    <row r="414" spans="1:94" x14ac:dyDescent="0.25">
      <c r="A414" s="109"/>
      <c r="B414" s="10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  <c r="BR414" s="109"/>
      <c r="BS414" s="109"/>
      <c r="BT414" s="109"/>
      <c r="BU414" s="109"/>
      <c r="BV414" s="109"/>
      <c r="BW414" s="109"/>
      <c r="BX414" s="109"/>
      <c r="BY414" s="109"/>
      <c r="BZ414" s="109"/>
      <c r="CA414" s="109"/>
      <c r="CB414" s="109"/>
      <c r="CC414" s="109"/>
      <c r="CD414" s="109"/>
      <c r="CE414" s="109"/>
      <c r="CF414" s="109"/>
      <c r="CG414" s="109"/>
      <c r="CH414" s="109"/>
      <c r="CI414" s="109"/>
      <c r="CJ414" s="109"/>
      <c r="CK414" s="109"/>
      <c r="CL414" s="109"/>
      <c r="CM414" s="109"/>
      <c r="CN414" s="109"/>
      <c r="CO414" s="109"/>
      <c r="CP414" s="109"/>
    </row>
    <row r="415" spans="1:94" x14ac:dyDescent="0.25">
      <c r="A415" s="109"/>
      <c r="B415" s="10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  <c r="BR415" s="109"/>
      <c r="BS415" s="109"/>
      <c r="BT415" s="109"/>
      <c r="BU415" s="109"/>
      <c r="BV415" s="109"/>
      <c r="BW415" s="109"/>
      <c r="BX415" s="109"/>
      <c r="BY415" s="109"/>
      <c r="BZ415" s="109"/>
      <c r="CA415" s="109"/>
      <c r="CB415" s="109"/>
      <c r="CC415" s="109"/>
      <c r="CD415" s="109"/>
      <c r="CE415" s="109"/>
      <c r="CF415" s="109"/>
      <c r="CG415" s="109"/>
      <c r="CH415" s="109"/>
      <c r="CI415" s="109"/>
      <c r="CJ415" s="109"/>
      <c r="CK415" s="109"/>
      <c r="CL415" s="109"/>
      <c r="CM415" s="109"/>
      <c r="CN415" s="109"/>
      <c r="CO415" s="109"/>
      <c r="CP415" s="109"/>
    </row>
    <row r="416" spans="1:94" x14ac:dyDescent="0.25">
      <c r="A416" s="109"/>
      <c r="B416" s="10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  <c r="BR416" s="109"/>
      <c r="BS416" s="109"/>
      <c r="BT416" s="109"/>
      <c r="BU416" s="109"/>
      <c r="BV416" s="109"/>
      <c r="BW416" s="109"/>
      <c r="BX416" s="109"/>
      <c r="BY416" s="109"/>
      <c r="BZ416" s="109"/>
      <c r="CA416" s="109"/>
      <c r="CB416" s="109"/>
      <c r="CC416" s="109"/>
      <c r="CD416" s="109"/>
      <c r="CE416" s="109"/>
      <c r="CF416" s="109"/>
      <c r="CG416" s="109"/>
      <c r="CH416" s="109"/>
      <c r="CI416" s="109"/>
      <c r="CJ416" s="109"/>
      <c r="CK416" s="109"/>
      <c r="CL416" s="109"/>
      <c r="CM416" s="109"/>
      <c r="CN416" s="109"/>
      <c r="CO416" s="109"/>
      <c r="CP416" s="109"/>
    </row>
    <row r="417" spans="1:94" x14ac:dyDescent="0.25">
      <c r="A417" s="109"/>
      <c r="B417" s="10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  <c r="BR417" s="109"/>
      <c r="BS417" s="109"/>
      <c r="BT417" s="109"/>
      <c r="BU417" s="109"/>
      <c r="BV417" s="109"/>
      <c r="BW417" s="109"/>
      <c r="BX417" s="109"/>
      <c r="BY417" s="109"/>
      <c r="BZ417" s="109"/>
      <c r="CA417" s="109"/>
      <c r="CB417" s="109"/>
      <c r="CC417" s="109"/>
      <c r="CD417" s="109"/>
      <c r="CE417" s="109"/>
      <c r="CF417" s="109"/>
      <c r="CG417" s="109"/>
      <c r="CH417" s="109"/>
      <c r="CI417" s="109"/>
      <c r="CJ417" s="109"/>
      <c r="CK417" s="109"/>
      <c r="CL417" s="109"/>
      <c r="CM417" s="109"/>
      <c r="CN417" s="109"/>
      <c r="CO417" s="109"/>
      <c r="CP417" s="109"/>
    </row>
    <row r="418" spans="1:94" x14ac:dyDescent="0.25">
      <c r="A418" s="109"/>
      <c r="B418" s="10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  <c r="BR418" s="109"/>
      <c r="BS418" s="109"/>
      <c r="BT418" s="109"/>
      <c r="BU418" s="109"/>
      <c r="BV418" s="109"/>
      <c r="BW418" s="109"/>
      <c r="BX418" s="109"/>
      <c r="BY418" s="109"/>
      <c r="BZ418" s="109"/>
      <c r="CA418" s="109"/>
      <c r="CB418" s="109"/>
      <c r="CC418" s="109"/>
      <c r="CD418" s="109"/>
      <c r="CE418" s="109"/>
      <c r="CF418" s="109"/>
      <c r="CG418" s="109"/>
      <c r="CH418" s="109"/>
      <c r="CI418" s="109"/>
      <c r="CJ418" s="109"/>
      <c r="CK418" s="109"/>
      <c r="CL418" s="109"/>
      <c r="CM418" s="109"/>
      <c r="CN418" s="109"/>
      <c r="CO418" s="109"/>
      <c r="CP418" s="109"/>
    </row>
    <row r="419" spans="1:94" x14ac:dyDescent="0.25">
      <c r="A419" s="109"/>
      <c r="B419" s="10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  <c r="BR419" s="109"/>
      <c r="BS419" s="109"/>
      <c r="BT419" s="109"/>
      <c r="BU419" s="109"/>
      <c r="BV419" s="109"/>
      <c r="BW419" s="109"/>
      <c r="BX419" s="109"/>
      <c r="BY419" s="109"/>
      <c r="BZ419" s="109"/>
      <c r="CA419" s="109"/>
      <c r="CB419" s="109"/>
      <c r="CC419" s="109"/>
      <c r="CD419" s="109"/>
      <c r="CE419" s="109"/>
      <c r="CF419" s="109"/>
      <c r="CG419" s="109"/>
      <c r="CH419" s="109"/>
      <c r="CI419" s="109"/>
      <c r="CJ419" s="109"/>
      <c r="CK419" s="109"/>
      <c r="CL419" s="109"/>
      <c r="CM419" s="109"/>
      <c r="CN419" s="109"/>
      <c r="CO419" s="109"/>
      <c r="CP419" s="109"/>
    </row>
    <row r="420" spans="1:94" x14ac:dyDescent="0.25">
      <c r="A420" s="109"/>
      <c r="B420" s="10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  <c r="BR420" s="109"/>
      <c r="BS420" s="109"/>
      <c r="BT420" s="109"/>
      <c r="BU420" s="109"/>
      <c r="BV420" s="109"/>
      <c r="BW420" s="109"/>
      <c r="BX420" s="109"/>
      <c r="BY420" s="109"/>
      <c r="BZ420" s="109"/>
      <c r="CA420" s="109"/>
      <c r="CB420" s="109"/>
      <c r="CC420" s="109"/>
      <c r="CD420" s="109"/>
      <c r="CE420" s="109"/>
      <c r="CF420" s="109"/>
      <c r="CG420" s="109"/>
      <c r="CH420" s="109"/>
      <c r="CI420" s="109"/>
      <c r="CJ420" s="109"/>
      <c r="CK420" s="109"/>
      <c r="CL420" s="109"/>
      <c r="CM420" s="109"/>
      <c r="CN420" s="109"/>
      <c r="CO420" s="109"/>
      <c r="CP420" s="109"/>
    </row>
    <row r="421" spans="1:94" x14ac:dyDescent="0.25">
      <c r="A421" s="109"/>
      <c r="B421" s="10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  <c r="BR421" s="109"/>
      <c r="BS421" s="109"/>
      <c r="BT421" s="109"/>
      <c r="BU421" s="109"/>
      <c r="BV421" s="109"/>
      <c r="BW421" s="109"/>
      <c r="BX421" s="109"/>
      <c r="BY421" s="109"/>
      <c r="BZ421" s="109"/>
      <c r="CA421" s="109"/>
      <c r="CB421" s="109"/>
      <c r="CC421" s="109"/>
      <c r="CD421" s="109"/>
      <c r="CE421" s="109"/>
      <c r="CF421" s="109"/>
      <c r="CG421" s="109"/>
      <c r="CH421" s="109"/>
      <c r="CI421" s="109"/>
      <c r="CJ421" s="109"/>
      <c r="CK421" s="109"/>
      <c r="CL421" s="109"/>
      <c r="CM421" s="109"/>
      <c r="CN421" s="109"/>
      <c r="CO421" s="109"/>
      <c r="CP421" s="109"/>
    </row>
    <row r="422" spans="1:94" x14ac:dyDescent="0.25">
      <c r="A422" s="109"/>
      <c r="B422" s="10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  <c r="BR422" s="109"/>
      <c r="BS422" s="109"/>
      <c r="BT422" s="109"/>
      <c r="BU422" s="109"/>
      <c r="BV422" s="109"/>
      <c r="BW422" s="109"/>
      <c r="BX422" s="109"/>
      <c r="BY422" s="109"/>
      <c r="BZ422" s="109"/>
      <c r="CA422" s="109"/>
      <c r="CB422" s="109"/>
      <c r="CC422" s="109"/>
      <c r="CD422" s="109"/>
      <c r="CE422" s="109"/>
      <c r="CF422" s="109"/>
      <c r="CG422" s="109"/>
      <c r="CH422" s="109"/>
      <c r="CI422" s="109"/>
      <c r="CJ422" s="109"/>
      <c r="CK422" s="109"/>
      <c r="CL422" s="109"/>
      <c r="CM422" s="109"/>
      <c r="CN422" s="109"/>
      <c r="CO422" s="109"/>
      <c r="CP422" s="109"/>
    </row>
    <row r="423" spans="1:94" x14ac:dyDescent="0.25">
      <c r="A423" s="109"/>
      <c r="B423" s="10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  <c r="BR423" s="109"/>
      <c r="BS423" s="109"/>
      <c r="BT423" s="109"/>
      <c r="BU423" s="109"/>
      <c r="BV423" s="109"/>
      <c r="BW423" s="109"/>
      <c r="BX423" s="109"/>
      <c r="BY423" s="109"/>
      <c r="BZ423" s="109"/>
      <c r="CA423" s="109"/>
      <c r="CB423" s="109"/>
      <c r="CC423" s="109"/>
      <c r="CD423" s="109"/>
      <c r="CE423" s="109"/>
      <c r="CF423" s="109"/>
      <c r="CG423" s="109"/>
      <c r="CH423" s="109"/>
      <c r="CI423" s="109"/>
      <c r="CJ423" s="109"/>
      <c r="CK423" s="109"/>
      <c r="CL423" s="109"/>
      <c r="CM423" s="109"/>
      <c r="CN423" s="109"/>
      <c r="CO423" s="109"/>
      <c r="CP423" s="109"/>
    </row>
    <row r="424" spans="1:94" x14ac:dyDescent="0.25">
      <c r="A424" s="109"/>
      <c r="B424" s="10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  <c r="BY424" s="109"/>
      <c r="BZ424" s="109"/>
      <c r="CA424" s="109"/>
      <c r="CB424" s="109"/>
      <c r="CC424" s="109"/>
      <c r="CD424" s="109"/>
      <c r="CE424" s="109"/>
      <c r="CF424" s="109"/>
      <c r="CG424" s="109"/>
      <c r="CH424" s="109"/>
      <c r="CI424" s="109"/>
      <c r="CJ424" s="109"/>
      <c r="CK424" s="109"/>
      <c r="CL424" s="109"/>
      <c r="CM424" s="109"/>
      <c r="CN424" s="109"/>
      <c r="CO424" s="109"/>
      <c r="CP424" s="109"/>
    </row>
    <row r="425" spans="1:94" x14ac:dyDescent="0.25">
      <c r="A425" s="109"/>
      <c r="B425" s="10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  <c r="BR425" s="109"/>
      <c r="BS425" s="109"/>
      <c r="BT425" s="109"/>
      <c r="BU425" s="109"/>
      <c r="BV425" s="109"/>
      <c r="BW425" s="109"/>
      <c r="BX425" s="109"/>
      <c r="BY425" s="109"/>
      <c r="BZ425" s="109"/>
      <c r="CA425" s="109"/>
      <c r="CB425" s="109"/>
      <c r="CC425" s="109"/>
      <c r="CD425" s="109"/>
      <c r="CE425" s="109"/>
      <c r="CF425" s="109"/>
      <c r="CG425" s="109"/>
      <c r="CH425" s="109"/>
      <c r="CI425" s="109"/>
      <c r="CJ425" s="109"/>
      <c r="CK425" s="109"/>
      <c r="CL425" s="109"/>
      <c r="CM425" s="109"/>
      <c r="CN425" s="109"/>
      <c r="CO425" s="109"/>
      <c r="CP425" s="109"/>
    </row>
    <row r="426" spans="1:94" x14ac:dyDescent="0.25">
      <c r="A426" s="109"/>
      <c r="B426" s="10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  <c r="BR426" s="109"/>
      <c r="BS426" s="109"/>
      <c r="BT426" s="109"/>
      <c r="BU426" s="109"/>
      <c r="BV426" s="109"/>
      <c r="BW426" s="109"/>
      <c r="BX426" s="109"/>
      <c r="BY426" s="109"/>
      <c r="BZ426" s="109"/>
      <c r="CA426" s="109"/>
      <c r="CB426" s="109"/>
      <c r="CC426" s="109"/>
      <c r="CD426" s="109"/>
      <c r="CE426" s="109"/>
      <c r="CF426" s="109"/>
      <c r="CG426" s="109"/>
      <c r="CH426" s="109"/>
      <c r="CI426" s="109"/>
      <c r="CJ426" s="109"/>
      <c r="CK426" s="109"/>
      <c r="CL426" s="109"/>
      <c r="CM426" s="109"/>
      <c r="CN426" s="109"/>
      <c r="CO426" s="109"/>
      <c r="CP426" s="109"/>
    </row>
    <row r="427" spans="1:94" x14ac:dyDescent="0.25">
      <c r="A427" s="109"/>
      <c r="B427" s="10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  <c r="BR427" s="109"/>
      <c r="BS427" s="109"/>
      <c r="BT427" s="109"/>
      <c r="BU427" s="109"/>
      <c r="BV427" s="109"/>
      <c r="BW427" s="109"/>
      <c r="BX427" s="109"/>
      <c r="BY427" s="109"/>
      <c r="BZ427" s="109"/>
      <c r="CA427" s="109"/>
      <c r="CB427" s="109"/>
      <c r="CC427" s="109"/>
      <c r="CD427" s="109"/>
      <c r="CE427" s="109"/>
      <c r="CF427" s="109"/>
      <c r="CG427" s="109"/>
      <c r="CH427" s="109"/>
      <c r="CI427" s="109"/>
      <c r="CJ427" s="109"/>
      <c r="CK427" s="109"/>
      <c r="CL427" s="109"/>
      <c r="CM427" s="109"/>
      <c r="CN427" s="109"/>
      <c r="CO427" s="109"/>
      <c r="CP427" s="109"/>
    </row>
    <row r="428" spans="1:94" x14ac:dyDescent="0.25">
      <c r="A428" s="109"/>
      <c r="B428" s="10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  <c r="BR428" s="109"/>
      <c r="BS428" s="109"/>
      <c r="BT428" s="109"/>
      <c r="BU428" s="109"/>
      <c r="BV428" s="109"/>
      <c r="BW428" s="109"/>
      <c r="BX428" s="109"/>
      <c r="BY428" s="109"/>
      <c r="BZ428" s="109"/>
      <c r="CA428" s="109"/>
      <c r="CB428" s="109"/>
      <c r="CC428" s="109"/>
      <c r="CD428" s="109"/>
      <c r="CE428" s="109"/>
      <c r="CF428" s="109"/>
      <c r="CG428" s="109"/>
      <c r="CH428" s="109"/>
      <c r="CI428" s="109"/>
      <c r="CJ428" s="109"/>
      <c r="CK428" s="109"/>
      <c r="CL428" s="109"/>
      <c r="CM428" s="109"/>
      <c r="CN428" s="109"/>
      <c r="CO428" s="109"/>
      <c r="CP428" s="109"/>
    </row>
    <row r="429" spans="1:94" x14ac:dyDescent="0.25">
      <c r="A429" s="109"/>
      <c r="B429" s="10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  <c r="BR429" s="109"/>
      <c r="BS429" s="109"/>
      <c r="BT429" s="109"/>
      <c r="BU429" s="109"/>
      <c r="BV429" s="109"/>
      <c r="BW429" s="109"/>
      <c r="BX429" s="109"/>
      <c r="BY429" s="109"/>
      <c r="BZ429" s="109"/>
      <c r="CA429" s="109"/>
      <c r="CB429" s="109"/>
      <c r="CC429" s="109"/>
      <c r="CD429" s="109"/>
      <c r="CE429" s="109"/>
      <c r="CF429" s="109"/>
      <c r="CG429" s="109"/>
      <c r="CH429" s="109"/>
      <c r="CI429" s="109"/>
      <c r="CJ429" s="109"/>
      <c r="CK429" s="109"/>
      <c r="CL429" s="109"/>
      <c r="CM429" s="109"/>
      <c r="CN429" s="109"/>
      <c r="CO429" s="109"/>
      <c r="CP429" s="109"/>
    </row>
    <row r="430" spans="1:94" x14ac:dyDescent="0.25">
      <c r="A430" s="109"/>
      <c r="B430" s="10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  <c r="BR430" s="109"/>
      <c r="BS430" s="109"/>
      <c r="BT430" s="109"/>
      <c r="BU430" s="109"/>
      <c r="BV430" s="109"/>
      <c r="BW430" s="109"/>
      <c r="BX430" s="109"/>
      <c r="BY430" s="109"/>
      <c r="BZ430" s="109"/>
      <c r="CA430" s="109"/>
      <c r="CB430" s="109"/>
      <c r="CC430" s="109"/>
      <c r="CD430" s="109"/>
      <c r="CE430" s="109"/>
      <c r="CF430" s="109"/>
      <c r="CG430" s="109"/>
      <c r="CH430" s="109"/>
      <c r="CI430" s="109"/>
      <c r="CJ430" s="109"/>
      <c r="CK430" s="109"/>
      <c r="CL430" s="109"/>
      <c r="CM430" s="109"/>
      <c r="CN430" s="109"/>
      <c r="CO430" s="109"/>
      <c r="CP430" s="109"/>
    </row>
    <row r="431" spans="1:94" x14ac:dyDescent="0.25">
      <c r="A431" s="109"/>
      <c r="B431" s="10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  <c r="BR431" s="109"/>
      <c r="BS431" s="109"/>
      <c r="BT431" s="109"/>
      <c r="BU431" s="109"/>
      <c r="BV431" s="109"/>
      <c r="BW431" s="109"/>
      <c r="BX431" s="109"/>
      <c r="BY431" s="109"/>
      <c r="BZ431" s="109"/>
      <c r="CA431" s="109"/>
      <c r="CB431" s="109"/>
      <c r="CC431" s="109"/>
      <c r="CD431" s="109"/>
      <c r="CE431" s="109"/>
      <c r="CF431" s="109"/>
      <c r="CG431" s="109"/>
      <c r="CH431" s="109"/>
      <c r="CI431" s="109"/>
      <c r="CJ431" s="109"/>
      <c r="CK431" s="109"/>
      <c r="CL431" s="109"/>
      <c r="CM431" s="109"/>
      <c r="CN431" s="109"/>
      <c r="CO431" s="109"/>
      <c r="CP431" s="109"/>
    </row>
    <row r="432" spans="1:94" x14ac:dyDescent="0.25">
      <c r="A432" s="109"/>
      <c r="B432" s="10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  <c r="BR432" s="109"/>
      <c r="BS432" s="109"/>
      <c r="BT432" s="109"/>
      <c r="BU432" s="109"/>
      <c r="BV432" s="109"/>
      <c r="BW432" s="109"/>
      <c r="BX432" s="109"/>
      <c r="BY432" s="109"/>
      <c r="BZ432" s="109"/>
      <c r="CA432" s="109"/>
      <c r="CB432" s="109"/>
      <c r="CC432" s="109"/>
      <c r="CD432" s="109"/>
      <c r="CE432" s="109"/>
      <c r="CF432" s="109"/>
      <c r="CG432" s="109"/>
      <c r="CH432" s="109"/>
      <c r="CI432" s="109"/>
      <c r="CJ432" s="109"/>
      <c r="CK432" s="109"/>
      <c r="CL432" s="109"/>
      <c r="CM432" s="109"/>
      <c r="CN432" s="109"/>
      <c r="CO432" s="109"/>
      <c r="CP432" s="109"/>
    </row>
    <row r="433" spans="1:94" x14ac:dyDescent="0.25">
      <c r="A433" s="109"/>
      <c r="B433" s="10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  <c r="BR433" s="109"/>
      <c r="BS433" s="109"/>
      <c r="BT433" s="109"/>
      <c r="BU433" s="109"/>
      <c r="BV433" s="109"/>
      <c r="BW433" s="109"/>
      <c r="BX433" s="109"/>
      <c r="BY433" s="109"/>
      <c r="BZ433" s="109"/>
      <c r="CA433" s="109"/>
      <c r="CB433" s="109"/>
      <c r="CC433" s="109"/>
      <c r="CD433" s="109"/>
      <c r="CE433" s="109"/>
      <c r="CF433" s="109"/>
      <c r="CG433" s="109"/>
      <c r="CH433" s="109"/>
      <c r="CI433" s="109"/>
      <c r="CJ433" s="109"/>
      <c r="CK433" s="109"/>
      <c r="CL433" s="109"/>
      <c r="CM433" s="109"/>
      <c r="CN433" s="109"/>
      <c r="CO433" s="109"/>
      <c r="CP433" s="109"/>
    </row>
    <row r="434" spans="1:94" x14ac:dyDescent="0.25">
      <c r="A434" s="109"/>
      <c r="B434" s="10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  <c r="BR434" s="109"/>
      <c r="BS434" s="109"/>
      <c r="BT434" s="109"/>
      <c r="BU434" s="109"/>
      <c r="BV434" s="109"/>
      <c r="BW434" s="109"/>
      <c r="BX434" s="109"/>
      <c r="BY434" s="109"/>
      <c r="BZ434" s="109"/>
      <c r="CA434" s="109"/>
      <c r="CB434" s="109"/>
      <c r="CC434" s="109"/>
      <c r="CD434" s="109"/>
      <c r="CE434" s="109"/>
      <c r="CF434" s="109"/>
      <c r="CG434" s="109"/>
      <c r="CH434" s="109"/>
      <c r="CI434" s="109"/>
      <c r="CJ434" s="109"/>
      <c r="CK434" s="109"/>
      <c r="CL434" s="109"/>
      <c r="CM434" s="109"/>
      <c r="CN434" s="109"/>
      <c r="CO434" s="109"/>
      <c r="CP434" s="109"/>
    </row>
    <row r="435" spans="1:94" x14ac:dyDescent="0.25">
      <c r="A435" s="109"/>
      <c r="B435" s="10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  <c r="BR435" s="109"/>
      <c r="BS435" s="109"/>
      <c r="BT435" s="109"/>
      <c r="BU435" s="109"/>
      <c r="BV435" s="109"/>
      <c r="BW435" s="109"/>
      <c r="BX435" s="109"/>
      <c r="BY435" s="109"/>
      <c r="BZ435" s="109"/>
      <c r="CA435" s="109"/>
      <c r="CB435" s="109"/>
      <c r="CC435" s="109"/>
      <c r="CD435" s="109"/>
      <c r="CE435" s="109"/>
      <c r="CF435" s="109"/>
      <c r="CG435" s="109"/>
      <c r="CH435" s="109"/>
      <c r="CI435" s="109"/>
      <c r="CJ435" s="109"/>
      <c r="CK435" s="109"/>
      <c r="CL435" s="109"/>
      <c r="CM435" s="109"/>
      <c r="CN435" s="109"/>
      <c r="CO435" s="109"/>
      <c r="CP435" s="109"/>
    </row>
    <row r="436" spans="1:94" x14ac:dyDescent="0.25">
      <c r="A436" s="109"/>
      <c r="B436" s="10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  <c r="BR436" s="109"/>
      <c r="BS436" s="109"/>
      <c r="BT436" s="109"/>
      <c r="BU436" s="109"/>
      <c r="BV436" s="109"/>
      <c r="BW436" s="109"/>
      <c r="BX436" s="109"/>
      <c r="BY436" s="109"/>
      <c r="BZ436" s="109"/>
      <c r="CA436" s="109"/>
      <c r="CB436" s="109"/>
      <c r="CC436" s="109"/>
      <c r="CD436" s="109"/>
      <c r="CE436" s="109"/>
      <c r="CF436" s="109"/>
      <c r="CG436" s="109"/>
      <c r="CH436" s="109"/>
      <c r="CI436" s="109"/>
      <c r="CJ436" s="109"/>
      <c r="CK436" s="109"/>
      <c r="CL436" s="109"/>
      <c r="CM436" s="109"/>
      <c r="CN436" s="109"/>
      <c r="CO436" s="109"/>
      <c r="CP436" s="109"/>
    </row>
    <row r="437" spans="1:94" x14ac:dyDescent="0.25">
      <c r="A437" s="109"/>
      <c r="B437" s="10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  <c r="BR437" s="109"/>
      <c r="BS437" s="109"/>
      <c r="BT437" s="109"/>
      <c r="BU437" s="109"/>
      <c r="BV437" s="109"/>
      <c r="BW437" s="109"/>
      <c r="BX437" s="109"/>
      <c r="BY437" s="109"/>
      <c r="BZ437" s="109"/>
      <c r="CA437" s="109"/>
      <c r="CB437" s="109"/>
      <c r="CC437" s="109"/>
      <c r="CD437" s="109"/>
      <c r="CE437" s="109"/>
      <c r="CF437" s="109"/>
      <c r="CG437" s="109"/>
      <c r="CH437" s="109"/>
      <c r="CI437" s="109"/>
      <c r="CJ437" s="109"/>
      <c r="CK437" s="109"/>
      <c r="CL437" s="109"/>
      <c r="CM437" s="109"/>
      <c r="CN437" s="109"/>
      <c r="CO437" s="109"/>
      <c r="CP437" s="109"/>
    </row>
    <row r="438" spans="1:94" x14ac:dyDescent="0.25">
      <c r="A438" s="109"/>
      <c r="B438" s="10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  <c r="BR438" s="109"/>
      <c r="BS438" s="109"/>
      <c r="BT438" s="109"/>
      <c r="BU438" s="109"/>
      <c r="BV438" s="109"/>
      <c r="BW438" s="109"/>
      <c r="BX438" s="109"/>
      <c r="BY438" s="109"/>
      <c r="BZ438" s="109"/>
      <c r="CA438" s="109"/>
      <c r="CB438" s="109"/>
      <c r="CC438" s="109"/>
      <c r="CD438" s="109"/>
      <c r="CE438" s="109"/>
      <c r="CF438" s="109"/>
      <c r="CG438" s="109"/>
      <c r="CH438" s="109"/>
      <c r="CI438" s="109"/>
      <c r="CJ438" s="109"/>
      <c r="CK438" s="109"/>
      <c r="CL438" s="109"/>
      <c r="CM438" s="109"/>
      <c r="CN438" s="109"/>
      <c r="CO438" s="109"/>
      <c r="CP438" s="109"/>
    </row>
    <row r="439" spans="1:94" x14ac:dyDescent="0.25">
      <c r="A439" s="109"/>
      <c r="B439" s="10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  <c r="BR439" s="109"/>
      <c r="BS439" s="109"/>
      <c r="BT439" s="109"/>
      <c r="BU439" s="109"/>
      <c r="BV439" s="109"/>
      <c r="BW439" s="109"/>
      <c r="BX439" s="109"/>
      <c r="BY439" s="109"/>
      <c r="BZ439" s="109"/>
      <c r="CA439" s="109"/>
      <c r="CB439" s="109"/>
      <c r="CC439" s="109"/>
      <c r="CD439" s="109"/>
      <c r="CE439" s="109"/>
      <c r="CF439" s="109"/>
      <c r="CG439" s="109"/>
      <c r="CH439" s="109"/>
      <c r="CI439" s="109"/>
      <c r="CJ439" s="109"/>
      <c r="CK439" s="109"/>
      <c r="CL439" s="109"/>
      <c r="CM439" s="109"/>
      <c r="CN439" s="109"/>
      <c r="CO439" s="109"/>
      <c r="CP439" s="109"/>
    </row>
    <row r="440" spans="1:94" x14ac:dyDescent="0.25">
      <c r="A440" s="109"/>
      <c r="B440" s="10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  <c r="BR440" s="109"/>
      <c r="BS440" s="109"/>
      <c r="BT440" s="109"/>
      <c r="BU440" s="109"/>
      <c r="BV440" s="109"/>
      <c r="BW440" s="109"/>
      <c r="BX440" s="109"/>
      <c r="BY440" s="109"/>
      <c r="BZ440" s="109"/>
      <c r="CA440" s="109"/>
      <c r="CB440" s="109"/>
      <c r="CC440" s="109"/>
      <c r="CD440" s="109"/>
      <c r="CE440" s="109"/>
      <c r="CF440" s="109"/>
      <c r="CG440" s="109"/>
      <c r="CH440" s="109"/>
      <c r="CI440" s="109"/>
      <c r="CJ440" s="109"/>
      <c r="CK440" s="109"/>
      <c r="CL440" s="109"/>
      <c r="CM440" s="109"/>
      <c r="CN440" s="109"/>
      <c r="CO440" s="109"/>
      <c r="CP440" s="109"/>
    </row>
    <row r="441" spans="1:94" x14ac:dyDescent="0.25">
      <c r="A441" s="109"/>
      <c r="B441" s="10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  <c r="BR441" s="109"/>
      <c r="BS441" s="109"/>
      <c r="BT441" s="109"/>
      <c r="BU441" s="109"/>
      <c r="BV441" s="109"/>
      <c r="BW441" s="109"/>
      <c r="BX441" s="109"/>
      <c r="BY441" s="109"/>
      <c r="BZ441" s="109"/>
      <c r="CA441" s="109"/>
      <c r="CB441" s="109"/>
      <c r="CC441" s="109"/>
      <c r="CD441" s="109"/>
      <c r="CE441" s="109"/>
      <c r="CF441" s="109"/>
      <c r="CG441" s="109"/>
      <c r="CH441" s="109"/>
      <c r="CI441" s="109"/>
      <c r="CJ441" s="109"/>
      <c r="CK441" s="109"/>
      <c r="CL441" s="109"/>
      <c r="CM441" s="109"/>
      <c r="CN441" s="109"/>
      <c r="CO441" s="109"/>
      <c r="CP441" s="109"/>
    </row>
    <row r="442" spans="1:94" x14ac:dyDescent="0.25">
      <c r="A442" s="109"/>
      <c r="B442" s="10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  <c r="BR442" s="109"/>
      <c r="BS442" s="109"/>
      <c r="BT442" s="109"/>
      <c r="BU442" s="109"/>
      <c r="BV442" s="109"/>
      <c r="BW442" s="109"/>
      <c r="BX442" s="109"/>
      <c r="BY442" s="109"/>
      <c r="BZ442" s="109"/>
      <c r="CA442" s="109"/>
      <c r="CB442" s="109"/>
      <c r="CC442" s="109"/>
      <c r="CD442" s="109"/>
      <c r="CE442" s="109"/>
      <c r="CF442" s="109"/>
      <c r="CG442" s="109"/>
      <c r="CH442" s="109"/>
      <c r="CI442" s="109"/>
      <c r="CJ442" s="109"/>
      <c r="CK442" s="109"/>
      <c r="CL442" s="109"/>
      <c r="CM442" s="109"/>
      <c r="CN442" s="109"/>
      <c r="CO442" s="109"/>
      <c r="CP442" s="109"/>
    </row>
    <row r="443" spans="1:94" x14ac:dyDescent="0.25">
      <c r="A443" s="109"/>
      <c r="B443" s="10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  <c r="BR443" s="109"/>
      <c r="BS443" s="109"/>
      <c r="BT443" s="109"/>
      <c r="BU443" s="109"/>
      <c r="BV443" s="109"/>
      <c r="BW443" s="109"/>
      <c r="BX443" s="109"/>
      <c r="BY443" s="109"/>
      <c r="BZ443" s="109"/>
      <c r="CA443" s="109"/>
      <c r="CB443" s="109"/>
      <c r="CC443" s="109"/>
      <c r="CD443" s="109"/>
      <c r="CE443" s="109"/>
      <c r="CF443" s="109"/>
      <c r="CG443" s="109"/>
      <c r="CH443" s="109"/>
      <c r="CI443" s="109"/>
      <c r="CJ443" s="109"/>
      <c r="CK443" s="109"/>
      <c r="CL443" s="109"/>
      <c r="CM443" s="109"/>
      <c r="CN443" s="109"/>
      <c r="CO443" s="109"/>
      <c r="CP443" s="109"/>
    </row>
    <row r="444" spans="1:94" x14ac:dyDescent="0.25">
      <c r="A444" s="109"/>
      <c r="B444" s="10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  <c r="BR444" s="109"/>
      <c r="BS444" s="109"/>
      <c r="BT444" s="109"/>
      <c r="BU444" s="109"/>
      <c r="BV444" s="109"/>
      <c r="BW444" s="109"/>
      <c r="BX444" s="109"/>
      <c r="BY444" s="109"/>
      <c r="BZ444" s="109"/>
      <c r="CA444" s="109"/>
      <c r="CB444" s="109"/>
      <c r="CC444" s="109"/>
      <c r="CD444" s="109"/>
      <c r="CE444" s="109"/>
      <c r="CF444" s="109"/>
      <c r="CG444" s="109"/>
      <c r="CH444" s="109"/>
      <c r="CI444" s="109"/>
      <c r="CJ444" s="109"/>
      <c r="CK444" s="109"/>
      <c r="CL444" s="109"/>
      <c r="CM444" s="109"/>
      <c r="CN444" s="109"/>
      <c r="CO444" s="109"/>
      <c r="CP444" s="109"/>
    </row>
    <row r="445" spans="1:94" x14ac:dyDescent="0.25">
      <c r="A445" s="109"/>
      <c r="B445" s="10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  <c r="BR445" s="109"/>
      <c r="BS445" s="109"/>
      <c r="BT445" s="109"/>
      <c r="BU445" s="109"/>
      <c r="BV445" s="109"/>
      <c r="BW445" s="109"/>
      <c r="BX445" s="109"/>
      <c r="BY445" s="109"/>
      <c r="BZ445" s="109"/>
      <c r="CA445" s="109"/>
      <c r="CB445" s="109"/>
      <c r="CC445" s="109"/>
      <c r="CD445" s="109"/>
      <c r="CE445" s="109"/>
      <c r="CF445" s="109"/>
      <c r="CG445" s="109"/>
      <c r="CH445" s="109"/>
      <c r="CI445" s="109"/>
      <c r="CJ445" s="109"/>
      <c r="CK445" s="109"/>
      <c r="CL445" s="109"/>
      <c r="CM445" s="109"/>
      <c r="CN445" s="109"/>
      <c r="CO445" s="109"/>
      <c r="CP445" s="109"/>
    </row>
    <row r="446" spans="1:94" x14ac:dyDescent="0.25">
      <c r="A446" s="109"/>
      <c r="B446" s="10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  <c r="BR446" s="109"/>
      <c r="BS446" s="109"/>
      <c r="BT446" s="109"/>
      <c r="BU446" s="109"/>
      <c r="BV446" s="109"/>
      <c r="BW446" s="109"/>
      <c r="BX446" s="109"/>
      <c r="BY446" s="109"/>
      <c r="BZ446" s="109"/>
      <c r="CA446" s="109"/>
      <c r="CB446" s="109"/>
      <c r="CC446" s="109"/>
      <c r="CD446" s="109"/>
      <c r="CE446" s="109"/>
      <c r="CF446" s="109"/>
      <c r="CG446" s="109"/>
      <c r="CH446" s="109"/>
      <c r="CI446" s="109"/>
      <c r="CJ446" s="109"/>
      <c r="CK446" s="109"/>
      <c r="CL446" s="109"/>
      <c r="CM446" s="109"/>
      <c r="CN446" s="109"/>
      <c r="CO446" s="109"/>
      <c r="CP446" s="109"/>
    </row>
    <row r="447" spans="1:94" x14ac:dyDescent="0.25">
      <c r="A447" s="109"/>
      <c r="B447" s="10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  <c r="BR447" s="109"/>
      <c r="BS447" s="109"/>
      <c r="BT447" s="109"/>
      <c r="BU447" s="109"/>
      <c r="BV447" s="109"/>
      <c r="BW447" s="109"/>
      <c r="BX447" s="109"/>
      <c r="BY447" s="109"/>
      <c r="BZ447" s="109"/>
      <c r="CA447" s="109"/>
      <c r="CB447" s="109"/>
      <c r="CC447" s="109"/>
      <c r="CD447" s="109"/>
      <c r="CE447" s="109"/>
      <c r="CF447" s="109"/>
      <c r="CG447" s="109"/>
      <c r="CH447" s="109"/>
      <c r="CI447" s="109"/>
      <c r="CJ447" s="109"/>
      <c r="CK447" s="109"/>
      <c r="CL447" s="109"/>
      <c r="CM447" s="109"/>
      <c r="CN447" s="109"/>
      <c r="CO447" s="109"/>
      <c r="CP447" s="109"/>
    </row>
    <row r="448" spans="1:94" x14ac:dyDescent="0.25">
      <c r="A448" s="109"/>
      <c r="B448" s="10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  <c r="BR448" s="109"/>
      <c r="BS448" s="109"/>
      <c r="BT448" s="109"/>
      <c r="BU448" s="109"/>
      <c r="BV448" s="109"/>
      <c r="BW448" s="109"/>
      <c r="BX448" s="109"/>
      <c r="BY448" s="109"/>
      <c r="BZ448" s="109"/>
      <c r="CA448" s="109"/>
      <c r="CB448" s="109"/>
      <c r="CC448" s="109"/>
      <c r="CD448" s="109"/>
      <c r="CE448" s="109"/>
      <c r="CF448" s="109"/>
      <c r="CG448" s="109"/>
      <c r="CH448" s="109"/>
      <c r="CI448" s="109"/>
      <c r="CJ448" s="109"/>
      <c r="CK448" s="109"/>
      <c r="CL448" s="109"/>
      <c r="CM448" s="109"/>
      <c r="CN448" s="109"/>
      <c r="CO448" s="109"/>
      <c r="CP448" s="109"/>
    </row>
    <row r="449" spans="1:94" x14ac:dyDescent="0.25">
      <c r="A449" s="109"/>
      <c r="B449" s="10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  <c r="BR449" s="109"/>
      <c r="BS449" s="109"/>
      <c r="BT449" s="109"/>
      <c r="BU449" s="109"/>
      <c r="BV449" s="109"/>
      <c r="BW449" s="109"/>
      <c r="BX449" s="109"/>
      <c r="BY449" s="109"/>
      <c r="BZ449" s="109"/>
      <c r="CA449" s="109"/>
      <c r="CB449" s="109"/>
      <c r="CC449" s="109"/>
      <c r="CD449" s="109"/>
      <c r="CE449" s="109"/>
      <c r="CF449" s="109"/>
      <c r="CG449" s="109"/>
      <c r="CH449" s="109"/>
      <c r="CI449" s="109"/>
      <c r="CJ449" s="109"/>
      <c r="CK449" s="109"/>
      <c r="CL449" s="109"/>
      <c r="CM449" s="109"/>
      <c r="CN449" s="109"/>
      <c r="CO449" s="109"/>
      <c r="CP449" s="109"/>
    </row>
    <row r="450" spans="1:94" x14ac:dyDescent="0.25">
      <c r="A450" s="109"/>
      <c r="B450" s="10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  <c r="BR450" s="109"/>
      <c r="BS450" s="109"/>
      <c r="BT450" s="109"/>
      <c r="BU450" s="109"/>
      <c r="BV450" s="109"/>
      <c r="BW450" s="109"/>
      <c r="BX450" s="109"/>
      <c r="BY450" s="109"/>
      <c r="BZ450" s="109"/>
      <c r="CA450" s="109"/>
      <c r="CB450" s="109"/>
      <c r="CC450" s="109"/>
      <c r="CD450" s="109"/>
      <c r="CE450" s="109"/>
      <c r="CF450" s="109"/>
      <c r="CG450" s="109"/>
      <c r="CH450" s="109"/>
      <c r="CI450" s="109"/>
      <c r="CJ450" s="109"/>
      <c r="CK450" s="109"/>
      <c r="CL450" s="109"/>
      <c r="CM450" s="109"/>
      <c r="CN450" s="109"/>
      <c r="CO450" s="109"/>
      <c r="CP450" s="109"/>
    </row>
    <row r="451" spans="1:94" x14ac:dyDescent="0.25">
      <c r="A451" s="109"/>
      <c r="B451" s="10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  <c r="BR451" s="109"/>
      <c r="BS451" s="109"/>
      <c r="BT451" s="109"/>
      <c r="BU451" s="109"/>
      <c r="BV451" s="109"/>
      <c r="BW451" s="109"/>
      <c r="BX451" s="109"/>
      <c r="BY451" s="109"/>
      <c r="BZ451" s="109"/>
      <c r="CA451" s="109"/>
      <c r="CB451" s="109"/>
      <c r="CC451" s="109"/>
      <c r="CD451" s="109"/>
      <c r="CE451" s="109"/>
      <c r="CF451" s="109"/>
      <c r="CG451" s="109"/>
      <c r="CH451" s="109"/>
      <c r="CI451" s="109"/>
      <c r="CJ451" s="109"/>
      <c r="CK451" s="109"/>
      <c r="CL451" s="109"/>
      <c r="CM451" s="109"/>
      <c r="CN451" s="109"/>
      <c r="CO451" s="109"/>
      <c r="CP451" s="109"/>
    </row>
    <row r="452" spans="1:94" x14ac:dyDescent="0.25">
      <c r="A452" s="109"/>
      <c r="B452" s="10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  <c r="BR452" s="109"/>
      <c r="BS452" s="109"/>
      <c r="BT452" s="109"/>
      <c r="BU452" s="109"/>
      <c r="BV452" s="109"/>
      <c r="BW452" s="109"/>
      <c r="BX452" s="109"/>
      <c r="BY452" s="109"/>
      <c r="BZ452" s="109"/>
      <c r="CA452" s="109"/>
      <c r="CB452" s="109"/>
      <c r="CC452" s="109"/>
      <c r="CD452" s="109"/>
      <c r="CE452" s="109"/>
      <c r="CF452" s="109"/>
      <c r="CG452" s="109"/>
      <c r="CH452" s="109"/>
      <c r="CI452" s="109"/>
      <c r="CJ452" s="109"/>
      <c r="CK452" s="109"/>
      <c r="CL452" s="109"/>
      <c r="CM452" s="109"/>
      <c r="CN452" s="109"/>
      <c r="CO452" s="109"/>
      <c r="CP452" s="109"/>
    </row>
    <row r="453" spans="1:94" x14ac:dyDescent="0.25">
      <c r="A453" s="109"/>
      <c r="B453" s="10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  <c r="BR453" s="109"/>
      <c r="BS453" s="109"/>
      <c r="BT453" s="109"/>
      <c r="BU453" s="109"/>
      <c r="BV453" s="109"/>
      <c r="BW453" s="109"/>
      <c r="BX453" s="109"/>
      <c r="BY453" s="109"/>
      <c r="BZ453" s="109"/>
      <c r="CA453" s="109"/>
      <c r="CB453" s="109"/>
      <c r="CC453" s="109"/>
      <c r="CD453" s="109"/>
      <c r="CE453" s="109"/>
      <c r="CF453" s="109"/>
      <c r="CG453" s="109"/>
      <c r="CH453" s="109"/>
      <c r="CI453" s="109"/>
      <c r="CJ453" s="109"/>
      <c r="CK453" s="109"/>
      <c r="CL453" s="109"/>
      <c r="CM453" s="109"/>
      <c r="CN453" s="109"/>
      <c r="CO453" s="109"/>
      <c r="CP453" s="109"/>
    </row>
    <row r="454" spans="1:94" x14ac:dyDescent="0.25">
      <c r="A454" s="109"/>
      <c r="B454" s="10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  <c r="BR454" s="109"/>
      <c r="BS454" s="109"/>
      <c r="BT454" s="109"/>
      <c r="BU454" s="109"/>
      <c r="BV454" s="109"/>
      <c r="BW454" s="109"/>
      <c r="BX454" s="109"/>
      <c r="BY454" s="109"/>
      <c r="BZ454" s="109"/>
      <c r="CA454" s="109"/>
      <c r="CB454" s="109"/>
      <c r="CC454" s="109"/>
      <c r="CD454" s="109"/>
      <c r="CE454" s="109"/>
      <c r="CF454" s="109"/>
      <c r="CG454" s="109"/>
      <c r="CH454" s="109"/>
      <c r="CI454" s="109"/>
      <c r="CJ454" s="109"/>
      <c r="CK454" s="109"/>
      <c r="CL454" s="109"/>
      <c r="CM454" s="109"/>
      <c r="CN454" s="109"/>
      <c r="CO454" s="109"/>
      <c r="CP454" s="109"/>
    </row>
    <row r="455" spans="1:94" x14ac:dyDescent="0.25">
      <c r="A455" s="109"/>
      <c r="B455" s="10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  <c r="BR455" s="109"/>
      <c r="BS455" s="109"/>
      <c r="BT455" s="109"/>
      <c r="BU455" s="109"/>
      <c r="BV455" s="109"/>
      <c r="BW455" s="109"/>
      <c r="BX455" s="109"/>
      <c r="BY455" s="109"/>
      <c r="BZ455" s="109"/>
      <c r="CA455" s="109"/>
      <c r="CB455" s="109"/>
      <c r="CC455" s="109"/>
      <c r="CD455" s="109"/>
      <c r="CE455" s="109"/>
      <c r="CF455" s="109"/>
      <c r="CG455" s="109"/>
      <c r="CH455" s="109"/>
      <c r="CI455" s="109"/>
      <c r="CJ455" s="109"/>
      <c r="CK455" s="109"/>
      <c r="CL455" s="109"/>
      <c r="CM455" s="109"/>
      <c r="CN455" s="109"/>
      <c r="CO455" s="109"/>
      <c r="CP455" s="109"/>
    </row>
    <row r="456" spans="1:94" x14ac:dyDescent="0.25">
      <c r="A456" s="109"/>
      <c r="B456" s="10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  <c r="BR456" s="109"/>
      <c r="BS456" s="109"/>
      <c r="BT456" s="109"/>
      <c r="BU456" s="109"/>
      <c r="BV456" s="109"/>
      <c r="BW456" s="109"/>
      <c r="BX456" s="109"/>
      <c r="BY456" s="109"/>
      <c r="BZ456" s="109"/>
      <c r="CA456" s="109"/>
      <c r="CB456" s="109"/>
      <c r="CC456" s="109"/>
      <c r="CD456" s="109"/>
      <c r="CE456" s="109"/>
      <c r="CF456" s="109"/>
      <c r="CG456" s="109"/>
      <c r="CH456" s="109"/>
      <c r="CI456" s="109"/>
      <c r="CJ456" s="109"/>
      <c r="CK456" s="109"/>
      <c r="CL456" s="109"/>
      <c r="CM456" s="109"/>
      <c r="CN456" s="109"/>
      <c r="CO456" s="109"/>
      <c r="CP456" s="109"/>
    </row>
    <row r="457" spans="1:94" x14ac:dyDescent="0.25">
      <c r="A457" s="109"/>
      <c r="B457" s="10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  <c r="BR457" s="109"/>
      <c r="BS457" s="109"/>
      <c r="BT457" s="109"/>
      <c r="BU457" s="109"/>
      <c r="BV457" s="109"/>
      <c r="BW457" s="109"/>
      <c r="BX457" s="109"/>
      <c r="BY457" s="109"/>
      <c r="BZ457" s="109"/>
      <c r="CA457" s="109"/>
      <c r="CB457" s="109"/>
      <c r="CC457" s="109"/>
      <c r="CD457" s="109"/>
      <c r="CE457" s="109"/>
      <c r="CF457" s="109"/>
      <c r="CG457" s="109"/>
      <c r="CH457" s="109"/>
      <c r="CI457" s="109"/>
      <c r="CJ457" s="109"/>
      <c r="CK457" s="109"/>
      <c r="CL457" s="109"/>
      <c r="CM457" s="109"/>
      <c r="CN457" s="109"/>
      <c r="CO457" s="109"/>
      <c r="CP457" s="109"/>
    </row>
    <row r="458" spans="1:94" x14ac:dyDescent="0.25">
      <c r="A458" s="109"/>
      <c r="B458" s="10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  <c r="BR458" s="109"/>
      <c r="BS458" s="109"/>
      <c r="BT458" s="109"/>
      <c r="BU458" s="109"/>
      <c r="BV458" s="109"/>
      <c r="BW458" s="109"/>
      <c r="BX458" s="109"/>
      <c r="BY458" s="109"/>
      <c r="BZ458" s="109"/>
      <c r="CA458" s="109"/>
      <c r="CB458" s="109"/>
      <c r="CC458" s="109"/>
      <c r="CD458" s="109"/>
      <c r="CE458" s="109"/>
      <c r="CF458" s="109"/>
      <c r="CG458" s="109"/>
      <c r="CH458" s="109"/>
      <c r="CI458" s="109"/>
      <c r="CJ458" s="109"/>
      <c r="CK458" s="109"/>
      <c r="CL458" s="109"/>
      <c r="CM458" s="109"/>
      <c r="CN458" s="109"/>
      <c r="CO458" s="109"/>
      <c r="CP458" s="109"/>
    </row>
    <row r="459" spans="1:94" x14ac:dyDescent="0.25">
      <c r="A459" s="109"/>
      <c r="B459" s="10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  <c r="BR459" s="109"/>
      <c r="BS459" s="109"/>
      <c r="BT459" s="109"/>
      <c r="BU459" s="109"/>
      <c r="BV459" s="109"/>
      <c r="BW459" s="109"/>
      <c r="BX459" s="109"/>
      <c r="BY459" s="109"/>
      <c r="BZ459" s="109"/>
      <c r="CA459" s="109"/>
      <c r="CB459" s="109"/>
      <c r="CC459" s="109"/>
      <c r="CD459" s="109"/>
      <c r="CE459" s="109"/>
      <c r="CF459" s="109"/>
      <c r="CG459" s="109"/>
      <c r="CH459" s="109"/>
      <c r="CI459" s="109"/>
      <c r="CJ459" s="109"/>
      <c r="CK459" s="109"/>
      <c r="CL459" s="109"/>
      <c r="CM459" s="109"/>
      <c r="CN459" s="109"/>
      <c r="CO459" s="109"/>
      <c r="CP459" s="109"/>
    </row>
    <row r="460" spans="1:94" x14ac:dyDescent="0.25">
      <c r="A460" s="109"/>
      <c r="B460" s="10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  <c r="BR460" s="109"/>
      <c r="BS460" s="109"/>
      <c r="BT460" s="109"/>
      <c r="BU460" s="109"/>
      <c r="BV460" s="109"/>
      <c r="BW460" s="109"/>
      <c r="BX460" s="109"/>
      <c r="BY460" s="109"/>
      <c r="BZ460" s="109"/>
      <c r="CA460" s="109"/>
      <c r="CB460" s="109"/>
      <c r="CC460" s="109"/>
      <c r="CD460" s="109"/>
      <c r="CE460" s="109"/>
      <c r="CF460" s="109"/>
      <c r="CG460" s="109"/>
      <c r="CH460" s="109"/>
      <c r="CI460" s="109"/>
      <c r="CJ460" s="109"/>
      <c r="CK460" s="109"/>
      <c r="CL460" s="109"/>
      <c r="CM460" s="109"/>
      <c r="CN460" s="109"/>
      <c r="CO460" s="109"/>
      <c r="CP460" s="109"/>
    </row>
    <row r="461" spans="1:94" x14ac:dyDescent="0.25">
      <c r="A461" s="109"/>
      <c r="B461" s="10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  <c r="BR461" s="109"/>
      <c r="BS461" s="109"/>
      <c r="BT461" s="109"/>
      <c r="BU461" s="109"/>
      <c r="BV461" s="109"/>
      <c r="BW461" s="109"/>
      <c r="BX461" s="109"/>
      <c r="BY461" s="109"/>
      <c r="BZ461" s="109"/>
      <c r="CA461" s="109"/>
      <c r="CB461" s="109"/>
      <c r="CC461" s="109"/>
      <c r="CD461" s="109"/>
      <c r="CE461" s="109"/>
      <c r="CF461" s="109"/>
      <c r="CG461" s="109"/>
      <c r="CH461" s="109"/>
      <c r="CI461" s="109"/>
      <c r="CJ461" s="109"/>
      <c r="CK461" s="109"/>
      <c r="CL461" s="109"/>
      <c r="CM461" s="109"/>
      <c r="CN461" s="109"/>
      <c r="CO461" s="109"/>
      <c r="CP461" s="109"/>
    </row>
    <row r="462" spans="1:94" x14ac:dyDescent="0.25">
      <c r="A462" s="109"/>
      <c r="B462" s="10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  <c r="BR462" s="109"/>
      <c r="BS462" s="109"/>
      <c r="BT462" s="109"/>
      <c r="BU462" s="109"/>
      <c r="BV462" s="109"/>
      <c r="BW462" s="109"/>
      <c r="BX462" s="109"/>
      <c r="BY462" s="109"/>
      <c r="BZ462" s="109"/>
      <c r="CA462" s="109"/>
      <c r="CB462" s="109"/>
      <c r="CC462" s="109"/>
      <c r="CD462" s="109"/>
      <c r="CE462" s="109"/>
      <c r="CF462" s="109"/>
      <c r="CG462" s="109"/>
      <c r="CH462" s="109"/>
      <c r="CI462" s="109"/>
      <c r="CJ462" s="109"/>
      <c r="CK462" s="109"/>
      <c r="CL462" s="109"/>
      <c r="CM462" s="109"/>
      <c r="CN462" s="109"/>
      <c r="CO462" s="109"/>
      <c r="CP462" s="109"/>
    </row>
    <row r="463" spans="1:94" x14ac:dyDescent="0.25">
      <c r="A463" s="109"/>
      <c r="B463" s="10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  <c r="BR463" s="109"/>
      <c r="BS463" s="109"/>
      <c r="BT463" s="109"/>
      <c r="BU463" s="109"/>
      <c r="BV463" s="109"/>
      <c r="BW463" s="109"/>
      <c r="BX463" s="109"/>
      <c r="BY463" s="109"/>
      <c r="BZ463" s="109"/>
      <c r="CA463" s="109"/>
      <c r="CB463" s="109"/>
      <c r="CC463" s="109"/>
      <c r="CD463" s="109"/>
      <c r="CE463" s="109"/>
      <c r="CF463" s="109"/>
      <c r="CG463" s="109"/>
      <c r="CH463" s="109"/>
      <c r="CI463" s="109"/>
      <c r="CJ463" s="109"/>
      <c r="CK463" s="109"/>
      <c r="CL463" s="109"/>
      <c r="CM463" s="109"/>
      <c r="CN463" s="109"/>
      <c r="CO463" s="109"/>
      <c r="CP463" s="109"/>
    </row>
    <row r="464" spans="1:94" x14ac:dyDescent="0.25">
      <c r="A464" s="109"/>
      <c r="B464" s="10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  <c r="BR464" s="109"/>
      <c r="BS464" s="109"/>
      <c r="BT464" s="109"/>
      <c r="BU464" s="109"/>
      <c r="BV464" s="109"/>
      <c r="BW464" s="109"/>
      <c r="BX464" s="109"/>
      <c r="BY464" s="109"/>
      <c r="BZ464" s="109"/>
      <c r="CA464" s="109"/>
      <c r="CB464" s="109"/>
      <c r="CC464" s="109"/>
      <c r="CD464" s="109"/>
      <c r="CE464" s="109"/>
      <c r="CF464" s="109"/>
      <c r="CG464" s="109"/>
      <c r="CH464" s="109"/>
      <c r="CI464" s="109"/>
      <c r="CJ464" s="109"/>
      <c r="CK464" s="109"/>
      <c r="CL464" s="109"/>
      <c r="CM464" s="109"/>
      <c r="CN464" s="109"/>
      <c r="CO464" s="109"/>
      <c r="CP464" s="109"/>
    </row>
    <row r="465" spans="1:94" x14ac:dyDescent="0.25">
      <c r="A465" s="109"/>
      <c r="B465" s="10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  <c r="BR465" s="109"/>
      <c r="BS465" s="109"/>
      <c r="BT465" s="109"/>
      <c r="BU465" s="109"/>
      <c r="BV465" s="109"/>
      <c r="BW465" s="109"/>
      <c r="BX465" s="109"/>
      <c r="BY465" s="109"/>
      <c r="BZ465" s="109"/>
      <c r="CA465" s="109"/>
      <c r="CB465" s="109"/>
      <c r="CC465" s="109"/>
      <c r="CD465" s="109"/>
      <c r="CE465" s="109"/>
      <c r="CF465" s="109"/>
      <c r="CG465" s="109"/>
      <c r="CH465" s="109"/>
      <c r="CI465" s="109"/>
      <c r="CJ465" s="109"/>
      <c r="CK465" s="109"/>
      <c r="CL465" s="109"/>
      <c r="CM465" s="109"/>
      <c r="CN465" s="109"/>
      <c r="CO465" s="109"/>
      <c r="CP465" s="109"/>
    </row>
    <row r="466" spans="1:94" x14ac:dyDescent="0.25">
      <c r="A466" s="109"/>
      <c r="B466" s="10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  <c r="BR466" s="109"/>
      <c r="BS466" s="109"/>
      <c r="BT466" s="109"/>
      <c r="BU466" s="109"/>
      <c r="BV466" s="109"/>
      <c r="BW466" s="109"/>
      <c r="BX466" s="109"/>
      <c r="BY466" s="109"/>
      <c r="BZ466" s="109"/>
      <c r="CA466" s="109"/>
      <c r="CB466" s="109"/>
      <c r="CC466" s="109"/>
      <c r="CD466" s="109"/>
      <c r="CE466" s="109"/>
      <c r="CF466" s="109"/>
      <c r="CG466" s="109"/>
      <c r="CH466" s="109"/>
      <c r="CI466" s="109"/>
      <c r="CJ466" s="109"/>
      <c r="CK466" s="109"/>
      <c r="CL466" s="109"/>
      <c r="CM466" s="109"/>
      <c r="CN466" s="109"/>
      <c r="CO466" s="109"/>
      <c r="CP466" s="109"/>
    </row>
    <row r="467" spans="1:94" x14ac:dyDescent="0.25">
      <c r="A467" s="109"/>
      <c r="B467" s="10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  <c r="BR467" s="109"/>
      <c r="BS467" s="109"/>
      <c r="BT467" s="109"/>
      <c r="BU467" s="109"/>
      <c r="BV467" s="109"/>
      <c r="BW467" s="109"/>
      <c r="BX467" s="109"/>
      <c r="BY467" s="109"/>
      <c r="BZ467" s="109"/>
      <c r="CA467" s="109"/>
      <c r="CB467" s="109"/>
      <c r="CC467" s="109"/>
      <c r="CD467" s="109"/>
      <c r="CE467" s="109"/>
      <c r="CF467" s="109"/>
      <c r="CG467" s="109"/>
      <c r="CH467" s="109"/>
      <c r="CI467" s="109"/>
      <c r="CJ467" s="109"/>
      <c r="CK467" s="109"/>
      <c r="CL467" s="109"/>
      <c r="CM467" s="109"/>
      <c r="CN467" s="109"/>
      <c r="CO467" s="109"/>
      <c r="CP467" s="109"/>
    </row>
    <row r="468" spans="1:94" x14ac:dyDescent="0.25">
      <c r="A468" s="109"/>
      <c r="B468" s="10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  <c r="BR468" s="109"/>
      <c r="BS468" s="109"/>
      <c r="BT468" s="109"/>
      <c r="BU468" s="109"/>
      <c r="BV468" s="109"/>
      <c r="BW468" s="109"/>
      <c r="BX468" s="109"/>
      <c r="BY468" s="109"/>
      <c r="BZ468" s="109"/>
      <c r="CA468" s="109"/>
      <c r="CB468" s="109"/>
      <c r="CC468" s="109"/>
      <c r="CD468" s="109"/>
      <c r="CE468" s="109"/>
      <c r="CF468" s="109"/>
      <c r="CG468" s="109"/>
      <c r="CH468" s="109"/>
      <c r="CI468" s="109"/>
      <c r="CJ468" s="109"/>
      <c r="CK468" s="109"/>
      <c r="CL468" s="109"/>
      <c r="CM468" s="109"/>
      <c r="CN468" s="109"/>
      <c r="CO468" s="109"/>
      <c r="CP468" s="109"/>
    </row>
    <row r="469" spans="1:94" x14ac:dyDescent="0.25">
      <c r="A469" s="109"/>
      <c r="B469" s="10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  <c r="BR469" s="109"/>
      <c r="BS469" s="109"/>
      <c r="BT469" s="109"/>
      <c r="BU469" s="109"/>
      <c r="BV469" s="109"/>
      <c r="BW469" s="109"/>
      <c r="BX469" s="109"/>
      <c r="BY469" s="109"/>
      <c r="BZ469" s="109"/>
      <c r="CA469" s="109"/>
      <c r="CB469" s="109"/>
      <c r="CC469" s="109"/>
      <c r="CD469" s="109"/>
      <c r="CE469" s="109"/>
      <c r="CF469" s="109"/>
      <c r="CG469" s="109"/>
      <c r="CH469" s="109"/>
      <c r="CI469" s="109"/>
      <c r="CJ469" s="109"/>
      <c r="CK469" s="109"/>
      <c r="CL469" s="109"/>
      <c r="CM469" s="109"/>
      <c r="CN469" s="109"/>
      <c r="CO469" s="109"/>
      <c r="CP469" s="109"/>
    </row>
    <row r="470" spans="1:94" x14ac:dyDescent="0.25">
      <c r="A470" s="109"/>
      <c r="B470" s="10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  <c r="BR470" s="109"/>
      <c r="BS470" s="109"/>
      <c r="BT470" s="109"/>
      <c r="BU470" s="109"/>
      <c r="BV470" s="109"/>
      <c r="BW470" s="109"/>
      <c r="BX470" s="109"/>
      <c r="BY470" s="109"/>
      <c r="BZ470" s="109"/>
      <c r="CA470" s="109"/>
      <c r="CB470" s="109"/>
      <c r="CC470" s="109"/>
      <c r="CD470" s="109"/>
      <c r="CE470" s="109"/>
      <c r="CF470" s="109"/>
      <c r="CG470" s="109"/>
      <c r="CH470" s="109"/>
      <c r="CI470" s="109"/>
      <c r="CJ470" s="109"/>
      <c r="CK470" s="109"/>
      <c r="CL470" s="109"/>
      <c r="CM470" s="109"/>
      <c r="CN470" s="109"/>
      <c r="CO470" s="109"/>
      <c r="CP470" s="109"/>
    </row>
    <row r="471" spans="1:94" x14ac:dyDescent="0.25">
      <c r="A471" s="109"/>
      <c r="B471" s="10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  <c r="BR471" s="109"/>
      <c r="BS471" s="109"/>
      <c r="BT471" s="109"/>
      <c r="BU471" s="109"/>
      <c r="BV471" s="109"/>
      <c r="BW471" s="109"/>
      <c r="BX471" s="109"/>
      <c r="BY471" s="109"/>
      <c r="BZ471" s="109"/>
      <c r="CA471" s="109"/>
      <c r="CB471" s="109"/>
      <c r="CC471" s="109"/>
      <c r="CD471" s="109"/>
      <c r="CE471" s="109"/>
      <c r="CF471" s="109"/>
      <c r="CG471" s="109"/>
      <c r="CH471" s="109"/>
      <c r="CI471" s="109"/>
      <c r="CJ471" s="109"/>
      <c r="CK471" s="109"/>
      <c r="CL471" s="109"/>
      <c r="CM471" s="109"/>
      <c r="CN471" s="109"/>
      <c r="CO471" s="109"/>
      <c r="CP471" s="109"/>
    </row>
    <row r="472" spans="1:94" x14ac:dyDescent="0.25">
      <c r="A472" s="109"/>
      <c r="B472" s="10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  <c r="BR472" s="109"/>
      <c r="BS472" s="109"/>
      <c r="BT472" s="109"/>
      <c r="BU472" s="109"/>
      <c r="BV472" s="109"/>
      <c r="BW472" s="109"/>
      <c r="BX472" s="109"/>
      <c r="BY472" s="109"/>
      <c r="BZ472" s="109"/>
      <c r="CA472" s="109"/>
      <c r="CB472" s="109"/>
      <c r="CC472" s="109"/>
      <c r="CD472" s="109"/>
      <c r="CE472" s="109"/>
      <c r="CF472" s="109"/>
      <c r="CG472" s="109"/>
      <c r="CH472" s="109"/>
      <c r="CI472" s="109"/>
      <c r="CJ472" s="109"/>
      <c r="CK472" s="109"/>
      <c r="CL472" s="109"/>
      <c r="CM472" s="109"/>
      <c r="CN472" s="109"/>
      <c r="CO472" s="109"/>
      <c r="CP472" s="109"/>
    </row>
    <row r="473" spans="1:94" x14ac:dyDescent="0.25">
      <c r="A473" s="109"/>
      <c r="B473" s="10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  <c r="BR473" s="109"/>
      <c r="BS473" s="109"/>
      <c r="BT473" s="109"/>
      <c r="BU473" s="109"/>
      <c r="BV473" s="109"/>
      <c r="BW473" s="109"/>
      <c r="BX473" s="109"/>
      <c r="BY473" s="109"/>
      <c r="BZ473" s="109"/>
      <c r="CA473" s="109"/>
      <c r="CB473" s="109"/>
      <c r="CC473" s="109"/>
      <c r="CD473" s="109"/>
      <c r="CE473" s="109"/>
      <c r="CF473" s="109"/>
      <c r="CG473" s="109"/>
      <c r="CH473" s="109"/>
      <c r="CI473" s="109"/>
      <c r="CJ473" s="109"/>
      <c r="CK473" s="109"/>
      <c r="CL473" s="109"/>
      <c r="CM473" s="109"/>
      <c r="CN473" s="109"/>
      <c r="CO473" s="109"/>
      <c r="CP473" s="109"/>
    </row>
    <row r="474" spans="1:94" x14ac:dyDescent="0.25">
      <c r="A474" s="109"/>
      <c r="B474" s="10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  <c r="BR474" s="109"/>
      <c r="BS474" s="109"/>
      <c r="BT474" s="109"/>
      <c r="BU474" s="109"/>
      <c r="BV474" s="109"/>
      <c r="BW474" s="109"/>
      <c r="BX474" s="109"/>
      <c r="BY474" s="109"/>
      <c r="BZ474" s="109"/>
      <c r="CA474" s="109"/>
      <c r="CB474" s="109"/>
      <c r="CC474" s="109"/>
      <c r="CD474" s="109"/>
      <c r="CE474" s="109"/>
      <c r="CF474" s="109"/>
      <c r="CG474" s="109"/>
      <c r="CH474" s="109"/>
      <c r="CI474" s="109"/>
      <c r="CJ474" s="109"/>
      <c r="CK474" s="109"/>
      <c r="CL474" s="109"/>
      <c r="CM474" s="109"/>
      <c r="CN474" s="109"/>
      <c r="CO474" s="109"/>
      <c r="CP474" s="109"/>
    </row>
    <row r="475" spans="1:94" x14ac:dyDescent="0.25">
      <c r="A475" s="109"/>
      <c r="B475" s="10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  <c r="BR475" s="109"/>
      <c r="BS475" s="109"/>
      <c r="BT475" s="109"/>
      <c r="BU475" s="109"/>
      <c r="BV475" s="109"/>
      <c r="BW475" s="109"/>
      <c r="BX475" s="109"/>
      <c r="BY475" s="109"/>
      <c r="BZ475" s="109"/>
      <c r="CA475" s="109"/>
      <c r="CB475" s="109"/>
      <c r="CC475" s="109"/>
      <c r="CD475" s="109"/>
      <c r="CE475" s="109"/>
      <c r="CF475" s="109"/>
      <c r="CG475" s="109"/>
      <c r="CH475" s="109"/>
      <c r="CI475" s="109"/>
      <c r="CJ475" s="109"/>
      <c r="CK475" s="109"/>
      <c r="CL475" s="109"/>
      <c r="CM475" s="109"/>
      <c r="CN475" s="109"/>
      <c r="CO475" s="109"/>
      <c r="CP475" s="109"/>
    </row>
    <row r="476" spans="1:94" x14ac:dyDescent="0.25">
      <c r="A476" s="109"/>
      <c r="B476" s="10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  <c r="BR476" s="109"/>
      <c r="BS476" s="109"/>
      <c r="BT476" s="109"/>
      <c r="BU476" s="109"/>
      <c r="BV476" s="109"/>
      <c r="BW476" s="109"/>
      <c r="BX476" s="109"/>
      <c r="BY476" s="109"/>
      <c r="BZ476" s="109"/>
      <c r="CA476" s="109"/>
      <c r="CB476" s="109"/>
      <c r="CC476" s="109"/>
      <c r="CD476" s="109"/>
      <c r="CE476" s="109"/>
      <c r="CF476" s="109"/>
      <c r="CG476" s="109"/>
      <c r="CH476" s="109"/>
      <c r="CI476" s="109"/>
      <c r="CJ476" s="109"/>
      <c r="CK476" s="109"/>
      <c r="CL476" s="109"/>
      <c r="CM476" s="109"/>
      <c r="CN476" s="109"/>
      <c r="CO476" s="109"/>
      <c r="CP476" s="109"/>
    </row>
    <row r="477" spans="1:94" x14ac:dyDescent="0.25">
      <c r="A477" s="109"/>
      <c r="B477" s="10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  <c r="BR477" s="109"/>
      <c r="BS477" s="109"/>
      <c r="BT477" s="109"/>
      <c r="BU477" s="109"/>
      <c r="BV477" s="109"/>
      <c r="BW477" s="109"/>
      <c r="BX477" s="109"/>
      <c r="BY477" s="109"/>
      <c r="BZ477" s="109"/>
      <c r="CA477" s="109"/>
      <c r="CB477" s="109"/>
      <c r="CC477" s="109"/>
      <c r="CD477" s="109"/>
      <c r="CE477" s="109"/>
      <c r="CF477" s="109"/>
      <c r="CG477" s="109"/>
      <c r="CH477" s="109"/>
      <c r="CI477" s="109"/>
      <c r="CJ477" s="109"/>
      <c r="CK477" s="109"/>
      <c r="CL477" s="109"/>
      <c r="CM477" s="109"/>
      <c r="CN477" s="109"/>
      <c r="CO477" s="109"/>
      <c r="CP477" s="109"/>
    </row>
    <row r="478" spans="1:94" x14ac:dyDescent="0.25">
      <c r="A478" s="109"/>
      <c r="B478" s="10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  <c r="BR478" s="109"/>
      <c r="BS478" s="109"/>
      <c r="BT478" s="109"/>
      <c r="BU478" s="109"/>
      <c r="BV478" s="109"/>
      <c r="BW478" s="109"/>
      <c r="BX478" s="109"/>
      <c r="BY478" s="109"/>
      <c r="BZ478" s="109"/>
      <c r="CA478" s="109"/>
      <c r="CB478" s="109"/>
      <c r="CC478" s="109"/>
      <c r="CD478" s="109"/>
      <c r="CE478" s="109"/>
      <c r="CF478" s="109"/>
      <c r="CG478" s="109"/>
      <c r="CH478" s="109"/>
      <c r="CI478" s="109"/>
      <c r="CJ478" s="109"/>
      <c r="CK478" s="109"/>
      <c r="CL478" s="109"/>
      <c r="CM478" s="109"/>
      <c r="CN478" s="109"/>
      <c r="CO478" s="109"/>
      <c r="CP478" s="109"/>
    </row>
    <row r="479" spans="1:94" x14ac:dyDescent="0.25">
      <c r="A479" s="109"/>
      <c r="B479" s="10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  <c r="BR479" s="109"/>
      <c r="BS479" s="109"/>
      <c r="BT479" s="109"/>
      <c r="BU479" s="109"/>
      <c r="BV479" s="109"/>
      <c r="BW479" s="109"/>
      <c r="BX479" s="109"/>
      <c r="BY479" s="109"/>
      <c r="BZ479" s="109"/>
      <c r="CA479" s="109"/>
      <c r="CB479" s="109"/>
      <c r="CC479" s="109"/>
      <c r="CD479" s="109"/>
      <c r="CE479" s="109"/>
      <c r="CF479" s="109"/>
      <c r="CG479" s="109"/>
      <c r="CH479" s="109"/>
      <c r="CI479" s="109"/>
      <c r="CJ479" s="109"/>
      <c r="CK479" s="109"/>
      <c r="CL479" s="109"/>
      <c r="CM479" s="109"/>
      <c r="CN479" s="109"/>
      <c r="CO479" s="109"/>
      <c r="CP479" s="109"/>
    </row>
    <row r="480" spans="1:94" x14ac:dyDescent="0.25">
      <c r="A480" s="109"/>
      <c r="B480" s="10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  <c r="BR480" s="109"/>
      <c r="BS480" s="109"/>
      <c r="BT480" s="109"/>
      <c r="BU480" s="109"/>
      <c r="BV480" s="109"/>
      <c r="BW480" s="109"/>
      <c r="BX480" s="109"/>
      <c r="BY480" s="109"/>
      <c r="BZ480" s="109"/>
      <c r="CA480" s="109"/>
      <c r="CB480" s="109"/>
      <c r="CC480" s="109"/>
      <c r="CD480" s="109"/>
      <c r="CE480" s="109"/>
      <c r="CF480" s="109"/>
      <c r="CG480" s="109"/>
      <c r="CH480" s="109"/>
      <c r="CI480" s="109"/>
      <c r="CJ480" s="109"/>
      <c r="CK480" s="109"/>
      <c r="CL480" s="109"/>
      <c r="CM480" s="109"/>
      <c r="CN480" s="109"/>
      <c r="CO480" s="109"/>
      <c r="CP480" s="109"/>
    </row>
    <row r="481" spans="1:94" x14ac:dyDescent="0.25">
      <c r="A481" s="109"/>
      <c r="B481" s="10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  <c r="BR481" s="109"/>
      <c r="BS481" s="109"/>
      <c r="BT481" s="109"/>
      <c r="BU481" s="109"/>
      <c r="BV481" s="109"/>
      <c r="BW481" s="109"/>
      <c r="BX481" s="109"/>
      <c r="BY481" s="109"/>
      <c r="BZ481" s="109"/>
      <c r="CA481" s="109"/>
      <c r="CB481" s="109"/>
      <c r="CC481" s="109"/>
      <c r="CD481" s="109"/>
      <c r="CE481" s="109"/>
      <c r="CF481" s="109"/>
      <c r="CG481" s="109"/>
      <c r="CH481" s="109"/>
      <c r="CI481" s="109"/>
      <c r="CJ481" s="109"/>
      <c r="CK481" s="109"/>
      <c r="CL481" s="109"/>
      <c r="CM481" s="109"/>
      <c r="CN481" s="109"/>
      <c r="CO481" s="109"/>
      <c r="CP481" s="109"/>
    </row>
    <row r="482" spans="1:94" x14ac:dyDescent="0.25">
      <c r="A482" s="109"/>
      <c r="B482" s="10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  <c r="BR482" s="109"/>
      <c r="BS482" s="109"/>
      <c r="BT482" s="109"/>
      <c r="BU482" s="109"/>
      <c r="BV482" s="109"/>
      <c r="BW482" s="109"/>
      <c r="BX482" s="109"/>
      <c r="BY482" s="109"/>
      <c r="BZ482" s="109"/>
      <c r="CA482" s="109"/>
      <c r="CB482" s="109"/>
      <c r="CC482" s="109"/>
      <c r="CD482" s="109"/>
      <c r="CE482" s="109"/>
      <c r="CF482" s="109"/>
      <c r="CG482" s="109"/>
      <c r="CH482" s="109"/>
      <c r="CI482" s="109"/>
      <c r="CJ482" s="109"/>
      <c r="CK482" s="109"/>
      <c r="CL482" s="109"/>
      <c r="CM482" s="109"/>
      <c r="CN482" s="109"/>
      <c r="CO482" s="109"/>
      <c r="CP482" s="109"/>
    </row>
    <row r="483" spans="1:94" x14ac:dyDescent="0.25">
      <c r="A483" s="109"/>
      <c r="B483" s="10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  <c r="BR483" s="109"/>
      <c r="BS483" s="109"/>
      <c r="BT483" s="109"/>
      <c r="BU483" s="109"/>
      <c r="BV483" s="109"/>
      <c r="BW483" s="109"/>
      <c r="BX483" s="109"/>
      <c r="BY483" s="109"/>
      <c r="BZ483" s="109"/>
      <c r="CA483" s="109"/>
      <c r="CB483" s="109"/>
      <c r="CC483" s="109"/>
      <c r="CD483" s="109"/>
      <c r="CE483" s="109"/>
      <c r="CF483" s="109"/>
      <c r="CG483" s="109"/>
      <c r="CH483" s="109"/>
      <c r="CI483" s="109"/>
      <c r="CJ483" s="109"/>
      <c r="CK483" s="109"/>
      <c r="CL483" s="109"/>
      <c r="CM483" s="109"/>
      <c r="CN483" s="109"/>
      <c r="CO483" s="109"/>
      <c r="CP483" s="109"/>
    </row>
    <row r="484" spans="1:94" x14ac:dyDescent="0.25">
      <c r="A484" s="109"/>
      <c r="B484" s="10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  <c r="BR484" s="109"/>
      <c r="BS484" s="109"/>
      <c r="BT484" s="109"/>
      <c r="BU484" s="109"/>
      <c r="BV484" s="109"/>
      <c r="BW484" s="109"/>
      <c r="BX484" s="109"/>
      <c r="BY484" s="109"/>
      <c r="BZ484" s="109"/>
      <c r="CA484" s="109"/>
      <c r="CB484" s="109"/>
      <c r="CC484" s="109"/>
      <c r="CD484" s="109"/>
      <c r="CE484" s="109"/>
      <c r="CF484" s="109"/>
      <c r="CG484" s="109"/>
      <c r="CH484" s="109"/>
      <c r="CI484" s="109"/>
      <c r="CJ484" s="109"/>
      <c r="CK484" s="109"/>
      <c r="CL484" s="109"/>
      <c r="CM484" s="109"/>
      <c r="CN484" s="109"/>
      <c r="CO484" s="109"/>
      <c r="CP484" s="109"/>
    </row>
    <row r="485" spans="1:94" x14ac:dyDescent="0.25">
      <c r="A485" s="109"/>
      <c r="B485" s="10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  <c r="BR485" s="109"/>
      <c r="BS485" s="109"/>
      <c r="BT485" s="109"/>
      <c r="BU485" s="109"/>
      <c r="BV485" s="109"/>
      <c r="BW485" s="109"/>
      <c r="BX485" s="109"/>
      <c r="BY485" s="109"/>
      <c r="BZ485" s="109"/>
      <c r="CA485" s="109"/>
      <c r="CB485" s="109"/>
      <c r="CC485" s="109"/>
      <c r="CD485" s="109"/>
      <c r="CE485" s="109"/>
      <c r="CF485" s="109"/>
      <c r="CG485" s="109"/>
      <c r="CH485" s="109"/>
      <c r="CI485" s="109"/>
      <c r="CJ485" s="109"/>
      <c r="CK485" s="109"/>
      <c r="CL485" s="109"/>
      <c r="CM485" s="109"/>
      <c r="CN485" s="109"/>
      <c r="CO485" s="109"/>
      <c r="CP485" s="109"/>
    </row>
    <row r="486" spans="1:94" x14ac:dyDescent="0.25">
      <c r="A486" s="109"/>
      <c r="B486" s="10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  <c r="BR486" s="109"/>
      <c r="BS486" s="109"/>
      <c r="BT486" s="109"/>
      <c r="BU486" s="109"/>
      <c r="BV486" s="109"/>
      <c r="BW486" s="109"/>
      <c r="BX486" s="109"/>
      <c r="BY486" s="109"/>
      <c r="BZ486" s="109"/>
      <c r="CA486" s="109"/>
      <c r="CB486" s="109"/>
      <c r="CC486" s="109"/>
      <c r="CD486" s="109"/>
      <c r="CE486" s="109"/>
      <c r="CF486" s="109"/>
      <c r="CG486" s="109"/>
      <c r="CH486" s="109"/>
      <c r="CI486" s="109"/>
      <c r="CJ486" s="109"/>
      <c r="CK486" s="109"/>
      <c r="CL486" s="109"/>
      <c r="CM486" s="109"/>
      <c r="CN486" s="109"/>
      <c r="CO486" s="109"/>
      <c r="CP486" s="109"/>
    </row>
    <row r="487" spans="1:94" x14ac:dyDescent="0.25">
      <c r="A487" s="109"/>
      <c r="B487" s="10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  <c r="BR487" s="109"/>
      <c r="BS487" s="109"/>
      <c r="BT487" s="109"/>
      <c r="BU487" s="109"/>
      <c r="BV487" s="109"/>
      <c r="BW487" s="109"/>
      <c r="BX487" s="109"/>
      <c r="BY487" s="109"/>
      <c r="BZ487" s="109"/>
      <c r="CA487" s="109"/>
      <c r="CB487" s="109"/>
      <c r="CC487" s="109"/>
      <c r="CD487" s="109"/>
      <c r="CE487" s="109"/>
      <c r="CF487" s="109"/>
      <c r="CG487" s="109"/>
      <c r="CH487" s="109"/>
      <c r="CI487" s="109"/>
      <c r="CJ487" s="109"/>
      <c r="CK487" s="109"/>
      <c r="CL487" s="109"/>
      <c r="CM487" s="109"/>
      <c r="CN487" s="109"/>
      <c r="CO487" s="109"/>
      <c r="CP487" s="109"/>
    </row>
    <row r="488" spans="1:94" x14ac:dyDescent="0.25">
      <c r="A488" s="109"/>
      <c r="B488" s="10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  <c r="BR488" s="109"/>
      <c r="BS488" s="109"/>
      <c r="BT488" s="109"/>
      <c r="BU488" s="109"/>
      <c r="BV488" s="109"/>
      <c r="BW488" s="109"/>
      <c r="BX488" s="109"/>
      <c r="BY488" s="109"/>
      <c r="BZ488" s="109"/>
      <c r="CA488" s="109"/>
      <c r="CB488" s="109"/>
      <c r="CC488" s="109"/>
      <c r="CD488" s="109"/>
      <c r="CE488" s="109"/>
      <c r="CF488" s="109"/>
      <c r="CG488" s="109"/>
      <c r="CH488" s="109"/>
      <c r="CI488" s="109"/>
      <c r="CJ488" s="109"/>
      <c r="CK488" s="109"/>
      <c r="CL488" s="109"/>
      <c r="CM488" s="109"/>
      <c r="CN488" s="109"/>
      <c r="CO488" s="109"/>
      <c r="CP488" s="109"/>
    </row>
    <row r="489" spans="1:94" x14ac:dyDescent="0.25">
      <c r="A489" s="109"/>
      <c r="B489" s="10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  <c r="BR489" s="109"/>
      <c r="BS489" s="109"/>
      <c r="BT489" s="109"/>
      <c r="BU489" s="109"/>
      <c r="BV489" s="109"/>
      <c r="BW489" s="109"/>
      <c r="BX489" s="109"/>
      <c r="BY489" s="109"/>
      <c r="BZ489" s="109"/>
      <c r="CA489" s="109"/>
      <c r="CB489" s="109"/>
      <c r="CC489" s="109"/>
      <c r="CD489" s="109"/>
      <c r="CE489" s="109"/>
      <c r="CF489" s="109"/>
      <c r="CG489" s="109"/>
      <c r="CH489" s="109"/>
      <c r="CI489" s="109"/>
      <c r="CJ489" s="109"/>
      <c r="CK489" s="109"/>
      <c r="CL489" s="109"/>
      <c r="CM489" s="109"/>
      <c r="CN489" s="109"/>
      <c r="CO489" s="109"/>
      <c r="CP489" s="109"/>
    </row>
    <row r="490" spans="1:94" x14ac:dyDescent="0.25">
      <c r="A490" s="109"/>
      <c r="B490" s="10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  <c r="BR490" s="109"/>
      <c r="BS490" s="109"/>
      <c r="BT490" s="109"/>
      <c r="BU490" s="109"/>
      <c r="BV490" s="109"/>
      <c r="BW490" s="109"/>
      <c r="BX490" s="109"/>
      <c r="BY490" s="109"/>
      <c r="BZ490" s="109"/>
      <c r="CA490" s="109"/>
      <c r="CB490" s="109"/>
      <c r="CC490" s="109"/>
      <c r="CD490" s="109"/>
      <c r="CE490" s="109"/>
      <c r="CF490" s="109"/>
      <c r="CG490" s="109"/>
      <c r="CH490" s="109"/>
      <c r="CI490" s="109"/>
      <c r="CJ490" s="109"/>
      <c r="CK490" s="109"/>
      <c r="CL490" s="109"/>
      <c r="CM490" s="109"/>
      <c r="CN490" s="109"/>
      <c r="CO490" s="109"/>
      <c r="CP490" s="109"/>
    </row>
    <row r="491" spans="1:94" x14ac:dyDescent="0.25">
      <c r="A491" s="109"/>
      <c r="B491" s="10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  <c r="BR491" s="109"/>
      <c r="BS491" s="109"/>
      <c r="BT491" s="109"/>
      <c r="BU491" s="109"/>
      <c r="BV491" s="109"/>
      <c r="BW491" s="109"/>
      <c r="BX491" s="109"/>
      <c r="BY491" s="109"/>
      <c r="BZ491" s="109"/>
      <c r="CA491" s="109"/>
      <c r="CB491" s="109"/>
      <c r="CC491" s="109"/>
      <c r="CD491" s="109"/>
      <c r="CE491" s="109"/>
      <c r="CF491" s="109"/>
      <c r="CG491" s="109"/>
      <c r="CH491" s="109"/>
      <c r="CI491" s="109"/>
      <c r="CJ491" s="109"/>
      <c r="CK491" s="109"/>
      <c r="CL491" s="109"/>
      <c r="CM491" s="109"/>
      <c r="CN491" s="109"/>
      <c r="CO491" s="109"/>
      <c r="CP491" s="109"/>
    </row>
    <row r="492" spans="1:94" x14ac:dyDescent="0.25">
      <c r="A492" s="109"/>
      <c r="B492" s="10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  <c r="BR492" s="109"/>
      <c r="BS492" s="109"/>
      <c r="BT492" s="109"/>
      <c r="BU492" s="109"/>
      <c r="BV492" s="109"/>
      <c r="BW492" s="109"/>
      <c r="BX492" s="109"/>
      <c r="BY492" s="109"/>
      <c r="BZ492" s="109"/>
      <c r="CA492" s="109"/>
      <c r="CB492" s="109"/>
      <c r="CC492" s="109"/>
      <c r="CD492" s="109"/>
      <c r="CE492" s="109"/>
      <c r="CF492" s="109"/>
      <c r="CG492" s="109"/>
      <c r="CH492" s="109"/>
      <c r="CI492" s="109"/>
      <c r="CJ492" s="109"/>
      <c r="CK492" s="109"/>
      <c r="CL492" s="109"/>
      <c r="CM492" s="109"/>
      <c r="CN492" s="109"/>
      <c r="CO492" s="109"/>
      <c r="CP492" s="109"/>
    </row>
    <row r="493" spans="1:94" x14ac:dyDescent="0.25">
      <c r="A493" s="109"/>
      <c r="B493" s="10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  <c r="BR493" s="109"/>
      <c r="BS493" s="109"/>
      <c r="BT493" s="109"/>
      <c r="BU493" s="109"/>
      <c r="BV493" s="109"/>
      <c r="BW493" s="109"/>
      <c r="BX493" s="109"/>
      <c r="BY493" s="109"/>
      <c r="BZ493" s="109"/>
      <c r="CA493" s="109"/>
      <c r="CB493" s="109"/>
      <c r="CC493" s="109"/>
      <c r="CD493" s="109"/>
      <c r="CE493" s="109"/>
      <c r="CF493" s="109"/>
      <c r="CG493" s="109"/>
      <c r="CH493" s="109"/>
      <c r="CI493" s="109"/>
      <c r="CJ493" s="109"/>
      <c r="CK493" s="109"/>
      <c r="CL493" s="109"/>
      <c r="CM493" s="109"/>
      <c r="CN493" s="109"/>
      <c r="CO493" s="109"/>
      <c r="CP493" s="109"/>
    </row>
    <row r="494" spans="1:94" x14ac:dyDescent="0.25">
      <c r="A494" s="109"/>
      <c r="B494" s="10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  <c r="BR494" s="109"/>
      <c r="BS494" s="109"/>
      <c r="BT494" s="109"/>
      <c r="BU494" s="109"/>
      <c r="BV494" s="109"/>
      <c r="BW494" s="109"/>
      <c r="BX494" s="109"/>
      <c r="BY494" s="109"/>
      <c r="BZ494" s="109"/>
      <c r="CA494" s="109"/>
      <c r="CB494" s="109"/>
      <c r="CC494" s="109"/>
      <c r="CD494" s="109"/>
      <c r="CE494" s="109"/>
      <c r="CF494" s="109"/>
      <c r="CG494" s="109"/>
      <c r="CH494" s="109"/>
      <c r="CI494" s="109"/>
      <c r="CJ494" s="109"/>
      <c r="CK494" s="109"/>
      <c r="CL494" s="109"/>
      <c r="CM494" s="109"/>
      <c r="CN494" s="109"/>
      <c r="CO494" s="109"/>
      <c r="CP494" s="109"/>
    </row>
    <row r="495" spans="1:94" x14ac:dyDescent="0.25">
      <c r="A495" s="109"/>
      <c r="B495" s="10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  <c r="BR495" s="109"/>
      <c r="BS495" s="109"/>
      <c r="BT495" s="109"/>
      <c r="BU495" s="109"/>
      <c r="BV495" s="109"/>
      <c r="BW495" s="109"/>
      <c r="BX495" s="109"/>
      <c r="BY495" s="109"/>
      <c r="BZ495" s="109"/>
      <c r="CA495" s="109"/>
      <c r="CB495" s="109"/>
      <c r="CC495" s="109"/>
      <c r="CD495" s="109"/>
      <c r="CE495" s="109"/>
      <c r="CF495" s="109"/>
      <c r="CG495" s="109"/>
      <c r="CH495" s="109"/>
      <c r="CI495" s="109"/>
      <c r="CJ495" s="109"/>
      <c r="CK495" s="109"/>
      <c r="CL495" s="109"/>
      <c r="CM495" s="109"/>
      <c r="CN495" s="109"/>
      <c r="CO495" s="109"/>
      <c r="CP495" s="109"/>
    </row>
    <row r="496" spans="1:94" x14ac:dyDescent="0.25">
      <c r="A496" s="109"/>
      <c r="B496" s="10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  <c r="BR496" s="109"/>
      <c r="BS496" s="109"/>
      <c r="BT496" s="109"/>
      <c r="BU496" s="109"/>
      <c r="BV496" s="109"/>
      <c r="BW496" s="109"/>
      <c r="BX496" s="109"/>
      <c r="BY496" s="109"/>
      <c r="BZ496" s="109"/>
      <c r="CA496" s="109"/>
      <c r="CB496" s="109"/>
      <c r="CC496" s="109"/>
      <c r="CD496" s="109"/>
      <c r="CE496" s="109"/>
      <c r="CF496" s="109"/>
      <c r="CG496" s="109"/>
      <c r="CH496" s="109"/>
      <c r="CI496" s="109"/>
      <c r="CJ496" s="109"/>
      <c r="CK496" s="109"/>
      <c r="CL496" s="109"/>
      <c r="CM496" s="109"/>
      <c r="CN496" s="109"/>
      <c r="CO496" s="109"/>
      <c r="CP496" s="109"/>
    </row>
    <row r="497" spans="1:94" x14ac:dyDescent="0.25">
      <c r="A497" s="109"/>
      <c r="B497" s="10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  <c r="BR497" s="109"/>
      <c r="BS497" s="109"/>
      <c r="BT497" s="109"/>
      <c r="BU497" s="109"/>
      <c r="BV497" s="109"/>
      <c r="BW497" s="109"/>
      <c r="BX497" s="109"/>
      <c r="BY497" s="109"/>
      <c r="BZ497" s="109"/>
      <c r="CA497" s="109"/>
      <c r="CB497" s="109"/>
      <c r="CC497" s="109"/>
      <c r="CD497" s="109"/>
      <c r="CE497" s="109"/>
      <c r="CF497" s="109"/>
      <c r="CG497" s="109"/>
      <c r="CH497" s="109"/>
      <c r="CI497" s="109"/>
      <c r="CJ497" s="109"/>
      <c r="CK497" s="109"/>
      <c r="CL497" s="109"/>
      <c r="CM497" s="109"/>
      <c r="CN497" s="109"/>
      <c r="CO497" s="109"/>
      <c r="CP497" s="109"/>
    </row>
    <row r="498" spans="1:94" x14ac:dyDescent="0.25">
      <c r="A498" s="109"/>
      <c r="B498" s="10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  <c r="BR498" s="109"/>
      <c r="BS498" s="109"/>
      <c r="BT498" s="109"/>
      <c r="BU498" s="109"/>
      <c r="BV498" s="109"/>
      <c r="BW498" s="109"/>
      <c r="BX498" s="109"/>
      <c r="BY498" s="109"/>
      <c r="BZ498" s="109"/>
      <c r="CA498" s="109"/>
      <c r="CB498" s="109"/>
      <c r="CC498" s="109"/>
      <c r="CD498" s="109"/>
      <c r="CE498" s="109"/>
      <c r="CF498" s="109"/>
      <c r="CG498" s="109"/>
      <c r="CH498" s="109"/>
      <c r="CI498" s="109"/>
      <c r="CJ498" s="109"/>
      <c r="CK498" s="109"/>
      <c r="CL498" s="109"/>
      <c r="CM498" s="109"/>
      <c r="CN498" s="109"/>
      <c r="CO498" s="109"/>
      <c r="CP498" s="109"/>
    </row>
    <row r="499" spans="1:94" x14ac:dyDescent="0.25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  <c r="BR499" s="109"/>
      <c r="BS499" s="109"/>
      <c r="BT499" s="109"/>
      <c r="BU499" s="109"/>
      <c r="BV499" s="109"/>
      <c r="BW499" s="109"/>
      <c r="BX499" s="109"/>
      <c r="BY499" s="109"/>
      <c r="BZ499" s="109"/>
      <c r="CA499" s="109"/>
      <c r="CB499" s="109"/>
      <c r="CC499" s="109"/>
      <c r="CD499" s="109"/>
      <c r="CE499" s="109"/>
      <c r="CF499" s="109"/>
      <c r="CG499" s="109"/>
      <c r="CH499" s="109"/>
      <c r="CI499" s="109"/>
      <c r="CJ499" s="109"/>
      <c r="CK499" s="109"/>
      <c r="CL499" s="109"/>
      <c r="CM499" s="109"/>
      <c r="CN499" s="109"/>
      <c r="CO499" s="109"/>
      <c r="CP499" s="109"/>
    </row>
    <row r="500" spans="1:94" x14ac:dyDescent="0.25">
      <c r="A500" s="109"/>
      <c r="B500" s="10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  <c r="BR500" s="109"/>
      <c r="BS500" s="109"/>
      <c r="BT500" s="109"/>
      <c r="BU500" s="109"/>
      <c r="BV500" s="109"/>
      <c r="BW500" s="109"/>
      <c r="BX500" s="109"/>
      <c r="BY500" s="109"/>
      <c r="BZ500" s="109"/>
      <c r="CA500" s="109"/>
      <c r="CB500" s="109"/>
      <c r="CC500" s="109"/>
      <c r="CD500" s="109"/>
      <c r="CE500" s="109"/>
      <c r="CF500" s="109"/>
      <c r="CG500" s="109"/>
      <c r="CH500" s="109"/>
      <c r="CI500" s="109"/>
      <c r="CJ500" s="109"/>
      <c r="CK500" s="109"/>
      <c r="CL500" s="109"/>
      <c r="CM500" s="109"/>
      <c r="CN500" s="109"/>
      <c r="CO500" s="109"/>
      <c r="CP500" s="109"/>
    </row>
    <row r="501" spans="1:94" x14ac:dyDescent="0.25">
      <c r="A501" s="109"/>
      <c r="B501" s="10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  <c r="BR501" s="109"/>
      <c r="BS501" s="109"/>
      <c r="BT501" s="109"/>
      <c r="BU501" s="109"/>
      <c r="BV501" s="109"/>
      <c r="BW501" s="109"/>
      <c r="BX501" s="109"/>
      <c r="BY501" s="109"/>
      <c r="BZ501" s="109"/>
      <c r="CA501" s="109"/>
      <c r="CB501" s="109"/>
      <c r="CC501" s="109"/>
      <c r="CD501" s="109"/>
      <c r="CE501" s="109"/>
      <c r="CF501" s="109"/>
      <c r="CG501" s="109"/>
      <c r="CH501" s="109"/>
      <c r="CI501" s="109"/>
      <c r="CJ501" s="109"/>
      <c r="CK501" s="109"/>
      <c r="CL501" s="109"/>
      <c r="CM501" s="109"/>
      <c r="CN501" s="109"/>
      <c r="CO501" s="109"/>
      <c r="CP501" s="109"/>
    </row>
    <row r="502" spans="1:94" x14ac:dyDescent="0.25">
      <c r="A502" s="109"/>
      <c r="B502" s="10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  <c r="BR502" s="109"/>
      <c r="BS502" s="109"/>
      <c r="BT502" s="109"/>
      <c r="BU502" s="109"/>
      <c r="BV502" s="109"/>
      <c r="BW502" s="109"/>
      <c r="BX502" s="109"/>
      <c r="BY502" s="109"/>
      <c r="BZ502" s="109"/>
      <c r="CA502" s="109"/>
      <c r="CB502" s="109"/>
      <c r="CC502" s="109"/>
      <c r="CD502" s="109"/>
      <c r="CE502" s="109"/>
      <c r="CF502" s="109"/>
      <c r="CG502" s="109"/>
      <c r="CH502" s="109"/>
      <c r="CI502" s="109"/>
      <c r="CJ502" s="109"/>
      <c r="CK502" s="109"/>
      <c r="CL502" s="109"/>
      <c r="CM502" s="109"/>
      <c r="CN502" s="109"/>
      <c r="CO502" s="109"/>
      <c r="CP502" s="109"/>
    </row>
    <row r="503" spans="1:94" x14ac:dyDescent="0.25">
      <c r="A503" s="109"/>
      <c r="B503" s="10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  <c r="BR503" s="109"/>
      <c r="BS503" s="109"/>
      <c r="BT503" s="109"/>
      <c r="BU503" s="109"/>
      <c r="BV503" s="109"/>
      <c r="BW503" s="109"/>
      <c r="BX503" s="109"/>
      <c r="BY503" s="109"/>
      <c r="BZ503" s="109"/>
      <c r="CA503" s="109"/>
      <c r="CB503" s="109"/>
      <c r="CC503" s="109"/>
      <c r="CD503" s="109"/>
      <c r="CE503" s="109"/>
      <c r="CF503" s="109"/>
      <c r="CG503" s="109"/>
      <c r="CH503" s="109"/>
      <c r="CI503" s="109"/>
      <c r="CJ503" s="109"/>
      <c r="CK503" s="109"/>
      <c r="CL503" s="109"/>
      <c r="CM503" s="109"/>
      <c r="CN503" s="109"/>
      <c r="CO503" s="109"/>
      <c r="CP503" s="109"/>
    </row>
    <row r="504" spans="1:94" x14ac:dyDescent="0.25">
      <c r="A504" s="109"/>
      <c r="B504" s="10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  <c r="BR504" s="109"/>
      <c r="BS504" s="109"/>
      <c r="BT504" s="109"/>
      <c r="BU504" s="109"/>
      <c r="BV504" s="109"/>
      <c r="BW504" s="109"/>
      <c r="BX504" s="109"/>
      <c r="BY504" s="109"/>
      <c r="BZ504" s="109"/>
      <c r="CA504" s="109"/>
      <c r="CB504" s="109"/>
      <c r="CC504" s="109"/>
      <c r="CD504" s="109"/>
      <c r="CE504" s="109"/>
      <c r="CF504" s="109"/>
      <c r="CG504" s="109"/>
      <c r="CH504" s="109"/>
      <c r="CI504" s="109"/>
      <c r="CJ504" s="109"/>
      <c r="CK504" s="109"/>
      <c r="CL504" s="109"/>
      <c r="CM504" s="109"/>
      <c r="CN504" s="109"/>
      <c r="CO504" s="109"/>
      <c r="CP504" s="109"/>
    </row>
    <row r="505" spans="1:94" x14ac:dyDescent="0.25">
      <c r="A505" s="109"/>
      <c r="B505" s="10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  <c r="BR505" s="109"/>
      <c r="BS505" s="109"/>
      <c r="BT505" s="109"/>
      <c r="BU505" s="109"/>
      <c r="BV505" s="109"/>
      <c r="BW505" s="109"/>
      <c r="BX505" s="109"/>
      <c r="BY505" s="109"/>
      <c r="BZ505" s="109"/>
      <c r="CA505" s="109"/>
      <c r="CB505" s="109"/>
      <c r="CC505" s="109"/>
      <c r="CD505" s="109"/>
      <c r="CE505" s="109"/>
      <c r="CF505" s="109"/>
      <c r="CG505" s="109"/>
      <c r="CH505" s="109"/>
      <c r="CI505" s="109"/>
      <c r="CJ505" s="109"/>
      <c r="CK505" s="109"/>
      <c r="CL505" s="109"/>
      <c r="CM505" s="109"/>
      <c r="CN505" s="109"/>
      <c r="CO505" s="109"/>
      <c r="CP505" s="109"/>
    </row>
    <row r="506" spans="1:94" x14ac:dyDescent="0.25">
      <c r="A506" s="109"/>
      <c r="B506" s="10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  <c r="BR506" s="109"/>
      <c r="BS506" s="109"/>
      <c r="BT506" s="109"/>
      <c r="BU506" s="109"/>
      <c r="BV506" s="109"/>
      <c r="BW506" s="109"/>
      <c r="BX506" s="109"/>
      <c r="BY506" s="109"/>
      <c r="BZ506" s="109"/>
      <c r="CA506" s="109"/>
      <c r="CB506" s="109"/>
      <c r="CC506" s="109"/>
      <c r="CD506" s="109"/>
      <c r="CE506" s="109"/>
      <c r="CF506" s="109"/>
      <c r="CG506" s="109"/>
      <c r="CH506" s="109"/>
      <c r="CI506" s="109"/>
      <c r="CJ506" s="109"/>
      <c r="CK506" s="109"/>
      <c r="CL506" s="109"/>
      <c r="CM506" s="109"/>
      <c r="CN506" s="109"/>
      <c r="CO506" s="109"/>
      <c r="CP506" s="109"/>
    </row>
    <row r="507" spans="1:94" x14ac:dyDescent="0.25">
      <c r="A507" s="109"/>
      <c r="B507" s="10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  <c r="BR507" s="109"/>
      <c r="BS507" s="109"/>
      <c r="BT507" s="109"/>
      <c r="BU507" s="109"/>
      <c r="BV507" s="109"/>
      <c r="BW507" s="109"/>
      <c r="BX507" s="109"/>
      <c r="BY507" s="109"/>
      <c r="BZ507" s="109"/>
      <c r="CA507" s="109"/>
      <c r="CB507" s="109"/>
      <c r="CC507" s="109"/>
      <c r="CD507" s="109"/>
      <c r="CE507" s="109"/>
      <c r="CF507" s="109"/>
      <c r="CG507" s="109"/>
      <c r="CH507" s="109"/>
      <c r="CI507" s="109"/>
      <c r="CJ507" s="109"/>
      <c r="CK507" s="109"/>
      <c r="CL507" s="109"/>
      <c r="CM507" s="109"/>
      <c r="CN507" s="109"/>
      <c r="CO507" s="109"/>
      <c r="CP507" s="109"/>
    </row>
    <row r="508" spans="1:94" x14ac:dyDescent="0.25">
      <c r="A508" s="109"/>
      <c r="B508" s="10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  <c r="BR508" s="109"/>
      <c r="BS508" s="109"/>
      <c r="BT508" s="109"/>
      <c r="BU508" s="109"/>
      <c r="BV508" s="109"/>
      <c r="BW508" s="109"/>
      <c r="BX508" s="109"/>
      <c r="BY508" s="109"/>
      <c r="BZ508" s="109"/>
      <c r="CA508" s="109"/>
      <c r="CB508" s="109"/>
      <c r="CC508" s="109"/>
      <c r="CD508" s="109"/>
      <c r="CE508" s="109"/>
      <c r="CF508" s="109"/>
      <c r="CG508" s="109"/>
      <c r="CH508" s="109"/>
      <c r="CI508" s="109"/>
      <c r="CJ508" s="109"/>
      <c r="CK508" s="109"/>
      <c r="CL508" s="109"/>
      <c r="CM508" s="109"/>
      <c r="CN508" s="109"/>
      <c r="CO508" s="109"/>
      <c r="CP508" s="109"/>
    </row>
    <row r="509" spans="1:94" x14ac:dyDescent="0.25">
      <c r="A509" s="109"/>
      <c r="B509" s="10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  <c r="BR509" s="109"/>
      <c r="BS509" s="109"/>
      <c r="BT509" s="109"/>
      <c r="BU509" s="109"/>
      <c r="BV509" s="109"/>
      <c r="BW509" s="109"/>
      <c r="BX509" s="109"/>
      <c r="BY509" s="109"/>
      <c r="BZ509" s="109"/>
      <c r="CA509" s="109"/>
      <c r="CB509" s="109"/>
      <c r="CC509" s="109"/>
      <c r="CD509" s="109"/>
      <c r="CE509" s="109"/>
      <c r="CF509" s="109"/>
      <c r="CG509" s="109"/>
      <c r="CH509" s="109"/>
      <c r="CI509" s="109"/>
      <c r="CJ509" s="109"/>
      <c r="CK509" s="109"/>
      <c r="CL509" s="109"/>
      <c r="CM509" s="109"/>
      <c r="CN509" s="109"/>
      <c r="CO509" s="109"/>
      <c r="CP509" s="109"/>
    </row>
    <row r="510" spans="1:94" x14ac:dyDescent="0.25">
      <c r="A510" s="109"/>
      <c r="B510" s="10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  <c r="BR510" s="109"/>
      <c r="BS510" s="109"/>
      <c r="BT510" s="109"/>
      <c r="BU510" s="109"/>
      <c r="BV510" s="109"/>
      <c r="BW510" s="109"/>
      <c r="BX510" s="109"/>
      <c r="BY510" s="109"/>
      <c r="BZ510" s="109"/>
      <c r="CA510" s="109"/>
      <c r="CB510" s="109"/>
      <c r="CC510" s="109"/>
      <c r="CD510" s="109"/>
      <c r="CE510" s="109"/>
      <c r="CF510" s="109"/>
      <c r="CG510" s="109"/>
      <c r="CH510" s="109"/>
      <c r="CI510" s="109"/>
      <c r="CJ510" s="109"/>
      <c r="CK510" s="109"/>
      <c r="CL510" s="109"/>
      <c r="CM510" s="109"/>
      <c r="CN510" s="109"/>
      <c r="CO510" s="109"/>
      <c r="CP510" s="109"/>
    </row>
    <row r="511" spans="1:94" x14ac:dyDescent="0.25">
      <c r="A511" s="109"/>
      <c r="B511" s="10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  <c r="BR511" s="109"/>
      <c r="BS511" s="109"/>
      <c r="BT511" s="109"/>
      <c r="BU511" s="109"/>
      <c r="BV511" s="109"/>
      <c r="BW511" s="109"/>
      <c r="BX511" s="109"/>
      <c r="BY511" s="109"/>
      <c r="BZ511" s="109"/>
      <c r="CA511" s="109"/>
      <c r="CB511" s="109"/>
      <c r="CC511" s="109"/>
      <c r="CD511" s="109"/>
      <c r="CE511" s="109"/>
      <c r="CF511" s="109"/>
      <c r="CG511" s="109"/>
      <c r="CH511" s="109"/>
      <c r="CI511" s="109"/>
      <c r="CJ511" s="109"/>
      <c r="CK511" s="109"/>
      <c r="CL511" s="109"/>
      <c r="CM511" s="109"/>
      <c r="CN511" s="109"/>
      <c r="CO511" s="109"/>
      <c r="CP511" s="109"/>
    </row>
    <row r="512" spans="1:94" x14ac:dyDescent="0.25">
      <c r="A512" s="109"/>
      <c r="B512" s="10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  <c r="BR512" s="109"/>
      <c r="BS512" s="109"/>
      <c r="BT512" s="109"/>
      <c r="BU512" s="109"/>
      <c r="BV512" s="109"/>
      <c r="BW512" s="109"/>
      <c r="BX512" s="109"/>
      <c r="BY512" s="109"/>
      <c r="BZ512" s="109"/>
      <c r="CA512" s="109"/>
      <c r="CB512" s="109"/>
      <c r="CC512" s="109"/>
      <c r="CD512" s="109"/>
      <c r="CE512" s="109"/>
      <c r="CF512" s="109"/>
      <c r="CG512" s="109"/>
      <c r="CH512" s="109"/>
      <c r="CI512" s="109"/>
      <c r="CJ512" s="109"/>
      <c r="CK512" s="109"/>
      <c r="CL512" s="109"/>
      <c r="CM512" s="109"/>
      <c r="CN512" s="109"/>
      <c r="CO512" s="109"/>
      <c r="CP512" s="109"/>
    </row>
    <row r="513" spans="1:94" x14ac:dyDescent="0.25">
      <c r="A513" s="109"/>
      <c r="B513" s="10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  <c r="BR513" s="109"/>
      <c r="BS513" s="109"/>
      <c r="BT513" s="109"/>
      <c r="BU513" s="109"/>
      <c r="BV513" s="109"/>
      <c r="BW513" s="109"/>
      <c r="BX513" s="109"/>
      <c r="BY513" s="109"/>
      <c r="BZ513" s="109"/>
      <c r="CA513" s="109"/>
      <c r="CB513" s="109"/>
      <c r="CC513" s="109"/>
      <c r="CD513" s="109"/>
      <c r="CE513" s="109"/>
      <c r="CF513" s="109"/>
      <c r="CG513" s="109"/>
      <c r="CH513" s="109"/>
      <c r="CI513" s="109"/>
      <c r="CJ513" s="109"/>
      <c r="CK513" s="109"/>
      <c r="CL513" s="109"/>
      <c r="CM513" s="109"/>
      <c r="CN513" s="109"/>
      <c r="CO513" s="109"/>
      <c r="CP513" s="109"/>
    </row>
    <row r="514" spans="1:94" x14ac:dyDescent="0.25">
      <c r="A514" s="109"/>
      <c r="B514" s="10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  <c r="BR514" s="109"/>
      <c r="BS514" s="109"/>
      <c r="BT514" s="109"/>
      <c r="BU514" s="109"/>
      <c r="BV514" s="109"/>
      <c r="BW514" s="109"/>
      <c r="BX514" s="109"/>
      <c r="BY514" s="109"/>
      <c r="BZ514" s="109"/>
      <c r="CA514" s="109"/>
      <c r="CB514" s="109"/>
      <c r="CC514" s="109"/>
      <c r="CD514" s="109"/>
      <c r="CE514" s="109"/>
      <c r="CF514" s="109"/>
      <c r="CG514" s="109"/>
      <c r="CH514" s="109"/>
      <c r="CI514" s="109"/>
      <c r="CJ514" s="109"/>
      <c r="CK514" s="109"/>
      <c r="CL514" s="109"/>
      <c r="CM514" s="109"/>
      <c r="CN514" s="109"/>
      <c r="CO514" s="109"/>
      <c r="CP514" s="109"/>
    </row>
    <row r="515" spans="1:94" x14ac:dyDescent="0.25">
      <c r="A515" s="109"/>
      <c r="B515" s="10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  <c r="BR515" s="109"/>
      <c r="BS515" s="109"/>
      <c r="BT515" s="109"/>
      <c r="BU515" s="109"/>
      <c r="BV515" s="109"/>
      <c r="BW515" s="109"/>
      <c r="BX515" s="109"/>
      <c r="BY515" s="109"/>
      <c r="BZ515" s="109"/>
      <c r="CA515" s="109"/>
      <c r="CB515" s="109"/>
      <c r="CC515" s="109"/>
      <c r="CD515" s="109"/>
      <c r="CE515" s="109"/>
      <c r="CF515" s="109"/>
      <c r="CG515" s="109"/>
      <c r="CH515" s="109"/>
      <c r="CI515" s="109"/>
      <c r="CJ515" s="109"/>
      <c r="CK515" s="109"/>
      <c r="CL515" s="109"/>
      <c r="CM515" s="109"/>
      <c r="CN515" s="109"/>
      <c r="CO515" s="109"/>
      <c r="CP515" s="109"/>
    </row>
    <row r="516" spans="1:94" x14ac:dyDescent="0.25">
      <c r="A516" s="109"/>
      <c r="B516" s="10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  <c r="BR516" s="109"/>
      <c r="BS516" s="109"/>
      <c r="BT516" s="109"/>
      <c r="BU516" s="109"/>
      <c r="BV516" s="109"/>
      <c r="BW516" s="109"/>
      <c r="BX516" s="109"/>
      <c r="BY516" s="109"/>
      <c r="BZ516" s="109"/>
      <c r="CA516" s="109"/>
      <c r="CB516" s="109"/>
      <c r="CC516" s="109"/>
      <c r="CD516" s="109"/>
      <c r="CE516" s="109"/>
      <c r="CF516" s="109"/>
      <c r="CG516" s="109"/>
      <c r="CH516" s="109"/>
      <c r="CI516" s="109"/>
      <c r="CJ516" s="109"/>
      <c r="CK516" s="109"/>
      <c r="CL516" s="109"/>
      <c r="CM516" s="109"/>
      <c r="CN516" s="109"/>
      <c r="CO516" s="109"/>
      <c r="CP516" s="109"/>
    </row>
    <row r="517" spans="1:94" x14ac:dyDescent="0.25">
      <c r="A517" s="109"/>
      <c r="B517" s="10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  <c r="BR517" s="109"/>
      <c r="BS517" s="109"/>
      <c r="BT517" s="109"/>
      <c r="BU517" s="109"/>
      <c r="BV517" s="109"/>
      <c r="BW517" s="109"/>
      <c r="BX517" s="109"/>
      <c r="BY517" s="109"/>
      <c r="BZ517" s="109"/>
      <c r="CA517" s="109"/>
      <c r="CB517" s="109"/>
      <c r="CC517" s="109"/>
      <c r="CD517" s="109"/>
      <c r="CE517" s="109"/>
      <c r="CF517" s="109"/>
      <c r="CG517" s="109"/>
      <c r="CH517" s="109"/>
      <c r="CI517" s="109"/>
      <c r="CJ517" s="109"/>
      <c r="CK517" s="109"/>
      <c r="CL517" s="109"/>
      <c r="CM517" s="109"/>
      <c r="CN517" s="109"/>
      <c r="CO517" s="109"/>
      <c r="CP517" s="109"/>
    </row>
    <row r="518" spans="1:94" x14ac:dyDescent="0.25">
      <c r="A518" s="109"/>
      <c r="B518" s="10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  <c r="BR518" s="109"/>
      <c r="BS518" s="109"/>
      <c r="BT518" s="109"/>
      <c r="BU518" s="109"/>
      <c r="BV518" s="109"/>
      <c r="BW518" s="109"/>
      <c r="BX518" s="109"/>
      <c r="BY518" s="109"/>
      <c r="BZ518" s="109"/>
      <c r="CA518" s="109"/>
      <c r="CB518" s="109"/>
      <c r="CC518" s="109"/>
      <c r="CD518" s="109"/>
      <c r="CE518" s="109"/>
      <c r="CF518" s="109"/>
      <c r="CG518" s="109"/>
      <c r="CH518" s="109"/>
      <c r="CI518" s="109"/>
      <c r="CJ518" s="109"/>
      <c r="CK518" s="109"/>
      <c r="CL518" s="109"/>
      <c r="CM518" s="109"/>
      <c r="CN518" s="109"/>
      <c r="CO518" s="109"/>
      <c r="CP518" s="109"/>
    </row>
    <row r="519" spans="1:94" x14ac:dyDescent="0.25">
      <c r="A519" s="109"/>
      <c r="B519" s="10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  <c r="BR519" s="109"/>
      <c r="BS519" s="109"/>
      <c r="BT519" s="109"/>
      <c r="BU519" s="109"/>
      <c r="BV519" s="109"/>
      <c r="BW519" s="109"/>
      <c r="BX519" s="109"/>
      <c r="BY519" s="109"/>
      <c r="BZ519" s="109"/>
      <c r="CA519" s="109"/>
      <c r="CB519" s="109"/>
      <c r="CC519" s="109"/>
      <c r="CD519" s="109"/>
      <c r="CE519" s="109"/>
      <c r="CF519" s="109"/>
      <c r="CG519" s="109"/>
      <c r="CH519" s="109"/>
      <c r="CI519" s="109"/>
      <c r="CJ519" s="109"/>
      <c r="CK519" s="109"/>
      <c r="CL519" s="109"/>
      <c r="CM519" s="109"/>
      <c r="CN519" s="109"/>
      <c r="CO519" s="109"/>
      <c r="CP519" s="109"/>
    </row>
    <row r="520" spans="1:94" x14ac:dyDescent="0.25">
      <c r="A520" s="109"/>
      <c r="B520" s="10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  <c r="BR520" s="109"/>
      <c r="BS520" s="109"/>
      <c r="BT520" s="109"/>
      <c r="BU520" s="109"/>
      <c r="BV520" s="109"/>
      <c r="BW520" s="109"/>
      <c r="BX520" s="109"/>
      <c r="BY520" s="109"/>
      <c r="BZ520" s="109"/>
      <c r="CA520" s="109"/>
      <c r="CB520" s="109"/>
      <c r="CC520" s="109"/>
      <c r="CD520" s="109"/>
      <c r="CE520" s="109"/>
      <c r="CF520" s="109"/>
      <c r="CG520" s="109"/>
      <c r="CH520" s="109"/>
      <c r="CI520" s="109"/>
      <c r="CJ520" s="109"/>
      <c r="CK520" s="109"/>
      <c r="CL520" s="109"/>
      <c r="CM520" s="109"/>
      <c r="CN520" s="109"/>
      <c r="CO520" s="109"/>
      <c r="CP520" s="109"/>
    </row>
    <row r="521" spans="1:94" x14ac:dyDescent="0.25">
      <c r="A521" s="109"/>
      <c r="B521" s="10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  <c r="BR521" s="109"/>
      <c r="BS521" s="109"/>
      <c r="BT521" s="109"/>
      <c r="BU521" s="109"/>
      <c r="BV521" s="109"/>
      <c r="BW521" s="109"/>
      <c r="BX521" s="109"/>
      <c r="BY521" s="109"/>
      <c r="BZ521" s="109"/>
      <c r="CA521" s="109"/>
      <c r="CB521" s="109"/>
      <c r="CC521" s="109"/>
      <c r="CD521" s="109"/>
      <c r="CE521" s="109"/>
      <c r="CF521" s="109"/>
      <c r="CG521" s="109"/>
      <c r="CH521" s="109"/>
      <c r="CI521" s="109"/>
      <c r="CJ521" s="109"/>
      <c r="CK521" s="109"/>
      <c r="CL521" s="109"/>
      <c r="CM521" s="109"/>
      <c r="CN521" s="109"/>
      <c r="CO521" s="109"/>
      <c r="CP521" s="109"/>
    </row>
    <row r="522" spans="1:94" x14ac:dyDescent="0.25">
      <c r="A522" s="109"/>
      <c r="B522" s="10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  <c r="BR522" s="109"/>
      <c r="BS522" s="109"/>
      <c r="BT522" s="109"/>
      <c r="BU522" s="109"/>
      <c r="BV522" s="109"/>
      <c r="BW522" s="109"/>
      <c r="BX522" s="109"/>
      <c r="BY522" s="109"/>
      <c r="BZ522" s="109"/>
      <c r="CA522" s="109"/>
      <c r="CB522" s="109"/>
      <c r="CC522" s="109"/>
      <c r="CD522" s="109"/>
      <c r="CE522" s="109"/>
      <c r="CF522" s="109"/>
      <c r="CG522" s="109"/>
      <c r="CH522" s="109"/>
      <c r="CI522" s="109"/>
      <c r="CJ522" s="109"/>
      <c r="CK522" s="109"/>
      <c r="CL522" s="109"/>
      <c r="CM522" s="109"/>
      <c r="CN522" s="109"/>
      <c r="CO522" s="109"/>
      <c r="CP522" s="109"/>
    </row>
    <row r="523" spans="1:94" x14ac:dyDescent="0.25">
      <c r="A523" s="109"/>
      <c r="B523" s="10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  <c r="BR523" s="109"/>
      <c r="BS523" s="109"/>
      <c r="BT523" s="109"/>
      <c r="BU523" s="109"/>
      <c r="BV523" s="109"/>
      <c r="BW523" s="109"/>
      <c r="BX523" s="109"/>
      <c r="BY523" s="109"/>
      <c r="BZ523" s="109"/>
      <c r="CA523" s="109"/>
      <c r="CB523" s="109"/>
      <c r="CC523" s="109"/>
      <c r="CD523" s="109"/>
      <c r="CE523" s="109"/>
      <c r="CF523" s="109"/>
      <c r="CG523" s="109"/>
      <c r="CH523" s="109"/>
      <c r="CI523" s="109"/>
      <c r="CJ523" s="109"/>
      <c r="CK523" s="109"/>
      <c r="CL523" s="109"/>
      <c r="CM523" s="109"/>
      <c r="CN523" s="109"/>
      <c r="CO523" s="109"/>
      <c r="CP523" s="109"/>
    </row>
    <row r="524" spans="1:94" x14ac:dyDescent="0.25">
      <c r="A524" s="109"/>
      <c r="B524" s="10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  <c r="BR524" s="109"/>
      <c r="BS524" s="109"/>
      <c r="BT524" s="109"/>
      <c r="BU524" s="109"/>
      <c r="BV524" s="109"/>
      <c r="BW524" s="109"/>
      <c r="BX524" s="109"/>
      <c r="BY524" s="109"/>
      <c r="BZ524" s="109"/>
      <c r="CA524" s="109"/>
      <c r="CB524" s="109"/>
      <c r="CC524" s="109"/>
      <c r="CD524" s="109"/>
      <c r="CE524" s="109"/>
      <c r="CF524" s="109"/>
      <c r="CG524" s="109"/>
      <c r="CH524" s="109"/>
      <c r="CI524" s="109"/>
      <c r="CJ524" s="109"/>
      <c r="CK524" s="109"/>
      <c r="CL524" s="109"/>
      <c r="CM524" s="109"/>
      <c r="CN524" s="109"/>
      <c r="CO524" s="109"/>
      <c r="CP524" s="109"/>
    </row>
    <row r="525" spans="1:94" x14ac:dyDescent="0.25">
      <c r="A525" s="109"/>
      <c r="B525" s="10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  <c r="BR525" s="109"/>
      <c r="BS525" s="109"/>
      <c r="BT525" s="109"/>
      <c r="BU525" s="109"/>
      <c r="BV525" s="109"/>
      <c r="BW525" s="109"/>
      <c r="BX525" s="109"/>
      <c r="BY525" s="109"/>
      <c r="BZ525" s="109"/>
      <c r="CA525" s="109"/>
      <c r="CB525" s="109"/>
      <c r="CC525" s="109"/>
      <c r="CD525" s="109"/>
      <c r="CE525" s="109"/>
      <c r="CF525" s="109"/>
      <c r="CG525" s="109"/>
      <c r="CH525" s="109"/>
      <c r="CI525" s="109"/>
      <c r="CJ525" s="109"/>
      <c r="CK525" s="109"/>
      <c r="CL525" s="109"/>
      <c r="CM525" s="109"/>
      <c r="CN525" s="109"/>
      <c r="CO525" s="109"/>
      <c r="CP525" s="109"/>
    </row>
    <row r="526" spans="1:94" x14ac:dyDescent="0.25">
      <c r="A526" s="109"/>
      <c r="B526" s="10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  <c r="BR526" s="109"/>
      <c r="BS526" s="109"/>
      <c r="BT526" s="109"/>
      <c r="BU526" s="109"/>
      <c r="BV526" s="109"/>
      <c r="BW526" s="109"/>
      <c r="BX526" s="109"/>
      <c r="BY526" s="109"/>
      <c r="BZ526" s="109"/>
      <c r="CA526" s="109"/>
      <c r="CB526" s="109"/>
      <c r="CC526" s="109"/>
      <c r="CD526" s="109"/>
      <c r="CE526" s="109"/>
      <c r="CF526" s="109"/>
      <c r="CG526" s="109"/>
      <c r="CH526" s="109"/>
      <c r="CI526" s="109"/>
      <c r="CJ526" s="109"/>
      <c r="CK526" s="109"/>
      <c r="CL526" s="109"/>
      <c r="CM526" s="109"/>
      <c r="CN526" s="109"/>
      <c r="CO526" s="109"/>
      <c r="CP526" s="109"/>
    </row>
    <row r="527" spans="1:94" x14ac:dyDescent="0.25">
      <c r="A527" s="109"/>
      <c r="B527" s="10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  <c r="BR527" s="109"/>
      <c r="BS527" s="109"/>
      <c r="BT527" s="109"/>
      <c r="BU527" s="109"/>
      <c r="BV527" s="109"/>
      <c r="BW527" s="109"/>
      <c r="BX527" s="109"/>
      <c r="BY527" s="109"/>
      <c r="BZ527" s="109"/>
      <c r="CA527" s="109"/>
      <c r="CB527" s="109"/>
      <c r="CC527" s="109"/>
      <c r="CD527" s="109"/>
      <c r="CE527" s="109"/>
      <c r="CF527" s="109"/>
      <c r="CG527" s="109"/>
      <c r="CH527" s="109"/>
      <c r="CI527" s="109"/>
      <c r="CJ527" s="109"/>
      <c r="CK527" s="109"/>
      <c r="CL527" s="109"/>
      <c r="CM527" s="109"/>
      <c r="CN527" s="109"/>
      <c r="CO527" s="109"/>
      <c r="CP527" s="109"/>
    </row>
    <row r="528" spans="1:94" x14ac:dyDescent="0.25">
      <c r="A528" s="109"/>
      <c r="B528" s="10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  <c r="BR528" s="109"/>
      <c r="BS528" s="109"/>
      <c r="BT528" s="109"/>
      <c r="BU528" s="109"/>
      <c r="BV528" s="109"/>
      <c r="BW528" s="109"/>
      <c r="BX528" s="109"/>
      <c r="BY528" s="109"/>
      <c r="BZ528" s="109"/>
      <c r="CA528" s="109"/>
      <c r="CB528" s="109"/>
      <c r="CC528" s="109"/>
      <c r="CD528" s="109"/>
      <c r="CE528" s="109"/>
      <c r="CF528" s="109"/>
      <c r="CG528" s="109"/>
      <c r="CH528" s="109"/>
      <c r="CI528" s="109"/>
      <c r="CJ528" s="109"/>
      <c r="CK528" s="109"/>
      <c r="CL528" s="109"/>
      <c r="CM528" s="109"/>
      <c r="CN528" s="109"/>
      <c r="CO528" s="109"/>
      <c r="CP528" s="109"/>
    </row>
    <row r="529" spans="1:94" x14ac:dyDescent="0.25">
      <c r="A529" s="109"/>
      <c r="B529" s="10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  <c r="BR529" s="109"/>
      <c r="BS529" s="109"/>
      <c r="BT529" s="109"/>
      <c r="BU529" s="109"/>
      <c r="BV529" s="109"/>
      <c r="BW529" s="109"/>
      <c r="BX529" s="109"/>
      <c r="BY529" s="109"/>
      <c r="BZ529" s="109"/>
      <c r="CA529" s="109"/>
      <c r="CB529" s="109"/>
      <c r="CC529" s="109"/>
      <c r="CD529" s="109"/>
      <c r="CE529" s="109"/>
      <c r="CF529" s="109"/>
      <c r="CG529" s="109"/>
      <c r="CH529" s="109"/>
      <c r="CI529" s="109"/>
      <c r="CJ529" s="109"/>
      <c r="CK529" s="109"/>
      <c r="CL529" s="109"/>
      <c r="CM529" s="109"/>
      <c r="CN529" s="109"/>
      <c r="CO529" s="109"/>
      <c r="CP529" s="109"/>
    </row>
    <row r="530" spans="1:94" x14ac:dyDescent="0.25">
      <c r="A530" s="109"/>
      <c r="B530" s="10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  <c r="BR530" s="109"/>
      <c r="BS530" s="109"/>
      <c r="BT530" s="109"/>
      <c r="BU530" s="109"/>
      <c r="BV530" s="109"/>
      <c r="BW530" s="109"/>
      <c r="BX530" s="109"/>
      <c r="BY530" s="109"/>
      <c r="BZ530" s="109"/>
      <c r="CA530" s="109"/>
      <c r="CB530" s="109"/>
      <c r="CC530" s="109"/>
      <c r="CD530" s="109"/>
      <c r="CE530" s="109"/>
      <c r="CF530" s="109"/>
      <c r="CG530" s="109"/>
      <c r="CH530" s="109"/>
      <c r="CI530" s="109"/>
      <c r="CJ530" s="109"/>
      <c r="CK530" s="109"/>
      <c r="CL530" s="109"/>
      <c r="CM530" s="109"/>
      <c r="CN530" s="109"/>
      <c r="CO530" s="109"/>
      <c r="CP530" s="109"/>
    </row>
    <row r="531" spans="1:94" x14ac:dyDescent="0.25">
      <c r="A531" s="109"/>
      <c r="B531" s="10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  <c r="BR531" s="109"/>
      <c r="BS531" s="109"/>
      <c r="BT531" s="109"/>
      <c r="BU531" s="109"/>
      <c r="BV531" s="109"/>
      <c r="BW531" s="109"/>
      <c r="BX531" s="109"/>
      <c r="BY531" s="109"/>
      <c r="BZ531" s="109"/>
      <c r="CA531" s="109"/>
      <c r="CB531" s="109"/>
      <c r="CC531" s="109"/>
      <c r="CD531" s="109"/>
      <c r="CE531" s="109"/>
      <c r="CF531" s="109"/>
      <c r="CG531" s="109"/>
      <c r="CH531" s="109"/>
      <c r="CI531" s="109"/>
      <c r="CJ531" s="109"/>
      <c r="CK531" s="109"/>
      <c r="CL531" s="109"/>
      <c r="CM531" s="109"/>
      <c r="CN531" s="109"/>
      <c r="CO531" s="109"/>
      <c r="CP531" s="109"/>
    </row>
    <row r="532" spans="1:94" x14ac:dyDescent="0.25">
      <c r="A532" s="109"/>
      <c r="B532" s="10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  <c r="BR532" s="109"/>
      <c r="BS532" s="109"/>
      <c r="BT532" s="109"/>
      <c r="BU532" s="109"/>
      <c r="BV532" s="109"/>
      <c r="BW532" s="109"/>
      <c r="BX532" s="109"/>
      <c r="BY532" s="109"/>
      <c r="BZ532" s="109"/>
      <c r="CA532" s="109"/>
      <c r="CB532" s="109"/>
      <c r="CC532" s="109"/>
      <c r="CD532" s="109"/>
      <c r="CE532" s="109"/>
      <c r="CF532" s="109"/>
      <c r="CG532" s="109"/>
      <c r="CH532" s="109"/>
      <c r="CI532" s="109"/>
      <c r="CJ532" s="109"/>
      <c r="CK532" s="109"/>
      <c r="CL532" s="109"/>
      <c r="CM532" s="109"/>
      <c r="CN532" s="109"/>
      <c r="CO532" s="109"/>
      <c r="CP532" s="109"/>
    </row>
    <row r="533" spans="1:94" x14ac:dyDescent="0.25">
      <c r="A533" s="109"/>
      <c r="B533" s="10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  <c r="BR533" s="109"/>
      <c r="BS533" s="109"/>
      <c r="BT533" s="109"/>
      <c r="BU533" s="109"/>
      <c r="BV533" s="109"/>
      <c r="BW533" s="109"/>
      <c r="BX533" s="109"/>
      <c r="BY533" s="109"/>
      <c r="BZ533" s="109"/>
      <c r="CA533" s="109"/>
      <c r="CB533" s="109"/>
      <c r="CC533" s="109"/>
      <c r="CD533" s="109"/>
      <c r="CE533" s="109"/>
      <c r="CF533" s="109"/>
      <c r="CG533" s="109"/>
      <c r="CH533" s="109"/>
      <c r="CI533" s="109"/>
      <c r="CJ533" s="109"/>
      <c r="CK533" s="109"/>
      <c r="CL533" s="109"/>
      <c r="CM533" s="109"/>
      <c r="CN533" s="109"/>
      <c r="CO533" s="109"/>
      <c r="CP533" s="109"/>
    </row>
    <row r="534" spans="1:94" x14ac:dyDescent="0.25">
      <c r="A534" s="109"/>
      <c r="B534" s="10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  <c r="BR534" s="109"/>
      <c r="BS534" s="109"/>
      <c r="BT534" s="109"/>
      <c r="BU534" s="109"/>
      <c r="BV534" s="109"/>
      <c r="BW534" s="109"/>
      <c r="BX534" s="109"/>
      <c r="BY534" s="109"/>
      <c r="BZ534" s="109"/>
      <c r="CA534" s="109"/>
      <c r="CB534" s="109"/>
      <c r="CC534" s="109"/>
      <c r="CD534" s="109"/>
      <c r="CE534" s="109"/>
      <c r="CF534" s="109"/>
      <c r="CG534" s="109"/>
      <c r="CH534" s="109"/>
      <c r="CI534" s="109"/>
      <c r="CJ534" s="109"/>
      <c r="CK534" s="109"/>
      <c r="CL534" s="109"/>
      <c r="CM534" s="109"/>
      <c r="CN534" s="109"/>
      <c r="CO534" s="109"/>
      <c r="CP534" s="109"/>
    </row>
    <row r="535" spans="1:94" x14ac:dyDescent="0.25">
      <c r="A535" s="109"/>
      <c r="B535" s="10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  <c r="BR535" s="109"/>
      <c r="BS535" s="109"/>
      <c r="BT535" s="109"/>
      <c r="BU535" s="109"/>
      <c r="BV535" s="109"/>
      <c r="BW535" s="109"/>
      <c r="BX535" s="109"/>
      <c r="BY535" s="109"/>
      <c r="BZ535" s="109"/>
      <c r="CA535" s="109"/>
      <c r="CB535" s="109"/>
      <c r="CC535" s="109"/>
      <c r="CD535" s="109"/>
      <c r="CE535" s="109"/>
      <c r="CF535" s="109"/>
      <c r="CG535" s="109"/>
      <c r="CH535" s="109"/>
      <c r="CI535" s="109"/>
      <c r="CJ535" s="109"/>
      <c r="CK535" s="109"/>
      <c r="CL535" s="109"/>
      <c r="CM535" s="109"/>
      <c r="CN535" s="109"/>
      <c r="CO535" s="109"/>
      <c r="CP535" s="109"/>
    </row>
    <row r="536" spans="1:94" x14ac:dyDescent="0.25">
      <c r="A536" s="109"/>
      <c r="B536" s="10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  <c r="BR536" s="109"/>
      <c r="BS536" s="109"/>
      <c r="BT536" s="109"/>
      <c r="BU536" s="109"/>
      <c r="BV536" s="109"/>
      <c r="BW536" s="109"/>
      <c r="BX536" s="109"/>
      <c r="BY536" s="109"/>
      <c r="BZ536" s="109"/>
      <c r="CA536" s="109"/>
      <c r="CB536" s="109"/>
      <c r="CC536" s="109"/>
      <c r="CD536" s="109"/>
      <c r="CE536" s="109"/>
      <c r="CF536" s="109"/>
      <c r="CG536" s="109"/>
      <c r="CH536" s="109"/>
      <c r="CI536" s="109"/>
      <c r="CJ536" s="109"/>
      <c r="CK536" s="109"/>
      <c r="CL536" s="109"/>
      <c r="CM536" s="109"/>
      <c r="CN536" s="109"/>
      <c r="CO536" s="109"/>
      <c r="CP536" s="109"/>
    </row>
    <row r="537" spans="1:94" x14ac:dyDescent="0.25">
      <c r="A537" s="109"/>
      <c r="B537" s="10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  <c r="BR537" s="109"/>
      <c r="BS537" s="109"/>
      <c r="BT537" s="109"/>
      <c r="BU537" s="109"/>
      <c r="BV537" s="109"/>
      <c r="BW537" s="109"/>
      <c r="BX537" s="109"/>
      <c r="BY537" s="109"/>
      <c r="BZ537" s="109"/>
      <c r="CA537" s="109"/>
      <c r="CB537" s="109"/>
      <c r="CC537" s="109"/>
      <c r="CD537" s="109"/>
      <c r="CE537" s="109"/>
      <c r="CF537" s="109"/>
      <c r="CG537" s="109"/>
      <c r="CH537" s="109"/>
      <c r="CI537" s="109"/>
      <c r="CJ537" s="109"/>
      <c r="CK537" s="109"/>
      <c r="CL537" s="109"/>
      <c r="CM537" s="109"/>
      <c r="CN537" s="109"/>
      <c r="CO537" s="109"/>
      <c r="CP537" s="109"/>
    </row>
    <row r="538" spans="1:94" x14ac:dyDescent="0.25">
      <c r="A538" s="109"/>
      <c r="B538" s="10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  <c r="BR538" s="109"/>
      <c r="BS538" s="109"/>
      <c r="BT538" s="109"/>
      <c r="BU538" s="109"/>
      <c r="BV538" s="109"/>
      <c r="BW538" s="109"/>
      <c r="BX538" s="109"/>
      <c r="BY538" s="109"/>
      <c r="BZ538" s="109"/>
      <c r="CA538" s="109"/>
      <c r="CB538" s="109"/>
      <c r="CC538" s="109"/>
      <c r="CD538" s="109"/>
      <c r="CE538" s="109"/>
      <c r="CF538" s="109"/>
      <c r="CG538" s="109"/>
      <c r="CH538" s="109"/>
      <c r="CI538" s="109"/>
      <c r="CJ538" s="109"/>
      <c r="CK538" s="109"/>
      <c r="CL538" s="109"/>
      <c r="CM538" s="109"/>
      <c r="CN538" s="109"/>
      <c r="CO538" s="109"/>
      <c r="CP538" s="109"/>
    </row>
    <row r="539" spans="1:94" x14ac:dyDescent="0.25">
      <c r="A539" s="109"/>
      <c r="B539" s="10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  <c r="BR539" s="109"/>
      <c r="BS539" s="109"/>
      <c r="BT539" s="109"/>
      <c r="BU539" s="109"/>
      <c r="BV539" s="109"/>
      <c r="BW539" s="109"/>
      <c r="BX539" s="109"/>
      <c r="BY539" s="109"/>
      <c r="BZ539" s="109"/>
      <c r="CA539" s="109"/>
      <c r="CB539" s="109"/>
      <c r="CC539" s="109"/>
      <c r="CD539" s="109"/>
      <c r="CE539" s="109"/>
      <c r="CF539" s="109"/>
      <c r="CG539" s="109"/>
      <c r="CH539" s="109"/>
      <c r="CI539" s="109"/>
      <c r="CJ539" s="109"/>
      <c r="CK539" s="109"/>
      <c r="CL539" s="109"/>
      <c r="CM539" s="109"/>
      <c r="CN539" s="109"/>
      <c r="CO539" s="109"/>
      <c r="CP539" s="109"/>
    </row>
    <row r="540" spans="1:94" x14ac:dyDescent="0.25">
      <c r="A540" s="109"/>
      <c r="B540" s="10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  <c r="BR540" s="109"/>
      <c r="BS540" s="109"/>
      <c r="BT540" s="109"/>
      <c r="BU540" s="109"/>
      <c r="BV540" s="109"/>
      <c r="BW540" s="109"/>
      <c r="BX540" s="109"/>
      <c r="BY540" s="109"/>
      <c r="BZ540" s="109"/>
      <c r="CA540" s="109"/>
      <c r="CB540" s="109"/>
      <c r="CC540" s="109"/>
      <c r="CD540" s="109"/>
      <c r="CE540" s="109"/>
      <c r="CF540" s="109"/>
      <c r="CG540" s="109"/>
      <c r="CH540" s="109"/>
      <c r="CI540" s="109"/>
      <c r="CJ540" s="109"/>
      <c r="CK540" s="109"/>
      <c r="CL540" s="109"/>
      <c r="CM540" s="109"/>
      <c r="CN540" s="109"/>
      <c r="CO540" s="109"/>
      <c r="CP540" s="109"/>
    </row>
    <row r="541" spans="1:94" x14ac:dyDescent="0.25">
      <c r="A541" s="109"/>
      <c r="B541" s="10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  <c r="BR541" s="109"/>
      <c r="BS541" s="109"/>
      <c r="BT541" s="109"/>
      <c r="BU541" s="109"/>
      <c r="BV541" s="109"/>
      <c r="BW541" s="109"/>
      <c r="BX541" s="109"/>
      <c r="BY541" s="109"/>
      <c r="BZ541" s="109"/>
      <c r="CA541" s="109"/>
      <c r="CB541" s="109"/>
      <c r="CC541" s="109"/>
      <c r="CD541" s="109"/>
      <c r="CE541" s="109"/>
      <c r="CF541" s="109"/>
      <c r="CG541" s="109"/>
      <c r="CH541" s="109"/>
      <c r="CI541" s="109"/>
      <c r="CJ541" s="109"/>
      <c r="CK541" s="109"/>
      <c r="CL541" s="109"/>
      <c r="CM541" s="109"/>
      <c r="CN541" s="109"/>
      <c r="CO541" s="109"/>
      <c r="CP541" s="109"/>
    </row>
    <row r="542" spans="1:94" x14ac:dyDescent="0.25">
      <c r="A542" s="109"/>
      <c r="B542" s="10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  <c r="BR542" s="109"/>
      <c r="BS542" s="109"/>
      <c r="BT542" s="109"/>
      <c r="BU542" s="109"/>
      <c r="BV542" s="109"/>
      <c r="BW542" s="109"/>
      <c r="BX542" s="109"/>
      <c r="BY542" s="109"/>
      <c r="BZ542" s="109"/>
      <c r="CA542" s="109"/>
      <c r="CB542" s="109"/>
      <c r="CC542" s="109"/>
      <c r="CD542" s="109"/>
      <c r="CE542" s="109"/>
      <c r="CF542" s="109"/>
      <c r="CG542" s="109"/>
      <c r="CH542" s="109"/>
      <c r="CI542" s="109"/>
      <c r="CJ542" s="109"/>
      <c r="CK542" s="109"/>
      <c r="CL542" s="109"/>
      <c r="CM542" s="109"/>
      <c r="CN542" s="109"/>
      <c r="CO542" s="109"/>
      <c r="CP542" s="109"/>
    </row>
    <row r="543" spans="1:94" x14ac:dyDescent="0.25">
      <c r="A543" s="109"/>
      <c r="B543" s="10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  <c r="BR543" s="109"/>
      <c r="BS543" s="109"/>
      <c r="BT543" s="109"/>
      <c r="BU543" s="109"/>
      <c r="BV543" s="109"/>
      <c r="BW543" s="109"/>
      <c r="BX543" s="109"/>
      <c r="BY543" s="109"/>
      <c r="BZ543" s="109"/>
      <c r="CA543" s="109"/>
      <c r="CB543" s="109"/>
      <c r="CC543" s="109"/>
      <c r="CD543" s="109"/>
      <c r="CE543" s="109"/>
      <c r="CF543" s="109"/>
      <c r="CG543" s="109"/>
      <c r="CH543" s="109"/>
      <c r="CI543" s="109"/>
      <c r="CJ543" s="109"/>
      <c r="CK543" s="109"/>
      <c r="CL543" s="109"/>
      <c r="CM543" s="109"/>
      <c r="CN543" s="109"/>
      <c r="CO543" s="109"/>
      <c r="CP543" s="109"/>
    </row>
    <row r="544" spans="1:94" x14ac:dyDescent="0.25">
      <c r="A544" s="109"/>
      <c r="B544" s="10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  <c r="BR544" s="109"/>
      <c r="BS544" s="109"/>
      <c r="BT544" s="109"/>
      <c r="BU544" s="109"/>
      <c r="BV544" s="109"/>
      <c r="BW544" s="109"/>
      <c r="BX544" s="109"/>
      <c r="BY544" s="109"/>
      <c r="BZ544" s="109"/>
      <c r="CA544" s="109"/>
      <c r="CB544" s="109"/>
      <c r="CC544" s="109"/>
      <c r="CD544" s="109"/>
      <c r="CE544" s="109"/>
      <c r="CF544" s="109"/>
      <c r="CG544" s="109"/>
      <c r="CH544" s="109"/>
      <c r="CI544" s="109"/>
      <c r="CJ544" s="109"/>
      <c r="CK544" s="109"/>
      <c r="CL544" s="109"/>
      <c r="CM544" s="109"/>
      <c r="CN544" s="109"/>
      <c r="CO544" s="109"/>
      <c r="CP544" s="109"/>
    </row>
    <row r="545" spans="1:94" x14ac:dyDescent="0.25">
      <c r="A545" s="109"/>
      <c r="B545" s="10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  <c r="BR545" s="109"/>
      <c r="BS545" s="109"/>
      <c r="BT545" s="109"/>
      <c r="BU545" s="109"/>
      <c r="BV545" s="109"/>
      <c r="BW545" s="109"/>
      <c r="BX545" s="109"/>
      <c r="BY545" s="109"/>
      <c r="BZ545" s="109"/>
      <c r="CA545" s="109"/>
      <c r="CB545" s="109"/>
      <c r="CC545" s="109"/>
      <c r="CD545" s="109"/>
      <c r="CE545" s="109"/>
      <c r="CF545" s="109"/>
      <c r="CG545" s="109"/>
      <c r="CH545" s="109"/>
      <c r="CI545" s="109"/>
      <c r="CJ545" s="109"/>
      <c r="CK545" s="109"/>
      <c r="CL545" s="109"/>
      <c r="CM545" s="109"/>
      <c r="CN545" s="109"/>
      <c r="CO545" s="109"/>
      <c r="CP545" s="109"/>
    </row>
    <row r="546" spans="1:94" x14ac:dyDescent="0.25">
      <c r="A546" s="109"/>
      <c r="B546" s="10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  <c r="BR546" s="109"/>
      <c r="BS546" s="109"/>
      <c r="BT546" s="109"/>
      <c r="BU546" s="109"/>
      <c r="BV546" s="109"/>
      <c r="BW546" s="109"/>
      <c r="BX546" s="109"/>
      <c r="BY546" s="109"/>
      <c r="BZ546" s="109"/>
      <c r="CA546" s="109"/>
      <c r="CB546" s="109"/>
      <c r="CC546" s="109"/>
      <c r="CD546" s="109"/>
      <c r="CE546" s="109"/>
      <c r="CF546" s="109"/>
      <c r="CG546" s="109"/>
      <c r="CH546" s="109"/>
      <c r="CI546" s="109"/>
      <c r="CJ546" s="109"/>
      <c r="CK546" s="109"/>
      <c r="CL546" s="109"/>
      <c r="CM546" s="109"/>
      <c r="CN546" s="109"/>
      <c r="CO546" s="109"/>
      <c r="CP546" s="109"/>
    </row>
    <row r="547" spans="1:94" x14ac:dyDescent="0.25">
      <c r="A547" s="109"/>
      <c r="B547" s="10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  <c r="BR547" s="109"/>
      <c r="BS547" s="109"/>
      <c r="BT547" s="109"/>
      <c r="BU547" s="109"/>
      <c r="BV547" s="109"/>
      <c r="BW547" s="109"/>
      <c r="BX547" s="109"/>
      <c r="BY547" s="109"/>
      <c r="BZ547" s="109"/>
      <c r="CA547" s="109"/>
      <c r="CB547" s="109"/>
      <c r="CC547" s="109"/>
      <c r="CD547" s="109"/>
      <c r="CE547" s="109"/>
      <c r="CF547" s="109"/>
      <c r="CG547" s="109"/>
      <c r="CH547" s="109"/>
      <c r="CI547" s="109"/>
      <c r="CJ547" s="109"/>
      <c r="CK547" s="109"/>
      <c r="CL547" s="109"/>
      <c r="CM547" s="109"/>
      <c r="CN547" s="109"/>
      <c r="CO547" s="109"/>
      <c r="CP547" s="109"/>
    </row>
    <row r="548" spans="1:94" x14ac:dyDescent="0.25">
      <c r="A548" s="109"/>
      <c r="B548" s="10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  <c r="BR548" s="109"/>
      <c r="BS548" s="109"/>
      <c r="BT548" s="109"/>
      <c r="BU548" s="109"/>
      <c r="BV548" s="109"/>
      <c r="BW548" s="109"/>
      <c r="BX548" s="109"/>
      <c r="BY548" s="109"/>
      <c r="BZ548" s="109"/>
      <c r="CA548" s="109"/>
      <c r="CB548" s="109"/>
      <c r="CC548" s="109"/>
      <c r="CD548" s="109"/>
      <c r="CE548" s="109"/>
      <c r="CF548" s="109"/>
      <c r="CG548" s="109"/>
      <c r="CH548" s="109"/>
      <c r="CI548" s="109"/>
      <c r="CJ548" s="109"/>
      <c r="CK548" s="109"/>
      <c r="CL548" s="109"/>
      <c r="CM548" s="109"/>
      <c r="CN548" s="109"/>
      <c r="CO548" s="109"/>
      <c r="CP548" s="109"/>
    </row>
    <row r="549" spans="1:94" x14ac:dyDescent="0.25">
      <c r="A549" s="109"/>
      <c r="B549" s="10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  <c r="BR549" s="109"/>
      <c r="BS549" s="109"/>
      <c r="BT549" s="109"/>
      <c r="BU549" s="109"/>
      <c r="BV549" s="109"/>
      <c r="BW549" s="109"/>
      <c r="BX549" s="109"/>
      <c r="BY549" s="109"/>
      <c r="BZ549" s="109"/>
      <c r="CA549" s="109"/>
      <c r="CB549" s="109"/>
      <c r="CC549" s="109"/>
      <c r="CD549" s="109"/>
      <c r="CE549" s="109"/>
      <c r="CF549" s="109"/>
      <c r="CG549" s="109"/>
      <c r="CH549" s="109"/>
      <c r="CI549" s="109"/>
      <c r="CJ549" s="109"/>
      <c r="CK549" s="109"/>
      <c r="CL549" s="109"/>
      <c r="CM549" s="109"/>
      <c r="CN549" s="109"/>
      <c r="CO549" s="109"/>
      <c r="CP549" s="109"/>
    </row>
    <row r="550" spans="1:94" x14ac:dyDescent="0.25">
      <c r="A550" s="109"/>
      <c r="B550" s="10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  <c r="BR550" s="109"/>
      <c r="BS550" s="109"/>
      <c r="BT550" s="109"/>
      <c r="BU550" s="109"/>
      <c r="BV550" s="109"/>
      <c r="BW550" s="109"/>
      <c r="BX550" s="109"/>
      <c r="BY550" s="109"/>
      <c r="BZ550" s="109"/>
      <c r="CA550" s="109"/>
      <c r="CB550" s="109"/>
      <c r="CC550" s="109"/>
      <c r="CD550" s="109"/>
      <c r="CE550" s="109"/>
      <c r="CF550" s="109"/>
      <c r="CG550" s="109"/>
      <c r="CH550" s="109"/>
      <c r="CI550" s="109"/>
      <c r="CJ550" s="109"/>
      <c r="CK550" s="109"/>
      <c r="CL550" s="109"/>
      <c r="CM550" s="109"/>
      <c r="CN550" s="109"/>
      <c r="CO550" s="109"/>
      <c r="CP550" s="109"/>
    </row>
    <row r="551" spans="1:94" x14ac:dyDescent="0.25">
      <c r="A551" s="109"/>
      <c r="B551" s="10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  <c r="BR551" s="109"/>
      <c r="BS551" s="109"/>
      <c r="BT551" s="109"/>
      <c r="BU551" s="109"/>
      <c r="BV551" s="109"/>
      <c r="BW551" s="109"/>
      <c r="BX551" s="109"/>
      <c r="BY551" s="109"/>
      <c r="BZ551" s="109"/>
      <c r="CA551" s="109"/>
      <c r="CB551" s="109"/>
      <c r="CC551" s="109"/>
      <c r="CD551" s="109"/>
      <c r="CE551" s="109"/>
      <c r="CF551" s="109"/>
      <c r="CG551" s="109"/>
      <c r="CH551" s="109"/>
      <c r="CI551" s="109"/>
      <c r="CJ551" s="109"/>
      <c r="CK551" s="109"/>
      <c r="CL551" s="109"/>
      <c r="CM551" s="109"/>
      <c r="CN551" s="109"/>
      <c r="CO551" s="109"/>
      <c r="CP551" s="109"/>
    </row>
    <row r="552" spans="1:94" x14ac:dyDescent="0.25">
      <c r="A552" s="109"/>
      <c r="B552" s="10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  <c r="BR552" s="109"/>
      <c r="BS552" s="109"/>
      <c r="BT552" s="109"/>
      <c r="BU552" s="109"/>
      <c r="BV552" s="109"/>
      <c r="BW552" s="109"/>
      <c r="BX552" s="109"/>
      <c r="BY552" s="109"/>
      <c r="BZ552" s="109"/>
      <c r="CA552" s="109"/>
      <c r="CB552" s="109"/>
      <c r="CC552" s="109"/>
      <c r="CD552" s="109"/>
      <c r="CE552" s="109"/>
      <c r="CF552" s="109"/>
      <c r="CG552" s="109"/>
      <c r="CH552" s="109"/>
      <c r="CI552" s="109"/>
      <c r="CJ552" s="109"/>
      <c r="CK552" s="109"/>
      <c r="CL552" s="109"/>
      <c r="CM552" s="109"/>
      <c r="CN552" s="109"/>
      <c r="CO552" s="109"/>
      <c r="CP552" s="109"/>
    </row>
    <row r="553" spans="1:94" x14ac:dyDescent="0.25">
      <c r="A553" s="109"/>
      <c r="B553" s="10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  <c r="BR553" s="109"/>
      <c r="BS553" s="109"/>
      <c r="BT553" s="109"/>
      <c r="BU553" s="109"/>
      <c r="BV553" s="109"/>
      <c r="BW553" s="109"/>
      <c r="BX553" s="109"/>
      <c r="BY553" s="109"/>
      <c r="BZ553" s="109"/>
      <c r="CA553" s="109"/>
      <c r="CB553" s="109"/>
      <c r="CC553" s="109"/>
      <c r="CD553" s="109"/>
      <c r="CE553" s="109"/>
      <c r="CF553" s="109"/>
      <c r="CG553" s="109"/>
      <c r="CH553" s="109"/>
      <c r="CI553" s="109"/>
      <c r="CJ553" s="109"/>
      <c r="CK553" s="109"/>
      <c r="CL553" s="109"/>
      <c r="CM553" s="109"/>
      <c r="CN553" s="109"/>
      <c r="CO553" s="109"/>
      <c r="CP553" s="109"/>
    </row>
    <row r="554" spans="1:94" x14ac:dyDescent="0.25">
      <c r="A554" s="109"/>
      <c r="B554" s="10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  <c r="BR554" s="109"/>
      <c r="BS554" s="109"/>
      <c r="BT554" s="109"/>
      <c r="BU554" s="109"/>
      <c r="BV554" s="109"/>
      <c r="BW554" s="109"/>
      <c r="BX554" s="109"/>
      <c r="BY554" s="109"/>
      <c r="BZ554" s="109"/>
      <c r="CA554" s="109"/>
      <c r="CB554" s="109"/>
      <c r="CC554" s="109"/>
      <c r="CD554" s="109"/>
      <c r="CE554" s="109"/>
      <c r="CF554" s="109"/>
      <c r="CG554" s="109"/>
      <c r="CH554" s="109"/>
      <c r="CI554" s="109"/>
      <c r="CJ554" s="109"/>
      <c r="CK554" s="109"/>
      <c r="CL554" s="109"/>
      <c r="CM554" s="109"/>
      <c r="CN554" s="109"/>
      <c r="CO554" s="109"/>
      <c r="CP554" s="109"/>
    </row>
    <row r="555" spans="1:94" x14ac:dyDescent="0.25">
      <c r="A555" s="109"/>
      <c r="B555" s="10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  <c r="BR555" s="109"/>
      <c r="BS555" s="109"/>
      <c r="BT555" s="109"/>
      <c r="BU555" s="109"/>
      <c r="BV555" s="109"/>
      <c r="BW555" s="109"/>
      <c r="BX555" s="109"/>
      <c r="BY555" s="109"/>
      <c r="BZ555" s="109"/>
      <c r="CA555" s="109"/>
      <c r="CB555" s="109"/>
      <c r="CC555" s="109"/>
      <c r="CD555" s="109"/>
      <c r="CE555" s="109"/>
      <c r="CF555" s="109"/>
      <c r="CG555" s="109"/>
      <c r="CH555" s="109"/>
      <c r="CI555" s="109"/>
      <c r="CJ555" s="109"/>
      <c r="CK555" s="109"/>
      <c r="CL555" s="109"/>
      <c r="CM555" s="109"/>
      <c r="CN555" s="109"/>
      <c r="CO555" s="109"/>
      <c r="CP555" s="109"/>
    </row>
    <row r="556" spans="1:94" x14ac:dyDescent="0.25">
      <c r="A556" s="109"/>
      <c r="B556" s="10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  <c r="BR556" s="109"/>
      <c r="BS556" s="109"/>
      <c r="BT556" s="109"/>
      <c r="BU556" s="109"/>
      <c r="BV556" s="109"/>
      <c r="BW556" s="109"/>
      <c r="BX556" s="109"/>
      <c r="BY556" s="109"/>
      <c r="BZ556" s="109"/>
      <c r="CA556" s="109"/>
      <c r="CB556" s="109"/>
      <c r="CC556" s="109"/>
      <c r="CD556" s="109"/>
      <c r="CE556" s="109"/>
      <c r="CF556" s="109"/>
      <c r="CG556" s="109"/>
      <c r="CH556" s="109"/>
      <c r="CI556" s="109"/>
      <c r="CJ556" s="109"/>
      <c r="CK556" s="109"/>
      <c r="CL556" s="109"/>
      <c r="CM556" s="109"/>
      <c r="CN556" s="109"/>
      <c r="CO556" s="109"/>
      <c r="CP556" s="109"/>
    </row>
    <row r="557" spans="1:94" x14ac:dyDescent="0.25">
      <c r="A557" s="109"/>
      <c r="B557" s="10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  <c r="BR557" s="109"/>
      <c r="BS557" s="109"/>
      <c r="BT557" s="109"/>
      <c r="BU557" s="109"/>
      <c r="BV557" s="109"/>
      <c r="BW557" s="109"/>
      <c r="BX557" s="109"/>
      <c r="BY557" s="109"/>
      <c r="BZ557" s="109"/>
      <c r="CA557" s="109"/>
      <c r="CB557" s="109"/>
      <c r="CC557" s="109"/>
      <c r="CD557" s="109"/>
      <c r="CE557" s="109"/>
      <c r="CF557" s="109"/>
      <c r="CG557" s="109"/>
      <c r="CH557" s="109"/>
      <c r="CI557" s="109"/>
      <c r="CJ557" s="109"/>
      <c r="CK557" s="109"/>
      <c r="CL557" s="109"/>
      <c r="CM557" s="109"/>
      <c r="CN557" s="109"/>
      <c r="CO557" s="109"/>
      <c r="CP557" s="109"/>
    </row>
    <row r="558" spans="1:94" x14ac:dyDescent="0.25">
      <c r="A558" s="109"/>
      <c r="B558" s="10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  <c r="BR558" s="109"/>
      <c r="BS558" s="109"/>
      <c r="BT558" s="109"/>
      <c r="BU558" s="109"/>
      <c r="BV558" s="109"/>
      <c r="BW558" s="109"/>
      <c r="BX558" s="109"/>
      <c r="BY558" s="109"/>
      <c r="BZ558" s="109"/>
      <c r="CA558" s="109"/>
      <c r="CB558" s="109"/>
      <c r="CC558" s="109"/>
      <c r="CD558" s="109"/>
      <c r="CE558" s="109"/>
      <c r="CF558" s="109"/>
      <c r="CG558" s="109"/>
      <c r="CH558" s="109"/>
      <c r="CI558" s="109"/>
      <c r="CJ558" s="109"/>
      <c r="CK558" s="109"/>
      <c r="CL558" s="109"/>
      <c r="CM558" s="109"/>
      <c r="CN558" s="109"/>
      <c r="CO558" s="109"/>
      <c r="CP558" s="109"/>
    </row>
    <row r="559" spans="1:94" x14ac:dyDescent="0.25">
      <c r="A559" s="109"/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  <c r="BR559" s="109"/>
      <c r="BS559" s="109"/>
      <c r="BT559" s="109"/>
      <c r="BU559" s="109"/>
      <c r="BV559" s="109"/>
      <c r="BW559" s="109"/>
      <c r="BX559" s="109"/>
      <c r="BY559" s="109"/>
      <c r="BZ559" s="109"/>
      <c r="CA559" s="109"/>
      <c r="CB559" s="109"/>
      <c r="CC559" s="109"/>
      <c r="CD559" s="109"/>
      <c r="CE559" s="109"/>
      <c r="CF559" s="109"/>
      <c r="CG559" s="109"/>
      <c r="CH559" s="109"/>
      <c r="CI559" s="109"/>
      <c r="CJ559" s="109"/>
      <c r="CK559" s="109"/>
      <c r="CL559" s="109"/>
      <c r="CM559" s="109"/>
      <c r="CN559" s="109"/>
      <c r="CO559" s="109"/>
      <c r="CP559" s="109"/>
    </row>
    <row r="560" spans="1:94" x14ac:dyDescent="0.25">
      <c r="A560" s="109"/>
      <c r="B560" s="10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  <c r="BR560" s="109"/>
      <c r="BS560" s="109"/>
      <c r="BT560" s="109"/>
      <c r="BU560" s="109"/>
      <c r="BV560" s="109"/>
      <c r="BW560" s="109"/>
      <c r="BX560" s="109"/>
      <c r="BY560" s="109"/>
      <c r="BZ560" s="109"/>
      <c r="CA560" s="109"/>
      <c r="CB560" s="109"/>
      <c r="CC560" s="109"/>
      <c r="CD560" s="109"/>
      <c r="CE560" s="109"/>
      <c r="CF560" s="109"/>
      <c r="CG560" s="109"/>
      <c r="CH560" s="109"/>
      <c r="CI560" s="109"/>
      <c r="CJ560" s="109"/>
      <c r="CK560" s="109"/>
      <c r="CL560" s="109"/>
      <c r="CM560" s="109"/>
      <c r="CN560" s="109"/>
      <c r="CO560" s="109"/>
      <c r="CP560" s="109"/>
    </row>
    <row r="561" spans="1:94" x14ac:dyDescent="0.25">
      <c r="A561" s="109"/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  <c r="BR561" s="109"/>
      <c r="BS561" s="109"/>
      <c r="BT561" s="109"/>
      <c r="BU561" s="109"/>
      <c r="BV561" s="109"/>
      <c r="BW561" s="109"/>
      <c r="BX561" s="109"/>
      <c r="BY561" s="109"/>
      <c r="BZ561" s="109"/>
      <c r="CA561" s="109"/>
      <c r="CB561" s="109"/>
      <c r="CC561" s="109"/>
      <c r="CD561" s="109"/>
      <c r="CE561" s="109"/>
      <c r="CF561" s="109"/>
      <c r="CG561" s="109"/>
      <c r="CH561" s="109"/>
      <c r="CI561" s="109"/>
      <c r="CJ561" s="109"/>
      <c r="CK561" s="109"/>
      <c r="CL561" s="109"/>
      <c r="CM561" s="109"/>
      <c r="CN561" s="109"/>
      <c r="CO561" s="109"/>
      <c r="CP561" s="109"/>
    </row>
    <row r="562" spans="1:94" x14ac:dyDescent="0.25">
      <c r="A562" s="109"/>
      <c r="B562" s="10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  <c r="BR562" s="109"/>
      <c r="BS562" s="109"/>
      <c r="BT562" s="109"/>
      <c r="BU562" s="109"/>
      <c r="BV562" s="109"/>
      <c r="BW562" s="109"/>
      <c r="BX562" s="109"/>
      <c r="BY562" s="109"/>
      <c r="BZ562" s="109"/>
      <c r="CA562" s="109"/>
      <c r="CB562" s="109"/>
      <c r="CC562" s="109"/>
      <c r="CD562" s="109"/>
      <c r="CE562" s="109"/>
      <c r="CF562" s="109"/>
      <c r="CG562" s="109"/>
      <c r="CH562" s="109"/>
      <c r="CI562" s="109"/>
      <c r="CJ562" s="109"/>
      <c r="CK562" s="109"/>
      <c r="CL562" s="109"/>
      <c r="CM562" s="109"/>
      <c r="CN562" s="109"/>
      <c r="CO562" s="109"/>
      <c r="CP562" s="109"/>
    </row>
    <row r="563" spans="1:94" x14ac:dyDescent="0.25">
      <c r="A563" s="109"/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  <c r="BR563" s="109"/>
      <c r="BS563" s="109"/>
      <c r="BT563" s="109"/>
      <c r="BU563" s="109"/>
      <c r="BV563" s="109"/>
      <c r="BW563" s="109"/>
      <c r="BX563" s="109"/>
      <c r="BY563" s="109"/>
      <c r="BZ563" s="109"/>
      <c r="CA563" s="109"/>
      <c r="CB563" s="109"/>
      <c r="CC563" s="109"/>
      <c r="CD563" s="109"/>
      <c r="CE563" s="109"/>
      <c r="CF563" s="109"/>
      <c r="CG563" s="109"/>
      <c r="CH563" s="109"/>
      <c r="CI563" s="109"/>
      <c r="CJ563" s="109"/>
      <c r="CK563" s="109"/>
      <c r="CL563" s="109"/>
      <c r="CM563" s="109"/>
      <c r="CN563" s="109"/>
      <c r="CO563" s="109"/>
      <c r="CP563" s="109"/>
    </row>
    <row r="564" spans="1:94" x14ac:dyDescent="0.25">
      <c r="A564" s="109"/>
      <c r="B564" s="10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  <c r="BR564" s="109"/>
      <c r="BS564" s="109"/>
      <c r="BT564" s="109"/>
      <c r="BU564" s="109"/>
      <c r="BV564" s="109"/>
      <c r="BW564" s="109"/>
      <c r="BX564" s="109"/>
      <c r="BY564" s="109"/>
      <c r="BZ564" s="109"/>
      <c r="CA564" s="109"/>
      <c r="CB564" s="109"/>
      <c r="CC564" s="109"/>
      <c r="CD564" s="109"/>
      <c r="CE564" s="109"/>
      <c r="CF564" s="109"/>
      <c r="CG564" s="109"/>
      <c r="CH564" s="109"/>
      <c r="CI564" s="109"/>
      <c r="CJ564" s="109"/>
      <c r="CK564" s="109"/>
      <c r="CL564" s="109"/>
      <c r="CM564" s="109"/>
      <c r="CN564" s="109"/>
      <c r="CO564" s="109"/>
      <c r="CP564" s="109"/>
    </row>
    <row r="565" spans="1:94" x14ac:dyDescent="0.25">
      <c r="A565" s="109"/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  <c r="BR565" s="109"/>
      <c r="BS565" s="109"/>
      <c r="BT565" s="109"/>
      <c r="BU565" s="109"/>
      <c r="BV565" s="109"/>
      <c r="BW565" s="109"/>
      <c r="BX565" s="109"/>
      <c r="BY565" s="109"/>
      <c r="BZ565" s="109"/>
      <c r="CA565" s="109"/>
      <c r="CB565" s="109"/>
      <c r="CC565" s="109"/>
      <c r="CD565" s="109"/>
      <c r="CE565" s="109"/>
      <c r="CF565" s="109"/>
      <c r="CG565" s="109"/>
      <c r="CH565" s="109"/>
      <c r="CI565" s="109"/>
      <c r="CJ565" s="109"/>
      <c r="CK565" s="109"/>
      <c r="CL565" s="109"/>
      <c r="CM565" s="109"/>
      <c r="CN565" s="109"/>
      <c r="CO565" s="109"/>
      <c r="CP565" s="109"/>
    </row>
    <row r="566" spans="1:94" x14ac:dyDescent="0.25">
      <c r="A566" s="109"/>
      <c r="B566" s="10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  <c r="BR566" s="109"/>
      <c r="BS566" s="109"/>
      <c r="BT566" s="109"/>
      <c r="BU566" s="109"/>
      <c r="BV566" s="109"/>
      <c r="BW566" s="109"/>
      <c r="BX566" s="109"/>
      <c r="BY566" s="109"/>
      <c r="BZ566" s="109"/>
      <c r="CA566" s="109"/>
      <c r="CB566" s="109"/>
      <c r="CC566" s="109"/>
      <c r="CD566" s="109"/>
      <c r="CE566" s="109"/>
      <c r="CF566" s="109"/>
      <c r="CG566" s="109"/>
      <c r="CH566" s="109"/>
      <c r="CI566" s="109"/>
      <c r="CJ566" s="109"/>
      <c r="CK566" s="109"/>
      <c r="CL566" s="109"/>
      <c r="CM566" s="109"/>
      <c r="CN566" s="109"/>
      <c r="CO566" s="109"/>
      <c r="CP566" s="109"/>
    </row>
    <row r="567" spans="1:94" x14ac:dyDescent="0.25">
      <c r="A567" s="109"/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  <c r="BR567" s="109"/>
      <c r="BS567" s="109"/>
      <c r="BT567" s="109"/>
      <c r="BU567" s="109"/>
      <c r="BV567" s="109"/>
      <c r="BW567" s="109"/>
      <c r="BX567" s="109"/>
      <c r="BY567" s="109"/>
      <c r="BZ567" s="109"/>
      <c r="CA567" s="109"/>
      <c r="CB567" s="109"/>
      <c r="CC567" s="109"/>
      <c r="CD567" s="109"/>
      <c r="CE567" s="109"/>
      <c r="CF567" s="109"/>
      <c r="CG567" s="109"/>
      <c r="CH567" s="109"/>
      <c r="CI567" s="109"/>
      <c r="CJ567" s="109"/>
      <c r="CK567" s="109"/>
      <c r="CL567" s="109"/>
      <c r="CM567" s="109"/>
      <c r="CN567" s="109"/>
      <c r="CO567" s="109"/>
      <c r="CP567" s="109"/>
    </row>
    <row r="568" spans="1:94" x14ac:dyDescent="0.25">
      <c r="A568" s="109"/>
      <c r="B568" s="10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  <c r="BR568" s="109"/>
      <c r="BS568" s="109"/>
      <c r="BT568" s="109"/>
      <c r="BU568" s="109"/>
      <c r="BV568" s="109"/>
      <c r="BW568" s="109"/>
      <c r="BX568" s="109"/>
      <c r="BY568" s="109"/>
      <c r="BZ568" s="109"/>
      <c r="CA568" s="109"/>
      <c r="CB568" s="109"/>
      <c r="CC568" s="109"/>
      <c r="CD568" s="109"/>
      <c r="CE568" s="109"/>
      <c r="CF568" s="109"/>
      <c r="CG568" s="109"/>
      <c r="CH568" s="109"/>
      <c r="CI568" s="109"/>
      <c r="CJ568" s="109"/>
      <c r="CK568" s="109"/>
      <c r="CL568" s="109"/>
      <c r="CM568" s="109"/>
      <c r="CN568" s="109"/>
      <c r="CO568" s="109"/>
      <c r="CP568" s="109"/>
    </row>
    <row r="569" spans="1:94" x14ac:dyDescent="0.25">
      <c r="A569" s="109"/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  <c r="BR569" s="109"/>
      <c r="BS569" s="109"/>
      <c r="BT569" s="109"/>
      <c r="BU569" s="109"/>
      <c r="BV569" s="109"/>
      <c r="BW569" s="109"/>
      <c r="BX569" s="109"/>
      <c r="BY569" s="109"/>
      <c r="BZ569" s="109"/>
      <c r="CA569" s="109"/>
      <c r="CB569" s="109"/>
      <c r="CC569" s="109"/>
      <c r="CD569" s="109"/>
      <c r="CE569" s="109"/>
      <c r="CF569" s="109"/>
      <c r="CG569" s="109"/>
      <c r="CH569" s="109"/>
      <c r="CI569" s="109"/>
      <c r="CJ569" s="109"/>
      <c r="CK569" s="109"/>
      <c r="CL569" s="109"/>
      <c r="CM569" s="109"/>
      <c r="CN569" s="109"/>
      <c r="CO569" s="109"/>
      <c r="CP569" s="109"/>
    </row>
    <row r="570" spans="1:94" x14ac:dyDescent="0.25">
      <c r="A570" s="109"/>
      <c r="B570" s="10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  <c r="BR570" s="109"/>
      <c r="BS570" s="109"/>
      <c r="BT570" s="109"/>
      <c r="BU570" s="109"/>
      <c r="BV570" s="109"/>
      <c r="BW570" s="109"/>
      <c r="BX570" s="109"/>
      <c r="BY570" s="109"/>
      <c r="BZ570" s="109"/>
      <c r="CA570" s="109"/>
      <c r="CB570" s="109"/>
      <c r="CC570" s="109"/>
      <c r="CD570" s="109"/>
      <c r="CE570" s="109"/>
      <c r="CF570" s="109"/>
      <c r="CG570" s="109"/>
      <c r="CH570" s="109"/>
      <c r="CI570" s="109"/>
      <c r="CJ570" s="109"/>
      <c r="CK570" s="109"/>
      <c r="CL570" s="109"/>
      <c r="CM570" s="109"/>
      <c r="CN570" s="109"/>
      <c r="CO570" s="109"/>
      <c r="CP570" s="109"/>
    </row>
    <row r="571" spans="1:94" x14ac:dyDescent="0.25">
      <c r="A571" s="109"/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  <c r="BR571" s="109"/>
      <c r="BS571" s="109"/>
      <c r="BT571" s="109"/>
      <c r="BU571" s="109"/>
      <c r="BV571" s="109"/>
      <c r="BW571" s="109"/>
      <c r="BX571" s="109"/>
      <c r="BY571" s="109"/>
      <c r="BZ571" s="109"/>
      <c r="CA571" s="109"/>
      <c r="CB571" s="109"/>
      <c r="CC571" s="109"/>
      <c r="CD571" s="109"/>
      <c r="CE571" s="109"/>
      <c r="CF571" s="109"/>
      <c r="CG571" s="109"/>
      <c r="CH571" s="109"/>
      <c r="CI571" s="109"/>
      <c r="CJ571" s="109"/>
      <c r="CK571" s="109"/>
      <c r="CL571" s="109"/>
      <c r="CM571" s="109"/>
      <c r="CN571" s="109"/>
      <c r="CO571" s="109"/>
      <c r="CP571" s="109"/>
    </row>
    <row r="572" spans="1:94" x14ac:dyDescent="0.25">
      <c r="A572" s="109"/>
      <c r="B572" s="10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  <c r="BR572" s="109"/>
      <c r="BS572" s="109"/>
      <c r="BT572" s="109"/>
      <c r="BU572" s="109"/>
      <c r="BV572" s="109"/>
      <c r="BW572" s="109"/>
      <c r="BX572" s="109"/>
      <c r="BY572" s="109"/>
      <c r="BZ572" s="109"/>
      <c r="CA572" s="109"/>
      <c r="CB572" s="109"/>
      <c r="CC572" s="109"/>
      <c r="CD572" s="109"/>
      <c r="CE572" s="109"/>
      <c r="CF572" s="109"/>
      <c r="CG572" s="109"/>
      <c r="CH572" s="109"/>
      <c r="CI572" s="109"/>
      <c r="CJ572" s="109"/>
      <c r="CK572" s="109"/>
      <c r="CL572" s="109"/>
      <c r="CM572" s="109"/>
      <c r="CN572" s="109"/>
      <c r="CO572" s="109"/>
      <c r="CP572" s="109"/>
    </row>
    <row r="573" spans="1:94" x14ac:dyDescent="0.25">
      <c r="A573" s="109"/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  <c r="BR573" s="109"/>
      <c r="BS573" s="109"/>
      <c r="BT573" s="109"/>
      <c r="BU573" s="109"/>
      <c r="BV573" s="109"/>
      <c r="BW573" s="109"/>
      <c r="BX573" s="109"/>
      <c r="BY573" s="109"/>
      <c r="BZ573" s="109"/>
      <c r="CA573" s="109"/>
      <c r="CB573" s="109"/>
      <c r="CC573" s="109"/>
      <c r="CD573" s="109"/>
      <c r="CE573" s="109"/>
      <c r="CF573" s="109"/>
      <c r="CG573" s="109"/>
      <c r="CH573" s="109"/>
      <c r="CI573" s="109"/>
      <c r="CJ573" s="109"/>
      <c r="CK573" s="109"/>
      <c r="CL573" s="109"/>
      <c r="CM573" s="109"/>
      <c r="CN573" s="109"/>
      <c r="CO573" s="109"/>
      <c r="CP573" s="109"/>
    </row>
    <row r="574" spans="1:94" x14ac:dyDescent="0.25">
      <c r="A574" s="109"/>
      <c r="B574" s="10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  <c r="BR574" s="109"/>
      <c r="BS574" s="109"/>
      <c r="BT574" s="109"/>
      <c r="BU574" s="109"/>
      <c r="BV574" s="109"/>
      <c r="BW574" s="109"/>
      <c r="BX574" s="109"/>
      <c r="BY574" s="109"/>
      <c r="BZ574" s="109"/>
      <c r="CA574" s="109"/>
      <c r="CB574" s="109"/>
      <c r="CC574" s="109"/>
      <c r="CD574" s="109"/>
      <c r="CE574" s="109"/>
      <c r="CF574" s="109"/>
      <c r="CG574" s="109"/>
      <c r="CH574" s="109"/>
      <c r="CI574" s="109"/>
      <c r="CJ574" s="109"/>
      <c r="CK574" s="109"/>
      <c r="CL574" s="109"/>
      <c r="CM574" s="109"/>
      <c r="CN574" s="109"/>
      <c r="CO574" s="109"/>
      <c r="CP574" s="109"/>
    </row>
    <row r="575" spans="1:94" x14ac:dyDescent="0.25">
      <c r="A575" s="109"/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  <c r="BR575" s="109"/>
      <c r="BS575" s="109"/>
      <c r="BT575" s="109"/>
      <c r="BU575" s="109"/>
      <c r="BV575" s="109"/>
      <c r="BW575" s="109"/>
      <c r="BX575" s="109"/>
      <c r="BY575" s="109"/>
      <c r="BZ575" s="109"/>
      <c r="CA575" s="109"/>
      <c r="CB575" s="109"/>
      <c r="CC575" s="109"/>
      <c r="CD575" s="109"/>
      <c r="CE575" s="109"/>
      <c r="CF575" s="109"/>
      <c r="CG575" s="109"/>
      <c r="CH575" s="109"/>
      <c r="CI575" s="109"/>
      <c r="CJ575" s="109"/>
      <c r="CK575" s="109"/>
      <c r="CL575" s="109"/>
      <c r="CM575" s="109"/>
      <c r="CN575" s="109"/>
      <c r="CO575" s="109"/>
      <c r="CP575" s="109"/>
    </row>
    <row r="576" spans="1:94" x14ac:dyDescent="0.25">
      <c r="A576" s="109"/>
      <c r="B576" s="10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  <c r="BR576" s="109"/>
      <c r="BS576" s="109"/>
      <c r="BT576" s="109"/>
      <c r="BU576" s="109"/>
      <c r="BV576" s="109"/>
      <c r="BW576" s="109"/>
      <c r="BX576" s="109"/>
      <c r="BY576" s="109"/>
      <c r="BZ576" s="109"/>
      <c r="CA576" s="109"/>
      <c r="CB576" s="109"/>
      <c r="CC576" s="109"/>
      <c r="CD576" s="109"/>
      <c r="CE576" s="109"/>
      <c r="CF576" s="109"/>
      <c r="CG576" s="109"/>
      <c r="CH576" s="109"/>
      <c r="CI576" s="109"/>
      <c r="CJ576" s="109"/>
      <c r="CK576" s="109"/>
      <c r="CL576" s="109"/>
      <c r="CM576" s="109"/>
      <c r="CN576" s="109"/>
      <c r="CO576" s="109"/>
      <c r="CP576" s="109"/>
    </row>
    <row r="577" spans="1:94" x14ac:dyDescent="0.25">
      <c r="A577" s="109"/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  <c r="BR577" s="109"/>
      <c r="BS577" s="109"/>
      <c r="BT577" s="109"/>
      <c r="BU577" s="109"/>
      <c r="BV577" s="109"/>
      <c r="BW577" s="109"/>
      <c r="BX577" s="109"/>
      <c r="BY577" s="109"/>
      <c r="BZ577" s="109"/>
      <c r="CA577" s="109"/>
      <c r="CB577" s="109"/>
      <c r="CC577" s="109"/>
      <c r="CD577" s="109"/>
      <c r="CE577" s="109"/>
      <c r="CF577" s="109"/>
      <c r="CG577" s="109"/>
      <c r="CH577" s="109"/>
      <c r="CI577" s="109"/>
      <c r="CJ577" s="109"/>
      <c r="CK577" s="109"/>
      <c r="CL577" s="109"/>
      <c r="CM577" s="109"/>
      <c r="CN577" s="109"/>
      <c r="CO577" s="109"/>
      <c r="CP577" s="109"/>
    </row>
    <row r="578" spans="1:94" x14ac:dyDescent="0.25">
      <c r="A578" s="109"/>
      <c r="B578" s="10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  <c r="BR578" s="109"/>
      <c r="BS578" s="109"/>
      <c r="BT578" s="109"/>
      <c r="BU578" s="109"/>
      <c r="BV578" s="109"/>
      <c r="BW578" s="109"/>
      <c r="BX578" s="109"/>
      <c r="BY578" s="109"/>
      <c r="BZ578" s="109"/>
      <c r="CA578" s="109"/>
      <c r="CB578" s="109"/>
      <c r="CC578" s="109"/>
      <c r="CD578" s="109"/>
      <c r="CE578" s="109"/>
      <c r="CF578" s="109"/>
      <c r="CG578" s="109"/>
      <c r="CH578" s="109"/>
      <c r="CI578" s="109"/>
      <c r="CJ578" s="109"/>
      <c r="CK578" s="109"/>
      <c r="CL578" s="109"/>
      <c r="CM578" s="109"/>
      <c r="CN578" s="109"/>
      <c r="CO578" s="109"/>
      <c r="CP578" s="109"/>
    </row>
    <row r="579" spans="1:94" x14ac:dyDescent="0.25">
      <c r="A579" s="109"/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  <c r="BR579" s="109"/>
      <c r="BS579" s="109"/>
      <c r="BT579" s="109"/>
      <c r="BU579" s="109"/>
      <c r="BV579" s="109"/>
      <c r="BW579" s="109"/>
      <c r="BX579" s="109"/>
      <c r="BY579" s="109"/>
      <c r="BZ579" s="109"/>
      <c r="CA579" s="109"/>
      <c r="CB579" s="109"/>
      <c r="CC579" s="109"/>
      <c r="CD579" s="109"/>
      <c r="CE579" s="109"/>
      <c r="CF579" s="109"/>
      <c r="CG579" s="109"/>
      <c r="CH579" s="109"/>
      <c r="CI579" s="109"/>
      <c r="CJ579" s="109"/>
      <c r="CK579" s="109"/>
      <c r="CL579" s="109"/>
      <c r="CM579" s="109"/>
      <c r="CN579" s="109"/>
      <c r="CO579" s="109"/>
      <c r="CP579" s="109"/>
    </row>
    <row r="580" spans="1:94" x14ac:dyDescent="0.25">
      <c r="A580" s="109"/>
      <c r="B580" s="10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  <c r="BR580" s="109"/>
      <c r="BS580" s="109"/>
      <c r="BT580" s="109"/>
      <c r="BU580" s="109"/>
      <c r="BV580" s="109"/>
      <c r="BW580" s="109"/>
      <c r="BX580" s="109"/>
      <c r="BY580" s="109"/>
      <c r="BZ580" s="109"/>
      <c r="CA580" s="109"/>
      <c r="CB580" s="109"/>
      <c r="CC580" s="109"/>
      <c r="CD580" s="109"/>
      <c r="CE580" s="109"/>
      <c r="CF580" s="109"/>
      <c r="CG580" s="109"/>
      <c r="CH580" s="109"/>
      <c r="CI580" s="109"/>
      <c r="CJ580" s="109"/>
      <c r="CK580" s="109"/>
      <c r="CL580" s="109"/>
      <c r="CM580" s="109"/>
      <c r="CN580" s="109"/>
      <c r="CO580" s="109"/>
      <c r="CP580" s="109"/>
    </row>
    <row r="581" spans="1:94" x14ac:dyDescent="0.25">
      <c r="A581" s="109"/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  <c r="BR581" s="109"/>
      <c r="BS581" s="109"/>
      <c r="BT581" s="109"/>
      <c r="BU581" s="109"/>
      <c r="BV581" s="109"/>
      <c r="BW581" s="109"/>
      <c r="BX581" s="109"/>
      <c r="BY581" s="109"/>
      <c r="BZ581" s="109"/>
      <c r="CA581" s="109"/>
      <c r="CB581" s="109"/>
      <c r="CC581" s="109"/>
      <c r="CD581" s="109"/>
      <c r="CE581" s="109"/>
      <c r="CF581" s="109"/>
      <c r="CG581" s="109"/>
      <c r="CH581" s="109"/>
      <c r="CI581" s="109"/>
      <c r="CJ581" s="109"/>
      <c r="CK581" s="109"/>
      <c r="CL581" s="109"/>
      <c r="CM581" s="109"/>
      <c r="CN581" s="109"/>
      <c r="CO581" s="109"/>
      <c r="CP581" s="109"/>
    </row>
    <row r="582" spans="1:94" x14ac:dyDescent="0.25">
      <c r="A582" s="109"/>
      <c r="B582" s="10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  <c r="BR582" s="109"/>
      <c r="BS582" s="109"/>
      <c r="BT582" s="109"/>
      <c r="BU582" s="109"/>
      <c r="BV582" s="109"/>
      <c r="BW582" s="109"/>
      <c r="BX582" s="109"/>
      <c r="BY582" s="109"/>
      <c r="BZ582" s="109"/>
      <c r="CA582" s="109"/>
      <c r="CB582" s="109"/>
      <c r="CC582" s="109"/>
      <c r="CD582" s="109"/>
      <c r="CE582" s="109"/>
      <c r="CF582" s="109"/>
      <c r="CG582" s="109"/>
      <c r="CH582" s="109"/>
      <c r="CI582" s="109"/>
      <c r="CJ582" s="109"/>
      <c r="CK582" s="109"/>
      <c r="CL582" s="109"/>
      <c r="CM582" s="109"/>
      <c r="CN582" s="109"/>
      <c r="CO582" s="109"/>
      <c r="CP582" s="109"/>
    </row>
    <row r="583" spans="1:94" x14ac:dyDescent="0.25">
      <c r="A583" s="109"/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  <c r="BR583" s="109"/>
      <c r="BS583" s="109"/>
      <c r="BT583" s="109"/>
      <c r="BU583" s="109"/>
      <c r="BV583" s="109"/>
      <c r="BW583" s="109"/>
      <c r="BX583" s="109"/>
      <c r="BY583" s="109"/>
      <c r="BZ583" s="109"/>
      <c r="CA583" s="109"/>
      <c r="CB583" s="109"/>
      <c r="CC583" s="109"/>
      <c r="CD583" s="109"/>
      <c r="CE583" s="109"/>
      <c r="CF583" s="109"/>
      <c r="CG583" s="109"/>
      <c r="CH583" s="109"/>
      <c r="CI583" s="109"/>
      <c r="CJ583" s="109"/>
      <c r="CK583" s="109"/>
      <c r="CL583" s="109"/>
      <c r="CM583" s="109"/>
      <c r="CN583" s="109"/>
      <c r="CO583" s="109"/>
      <c r="CP583" s="109"/>
    </row>
    <row r="584" spans="1:94" x14ac:dyDescent="0.25">
      <c r="A584" s="109"/>
      <c r="B584" s="10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  <c r="BR584" s="109"/>
      <c r="BS584" s="109"/>
      <c r="BT584" s="109"/>
      <c r="BU584" s="109"/>
      <c r="BV584" s="109"/>
      <c r="BW584" s="109"/>
      <c r="BX584" s="109"/>
      <c r="BY584" s="109"/>
      <c r="BZ584" s="109"/>
      <c r="CA584" s="109"/>
      <c r="CB584" s="109"/>
      <c r="CC584" s="109"/>
      <c r="CD584" s="109"/>
      <c r="CE584" s="109"/>
      <c r="CF584" s="109"/>
      <c r="CG584" s="109"/>
      <c r="CH584" s="109"/>
      <c r="CI584" s="109"/>
      <c r="CJ584" s="109"/>
      <c r="CK584" s="109"/>
      <c r="CL584" s="109"/>
      <c r="CM584" s="109"/>
      <c r="CN584" s="109"/>
      <c r="CO584" s="109"/>
      <c r="CP584" s="109"/>
    </row>
    <row r="585" spans="1:94" x14ac:dyDescent="0.25">
      <c r="A585" s="109"/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  <c r="BR585" s="109"/>
      <c r="BS585" s="109"/>
      <c r="BT585" s="109"/>
      <c r="BU585" s="109"/>
      <c r="BV585" s="109"/>
      <c r="BW585" s="109"/>
      <c r="BX585" s="109"/>
      <c r="BY585" s="109"/>
      <c r="BZ585" s="109"/>
      <c r="CA585" s="109"/>
      <c r="CB585" s="109"/>
      <c r="CC585" s="109"/>
      <c r="CD585" s="109"/>
      <c r="CE585" s="109"/>
      <c r="CF585" s="109"/>
      <c r="CG585" s="109"/>
      <c r="CH585" s="109"/>
      <c r="CI585" s="109"/>
      <c r="CJ585" s="109"/>
      <c r="CK585" s="109"/>
      <c r="CL585" s="109"/>
      <c r="CM585" s="109"/>
      <c r="CN585" s="109"/>
      <c r="CO585" s="109"/>
      <c r="CP585" s="109"/>
    </row>
    <row r="586" spans="1:94" x14ac:dyDescent="0.25">
      <c r="A586" s="109"/>
      <c r="B586" s="10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  <c r="BR586" s="109"/>
      <c r="BS586" s="109"/>
      <c r="BT586" s="109"/>
      <c r="BU586" s="109"/>
      <c r="BV586" s="109"/>
      <c r="BW586" s="109"/>
      <c r="BX586" s="109"/>
      <c r="BY586" s="109"/>
      <c r="BZ586" s="109"/>
      <c r="CA586" s="109"/>
      <c r="CB586" s="109"/>
      <c r="CC586" s="109"/>
      <c r="CD586" s="109"/>
      <c r="CE586" s="109"/>
      <c r="CF586" s="109"/>
      <c r="CG586" s="109"/>
      <c r="CH586" s="109"/>
      <c r="CI586" s="109"/>
      <c r="CJ586" s="109"/>
      <c r="CK586" s="109"/>
      <c r="CL586" s="109"/>
      <c r="CM586" s="109"/>
      <c r="CN586" s="109"/>
      <c r="CO586" s="109"/>
      <c r="CP586" s="109"/>
    </row>
    <row r="587" spans="1:94" x14ac:dyDescent="0.25">
      <c r="A587" s="109"/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  <c r="BR587" s="109"/>
      <c r="BS587" s="109"/>
      <c r="BT587" s="109"/>
      <c r="BU587" s="109"/>
      <c r="BV587" s="109"/>
      <c r="BW587" s="109"/>
      <c r="BX587" s="109"/>
      <c r="BY587" s="109"/>
      <c r="BZ587" s="109"/>
      <c r="CA587" s="109"/>
      <c r="CB587" s="109"/>
      <c r="CC587" s="109"/>
      <c r="CD587" s="109"/>
      <c r="CE587" s="109"/>
      <c r="CF587" s="109"/>
      <c r="CG587" s="109"/>
      <c r="CH587" s="109"/>
      <c r="CI587" s="109"/>
      <c r="CJ587" s="109"/>
      <c r="CK587" s="109"/>
      <c r="CL587" s="109"/>
      <c r="CM587" s="109"/>
      <c r="CN587" s="109"/>
      <c r="CO587" s="109"/>
      <c r="CP587" s="109"/>
    </row>
    <row r="588" spans="1:94" x14ac:dyDescent="0.25">
      <c r="A588" s="109"/>
      <c r="B588" s="10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  <c r="BR588" s="109"/>
      <c r="BS588" s="109"/>
      <c r="BT588" s="109"/>
      <c r="BU588" s="109"/>
      <c r="BV588" s="109"/>
      <c r="BW588" s="109"/>
      <c r="BX588" s="109"/>
      <c r="BY588" s="109"/>
      <c r="BZ588" s="109"/>
      <c r="CA588" s="109"/>
      <c r="CB588" s="109"/>
      <c r="CC588" s="109"/>
      <c r="CD588" s="109"/>
      <c r="CE588" s="109"/>
      <c r="CF588" s="109"/>
      <c r="CG588" s="109"/>
      <c r="CH588" s="109"/>
      <c r="CI588" s="109"/>
      <c r="CJ588" s="109"/>
      <c r="CK588" s="109"/>
      <c r="CL588" s="109"/>
      <c r="CM588" s="109"/>
      <c r="CN588" s="109"/>
      <c r="CO588" s="109"/>
      <c r="CP588" s="109"/>
    </row>
    <row r="589" spans="1:94" x14ac:dyDescent="0.25">
      <c r="A589" s="109"/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  <c r="BR589" s="109"/>
      <c r="BS589" s="109"/>
      <c r="BT589" s="109"/>
      <c r="BU589" s="109"/>
      <c r="BV589" s="109"/>
      <c r="BW589" s="109"/>
      <c r="BX589" s="109"/>
      <c r="BY589" s="109"/>
      <c r="BZ589" s="109"/>
      <c r="CA589" s="109"/>
      <c r="CB589" s="109"/>
      <c r="CC589" s="109"/>
      <c r="CD589" s="109"/>
      <c r="CE589" s="109"/>
      <c r="CF589" s="109"/>
      <c r="CG589" s="109"/>
      <c r="CH589" s="109"/>
      <c r="CI589" s="109"/>
      <c r="CJ589" s="109"/>
      <c r="CK589" s="109"/>
      <c r="CL589" s="109"/>
      <c r="CM589" s="109"/>
      <c r="CN589" s="109"/>
      <c r="CO589" s="109"/>
      <c r="CP589" s="109"/>
    </row>
    <row r="590" spans="1:94" x14ac:dyDescent="0.25">
      <c r="A590" s="109"/>
      <c r="B590" s="10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  <c r="BR590" s="109"/>
      <c r="BS590" s="109"/>
      <c r="BT590" s="109"/>
      <c r="BU590" s="109"/>
      <c r="BV590" s="109"/>
      <c r="BW590" s="109"/>
      <c r="BX590" s="109"/>
      <c r="BY590" s="109"/>
      <c r="BZ590" s="109"/>
      <c r="CA590" s="109"/>
      <c r="CB590" s="109"/>
      <c r="CC590" s="109"/>
      <c r="CD590" s="109"/>
      <c r="CE590" s="109"/>
      <c r="CF590" s="109"/>
      <c r="CG590" s="109"/>
      <c r="CH590" s="109"/>
      <c r="CI590" s="109"/>
      <c r="CJ590" s="109"/>
      <c r="CK590" s="109"/>
      <c r="CL590" s="109"/>
      <c r="CM590" s="109"/>
      <c r="CN590" s="109"/>
      <c r="CO590" s="109"/>
      <c r="CP590" s="109"/>
    </row>
    <row r="591" spans="1:94" x14ac:dyDescent="0.25">
      <c r="A591" s="109"/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  <c r="BR591" s="109"/>
      <c r="BS591" s="109"/>
      <c r="BT591" s="109"/>
      <c r="BU591" s="109"/>
      <c r="BV591" s="109"/>
      <c r="BW591" s="109"/>
      <c r="BX591" s="109"/>
      <c r="BY591" s="109"/>
      <c r="BZ591" s="109"/>
      <c r="CA591" s="109"/>
      <c r="CB591" s="109"/>
      <c r="CC591" s="109"/>
      <c r="CD591" s="109"/>
      <c r="CE591" s="109"/>
      <c r="CF591" s="109"/>
      <c r="CG591" s="109"/>
      <c r="CH591" s="109"/>
      <c r="CI591" s="109"/>
      <c r="CJ591" s="109"/>
      <c r="CK591" s="109"/>
      <c r="CL591" s="109"/>
      <c r="CM591" s="109"/>
      <c r="CN591" s="109"/>
      <c r="CO591" s="109"/>
      <c r="CP591" s="109"/>
    </row>
    <row r="592" spans="1:94" x14ac:dyDescent="0.25">
      <c r="A592" s="109"/>
      <c r="B592" s="10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  <c r="BR592" s="109"/>
      <c r="BS592" s="109"/>
      <c r="BT592" s="109"/>
      <c r="BU592" s="109"/>
      <c r="BV592" s="109"/>
      <c r="BW592" s="109"/>
      <c r="BX592" s="109"/>
      <c r="BY592" s="109"/>
      <c r="BZ592" s="109"/>
      <c r="CA592" s="109"/>
      <c r="CB592" s="109"/>
      <c r="CC592" s="109"/>
      <c r="CD592" s="109"/>
      <c r="CE592" s="109"/>
      <c r="CF592" s="109"/>
      <c r="CG592" s="109"/>
      <c r="CH592" s="109"/>
      <c r="CI592" s="109"/>
      <c r="CJ592" s="109"/>
      <c r="CK592" s="109"/>
      <c r="CL592" s="109"/>
      <c r="CM592" s="109"/>
      <c r="CN592" s="109"/>
      <c r="CO592" s="109"/>
      <c r="CP592" s="109"/>
    </row>
    <row r="593" spans="1:94" x14ac:dyDescent="0.25">
      <c r="A593" s="109"/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  <c r="BR593" s="109"/>
      <c r="BS593" s="109"/>
      <c r="BT593" s="109"/>
      <c r="BU593" s="109"/>
      <c r="BV593" s="109"/>
      <c r="BW593" s="109"/>
      <c r="BX593" s="109"/>
      <c r="BY593" s="109"/>
      <c r="BZ593" s="109"/>
      <c r="CA593" s="109"/>
      <c r="CB593" s="109"/>
      <c r="CC593" s="109"/>
      <c r="CD593" s="109"/>
      <c r="CE593" s="109"/>
      <c r="CF593" s="109"/>
      <c r="CG593" s="109"/>
      <c r="CH593" s="109"/>
      <c r="CI593" s="109"/>
      <c r="CJ593" s="109"/>
      <c r="CK593" s="109"/>
      <c r="CL593" s="109"/>
      <c r="CM593" s="109"/>
      <c r="CN593" s="109"/>
      <c r="CO593" s="109"/>
      <c r="CP593" s="109"/>
    </row>
    <row r="594" spans="1:94" x14ac:dyDescent="0.25">
      <c r="A594" s="109"/>
      <c r="B594" s="10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  <c r="BR594" s="109"/>
      <c r="BS594" s="109"/>
      <c r="BT594" s="109"/>
      <c r="BU594" s="109"/>
      <c r="BV594" s="109"/>
      <c r="BW594" s="109"/>
      <c r="BX594" s="109"/>
      <c r="BY594" s="109"/>
      <c r="BZ594" s="109"/>
      <c r="CA594" s="109"/>
      <c r="CB594" s="109"/>
      <c r="CC594" s="109"/>
      <c r="CD594" s="109"/>
      <c r="CE594" s="109"/>
      <c r="CF594" s="109"/>
      <c r="CG594" s="109"/>
      <c r="CH594" s="109"/>
      <c r="CI594" s="109"/>
      <c r="CJ594" s="109"/>
      <c r="CK594" s="109"/>
      <c r="CL594" s="109"/>
      <c r="CM594" s="109"/>
      <c r="CN594" s="109"/>
      <c r="CO594" s="109"/>
      <c r="CP594" s="109"/>
    </row>
    <row r="595" spans="1:94" x14ac:dyDescent="0.25">
      <c r="A595" s="109"/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  <c r="BR595" s="109"/>
      <c r="BS595" s="109"/>
      <c r="BT595" s="109"/>
      <c r="BU595" s="109"/>
      <c r="BV595" s="109"/>
      <c r="BW595" s="109"/>
      <c r="BX595" s="109"/>
      <c r="BY595" s="109"/>
      <c r="BZ595" s="109"/>
      <c r="CA595" s="109"/>
      <c r="CB595" s="109"/>
      <c r="CC595" s="109"/>
      <c r="CD595" s="109"/>
      <c r="CE595" s="109"/>
      <c r="CF595" s="109"/>
      <c r="CG595" s="109"/>
      <c r="CH595" s="109"/>
      <c r="CI595" s="109"/>
      <c r="CJ595" s="109"/>
      <c r="CK595" s="109"/>
      <c r="CL595" s="109"/>
      <c r="CM595" s="109"/>
      <c r="CN595" s="109"/>
      <c r="CO595" s="109"/>
      <c r="CP595" s="109"/>
    </row>
    <row r="596" spans="1:94" x14ac:dyDescent="0.25">
      <c r="A596" s="109"/>
      <c r="B596" s="10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  <c r="BR596" s="109"/>
      <c r="BS596" s="109"/>
      <c r="BT596" s="109"/>
      <c r="BU596" s="109"/>
      <c r="BV596" s="109"/>
      <c r="BW596" s="109"/>
      <c r="BX596" s="109"/>
      <c r="BY596" s="109"/>
      <c r="BZ596" s="109"/>
      <c r="CA596" s="109"/>
      <c r="CB596" s="109"/>
      <c r="CC596" s="109"/>
      <c r="CD596" s="109"/>
      <c r="CE596" s="109"/>
      <c r="CF596" s="109"/>
      <c r="CG596" s="109"/>
      <c r="CH596" s="109"/>
      <c r="CI596" s="109"/>
      <c r="CJ596" s="109"/>
      <c r="CK596" s="109"/>
      <c r="CL596" s="109"/>
      <c r="CM596" s="109"/>
      <c r="CN596" s="109"/>
      <c r="CO596" s="109"/>
      <c r="CP596" s="109"/>
    </row>
    <row r="597" spans="1:94" x14ac:dyDescent="0.25">
      <c r="A597" s="109"/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  <c r="BR597" s="109"/>
      <c r="BS597" s="109"/>
      <c r="BT597" s="109"/>
      <c r="BU597" s="109"/>
      <c r="BV597" s="109"/>
      <c r="BW597" s="109"/>
      <c r="BX597" s="109"/>
      <c r="BY597" s="109"/>
      <c r="BZ597" s="109"/>
      <c r="CA597" s="109"/>
      <c r="CB597" s="109"/>
      <c r="CC597" s="109"/>
      <c r="CD597" s="109"/>
      <c r="CE597" s="109"/>
      <c r="CF597" s="109"/>
      <c r="CG597" s="109"/>
      <c r="CH597" s="109"/>
      <c r="CI597" s="109"/>
      <c r="CJ597" s="109"/>
      <c r="CK597" s="109"/>
      <c r="CL597" s="109"/>
      <c r="CM597" s="109"/>
      <c r="CN597" s="109"/>
      <c r="CO597" s="109"/>
      <c r="CP597" s="109"/>
    </row>
    <row r="598" spans="1:94" x14ac:dyDescent="0.25">
      <c r="A598" s="109"/>
      <c r="B598" s="10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  <c r="BR598" s="109"/>
      <c r="BS598" s="109"/>
      <c r="BT598" s="109"/>
      <c r="BU598" s="109"/>
      <c r="BV598" s="109"/>
      <c r="BW598" s="109"/>
      <c r="BX598" s="109"/>
      <c r="BY598" s="109"/>
      <c r="BZ598" s="109"/>
      <c r="CA598" s="109"/>
      <c r="CB598" s="109"/>
      <c r="CC598" s="109"/>
      <c r="CD598" s="109"/>
      <c r="CE598" s="109"/>
      <c r="CF598" s="109"/>
      <c r="CG598" s="109"/>
      <c r="CH598" s="109"/>
      <c r="CI598" s="109"/>
      <c r="CJ598" s="109"/>
      <c r="CK598" s="109"/>
      <c r="CL598" s="109"/>
      <c r="CM598" s="109"/>
      <c r="CN598" s="109"/>
      <c r="CO598" s="109"/>
      <c r="CP598" s="109"/>
    </row>
    <row r="599" spans="1:94" x14ac:dyDescent="0.25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  <c r="BR599" s="109"/>
      <c r="BS599" s="109"/>
      <c r="BT599" s="109"/>
      <c r="BU599" s="109"/>
      <c r="BV599" s="109"/>
      <c r="BW599" s="109"/>
      <c r="BX599" s="109"/>
      <c r="BY599" s="109"/>
      <c r="BZ599" s="109"/>
      <c r="CA599" s="109"/>
      <c r="CB599" s="109"/>
      <c r="CC599" s="109"/>
      <c r="CD599" s="109"/>
      <c r="CE599" s="109"/>
      <c r="CF599" s="109"/>
      <c r="CG599" s="109"/>
      <c r="CH599" s="109"/>
      <c r="CI599" s="109"/>
      <c r="CJ599" s="109"/>
      <c r="CK599" s="109"/>
      <c r="CL599" s="109"/>
      <c r="CM599" s="109"/>
      <c r="CN599" s="109"/>
      <c r="CO599" s="109"/>
      <c r="CP599" s="109"/>
    </row>
    <row r="600" spans="1:94" x14ac:dyDescent="0.25">
      <c r="A600" s="109"/>
      <c r="B600" s="10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  <c r="BR600" s="109"/>
      <c r="BS600" s="109"/>
      <c r="BT600" s="109"/>
      <c r="BU600" s="109"/>
      <c r="BV600" s="109"/>
      <c r="BW600" s="109"/>
      <c r="BX600" s="109"/>
      <c r="BY600" s="109"/>
      <c r="BZ600" s="109"/>
      <c r="CA600" s="109"/>
      <c r="CB600" s="109"/>
      <c r="CC600" s="109"/>
      <c r="CD600" s="109"/>
      <c r="CE600" s="109"/>
      <c r="CF600" s="109"/>
      <c r="CG600" s="109"/>
      <c r="CH600" s="109"/>
      <c r="CI600" s="109"/>
      <c r="CJ600" s="109"/>
      <c r="CK600" s="109"/>
      <c r="CL600" s="109"/>
      <c r="CM600" s="109"/>
      <c r="CN600" s="109"/>
      <c r="CO600" s="109"/>
      <c r="CP600" s="109"/>
    </row>
    <row r="601" spans="1:94" x14ac:dyDescent="0.25">
      <c r="A601" s="109"/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  <c r="BR601" s="109"/>
      <c r="BS601" s="109"/>
      <c r="BT601" s="109"/>
      <c r="BU601" s="109"/>
      <c r="BV601" s="109"/>
      <c r="BW601" s="109"/>
      <c r="BX601" s="109"/>
      <c r="BY601" s="109"/>
      <c r="BZ601" s="109"/>
      <c r="CA601" s="109"/>
      <c r="CB601" s="109"/>
      <c r="CC601" s="109"/>
      <c r="CD601" s="109"/>
      <c r="CE601" s="109"/>
      <c r="CF601" s="109"/>
      <c r="CG601" s="109"/>
      <c r="CH601" s="109"/>
      <c r="CI601" s="109"/>
      <c r="CJ601" s="109"/>
      <c r="CK601" s="109"/>
      <c r="CL601" s="109"/>
      <c r="CM601" s="109"/>
      <c r="CN601" s="109"/>
      <c r="CO601" s="109"/>
      <c r="CP601" s="109"/>
    </row>
    <row r="602" spans="1:94" x14ac:dyDescent="0.25">
      <c r="A602" s="109"/>
      <c r="B602" s="10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  <c r="BR602" s="109"/>
      <c r="BS602" s="109"/>
      <c r="BT602" s="109"/>
      <c r="BU602" s="109"/>
      <c r="BV602" s="109"/>
      <c r="BW602" s="109"/>
      <c r="BX602" s="109"/>
      <c r="BY602" s="109"/>
      <c r="BZ602" s="109"/>
      <c r="CA602" s="109"/>
      <c r="CB602" s="109"/>
      <c r="CC602" s="109"/>
      <c r="CD602" s="109"/>
      <c r="CE602" s="109"/>
      <c r="CF602" s="109"/>
      <c r="CG602" s="109"/>
      <c r="CH602" s="109"/>
      <c r="CI602" s="109"/>
      <c r="CJ602" s="109"/>
      <c r="CK602" s="109"/>
      <c r="CL602" s="109"/>
      <c r="CM602" s="109"/>
      <c r="CN602" s="109"/>
      <c r="CO602" s="109"/>
      <c r="CP602" s="109"/>
    </row>
    <row r="603" spans="1:94" x14ac:dyDescent="0.25">
      <c r="A603" s="109"/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  <c r="BR603" s="109"/>
      <c r="BS603" s="109"/>
      <c r="BT603" s="109"/>
      <c r="BU603" s="109"/>
      <c r="BV603" s="109"/>
      <c r="BW603" s="109"/>
      <c r="BX603" s="109"/>
      <c r="BY603" s="109"/>
      <c r="BZ603" s="109"/>
      <c r="CA603" s="109"/>
      <c r="CB603" s="109"/>
      <c r="CC603" s="109"/>
      <c r="CD603" s="109"/>
      <c r="CE603" s="109"/>
      <c r="CF603" s="109"/>
      <c r="CG603" s="109"/>
      <c r="CH603" s="109"/>
      <c r="CI603" s="109"/>
      <c r="CJ603" s="109"/>
      <c r="CK603" s="109"/>
      <c r="CL603" s="109"/>
      <c r="CM603" s="109"/>
      <c r="CN603" s="109"/>
      <c r="CO603" s="109"/>
      <c r="CP603" s="109"/>
    </row>
    <row r="604" spans="1:94" x14ac:dyDescent="0.25">
      <c r="A604" s="109"/>
      <c r="B604" s="10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  <c r="BR604" s="109"/>
      <c r="BS604" s="109"/>
      <c r="BT604" s="109"/>
      <c r="BU604" s="109"/>
      <c r="BV604" s="109"/>
      <c r="BW604" s="109"/>
      <c r="BX604" s="109"/>
      <c r="BY604" s="109"/>
      <c r="BZ604" s="109"/>
      <c r="CA604" s="109"/>
      <c r="CB604" s="109"/>
      <c r="CC604" s="109"/>
      <c r="CD604" s="109"/>
      <c r="CE604" s="109"/>
      <c r="CF604" s="109"/>
      <c r="CG604" s="109"/>
      <c r="CH604" s="109"/>
      <c r="CI604" s="109"/>
      <c r="CJ604" s="109"/>
      <c r="CK604" s="109"/>
      <c r="CL604" s="109"/>
      <c r="CM604" s="109"/>
      <c r="CN604" s="109"/>
      <c r="CO604" s="109"/>
      <c r="CP604" s="109"/>
    </row>
    <row r="605" spans="1:94" x14ac:dyDescent="0.25">
      <c r="A605" s="109"/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  <c r="BR605" s="109"/>
      <c r="BS605" s="109"/>
      <c r="BT605" s="109"/>
      <c r="BU605" s="109"/>
      <c r="BV605" s="109"/>
      <c r="BW605" s="109"/>
      <c r="BX605" s="109"/>
      <c r="BY605" s="109"/>
      <c r="BZ605" s="109"/>
      <c r="CA605" s="109"/>
      <c r="CB605" s="109"/>
      <c r="CC605" s="109"/>
      <c r="CD605" s="109"/>
      <c r="CE605" s="109"/>
      <c r="CF605" s="109"/>
      <c r="CG605" s="109"/>
      <c r="CH605" s="109"/>
      <c r="CI605" s="109"/>
      <c r="CJ605" s="109"/>
      <c r="CK605" s="109"/>
      <c r="CL605" s="109"/>
      <c r="CM605" s="109"/>
      <c r="CN605" s="109"/>
      <c r="CO605" s="109"/>
      <c r="CP605" s="109"/>
    </row>
    <row r="606" spans="1:94" x14ac:dyDescent="0.25">
      <c r="A606" s="109"/>
      <c r="B606" s="10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  <c r="BR606" s="109"/>
      <c r="BS606" s="109"/>
      <c r="BT606" s="109"/>
      <c r="BU606" s="109"/>
      <c r="BV606" s="109"/>
      <c r="BW606" s="109"/>
      <c r="BX606" s="109"/>
      <c r="BY606" s="109"/>
      <c r="BZ606" s="109"/>
      <c r="CA606" s="109"/>
      <c r="CB606" s="109"/>
      <c r="CC606" s="109"/>
      <c r="CD606" s="109"/>
      <c r="CE606" s="109"/>
      <c r="CF606" s="109"/>
      <c r="CG606" s="109"/>
      <c r="CH606" s="109"/>
      <c r="CI606" s="109"/>
      <c r="CJ606" s="109"/>
      <c r="CK606" s="109"/>
      <c r="CL606" s="109"/>
      <c r="CM606" s="109"/>
      <c r="CN606" s="109"/>
      <c r="CO606" s="109"/>
      <c r="CP606" s="109"/>
    </row>
    <row r="607" spans="1:94" x14ac:dyDescent="0.25">
      <c r="A607" s="109"/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  <c r="BR607" s="109"/>
      <c r="BS607" s="109"/>
      <c r="BT607" s="109"/>
      <c r="BU607" s="109"/>
      <c r="BV607" s="109"/>
      <c r="BW607" s="109"/>
      <c r="BX607" s="109"/>
      <c r="BY607" s="109"/>
      <c r="BZ607" s="109"/>
      <c r="CA607" s="109"/>
      <c r="CB607" s="109"/>
      <c r="CC607" s="109"/>
      <c r="CD607" s="109"/>
      <c r="CE607" s="109"/>
      <c r="CF607" s="109"/>
      <c r="CG607" s="109"/>
      <c r="CH607" s="109"/>
      <c r="CI607" s="109"/>
      <c r="CJ607" s="109"/>
      <c r="CK607" s="109"/>
      <c r="CL607" s="109"/>
      <c r="CM607" s="109"/>
      <c r="CN607" s="109"/>
      <c r="CO607" s="109"/>
      <c r="CP607" s="109"/>
    </row>
    <row r="608" spans="1:94" x14ac:dyDescent="0.25">
      <c r="A608" s="109"/>
      <c r="B608" s="10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  <c r="BR608" s="109"/>
      <c r="BS608" s="109"/>
      <c r="BT608" s="109"/>
      <c r="BU608" s="109"/>
      <c r="BV608" s="109"/>
      <c r="BW608" s="109"/>
      <c r="BX608" s="109"/>
      <c r="BY608" s="109"/>
      <c r="BZ608" s="109"/>
      <c r="CA608" s="109"/>
      <c r="CB608" s="109"/>
      <c r="CC608" s="109"/>
      <c r="CD608" s="109"/>
      <c r="CE608" s="109"/>
      <c r="CF608" s="109"/>
      <c r="CG608" s="109"/>
      <c r="CH608" s="109"/>
      <c r="CI608" s="109"/>
      <c r="CJ608" s="109"/>
      <c r="CK608" s="109"/>
      <c r="CL608" s="109"/>
      <c r="CM608" s="109"/>
      <c r="CN608" s="109"/>
      <c r="CO608" s="109"/>
      <c r="CP608" s="109"/>
    </row>
    <row r="609" spans="1:94" x14ac:dyDescent="0.25">
      <c r="A609" s="109"/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  <c r="BR609" s="109"/>
      <c r="BS609" s="109"/>
      <c r="BT609" s="109"/>
      <c r="BU609" s="109"/>
      <c r="BV609" s="109"/>
      <c r="BW609" s="109"/>
      <c r="BX609" s="109"/>
      <c r="BY609" s="109"/>
      <c r="BZ609" s="109"/>
      <c r="CA609" s="109"/>
      <c r="CB609" s="109"/>
      <c r="CC609" s="109"/>
      <c r="CD609" s="109"/>
      <c r="CE609" s="109"/>
      <c r="CF609" s="109"/>
      <c r="CG609" s="109"/>
      <c r="CH609" s="109"/>
      <c r="CI609" s="109"/>
      <c r="CJ609" s="109"/>
      <c r="CK609" s="109"/>
      <c r="CL609" s="109"/>
      <c r="CM609" s="109"/>
      <c r="CN609" s="109"/>
      <c r="CO609" s="109"/>
      <c r="CP609" s="109"/>
    </row>
    <row r="610" spans="1:94" x14ac:dyDescent="0.25">
      <c r="A610" s="109"/>
      <c r="B610" s="10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  <c r="BR610" s="109"/>
      <c r="BS610" s="109"/>
      <c r="BT610" s="109"/>
      <c r="BU610" s="109"/>
      <c r="BV610" s="109"/>
      <c r="BW610" s="109"/>
      <c r="BX610" s="109"/>
      <c r="BY610" s="109"/>
      <c r="BZ610" s="109"/>
      <c r="CA610" s="109"/>
      <c r="CB610" s="109"/>
      <c r="CC610" s="109"/>
      <c r="CD610" s="109"/>
      <c r="CE610" s="109"/>
      <c r="CF610" s="109"/>
      <c r="CG610" s="109"/>
      <c r="CH610" s="109"/>
      <c r="CI610" s="109"/>
      <c r="CJ610" s="109"/>
      <c r="CK610" s="109"/>
      <c r="CL610" s="109"/>
      <c r="CM610" s="109"/>
      <c r="CN610" s="109"/>
      <c r="CO610" s="109"/>
      <c r="CP610" s="109"/>
    </row>
    <row r="611" spans="1:94" x14ac:dyDescent="0.25">
      <c r="A611" s="109"/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  <c r="BR611" s="109"/>
      <c r="BS611" s="109"/>
      <c r="BT611" s="109"/>
      <c r="BU611" s="109"/>
      <c r="BV611" s="109"/>
      <c r="BW611" s="109"/>
      <c r="BX611" s="109"/>
      <c r="BY611" s="109"/>
      <c r="BZ611" s="109"/>
      <c r="CA611" s="109"/>
      <c r="CB611" s="109"/>
      <c r="CC611" s="109"/>
      <c r="CD611" s="109"/>
      <c r="CE611" s="109"/>
      <c r="CF611" s="109"/>
      <c r="CG611" s="109"/>
      <c r="CH611" s="109"/>
      <c r="CI611" s="109"/>
      <c r="CJ611" s="109"/>
      <c r="CK611" s="109"/>
      <c r="CL611" s="109"/>
      <c r="CM611" s="109"/>
      <c r="CN611" s="109"/>
      <c r="CO611" s="109"/>
      <c r="CP611" s="109"/>
    </row>
    <row r="612" spans="1:94" x14ac:dyDescent="0.25">
      <c r="A612" s="109"/>
      <c r="B612" s="10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  <c r="BR612" s="109"/>
      <c r="BS612" s="109"/>
      <c r="BT612" s="109"/>
      <c r="BU612" s="109"/>
      <c r="BV612" s="109"/>
      <c r="BW612" s="109"/>
      <c r="BX612" s="109"/>
      <c r="BY612" s="109"/>
      <c r="BZ612" s="109"/>
      <c r="CA612" s="109"/>
      <c r="CB612" s="109"/>
      <c r="CC612" s="109"/>
      <c r="CD612" s="109"/>
      <c r="CE612" s="109"/>
      <c r="CF612" s="109"/>
      <c r="CG612" s="109"/>
      <c r="CH612" s="109"/>
      <c r="CI612" s="109"/>
      <c r="CJ612" s="109"/>
      <c r="CK612" s="109"/>
      <c r="CL612" s="109"/>
      <c r="CM612" s="109"/>
      <c r="CN612" s="109"/>
      <c r="CO612" s="109"/>
      <c r="CP612" s="109"/>
    </row>
    <row r="613" spans="1:94" x14ac:dyDescent="0.25">
      <c r="A613" s="109"/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  <c r="BR613" s="109"/>
      <c r="BS613" s="109"/>
      <c r="BT613" s="109"/>
      <c r="BU613" s="109"/>
      <c r="BV613" s="109"/>
      <c r="BW613" s="109"/>
      <c r="BX613" s="109"/>
      <c r="BY613" s="109"/>
      <c r="BZ613" s="109"/>
      <c r="CA613" s="109"/>
      <c r="CB613" s="109"/>
      <c r="CC613" s="109"/>
      <c r="CD613" s="109"/>
      <c r="CE613" s="109"/>
      <c r="CF613" s="109"/>
      <c r="CG613" s="109"/>
      <c r="CH613" s="109"/>
      <c r="CI613" s="109"/>
      <c r="CJ613" s="109"/>
      <c r="CK613" s="109"/>
      <c r="CL613" s="109"/>
      <c r="CM613" s="109"/>
      <c r="CN613" s="109"/>
      <c r="CO613" s="109"/>
      <c r="CP613" s="109"/>
    </row>
    <row r="614" spans="1:94" x14ac:dyDescent="0.25">
      <c r="A614" s="109"/>
      <c r="B614" s="10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  <c r="BR614" s="109"/>
      <c r="BS614" s="109"/>
      <c r="BT614" s="109"/>
      <c r="BU614" s="109"/>
      <c r="BV614" s="109"/>
      <c r="BW614" s="109"/>
      <c r="BX614" s="109"/>
      <c r="BY614" s="109"/>
      <c r="BZ614" s="109"/>
      <c r="CA614" s="109"/>
      <c r="CB614" s="109"/>
      <c r="CC614" s="109"/>
      <c r="CD614" s="109"/>
      <c r="CE614" s="109"/>
      <c r="CF614" s="109"/>
      <c r="CG614" s="109"/>
      <c r="CH614" s="109"/>
      <c r="CI614" s="109"/>
      <c r="CJ614" s="109"/>
      <c r="CK614" s="109"/>
      <c r="CL614" s="109"/>
      <c r="CM614" s="109"/>
      <c r="CN614" s="109"/>
      <c r="CO614" s="109"/>
      <c r="CP614" s="109"/>
    </row>
    <row r="615" spans="1:94" x14ac:dyDescent="0.25">
      <c r="A615" s="109"/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  <c r="BR615" s="109"/>
      <c r="BS615" s="109"/>
      <c r="BT615" s="109"/>
      <c r="BU615" s="109"/>
      <c r="BV615" s="109"/>
      <c r="BW615" s="109"/>
      <c r="BX615" s="109"/>
      <c r="BY615" s="109"/>
      <c r="BZ615" s="109"/>
      <c r="CA615" s="109"/>
      <c r="CB615" s="109"/>
      <c r="CC615" s="109"/>
      <c r="CD615" s="109"/>
      <c r="CE615" s="109"/>
      <c r="CF615" s="109"/>
      <c r="CG615" s="109"/>
      <c r="CH615" s="109"/>
      <c r="CI615" s="109"/>
      <c r="CJ615" s="109"/>
      <c r="CK615" s="109"/>
      <c r="CL615" s="109"/>
      <c r="CM615" s="109"/>
      <c r="CN615" s="109"/>
      <c r="CO615" s="109"/>
      <c r="CP615" s="109"/>
    </row>
    <row r="616" spans="1:94" x14ac:dyDescent="0.25">
      <c r="A616" s="109"/>
      <c r="B616" s="10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  <c r="BR616" s="109"/>
      <c r="BS616" s="109"/>
      <c r="BT616" s="109"/>
      <c r="BU616" s="109"/>
      <c r="BV616" s="109"/>
      <c r="BW616" s="109"/>
      <c r="BX616" s="109"/>
      <c r="BY616" s="109"/>
      <c r="BZ616" s="109"/>
      <c r="CA616" s="109"/>
      <c r="CB616" s="109"/>
      <c r="CC616" s="109"/>
      <c r="CD616" s="109"/>
      <c r="CE616" s="109"/>
      <c r="CF616" s="109"/>
      <c r="CG616" s="109"/>
      <c r="CH616" s="109"/>
      <c r="CI616" s="109"/>
      <c r="CJ616" s="109"/>
      <c r="CK616" s="109"/>
      <c r="CL616" s="109"/>
      <c r="CM616" s="109"/>
      <c r="CN616" s="109"/>
      <c r="CO616" s="109"/>
      <c r="CP616" s="109"/>
    </row>
    <row r="617" spans="1:94" x14ac:dyDescent="0.25">
      <c r="A617" s="109"/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  <c r="BR617" s="109"/>
      <c r="BS617" s="109"/>
      <c r="BT617" s="109"/>
      <c r="BU617" s="109"/>
      <c r="BV617" s="109"/>
      <c r="BW617" s="109"/>
      <c r="BX617" s="109"/>
      <c r="BY617" s="109"/>
      <c r="BZ617" s="109"/>
      <c r="CA617" s="109"/>
      <c r="CB617" s="109"/>
      <c r="CC617" s="109"/>
      <c r="CD617" s="109"/>
      <c r="CE617" s="109"/>
      <c r="CF617" s="109"/>
      <c r="CG617" s="109"/>
      <c r="CH617" s="109"/>
      <c r="CI617" s="109"/>
      <c r="CJ617" s="109"/>
      <c r="CK617" s="109"/>
      <c r="CL617" s="109"/>
      <c r="CM617" s="109"/>
      <c r="CN617" s="109"/>
      <c r="CO617" s="109"/>
      <c r="CP617" s="109"/>
    </row>
    <row r="618" spans="1:94" x14ac:dyDescent="0.25">
      <c r="A618" s="109"/>
      <c r="B618" s="10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  <c r="BR618" s="109"/>
      <c r="BS618" s="109"/>
      <c r="BT618" s="109"/>
      <c r="BU618" s="109"/>
      <c r="BV618" s="109"/>
      <c r="BW618" s="109"/>
      <c r="BX618" s="109"/>
      <c r="BY618" s="109"/>
      <c r="BZ618" s="109"/>
      <c r="CA618" s="109"/>
      <c r="CB618" s="109"/>
      <c r="CC618" s="109"/>
      <c r="CD618" s="109"/>
      <c r="CE618" s="109"/>
      <c r="CF618" s="109"/>
      <c r="CG618" s="109"/>
      <c r="CH618" s="109"/>
      <c r="CI618" s="109"/>
      <c r="CJ618" s="109"/>
      <c r="CK618" s="109"/>
      <c r="CL618" s="109"/>
      <c r="CM618" s="109"/>
      <c r="CN618" s="109"/>
      <c r="CO618" s="109"/>
      <c r="CP618" s="109"/>
    </row>
    <row r="619" spans="1:94" x14ac:dyDescent="0.25">
      <c r="A619" s="109"/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  <c r="BR619" s="109"/>
      <c r="BS619" s="109"/>
      <c r="BT619" s="109"/>
      <c r="BU619" s="109"/>
      <c r="BV619" s="109"/>
      <c r="BW619" s="109"/>
      <c r="BX619" s="109"/>
      <c r="BY619" s="109"/>
      <c r="BZ619" s="109"/>
      <c r="CA619" s="109"/>
      <c r="CB619" s="109"/>
      <c r="CC619" s="109"/>
      <c r="CD619" s="109"/>
      <c r="CE619" s="109"/>
      <c r="CF619" s="109"/>
      <c r="CG619" s="109"/>
      <c r="CH619" s="109"/>
      <c r="CI619" s="109"/>
      <c r="CJ619" s="109"/>
      <c r="CK619" s="109"/>
      <c r="CL619" s="109"/>
      <c r="CM619" s="109"/>
      <c r="CN619" s="109"/>
      <c r="CO619" s="109"/>
      <c r="CP619" s="109"/>
    </row>
    <row r="620" spans="1:94" x14ac:dyDescent="0.25">
      <c r="A620" s="109"/>
      <c r="B620" s="10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  <c r="BR620" s="109"/>
      <c r="BS620" s="109"/>
      <c r="BT620" s="109"/>
      <c r="BU620" s="109"/>
      <c r="BV620" s="109"/>
      <c r="BW620" s="109"/>
      <c r="BX620" s="109"/>
      <c r="BY620" s="109"/>
      <c r="BZ620" s="109"/>
      <c r="CA620" s="109"/>
      <c r="CB620" s="109"/>
      <c r="CC620" s="109"/>
      <c r="CD620" s="109"/>
      <c r="CE620" s="109"/>
      <c r="CF620" s="109"/>
      <c r="CG620" s="109"/>
      <c r="CH620" s="109"/>
      <c r="CI620" s="109"/>
      <c r="CJ620" s="109"/>
      <c r="CK620" s="109"/>
      <c r="CL620" s="109"/>
      <c r="CM620" s="109"/>
      <c r="CN620" s="109"/>
      <c r="CO620" s="109"/>
      <c r="CP620" s="109"/>
    </row>
    <row r="621" spans="1:94" x14ac:dyDescent="0.25">
      <c r="A621" s="109"/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  <c r="BR621" s="109"/>
      <c r="BS621" s="109"/>
      <c r="BT621" s="109"/>
      <c r="BU621" s="109"/>
      <c r="BV621" s="109"/>
      <c r="BW621" s="109"/>
      <c r="BX621" s="109"/>
      <c r="BY621" s="109"/>
      <c r="BZ621" s="109"/>
      <c r="CA621" s="109"/>
      <c r="CB621" s="109"/>
      <c r="CC621" s="109"/>
      <c r="CD621" s="109"/>
      <c r="CE621" s="109"/>
      <c r="CF621" s="109"/>
      <c r="CG621" s="109"/>
      <c r="CH621" s="109"/>
      <c r="CI621" s="109"/>
      <c r="CJ621" s="109"/>
      <c r="CK621" s="109"/>
      <c r="CL621" s="109"/>
      <c r="CM621" s="109"/>
      <c r="CN621" s="109"/>
      <c r="CO621" s="109"/>
      <c r="CP621" s="109"/>
    </row>
    <row r="622" spans="1:94" x14ac:dyDescent="0.25">
      <c r="A622" s="109"/>
      <c r="B622" s="10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  <c r="BR622" s="109"/>
      <c r="BS622" s="109"/>
      <c r="BT622" s="109"/>
      <c r="BU622" s="109"/>
      <c r="BV622" s="109"/>
      <c r="BW622" s="109"/>
      <c r="BX622" s="109"/>
      <c r="BY622" s="109"/>
      <c r="BZ622" s="109"/>
      <c r="CA622" s="109"/>
      <c r="CB622" s="109"/>
      <c r="CC622" s="109"/>
      <c r="CD622" s="109"/>
      <c r="CE622" s="109"/>
      <c r="CF622" s="109"/>
      <c r="CG622" s="109"/>
      <c r="CH622" s="109"/>
      <c r="CI622" s="109"/>
      <c r="CJ622" s="109"/>
      <c r="CK622" s="109"/>
      <c r="CL622" s="109"/>
      <c r="CM622" s="109"/>
      <c r="CN622" s="109"/>
      <c r="CO622" s="109"/>
      <c r="CP622" s="109"/>
    </row>
    <row r="623" spans="1:94" x14ac:dyDescent="0.25">
      <c r="A623" s="109"/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  <c r="BR623" s="109"/>
      <c r="BS623" s="109"/>
      <c r="BT623" s="109"/>
      <c r="BU623" s="109"/>
      <c r="BV623" s="109"/>
      <c r="BW623" s="109"/>
      <c r="BX623" s="109"/>
      <c r="BY623" s="109"/>
      <c r="BZ623" s="109"/>
      <c r="CA623" s="109"/>
      <c r="CB623" s="109"/>
      <c r="CC623" s="109"/>
      <c r="CD623" s="109"/>
      <c r="CE623" s="109"/>
      <c r="CF623" s="109"/>
      <c r="CG623" s="109"/>
      <c r="CH623" s="109"/>
      <c r="CI623" s="109"/>
      <c r="CJ623" s="109"/>
      <c r="CK623" s="109"/>
      <c r="CL623" s="109"/>
      <c r="CM623" s="109"/>
      <c r="CN623" s="109"/>
      <c r="CO623" s="109"/>
      <c r="CP623" s="109"/>
    </row>
    <row r="624" spans="1:94" x14ac:dyDescent="0.25">
      <c r="A624" s="109"/>
      <c r="B624" s="10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  <c r="BR624" s="109"/>
      <c r="BS624" s="109"/>
      <c r="BT624" s="109"/>
      <c r="BU624" s="109"/>
      <c r="BV624" s="109"/>
      <c r="BW624" s="109"/>
      <c r="BX624" s="109"/>
      <c r="BY624" s="109"/>
      <c r="BZ624" s="109"/>
      <c r="CA624" s="109"/>
      <c r="CB624" s="109"/>
      <c r="CC624" s="109"/>
      <c r="CD624" s="109"/>
      <c r="CE624" s="109"/>
      <c r="CF624" s="109"/>
      <c r="CG624" s="109"/>
      <c r="CH624" s="109"/>
      <c r="CI624" s="109"/>
      <c r="CJ624" s="109"/>
      <c r="CK624" s="109"/>
      <c r="CL624" s="109"/>
      <c r="CM624" s="109"/>
      <c r="CN624" s="109"/>
      <c r="CO624" s="109"/>
      <c r="CP624" s="109"/>
    </row>
    <row r="625" spans="1:94" x14ac:dyDescent="0.25">
      <c r="A625" s="109"/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  <c r="BR625" s="109"/>
      <c r="BS625" s="109"/>
      <c r="BT625" s="109"/>
      <c r="BU625" s="109"/>
      <c r="BV625" s="109"/>
      <c r="BW625" s="109"/>
      <c r="BX625" s="109"/>
      <c r="BY625" s="109"/>
      <c r="BZ625" s="109"/>
      <c r="CA625" s="109"/>
      <c r="CB625" s="109"/>
      <c r="CC625" s="109"/>
      <c r="CD625" s="109"/>
      <c r="CE625" s="109"/>
      <c r="CF625" s="109"/>
      <c r="CG625" s="109"/>
      <c r="CH625" s="109"/>
      <c r="CI625" s="109"/>
      <c r="CJ625" s="109"/>
      <c r="CK625" s="109"/>
      <c r="CL625" s="109"/>
      <c r="CM625" s="109"/>
      <c r="CN625" s="109"/>
      <c r="CO625" s="109"/>
      <c r="CP625" s="109"/>
    </row>
    <row r="626" spans="1:94" x14ac:dyDescent="0.25">
      <c r="A626" s="109"/>
      <c r="B626" s="10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  <c r="BR626" s="109"/>
      <c r="BS626" s="109"/>
      <c r="BT626" s="109"/>
      <c r="BU626" s="109"/>
      <c r="BV626" s="109"/>
      <c r="BW626" s="109"/>
      <c r="BX626" s="109"/>
      <c r="BY626" s="109"/>
      <c r="BZ626" s="109"/>
      <c r="CA626" s="109"/>
      <c r="CB626" s="109"/>
      <c r="CC626" s="109"/>
      <c r="CD626" s="109"/>
      <c r="CE626" s="109"/>
      <c r="CF626" s="109"/>
      <c r="CG626" s="109"/>
      <c r="CH626" s="109"/>
      <c r="CI626" s="109"/>
      <c r="CJ626" s="109"/>
      <c r="CK626" s="109"/>
      <c r="CL626" s="109"/>
      <c r="CM626" s="109"/>
      <c r="CN626" s="109"/>
      <c r="CO626" s="109"/>
      <c r="CP626" s="109"/>
    </row>
    <row r="627" spans="1:94" x14ac:dyDescent="0.25">
      <c r="A627" s="109"/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  <c r="BR627" s="109"/>
      <c r="BS627" s="109"/>
      <c r="BT627" s="109"/>
      <c r="BU627" s="109"/>
      <c r="BV627" s="109"/>
      <c r="BW627" s="109"/>
      <c r="BX627" s="109"/>
      <c r="BY627" s="109"/>
      <c r="BZ627" s="109"/>
      <c r="CA627" s="109"/>
      <c r="CB627" s="109"/>
      <c r="CC627" s="109"/>
      <c r="CD627" s="109"/>
      <c r="CE627" s="109"/>
      <c r="CF627" s="109"/>
      <c r="CG627" s="109"/>
      <c r="CH627" s="109"/>
      <c r="CI627" s="109"/>
      <c r="CJ627" s="109"/>
      <c r="CK627" s="109"/>
      <c r="CL627" s="109"/>
      <c r="CM627" s="109"/>
      <c r="CN627" s="109"/>
      <c r="CO627" s="109"/>
      <c r="CP627" s="109"/>
    </row>
  </sheetData>
  <mergeCells count="1">
    <mergeCell ref="A1:Q2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20</xdr:col>
                <xdr:colOff>180975</xdr:colOff>
                <xdr:row>7</xdr:row>
                <xdr:rowOff>57150</xdr:rowOff>
              </from>
              <to>
                <xdr:col>22</xdr:col>
                <xdr:colOff>504825</xdr:colOff>
                <xdr:row>9</xdr:row>
                <xdr:rowOff>161925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20A9A-3E3C-4173-B495-210215DD925D}">
  <sheetPr codeName="Sheet6"/>
  <dimension ref="A1:BQ364"/>
  <sheetViews>
    <sheetView showGridLines="0" workbookViewId="0">
      <selection activeCell="U11" sqref="U11"/>
    </sheetView>
  </sheetViews>
  <sheetFormatPr defaultColWidth="8.7109375" defaultRowHeight="15" x14ac:dyDescent="0.25"/>
  <cols>
    <col min="1" max="1" width="3.140625" customWidth="1"/>
    <col min="2" max="6" width="8.7109375" customWidth="1"/>
    <col min="7" max="7" width="2.28515625" customWidth="1"/>
    <col min="14" max="14" width="3.140625" customWidth="1"/>
    <col min="20" max="20" width="3.42578125" customWidth="1"/>
  </cols>
  <sheetData>
    <row r="1" spans="1:69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</row>
    <row r="2" spans="1:69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</row>
    <row r="3" spans="1:69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</row>
    <row r="4" spans="1:69" s="24" customFormat="1" ht="35.1" customHeight="1" x14ac:dyDescent="0.25">
      <c r="A4" s="129" t="s">
        <v>0</v>
      </c>
      <c r="B4" s="129"/>
      <c r="C4" s="129"/>
      <c r="D4" s="129"/>
      <c r="E4" s="129"/>
      <c r="F4" s="129"/>
      <c r="G4" s="26"/>
      <c r="H4" s="129" t="s">
        <v>1</v>
      </c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26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</row>
    <row r="5" spans="1:69" x14ac:dyDescent="0.25">
      <c r="A5" s="25"/>
      <c r="G5" s="25"/>
      <c r="N5" s="25"/>
      <c r="T5" s="25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</row>
    <row r="6" spans="1:69" x14ac:dyDescent="0.25">
      <c r="A6" s="25"/>
      <c r="G6" s="25"/>
      <c r="N6" s="25"/>
      <c r="T6" s="25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</row>
    <row r="7" spans="1:69" x14ac:dyDescent="0.25">
      <c r="A7" s="25"/>
      <c r="G7" s="25"/>
      <c r="N7" s="25"/>
      <c r="T7" s="25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x14ac:dyDescent="0.25">
      <c r="A8" s="25"/>
      <c r="G8" s="25"/>
      <c r="N8" s="25"/>
      <c r="T8" s="25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x14ac:dyDescent="0.25">
      <c r="A9" s="25"/>
      <c r="G9" s="25"/>
      <c r="N9" s="25"/>
      <c r="T9" s="25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x14ac:dyDescent="0.25">
      <c r="A10" s="25"/>
      <c r="G10" s="25"/>
      <c r="N10" s="25"/>
      <c r="T10" s="25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x14ac:dyDescent="0.25">
      <c r="A11" s="25"/>
      <c r="G11" s="25"/>
      <c r="N11" s="25"/>
      <c r="T11" s="25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x14ac:dyDescent="0.25">
      <c r="A12" s="25"/>
      <c r="G12" s="25"/>
      <c r="N12" s="25"/>
      <c r="T12" s="25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x14ac:dyDescent="0.25">
      <c r="A13" s="25"/>
      <c r="G13" s="25"/>
      <c r="N13" s="25"/>
      <c r="T13" s="25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x14ac:dyDescent="0.25">
      <c r="A14" s="25"/>
      <c r="G14" s="25"/>
      <c r="N14" s="25"/>
      <c r="T14" s="25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x14ac:dyDescent="0.25">
      <c r="A15" s="25"/>
      <c r="G15" s="25"/>
      <c r="N15" s="25"/>
      <c r="T15" s="25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</row>
    <row r="16" spans="1:69" x14ac:dyDescent="0.25">
      <c r="A16" s="25"/>
      <c r="G16" s="25"/>
      <c r="N16" s="25"/>
      <c r="T16" s="25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x14ac:dyDescent="0.25">
      <c r="A17" s="25"/>
      <c r="G17" s="25"/>
      <c r="N17" s="25"/>
      <c r="T17" s="25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x14ac:dyDescent="0.25">
      <c r="A18" s="25"/>
      <c r="G18" s="25"/>
      <c r="N18" s="25"/>
      <c r="T18" s="25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x14ac:dyDescent="0.25">
      <c r="A19" s="25"/>
      <c r="G19" s="25"/>
      <c r="N19" s="25"/>
      <c r="T19" s="25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x14ac:dyDescent="0.25">
      <c r="A20" s="25"/>
      <c r="G20" s="25"/>
      <c r="N20" s="25"/>
      <c r="T20" s="25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x14ac:dyDescent="0.25">
      <c r="A21" s="25"/>
      <c r="G21" s="25"/>
      <c r="N21" s="25"/>
      <c r="T21" s="25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</row>
    <row r="22" spans="1:69" x14ac:dyDescent="0.25">
      <c r="A22" s="25"/>
      <c r="G22" s="25"/>
      <c r="N22" s="25"/>
      <c r="T22" s="25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</row>
    <row r="23" spans="1:69" x14ac:dyDescent="0.25">
      <c r="A23" s="25"/>
      <c r="G23" s="25"/>
      <c r="N23" s="25"/>
      <c r="T23" s="25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x14ac:dyDescent="0.25">
      <c r="A24" s="25"/>
      <c r="G24" s="25"/>
      <c r="N24" s="25"/>
      <c r="T24" s="25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</row>
    <row r="25" spans="1:69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</row>
    <row r="26" spans="1:69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</row>
    <row r="27" spans="1:69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</row>
    <row r="28" spans="1:69" ht="15" customHeight="1" x14ac:dyDescent="0.25">
      <c r="A28" s="130" t="s">
        <v>2</v>
      </c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27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</row>
    <row r="29" spans="1:69" ht="19.5" customHeight="1" x14ac:dyDescent="0.25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27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</row>
    <row r="30" spans="1:69" x14ac:dyDescent="0.25">
      <c r="A30" s="25"/>
      <c r="T30" s="25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</row>
    <row r="31" spans="1:69" x14ac:dyDescent="0.25">
      <c r="A31" s="25"/>
      <c r="T31" s="25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</row>
    <row r="32" spans="1:69" x14ac:dyDescent="0.25">
      <c r="A32" s="25"/>
      <c r="T32" s="25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</row>
    <row r="33" spans="1:69" x14ac:dyDescent="0.25">
      <c r="A33" s="25"/>
      <c r="T33" s="25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</row>
    <row r="34" spans="1:69" x14ac:dyDescent="0.25">
      <c r="A34" s="25"/>
      <c r="T34" s="25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</row>
    <row r="35" spans="1:69" x14ac:dyDescent="0.25">
      <c r="A35" s="25"/>
      <c r="T35" s="25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</row>
    <row r="36" spans="1:69" x14ac:dyDescent="0.25">
      <c r="A36" s="25"/>
      <c r="T36" s="25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</row>
    <row r="37" spans="1:69" x14ac:dyDescent="0.25">
      <c r="A37" s="25"/>
      <c r="T37" s="25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</row>
    <row r="38" spans="1:69" x14ac:dyDescent="0.25">
      <c r="A38" s="25"/>
      <c r="T38" s="25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</row>
    <row r="39" spans="1:69" x14ac:dyDescent="0.25">
      <c r="A39" s="25"/>
      <c r="T39" s="25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</row>
    <row r="40" spans="1:69" x14ac:dyDescent="0.25">
      <c r="A40" s="25"/>
      <c r="T40" s="25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</row>
    <row r="41" spans="1:69" x14ac:dyDescent="0.25">
      <c r="A41" s="25"/>
      <c r="T41" s="25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</row>
    <row r="42" spans="1:69" x14ac:dyDescent="0.25">
      <c r="A42" s="25"/>
      <c r="T42" s="25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</row>
    <row r="43" spans="1:69" x14ac:dyDescent="0.25">
      <c r="A43" s="25"/>
      <c r="T43" s="25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</row>
    <row r="44" spans="1:69" x14ac:dyDescent="0.25">
      <c r="A44" s="25"/>
      <c r="T44" s="25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</row>
    <row r="45" spans="1:69" x14ac:dyDescent="0.25">
      <c r="A45" s="25"/>
      <c r="T45" s="25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</row>
    <row r="46" spans="1:69" x14ac:dyDescent="0.25">
      <c r="A46" s="25"/>
      <c r="T46" s="25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</row>
    <row r="47" spans="1:69" x14ac:dyDescent="0.25">
      <c r="A47" s="25"/>
      <c r="T47" s="25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</row>
    <row r="48" spans="1:69" x14ac:dyDescent="0.25">
      <c r="A48" s="25"/>
      <c r="T48" s="25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</row>
    <row r="49" spans="1:69" x14ac:dyDescent="0.25">
      <c r="A49" s="25"/>
      <c r="T49" s="25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</row>
    <row r="50" spans="1:69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</row>
    <row r="51" spans="1:69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</row>
    <row r="52" spans="1:69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</row>
    <row r="53" spans="1:69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</row>
    <row r="54" spans="1:69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</row>
    <row r="55" spans="1:69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</row>
    <row r="56" spans="1:69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</row>
    <row r="57" spans="1:69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</row>
    <row r="58" spans="1:69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</row>
    <row r="59" spans="1:69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</row>
    <row r="60" spans="1:69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</row>
    <row r="61" spans="1:69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</row>
    <row r="62" spans="1:69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</row>
    <row r="63" spans="1:69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</row>
    <row r="64" spans="1:69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</row>
    <row r="65" spans="1:69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</row>
    <row r="66" spans="1:69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</row>
    <row r="67" spans="1:69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</row>
    <row r="68" spans="1:69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</row>
    <row r="69" spans="1:69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</row>
    <row r="70" spans="1:69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</row>
    <row r="71" spans="1:69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</row>
    <row r="72" spans="1:69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</row>
    <row r="73" spans="1:69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</row>
    <row r="74" spans="1:69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</row>
    <row r="75" spans="1:69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</row>
    <row r="76" spans="1:69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</row>
    <row r="77" spans="1:69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</row>
    <row r="78" spans="1:69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</row>
    <row r="79" spans="1:69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</row>
    <row r="80" spans="1:69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</row>
    <row r="81" spans="1:69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</row>
    <row r="82" spans="1:69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</row>
    <row r="83" spans="1:69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</row>
    <row r="84" spans="1:69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</row>
    <row r="85" spans="1:69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</row>
    <row r="86" spans="1:69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</row>
    <row r="87" spans="1:69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</row>
    <row r="88" spans="1:69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</row>
    <row r="89" spans="1:69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</row>
    <row r="90" spans="1:69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</row>
    <row r="91" spans="1:69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</row>
    <row r="92" spans="1:69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</row>
    <row r="93" spans="1:69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</row>
    <row r="94" spans="1:69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</row>
    <row r="95" spans="1:69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</row>
    <row r="96" spans="1:69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</row>
    <row r="97" spans="1:69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</row>
    <row r="98" spans="1:69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</row>
    <row r="99" spans="1:69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</row>
    <row r="100" spans="1:69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</row>
    <row r="101" spans="1:69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</row>
    <row r="102" spans="1:69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</row>
    <row r="103" spans="1:69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</row>
    <row r="104" spans="1:69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</row>
    <row r="105" spans="1:69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</row>
    <row r="106" spans="1:69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</row>
    <row r="107" spans="1:69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</row>
    <row r="108" spans="1:69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</row>
    <row r="109" spans="1:69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</row>
    <row r="110" spans="1:69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</row>
    <row r="111" spans="1:69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</row>
    <row r="112" spans="1:69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</row>
    <row r="113" spans="1:69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</row>
    <row r="114" spans="1:69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</row>
    <row r="115" spans="1:69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</row>
    <row r="116" spans="1:69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</row>
    <row r="117" spans="1:69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</row>
    <row r="118" spans="1:69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</row>
    <row r="119" spans="1:69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</row>
    <row r="120" spans="1:69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</row>
    <row r="121" spans="1:69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</row>
    <row r="122" spans="1:69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</row>
    <row r="123" spans="1:69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</row>
    <row r="124" spans="1:69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</row>
    <row r="125" spans="1:69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</row>
    <row r="126" spans="1:69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</row>
    <row r="127" spans="1:69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</row>
    <row r="128" spans="1:69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</row>
    <row r="129" spans="1:69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</row>
    <row r="130" spans="1:69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</row>
    <row r="131" spans="1:69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</row>
    <row r="132" spans="1:69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</row>
    <row r="133" spans="1:69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</row>
    <row r="134" spans="1:69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</row>
    <row r="135" spans="1:69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</row>
    <row r="136" spans="1:69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</row>
    <row r="137" spans="1:69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</row>
    <row r="138" spans="1:69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</row>
    <row r="139" spans="1:69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</row>
    <row r="140" spans="1:69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</row>
    <row r="141" spans="1:69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</row>
    <row r="142" spans="1:69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</row>
    <row r="143" spans="1:69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</row>
    <row r="144" spans="1:69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</row>
    <row r="145" spans="1:69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</row>
    <row r="146" spans="1:69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</row>
    <row r="147" spans="1:69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</row>
    <row r="148" spans="1:69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</row>
    <row r="149" spans="1:69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</row>
    <row r="150" spans="1:69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</row>
    <row r="151" spans="1:69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</row>
    <row r="152" spans="1:69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</row>
    <row r="153" spans="1:69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</row>
    <row r="154" spans="1:69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</row>
    <row r="155" spans="1:69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</row>
    <row r="156" spans="1:69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</row>
    <row r="157" spans="1:69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</row>
    <row r="158" spans="1:69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</row>
    <row r="159" spans="1:69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</row>
    <row r="160" spans="1:69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</row>
    <row r="161" spans="1:69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</row>
    <row r="162" spans="1:69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</row>
    <row r="163" spans="1:69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</row>
    <row r="164" spans="1:69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</row>
    <row r="165" spans="1:69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</row>
    <row r="166" spans="1:69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</row>
    <row r="167" spans="1:69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</row>
    <row r="168" spans="1:69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</row>
    <row r="169" spans="1:69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</row>
    <row r="170" spans="1:69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</row>
    <row r="171" spans="1:69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</row>
    <row r="172" spans="1:69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</row>
    <row r="173" spans="1:69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</row>
    <row r="174" spans="1:69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</row>
    <row r="175" spans="1:69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</row>
    <row r="176" spans="1:69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</row>
    <row r="177" spans="1:69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</row>
    <row r="178" spans="1:69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</row>
    <row r="179" spans="1:69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</row>
    <row r="180" spans="1:69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</row>
    <row r="181" spans="1:69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</row>
    <row r="182" spans="1:69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</row>
    <row r="183" spans="1:69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</row>
    <row r="184" spans="1:69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</row>
    <row r="185" spans="1:69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</row>
    <row r="186" spans="1:69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</row>
    <row r="187" spans="1:69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</row>
    <row r="188" spans="1:69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</row>
    <row r="189" spans="1:69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</row>
    <row r="190" spans="1:69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</row>
    <row r="191" spans="1:69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</row>
    <row r="192" spans="1:69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</row>
    <row r="193" spans="1:69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</row>
    <row r="194" spans="1:69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</row>
    <row r="195" spans="1:69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</row>
    <row r="196" spans="1:69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</row>
    <row r="197" spans="1:69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</row>
    <row r="198" spans="1:69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</row>
    <row r="199" spans="1:69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</row>
    <row r="200" spans="1:69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</row>
    <row r="201" spans="1:69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</row>
    <row r="202" spans="1:69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</row>
    <row r="203" spans="1:69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</row>
    <row r="204" spans="1:69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</row>
    <row r="205" spans="1:69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</row>
    <row r="206" spans="1:69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</row>
    <row r="207" spans="1:69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</row>
    <row r="208" spans="1:69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</row>
    <row r="209" spans="1:69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</row>
    <row r="210" spans="1:69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</row>
    <row r="211" spans="1:69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</row>
    <row r="212" spans="1:69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</row>
    <row r="213" spans="1:69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</row>
    <row r="214" spans="1:69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</row>
    <row r="215" spans="1:69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</row>
    <row r="216" spans="1:69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</row>
    <row r="217" spans="1:69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</row>
    <row r="218" spans="1:69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</row>
    <row r="219" spans="1:69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</row>
    <row r="220" spans="1:69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</row>
    <row r="221" spans="1:69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</row>
    <row r="222" spans="1:69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</row>
    <row r="223" spans="1:69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</row>
    <row r="224" spans="1:69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</row>
    <row r="225" spans="1:69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</row>
    <row r="226" spans="1:69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</row>
    <row r="227" spans="1:69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</row>
    <row r="228" spans="1:69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</row>
    <row r="229" spans="1:69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</row>
    <row r="230" spans="1:69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</row>
    <row r="231" spans="1:69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</row>
    <row r="232" spans="1:69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</row>
    <row r="233" spans="1:69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</row>
    <row r="234" spans="1:69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</row>
    <row r="235" spans="1:69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</row>
    <row r="236" spans="1:69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</row>
    <row r="237" spans="1:69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</row>
    <row r="238" spans="1:69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</row>
    <row r="239" spans="1:69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</row>
    <row r="240" spans="1:69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</row>
    <row r="241" spans="1:69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</row>
    <row r="242" spans="1:69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</row>
    <row r="243" spans="1:69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</row>
    <row r="244" spans="1:69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</row>
    <row r="245" spans="1:69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</row>
    <row r="246" spans="1:69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</row>
    <row r="247" spans="1:69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</row>
    <row r="248" spans="1:69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</row>
    <row r="249" spans="1:69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</row>
    <row r="250" spans="1:69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</row>
    <row r="251" spans="1:69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</row>
    <row r="252" spans="1:69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</row>
    <row r="253" spans="1:69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</row>
    <row r="254" spans="1:69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</row>
    <row r="255" spans="1:69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</row>
    <row r="256" spans="1:69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</row>
    <row r="257" spans="1:69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</row>
    <row r="258" spans="1:69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</row>
    <row r="259" spans="1:69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</row>
    <row r="260" spans="1:69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</row>
    <row r="261" spans="1:69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</row>
    <row r="262" spans="1:69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</row>
    <row r="263" spans="1:69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</row>
    <row r="264" spans="1:69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</row>
    <row r="265" spans="1:69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</row>
    <row r="266" spans="1:69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</row>
    <row r="267" spans="1:69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  <c r="BP267" s="28"/>
      <c r="BQ267" s="28"/>
    </row>
    <row r="268" spans="1:69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  <c r="BP268" s="28"/>
      <c r="BQ268" s="28"/>
    </row>
    <row r="269" spans="1:69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</row>
    <row r="270" spans="1:69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  <c r="BP270" s="28"/>
      <c r="BQ270" s="28"/>
    </row>
    <row r="271" spans="1:69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  <c r="BP271" s="28"/>
      <c r="BQ271" s="28"/>
    </row>
    <row r="272" spans="1:69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</row>
    <row r="273" spans="1:69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  <c r="BP273" s="28"/>
      <c r="BQ273" s="28"/>
    </row>
    <row r="274" spans="1:69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  <c r="BP274" s="28"/>
      <c r="BQ274" s="28"/>
    </row>
    <row r="275" spans="1:69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</row>
    <row r="276" spans="1:69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  <c r="BP276" s="28"/>
      <c r="BQ276" s="28"/>
    </row>
    <row r="277" spans="1:69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  <c r="BP277" s="28"/>
      <c r="BQ277" s="28"/>
    </row>
    <row r="278" spans="1:69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</row>
    <row r="279" spans="1:69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  <c r="BP279" s="28"/>
      <c r="BQ279" s="28"/>
    </row>
    <row r="280" spans="1:69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  <c r="BP280" s="28"/>
      <c r="BQ280" s="28"/>
    </row>
    <row r="281" spans="1:69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</row>
    <row r="282" spans="1:69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  <c r="BP282" s="28"/>
      <c r="BQ282" s="28"/>
    </row>
    <row r="283" spans="1:69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</row>
    <row r="284" spans="1:69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</row>
    <row r="285" spans="1:69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  <c r="BP285" s="28"/>
      <c r="BQ285" s="28"/>
    </row>
    <row r="286" spans="1:69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  <c r="BP286" s="28"/>
      <c r="BQ286" s="28"/>
    </row>
    <row r="287" spans="1:69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</row>
    <row r="288" spans="1:69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  <c r="BP288" s="28"/>
      <c r="BQ288" s="28"/>
    </row>
    <row r="289" spans="1:69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  <c r="BP289" s="28"/>
      <c r="BQ289" s="28"/>
    </row>
    <row r="290" spans="1:69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</row>
    <row r="291" spans="1:69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  <c r="BP291" s="28"/>
      <c r="BQ291" s="28"/>
    </row>
    <row r="292" spans="1:69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  <c r="BP292" s="28"/>
      <c r="BQ292" s="28"/>
    </row>
    <row r="293" spans="1:69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</row>
    <row r="294" spans="1:69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  <c r="BP294" s="28"/>
      <c r="BQ294" s="28"/>
    </row>
    <row r="295" spans="1:69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BQ295" s="28"/>
    </row>
    <row r="296" spans="1:69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</row>
    <row r="297" spans="1:69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  <c r="BP297" s="28"/>
      <c r="BQ297" s="28"/>
    </row>
    <row r="298" spans="1:69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  <c r="BP298" s="28"/>
      <c r="BQ298" s="28"/>
    </row>
    <row r="299" spans="1:69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</row>
    <row r="300" spans="1:69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  <c r="BP300" s="28"/>
      <c r="BQ300" s="28"/>
    </row>
    <row r="301" spans="1:69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  <c r="BP301" s="28"/>
      <c r="BQ301" s="28"/>
    </row>
    <row r="302" spans="1:69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</row>
    <row r="303" spans="1:69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  <c r="BP303" s="28"/>
      <c r="BQ303" s="28"/>
    </row>
    <row r="304" spans="1:69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  <c r="BP304" s="28"/>
      <c r="BQ304" s="28"/>
    </row>
    <row r="305" spans="1:69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</row>
    <row r="306" spans="1:69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  <c r="BP306" s="28"/>
      <c r="BQ306" s="28"/>
    </row>
    <row r="307" spans="1:69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  <c r="BP307" s="28"/>
      <c r="BQ307" s="28"/>
    </row>
    <row r="308" spans="1:69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</row>
    <row r="309" spans="1:69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  <c r="BP309" s="28"/>
      <c r="BQ309" s="28"/>
    </row>
    <row r="310" spans="1:69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</row>
    <row r="311" spans="1:69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</row>
    <row r="312" spans="1:69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</row>
    <row r="313" spans="1:69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</row>
    <row r="314" spans="1:69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</row>
    <row r="315" spans="1:69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</row>
    <row r="316" spans="1:69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</row>
    <row r="317" spans="1:69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</row>
    <row r="318" spans="1:69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</row>
    <row r="319" spans="1:69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</row>
    <row r="320" spans="1:69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</row>
    <row r="321" spans="1:69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</row>
    <row r="322" spans="1:69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</row>
    <row r="323" spans="1:69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</row>
    <row r="324" spans="1:69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</row>
    <row r="325" spans="1:69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</row>
    <row r="326" spans="1:69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</row>
    <row r="327" spans="1:69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</row>
    <row r="328" spans="1:69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</row>
    <row r="329" spans="1:69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</row>
    <row r="330" spans="1:69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</row>
    <row r="331" spans="1:69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</row>
    <row r="332" spans="1:69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</row>
    <row r="333" spans="1:69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</row>
    <row r="334" spans="1:69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</row>
    <row r="335" spans="1:69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</row>
    <row r="336" spans="1:69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</row>
    <row r="337" spans="1:69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</row>
    <row r="338" spans="1:69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</row>
    <row r="339" spans="1:69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</row>
    <row r="340" spans="1:69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</row>
    <row r="341" spans="1:69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</row>
    <row r="342" spans="1:69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</row>
    <row r="343" spans="1:69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</row>
    <row r="344" spans="1:69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</row>
    <row r="345" spans="1:69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</row>
    <row r="346" spans="1:69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</row>
    <row r="347" spans="1:69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</row>
    <row r="348" spans="1:69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</row>
    <row r="349" spans="1:69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</row>
    <row r="350" spans="1:69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</row>
    <row r="351" spans="1:69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</row>
    <row r="352" spans="1:69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</row>
    <row r="353" spans="1:69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</row>
    <row r="354" spans="1:69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</row>
    <row r="355" spans="1:69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</row>
    <row r="356" spans="1:69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</row>
    <row r="357" spans="1:69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</row>
    <row r="358" spans="1:69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</row>
    <row r="359" spans="1:69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</row>
    <row r="360" spans="1:69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</row>
    <row r="361" spans="1:69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</row>
    <row r="362" spans="1:69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</row>
    <row r="363" spans="1:69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</row>
    <row r="364" spans="1:69" x14ac:dyDescent="0.25"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</row>
  </sheetData>
  <mergeCells count="3">
    <mergeCell ref="A4:F4"/>
    <mergeCell ref="H4:S4"/>
    <mergeCell ref="A28:S29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41EE-0B1E-4324-9ACE-1616FE04A63D}">
  <sheetPr codeName="Sheet7"/>
  <dimension ref="A1:AG63"/>
  <sheetViews>
    <sheetView zoomScale="79" zoomScaleNormal="79" workbookViewId="0">
      <pane xSplit="1" topLeftCell="B1" activePane="topRight" state="frozen"/>
      <selection pane="topRight" activeCell="M32" sqref="M32"/>
    </sheetView>
  </sheetViews>
  <sheetFormatPr defaultColWidth="12.5703125" defaultRowHeight="15" x14ac:dyDescent="0.25"/>
  <cols>
    <col min="1" max="1" width="21.140625" style="60" customWidth="1"/>
    <col min="2" max="4" width="12.5703125" style="60"/>
    <col min="5" max="5" width="8.5703125" style="60" customWidth="1"/>
    <col min="6" max="6" width="9.28515625" style="60" customWidth="1"/>
    <col min="7" max="7" width="8.5703125" style="60" customWidth="1"/>
    <col min="8" max="8" width="8.42578125" style="60" customWidth="1"/>
    <col min="9" max="9" width="12" style="60" customWidth="1"/>
    <col min="10" max="10" width="12.5703125" style="60"/>
    <col min="11" max="11" width="8.42578125" style="60" customWidth="1"/>
    <col min="12" max="12" width="8.28515625" style="60" customWidth="1"/>
    <col min="13" max="13" width="8.85546875" style="60" customWidth="1"/>
    <col min="14" max="14" width="9.85546875" style="60" customWidth="1"/>
    <col min="15" max="15" width="10.28515625" style="60" customWidth="1"/>
    <col min="16" max="16" width="11.140625" style="60" customWidth="1"/>
    <col min="17" max="17" width="8.28515625" style="60" customWidth="1"/>
    <col min="18" max="18" width="7.28515625" style="60" customWidth="1"/>
    <col min="19" max="19" width="9.42578125" style="60" customWidth="1"/>
    <col min="20" max="20" width="6.85546875" style="60" customWidth="1"/>
    <col min="21" max="21" width="13.42578125" style="60" customWidth="1"/>
    <col min="22" max="22" width="11.42578125" style="60" customWidth="1"/>
    <col min="23" max="23" width="10.140625" style="60" customWidth="1"/>
    <col min="24" max="24" width="6.85546875" style="60" customWidth="1"/>
    <col min="25" max="25" width="5.85546875" style="58" customWidth="1"/>
    <col min="26" max="26" width="8.28515625" style="58" customWidth="1"/>
    <col min="27" max="27" width="12.5703125" style="60"/>
    <col min="28" max="28" width="10.5703125" style="60" customWidth="1"/>
    <col min="29" max="29" width="11" style="60" customWidth="1"/>
    <col min="30" max="31" width="12.5703125" style="60"/>
    <col min="32" max="32" width="53.7109375" style="60" customWidth="1"/>
    <col min="33" max="33" width="66.7109375" style="60" hidden="1" customWidth="1"/>
    <col min="34" max="16384" width="12.5703125" style="60"/>
  </cols>
  <sheetData>
    <row r="1" spans="1:33" s="58" customFormat="1" ht="75" x14ac:dyDescent="0.25">
      <c r="A1" s="52" t="s">
        <v>120</v>
      </c>
      <c r="B1" s="52" t="s">
        <v>121</v>
      </c>
      <c r="C1" s="52" t="s">
        <v>122</v>
      </c>
      <c r="D1" s="52" t="s">
        <v>123</v>
      </c>
      <c r="E1" s="53" t="s">
        <v>124</v>
      </c>
      <c r="F1" s="54" t="s">
        <v>125</v>
      </c>
      <c r="G1" s="53" t="s">
        <v>126</v>
      </c>
      <c r="H1" s="55" t="s">
        <v>127</v>
      </c>
      <c r="I1" s="52" t="s">
        <v>128</v>
      </c>
      <c r="J1" s="52" t="s">
        <v>129</v>
      </c>
      <c r="K1" s="54" t="s">
        <v>130</v>
      </c>
      <c r="L1" s="52" t="s">
        <v>131</v>
      </c>
      <c r="M1" s="53" t="s">
        <v>132</v>
      </c>
      <c r="N1" s="52" t="s">
        <v>133</v>
      </c>
      <c r="O1" s="53" t="s">
        <v>134</v>
      </c>
      <c r="P1" s="52" t="s">
        <v>135</v>
      </c>
      <c r="Q1" s="53" t="s">
        <v>136</v>
      </c>
      <c r="R1" s="53" t="s">
        <v>137</v>
      </c>
      <c r="S1" s="52" t="s">
        <v>138</v>
      </c>
      <c r="T1" s="52" t="s">
        <v>139</v>
      </c>
      <c r="U1" s="52" t="s">
        <v>140</v>
      </c>
      <c r="V1" s="53" t="s">
        <v>141</v>
      </c>
      <c r="W1" s="52" t="s">
        <v>142</v>
      </c>
      <c r="X1" s="52" t="s">
        <v>143</v>
      </c>
      <c r="Y1" s="56" t="s">
        <v>144</v>
      </c>
      <c r="Z1" s="56" t="s">
        <v>145</v>
      </c>
      <c r="AA1" s="57" t="s">
        <v>146</v>
      </c>
      <c r="AB1" s="54" t="s">
        <v>147</v>
      </c>
      <c r="AC1" s="57" t="s">
        <v>148</v>
      </c>
      <c r="AD1" s="57" t="s">
        <v>149</v>
      </c>
      <c r="AE1" s="52" t="s">
        <v>150</v>
      </c>
      <c r="AF1" s="52" t="s">
        <v>151</v>
      </c>
    </row>
    <row r="2" spans="1:33" x14ac:dyDescent="0.25">
      <c r="A2" s="61"/>
      <c r="B2" s="61"/>
      <c r="C2" s="62"/>
      <c r="D2" s="62"/>
      <c r="E2" s="62"/>
      <c r="F2" s="63"/>
      <c r="G2" s="59"/>
      <c r="H2" s="64"/>
      <c r="I2" s="65"/>
      <c r="J2" s="65"/>
      <c r="K2" s="65"/>
      <c r="L2" s="59"/>
      <c r="M2" s="62"/>
      <c r="N2" s="62"/>
      <c r="O2" s="62"/>
      <c r="P2" s="62"/>
      <c r="Q2" s="62"/>
      <c r="R2" s="62"/>
      <c r="S2" s="62"/>
      <c r="T2" s="66"/>
      <c r="U2" s="66"/>
      <c r="V2" s="62"/>
      <c r="W2" s="62"/>
      <c r="X2" s="62"/>
      <c r="Y2" s="67"/>
      <c r="Z2" s="67"/>
      <c r="AA2" s="68"/>
      <c r="AB2" s="62"/>
      <c r="AC2" s="68"/>
      <c r="AD2" s="68"/>
      <c r="AE2" s="62"/>
      <c r="AF2" s="59"/>
      <c r="AG2" s="69" t="s">
        <v>152</v>
      </c>
    </row>
    <row r="3" spans="1:33" ht="13.9" customHeight="1" x14ac:dyDescent="0.25">
      <c r="A3" s="61"/>
      <c r="B3" s="61"/>
      <c r="C3" s="62"/>
      <c r="D3" s="62"/>
      <c r="E3" s="62"/>
      <c r="F3" s="63"/>
      <c r="G3" s="59"/>
      <c r="H3" s="64"/>
      <c r="I3" s="65"/>
      <c r="J3" s="65"/>
      <c r="K3" s="65"/>
      <c r="L3" s="59"/>
      <c r="M3" s="62"/>
      <c r="N3" s="62"/>
      <c r="O3" s="62"/>
      <c r="P3" s="62"/>
      <c r="Q3" s="62"/>
      <c r="R3" s="62"/>
      <c r="S3" s="62"/>
      <c r="T3" s="66"/>
      <c r="U3" s="66"/>
      <c r="V3" s="62"/>
      <c r="W3" s="62"/>
      <c r="X3" s="62"/>
      <c r="Y3" s="67"/>
      <c r="Z3" s="67"/>
      <c r="AA3" s="68"/>
      <c r="AB3" s="62"/>
      <c r="AC3" s="68"/>
      <c r="AD3" s="68"/>
      <c r="AE3" s="62"/>
      <c r="AF3" s="59"/>
      <c r="AG3" s="60" t="s">
        <v>153</v>
      </c>
    </row>
    <row r="4" spans="1:33" x14ac:dyDescent="0.25">
      <c r="A4" s="61"/>
      <c r="B4" s="61"/>
      <c r="C4" s="62"/>
      <c r="D4" s="62"/>
      <c r="E4" s="62"/>
      <c r="F4" s="63"/>
      <c r="G4" s="59"/>
      <c r="H4" s="64"/>
      <c r="I4" s="65"/>
      <c r="J4" s="65"/>
      <c r="K4" s="65"/>
      <c r="L4" s="59"/>
      <c r="M4" s="62"/>
      <c r="N4" s="62"/>
      <c r="O4" s="62"/>
      <c r="P4" s="62"/>
      <c r="Q4" s="62"/>
      <c r="R4" s="62"/>
      <c r="S4" s="62"/>
      <c r="T4" s="66"/>
      <c r="U4" s="66"/>
      <c r="V4" s="62"/>
      <c r="W4" s="62"/>
      <c r="X4" s="62"/>
      <c r="Y4" s="67"/>
      <c r="Z4" s="67"/>
      <c r="AA4" s="68"/>
      <c r="AB4" s="62"/>
      <c r="AC4" s="68"/>
      <c r="AD4" s="68"/>
      <c r="AE4" s="62"/>
      <c r="AF4" s="59"/>
      <c r="AG4" s="60" t="s">
        <v>154</v>
      </c>
    </row>
    <row r="5" spans="1:33" x14ac:dyDescent="0.25">
      <c r="A5" s="61"/>
      <c r="B5" s="61"/>
      <c r="C5" s="62"/>
      <c r="D5" s="62"/>
      <c r="E5" s="62"/>
      <c r="F5" s="63"/>
      <c r="G5" s="59"/>
      <c r="H5" s="64"/>
      <c r="I5" s="65"/>
      <c r="J5" s="65"/>
      <c r="K5" s="65"/>
      <c r="L5" s="59"/>
      <c r="M5" s="62"/>
      <c r="N5" s="62"/>
      <c r="O5" s="62"/>
      <c r="P5" s="62"/>
      <c r="Q5" s="62"/>
      <c r="R5" s="62"/>
      <c r="S5" s="62"/>
      <c r="T5" s="66"/>
      <c r="V5" s="62"/>
      <c r="W5" s="62"/>
      <c r="X5" s="62"/>
      <c r="Y5" s="67"/>
      <c r="Z5" s="67"/>
      <c r="AA5" s="68"/>
      <c r="AB5" s="62"/>
      <c r="AC5" s="68"/>
      <c r="AD5" s="68"/>
      <c r="AE5" s="62"/>
      <c r="AF5" s="59"/>
      <c r="AG5" s="60" t="s">
        <v>155</v>
      </c>
    </row>
    <row r="6" spans="1:33" x14ac:dyDescent="0.25">
      <c r="A6" s="61"/>
      <c r="B6" s="61"/>
      <c r="C6" s="62"/>
      <c r="D6" s="62"/>
      <c r="E6" s="62"/>
      <c r="F6" s="63"/>
      <c r="G6" s="59"/>
      <c r="H6" s="64"/>
      <c r="I6" s="65"/>
      <c r="J6" s="65"/>
      <c r="K6" s="65"/>
      <c r="L6" s="59"/>
      <c r="M6" s="62"/>
      <c r="N6" s="62"/>
      <c r="O6" s="62"/>
      <c r="P6" s="62"/>
      <c r="Q6" s="62"/>
      <c r="R6" s="62"/>
      <c r="S6" s="62"/>
      <c r="T6" s="66"/>
      <c r="U6" s="66"/>
      <c r="V6" s="62"/>
      <c r="W6" s="62"/>
      <c r="X6" s="62"/>
      <c r="Y6" s="67"/>
      <c r="Z6" s="67"/>
      <c r="AA6" s="68"/>
      <c r="AB6" s="62"/>
      <c r="AC6" s="68"/>
      <c r="AD6" s="68"/>
      <c r="AE6" s="62"/>
      <c r="AF6" s="59"/>
      <c r="AG6" s="60" t="s">
        <v>156</v>
      </c>
    </row>
    <row r="7" spans="1:33" x14ac:dyDescent="0.25">
      <c r="A7" s="61"/>
      <c r="B7" s="61"/>
      <c r="C7" s="62"/>
      <c r="D7" s="62"/>
      <c r="E7" s="62"/>
      <c r="F7" s="63"/>
      <c r="G7" s="59"/>
      <c r="H7" s="64"/>
      <c r="I7" s="65"/>
      <c r="J7" s="65"/>
      <c r="K7" s="65"/>
      <c r="L7" s="59"/>
      <c r="M7" s="62"/>
      <c r="N7" s="62"/>
      <c r="O7" s="62"/>
      <c r="P7" s="62"/>
      <c r="Q7" s="62"/>
      <c r="R7" s="62"/>
      <c r="S7" s="62"/>
      <c r="T7" s="66"/>
      <c r="U7" s="66"/>
      <c r="V7" s="62"/>
      <c r="W7" s="62"/>
      <c r="X7" s="62"/>
      <c r="Y7" s="67"/>
      <c r="Z7" s="67"/>
      <c r="AA7" s="68"/>
      <c r="AB7" s="62"/>
      <c r="AC7" s="68"/>
      <c r="AD7" s="68"/>
      <c r="AE7" s="62"/>
      <c r="AF7" s="59"/>
      <c r="AG7" s="60" t="s">
        <v>157</v>
      </c>
    </row>
    <row r="8" spans="1:33" x14ac:dyDescent="0.25">
      <c r="A8" s="61"/>
      <c r="B8" s="61"/>
      <c r="C8" s="62"/>
      <c r="D8" s="62"/>
      <c r="E8" s="62"/>
      <c r="F8" s="63"/>
      <c r="G8" s="59"/>
      <c r="H8" s="64"/>
      <c r="I8" s="65"/>
      <c r="J8" s="65"/>
      <c r="K8" s="65"/>
      <c r="L8" s="59"/>
      <c r="M8" s="62"/>
      <c r="N8" s="62"/>
      <c r="O8" s="62"/>
      <c r="P8" s="62"/>
      <c r="Q8" s="62"/>
      <c r="R8" s="62"/>
      <c r="S8" s="62"/>
      <c r="T8" s="66"/>
      <c r="U8" s="66"/>
      <c r="V8" s="62"/>
      <c r="W8" s="62"/>
      <c r="X8" s="62"/>
      <c r="Y8" s="67"/>
      <c r="Z8" s="67"/>
      <c r="AA8" s="68"/>
      <c r="AB8" s="62"/>
      <c r="AC8" s="68"/>
      <c r="AD8" s="68"/>
      <c r="AE8" s="62"/>
      <c r="AF8" s="59"/>
      <c r="AG8" s="60" t="s">
        <v>158</v>
      </c>
    </row>
    <row r="9" spans="1:33" x14ac:dyDescent="0.25">
      <c r="A9" s="61"/>
      <c r="B9" s="61"/>
      <c r="C9" s="62"/>
      <c r="D9" s="62"/>
      <c r="E9" s="62"/>
      <c r="F9" s="63"/>
      <c r="G9" s="59"/>
      <c r="H9" s="64"/>
      <c r="I9" s="65"/>
      <c r="J9" s="65"/>
      <c r="K9" s="65"/>
      <c r="L9" s="59"/>
      <c r="M9" s="62"/>
      <c r="N9" s="62"/>
      <c r="O9" s="62"/>
      <c r="P9" s="62"/>
      <c r="Q9" s="62"/>
      <c r="R9" s="62"/>
      <c r="S9" s="62"/>
      <c r="T9" s="66"/>
      <c r="U9" s="66"/>
      <c r="V9" s="62"/>
      <c r="W9" s="62"/>
      <c r="X9" s="62"/>
      <c r="Y9" s="67"/>
      <c r="Z9" s="67"/>
      <c r="AA9" s="68"/>
      <c r="AB9" s="62"/>
      <c r="AC9" s="68"/>
      <c r="AD9" s="68"/>
      <c r="AE9" s="62"/>
      <c r="AF9" s="59"/>
      <c r="AG9" s="60" t="s">
        <v>159</v>
      </c>
    </row>
    <row r="10" spans="1:33" x14ac:dyDescent="0.25">
      <c r="A10" s="61"/>
      <c r="B10" s="61"/>
      <c r="C10" s="62"/>
      <c r="D10" s="62"/>
      <c r="E10" s="62"/>
      <c r="F10" s="63"/>
      <c r="G10" s="59"/>
      <c r="H10" s="64"/>
      <c r="I10" s="65"/>
      <c r="J10" s="65"/>
      <c r="K10" s="65"/>
      <c r="L10" s="59"/>
      <c r="M10" s="62"/>
      <c r="N10" s="62"/>
      <c r="O10" s="62"/>
      <c r="P10" s="62"/>
      <c r="Q10" s="62"/>
      <c r="R10" s="62"/>
      <c r="S10" s="62"/>
      <c r="T10" s="66"/>
      <c r="U10" s="66"/>
      <c r="V10" s="62"/>
      <c r="W10" s="62"/>
      <c r="X10" s="62"/>
      <c r="Y10" s="67"/>
      <c r="Z10" s="67"/>
      <c r="AA10" s="68"/>
      <c r="AB10" s="62"/>
      <c r="AC10" s="68"/>
      <c r="AD10" s="68"/>
      <c r="AE10" s="62"/>
      <c r="AF10" s="59"/>
      <c r="AG10" s="60" t="s">
        <v>160</v>
      </c>
    </row>
    <row r="11" spans="1:33" x14ac:dyDescent="0.25">
      <c r="A11" s="61"/>
      <c r="B11" s="61"/>
      <c r="C11" s="62"/>
      <c r="D11" s="62"/>
      <c r="E11" s="62"/>
      <c r="F11" s="63"/>
      <c r="G11" s="59"/>
      <c r="H11" s="64"/>
      <c r="I11" s="65"/>
      <c r="J11" s="65"/>
      <c r="K11" s="65"/>
      <c r="L11" s="59"/>
      <c r="M11" s="62"/>
      <c r="N11" s="62"/>
      <c r="O11" s="62"/>
      <c r="P11" s="62"/>
      <c r="Q11" s="62"/>
      <c r="R11" s="62"/>
      <c r="S11" s="62"/>
      <c r="T11" s="66"/>
      <c r="U11" s="66"/>
      <c r="V11" s="62"/>
      <c r="W11" s="62"/>
      <c r="X11" s="62"/>
      <c r="Y11" s="67"/>
      <c r="Z11" s="67"/>
      <c r="AA11" s="68"/>
      <c r="AB11" s="62"/>
      <c r="AC11" s="68"/>
      <c r="AD11" s="68"/>
      <c r="AE11" s="62"/>
      <c r="AF11" s="59"/>
      <c r="AG11" s="60" t="s">
        <v>161</v>
      </c>
    </row>
    <row r="12" spans="1:33" x14ac:dyDescent="0.25">
      <c r="A12" s="61"/>
      <c r="B12" s="61"/>
      <c r="C12" s="62"/>
      <c r="D12" s="62"/>
      <c r="E12" s="62"/>
      <c r="F12" s="63"/>
      <c r="G12" s="59"/>
      <c r="H12" s="64"/>
      <c r="I12" s="65"/>
      <c r="J12" s="65"/>
      <c r="K12" s="65"/>
      <c r="L12" s="59"/>
      <c r="M12" s="62"/>
      <c r="N12" s="62"/>
      <c r="O12" s="62"/>
      <c r="P12" s="62"/>
      <c r="Q12" s="62"/>
      <c r="R12" s="62"/>
      <c r="S12" s="62"/>
      <c r="T12" s="66"/>
      <c r="U12" s="66"/>
      <c r="V12" s="62"/>
      <c r="W12" s="62"/>
      <c r="X12" s="62"/>
      <c r="Y12" s="67"/>
      <c r="Z12" s="67"/>
      <c r="AA12" s="68"/>
      <c r="AB12" s="62"/>
      <c r="AC12" s="68"/>
      <c r="AD12" s="68"/>
      <c r="AE12" s="62"/>
      <c r="AF12" s="59"/>
      <c r="AG12" s="60" t="s">
        <v>162</v>
      </c>
    </row>
    <row r="13" spans="1:33" x14ac:dyDescent="0.25">
      <c r="A13" s="61"/>
      <c r="B13" s="61"/>
      <c r="C13" s="62"/>
      <c r="D13" s="62"/>
      <c r="E13" s="62"/>
      <c r="F13" s="63"/>
      <c r="G13" s="59"/>
      <c r="H13" s="64"/>
      <c r="I13" s="65"/>
      <c r="J13" s="65"/>
      <c r="K13" s="65"/>
      <c r="L13" s="59"/>
      <c r="M13" s="62"/>
      <c r="N13" s="62"/>
      <c r="O13" s="62"/>
      <c r="P13" s="62"/>
      <c r="Q13" s="62"/>
      <c r="R13" s="62"/>
      <c r="S13" s="62"/>
      <c r="T13" s="66"/>
      <c r="U13" s="66"/>
      <c r="V13" s="62"/>
      <c r="W13" s="62"/>
      <c r="X13" s="62"/>
      <c r="Y13" s="67"/>
      <c r="Z13" s="67"/>
      <c r="AA13" s="68"/>
      <c r="AB13" s="62"/>
      <c r="AC13" s="68"/>
      <c r="AD13" s="68"/>
      <c r="AE13" s="62"/>
      <c r="AF13" s="59"/>
      <c r="AG13" s="60" t="s">
        <v>163</v>
      </c>
    </row>
    <row r="14" spans="1:33" x14ac:dyDescent="0.25">
      <c r="A14" s="61"/>
      <c r="B14" s="61"/>
      <c r="C14" s="62"/>
      <c r="D14" s="62"/>
      <c r="E14" s="62"/>
      <c r="F14" s="63"/>
      <c r="G14" s="59"/>
      <c r="H14" s="64"/>
      <c r="I14" s="65"/>
      <c r="J14" s="65"/>
      <c r="K14" s="65"/>
      <c r="L14" s="59"/>
      <c r="M14" s="62"/>
      <c r="N14" s="62"/>
      <c r="O14" s="62"/>
      <c r="P14" s="62"/>
      <c r="Q14" s="62"/>
      <c r="R14" s="62"/>
      <c r="S14" s="62"/>
      <c r="T14" s="66"/>
      <c r="U14" s="66"/>
      <c r="V14" s="62"/>
      <c r="W14" s="62"/>
      <c r="X14" s="62"/>
      <c r="Y14" s="67"/>
      <c r="Z14" s="67"/>
      <c r="AA14" s="68"/>
      <c r="AB14" s="62"/>
      <c r="AC14" s="68"/>
      <c r="AD14" s="68"/>
      <c r="AE14" s="62"/>
      <c r="AF14" s="59"/>
      <c r="AG14" s="60" t="s">
        <v>164</v>
      </c>
    </row>
    <row r="15" spans="1:33" x14ac:dyDescent="0.25">
      <c r="A15" s="61"/>
      <c r="B15" s="61"/>
      <c r="C15" s="62"/>
      <c r="D15" s="62"/>
      <c r="E15" s="62"/>
      <c r="F15" s="63"/>
      <c r="G15" s="59"/>
      <c r="H15" s="64"/>
      <c r="I15" s="65"/>
      <c r="J15" s="65"/>
      <c r="K15" s="65"/>
      <c r="L15" s="59"/>
      <c r="M15" s="62"/>
      <c r="N15" s="62"/>
      <c r="O15" s="62"/>
      <c r="P15" s="62"/>
      <c r="Q15" s="62"/>
      <c r="R15" s="62"/>
      <c r="S15" s="62"/>
      <c r="T15" s="66"/>
      <c r="U15" s="66"/>
      <c r="V15" s="62"/>
      <c r="W15" s="62"/>
      <c r="X15" s="62"/>
      <c r="Y15" s="67"/>
      <c r="Z15" s="67"/>
      <c r="AA15" s="68"/>
      <c r="AB15" s="62"/>
      <c r="AC15" s="68"/>
      <c r="AD15" s="68"/>
      <c r="AE15" s="62"/>
      <c r="AF15" s="59"/>
      <c r="AG15" s="60" t="s">
        <v>165</v>
      </c>
    </row>
    <row r="16" spans="1:33" x14ac:dyDescent="0.25">
      <c r="A16" s="61"/>
      <c r="B16" s="61"/>
      <c r="C16" s="62"/>
      <c r="D16" s="62"/>
      <c r="E16" s="62"/>
      <c r="F16" s="63"/>
      <c r="G16" s="59"/>
      <c r="H16" s="64"/>
      <c r="I16" s="65"/>
      <c r="J16" s="65"/>
      <c r="K16" s="65"/>
      <c r="L16" s="59"/>
      <c r="M16" s="62"/>
      <c r="N16" s="62"/>
      <c r="O16" s="62"/>
      <c r="P16" s="62"/>
      <c r="Q16" s="62"/>
      <c r="R16" s="62"/>
      <c r="S16" s="62"/>
      <c r="T16" s="66"/>
      <c r="U16" s="66"/>
      <c r="V16" s="62"/>
      <c r="W16" s="62"/>
      <c r="X16" s="62"/>
      <c r="Y16" s="67"/>
      <c r="Z16" s="67"/>
      <c r="AA16" s="68"/>
      <c r="AB16" s="62"/>
      <c r="AC16" s="68"/>
      <c r="AD16" s="68"/>
      <c r="AE16" s="62"/>
      <c r="AF16" s="59"/>
      <c r="AG16" s="60" t="s">
        <v>117</v>
      </c>
    </row>
    <row r="17" spans="1:33" x14ac:dyDescent="0.25">
      <c r="A17" s="61"/>
      <c r="B17" s="61"/>
      <c r="C17" s="62"/>
      <c r="D17" s="62"/>
      <c r="E17" s="62"/>
      <c r="F17" s="63"/>
      <c r="G17" s="59"/>
      <c r="H17" s="64"/>
      <c r="I17" s="65"/>
      <c r="J17" s="65"/>
      <c r="K17" s="65"/>
      <c r="L17" s="59"/>
      <c r="M17" s="62"/>
      <c r="N17" s="62"/>
      <c r="O17" s="62"/>
      <c r="P17" s="62"/>
      <c r="Q17" s="62"/>
      <c r="R17" s="62"/>
      <c r="S17" s="62"/>
      <c r="T17" s="66"/>
      <c r="U17" s="66"/>
      <c r="V17" s="62"/>
      <c r="W17" s="62"/>
      <c r="X17" s="62"/>
      <c r="Y17" s="67"/>
      <c r="Z17" s="67"/>
      <c r="AA17" s="68"/>
      <c r="AB17" s="62"/>
      <c r="AC17" s="68"/>
      <c r="AD17" s="68"/>
      <c r="AE17" s="62"/>
      <c r="AF17" s="59"/>
      <c r="AG17" s="60" t="s">
        <v>166</v>
      </c>
    </row>
    <row r="18" spans="1:33" x14ac:dyDescent="0.25">
      <c r="A18" s="61"/>
      <c r="B18" s="61"/>
      <c r="C18" s="62"/>
      <c r="D18" s="62"/>
      <c r="E18" s="62"/>
      <c r="F18" s="63"/>
      <c r="G18" s="59"/>
      <c r="H18" s="64"/>
      <c r="I18" s="65"/>
      <c r="J18" s="65"/>
      <c r="K18" s="65"/>
      <c r="L18" s="59"/>
      <c r="M18" s="62"/>
      <c r="N18" s="62"/>
      <c r="O18" s="62"/>
      <c r="P18" s="62"/>
      <c r="Q18" s="62"/>
      <c r="R18" s="62"/>
      <c r="S18" s="62"/>
      <c r="T18" s="66"/>
      <c r="U18" s="66"/>
      <c r="V18" s="62"/>
      <c r="W18" s="62"/>
      <c r="X18" s="62"/>
      <c r="Y18" s="67"/>
      <c r="Z18" s="67"/>
      <c r="AA18" s="68"/>
      <c r="AB18" s="62"/>
      <c r="AC18" s="68"/>
      <c r="AD18" s="68"/>
      <c r="AE18" s="62"/>
      <c r="AF18" s="59"/>
      <c r="AG18" s="60" t="s">
        <v>167</v>
      </c>
    </row>
    <row r="19" spans="1:33" x14ac:dyDescent="0.25">
      <c r="A19" s="61"/>
      <c r="B19" s="61"/>
      <c r="C19" s="62"/>
      <c r="D19" s="62"/>
      <c r="E19" s="62"/>
      <c r="F19" s="63"/>
      <c r="G19" s="59"/>
      <c r="H19" s="64"/>
      <c r="I19" s="65"/>
      <c r="J19" s="65"/>
      <c r="K19" s="65"/>
      <c r="L19" s="59"/>
      <c r="M19" s="62"/>
      <c r="N19" s="62"/>
      <c r="O19" s="62"/>
      <c r="P19" s="62"/>
      <c r="Q19" s="62"/>
      <c r="R19" s="62"/>
      <c r="S19" s="62"/>
      <c r="T19" s="66"/>
      <c r="U19" s="66"/>
      <c r="V19" s="62"/>
      <c r="W19" s="62"/>
      <c r="X19" s="62"/>
      <c r="Y19" s="67"/>
      <c r="Z19" s="67"/>
      <c r="AA19" s="68"/>
      <c r="AB19" s="62"/>
      <c r="AC19" s="68"/>
      <c r="AD19" s="68"/>
      <c r="AE19" s="62"/>
      <c r="AF19" s="59"/>
      <c r="AG19" s="60" t="s">
        <v>78</v>
      </c>
    </row>
    <row r="20" spans="1:33" x14ac:dyDescent="0.25">
      <c r="A20" s="61"/>
      <c r="B20" s="61"/>
      <c r="C20" s="62"/>
      <c r="D20" s="62"/>
      <c r="E20" s="62"/>
      <c r="F20" s="63"/>
      <c r="G20" s="59"/>
      <c r="H20" s="64"/>
      <c r="I20" s="65"/>
      <c r="J20" s="65"/>
      <c r="K20" s="65"/>
      <c r="L20" s="59"/>
      <c r="M20" s="62"/>
      <c r="N20" s="62"/>
      <c r="O20" s="62"/>
      <c r="P20" s="62"/>
      <c r="Q20" s="62"/>
      <c r="R20" s="62"/>
      <c r="S20" s="62"/>
      <c r="T20" s="66"/>
      <c r="U20" s="66"/>
      <c r="V20" s="62"/>
      <c r="W20" s="62"/>
      <c r="X20" s="62"/>
      <c r="Y20" s="67"/>
      <c r="Z20" s="67"/>
      <c r="AA20" s="68"/>
      <c r="AB20" s="62"/>
      <c r="AC20" s="68"/>
      <c r="AD20" s="68"/>
      <c r="AE20" s="62"/>
      <c r="AF20" s="59"/>
      <c r="AG20" s="60" t="s">
        <v>168</v>
      </c>
    </row>
    <row r="21" spans="1:33" x14ac:dyDescent="0.25">
      <c r="A21" s="61"/>
      <c r="B21" s="61"/>
      <c r="C21" s="62"/>
      <c r="D21" s="62"/>
      <c r="E21" s="62"/>
      <c r="F21" s="63"/>
      <c r="G21" s="59"/>
      <c r="H21" s="64"/>
      <c r="I21" s="65"/>
      <c r="J21" s="65"/>
      <c r="K21" s="65"/>
      <c r="L21" s="59"/>
      <c r="M21" s="62"/>
      <c r="N21" s="62"/>
      <c r="O21" s="62"/>
      <c r="P21" s="62"/>
      <c r="Q21" s="62"/>
      <c r="R21" s="62"/>
      <c r="S21" s="62"/>
      <c r="T21" s="66"/>
      <c r="U21" s="66"/>
      <c r="V21" s="62"/>
      <c r="W21" s="62"/>
      <c r="X21" s="62"/>
      <c r="Y21" s="67"/>
      <c r="Z21" s="67"/>
      <c r="AA21" s="68"/>
      <c r="AB21" s="62"/>
      <c r="AC21" s="68"/>
      <c r="AD21" s="68"/>
      <c r="AE21" s="62"/>
      <c r="AF21" s="59"/>
      <c r="AG21" s="60" t="s">
        <v>169</v>
      </c>
    </row>
    <row r="22" spans="1:33" x14ac:dyDescent="0.25">
      <c r="A22" s="61"/>
      <c r="B22" s="61"/>
      <c r="C22" s="62"/>
      <c r="D22" s="62"/>
      <c r="E22" s="62"/>
      <c r="F22" s="63"/>
      <c r="G22" s="59"/>
      <c r="H22" s="64"/>
      <c r="I22" s="65"/>
      <c r="J22" s="65"/>
      <c r="K22" s="65"/>
      <c r="L22" s="59"/>
      <c r="M22" s="62"/>
      <c r="N22" s="62"/>
      <c r="O22" s="62"/>
      <c r="P22" s="62"/>
      <c r="Q22" s="62"/>
      <c r="R22" s="62"/>
      <c r="S22" s="62"/>
      <c r="T22" s="66"/>
      <c r="U22" s="66"/>
      <c r="V22" s="62"/>
      <c r="W22" s="62"/>
      <c r="X22" s="62"/>
      <c r="Y22" s="67"/>
      <c r="Z22" s="67"/>
      <c r="AA22" s="68"/>
      <c r="AB22" s="62"/>
      <c r="AC22" s="68"/>
      <c r="AD22" s="68"/>
      <c r="AE22" s="62"/>
      <c r="AF22" s="59"/>
      <c r="AG22" s="60" t="s">
        <v>170</v>
      </c>
    </row>
    <row r="23" spans="1:33" x14ac:dyDescent="0.25">
      <c r="A23" s="61"/>
      <c r="B23" s="61"/>
      <c r="C23" s="62"/>
      <c r="D23" s="62"/>
      <c r="E23" s="62"/>
      <c r="F23" s="63"/>
      <c r="G23" s="59"/>
      <c r="H23" s="64"/>
      <c r="I23" s="65"/>
      <c r="J23" s="65"/>
      <c r="K23" s="65"/>
      <c r="L23" s="59"/>
      <c r="M23" s="62"/>
      <c r="N23" s="62"/>
      <c r="O23" s="62"/>
      <c r="P23" s="62"/>
      <c r="Q23" s="62"/>
      <c r="R23" s="62"/>
      <c r="S23" s="62"/>
      <c r="T23" s="66"/>
      <c r="U23" s="66"/>
      <c r="V23" s="62"/>
      <c r="W23" s="62"/>
      <c r="X23" s="62"/>
      <c r="Y23" s="67"/>
      <c r="Z23" s="67"/>
      <c r="AA23" s="68"/>
      <c r="AB23" s="62"/>
      <c r="AC23" s="68"/>
      <c r="AD23" s="68"/>
      <c r="AE23" s="62"/>
      <c r="AF23" s="59"/>
      <c r="AG23" s="60" t="s">
        <v>171</v>
      </c>
    </row>
    <row r="24" spans="1:33" x14ac:dyDescent="0.25">
      <c r="A24" s="61"/>
      <c r="B24" s="61"/>
      <c r="C24" s="62"/>
      <c r="D24" s="62"/>
      <c r="E24" s="62"/>
      <c r="F24" s="63"/>
      <c r="G24" s="59"/>
      <c r="H24" s="64"/>
      <c r="I24" s="65"/>
      <c r="J24" s="65"/>
      <c r="K24" s="65"/>
      <c r="L24" s="59"/>
      <c r="M24" s="62"/>
      <c r="N24" s="62"/>
      <c r="O24" s="62"/>
      <c r="P24" s="62"/>
      <c r="Q24" s="62"/>
      <c r="R24" s="62"/>
      <c r="S24" s="62"/>
      <c r="T24" s="66"/>
      <c r="U24" s="66"/>
      <c r="V24" s="62"/>
      <c r="W24" s="62"/>
      <c r="X24" s="62"/>
      <c r="Y24" s="67"/>
      <c r="Z24" s="67"/>
      <c r="AA24" s="68"/>
      <c r="AB24" s="62"/>
      <c r="AC24" s="68"/>
      <c r="AD24" s="68"/>
      <c r="AE24" s="62"/>
      <c r="AF24" s="59"/>
      <c r="AG24" s="60" t="s">
        <v>172</v>
      </c>
    </row>
    <row r="25" spans="1:33" x14ac:dyDescent="0.25">
      <c r="A25" s="61"/>
      <c r="B25" s="61"/>
      <c r="C25" s="62"/>
      <c r="D25" s="62"/>
      <c r="E25" s="62"/>
      <c r="F25" s="63"/>
      <c r="G25" s="59"/>
      <c r="H25" s="64"/>
      <c r="I25" s="65"/>
      <c r="J25" s="65"/>
      <c r="K25" s="65"/>
      <c r="L25" s="59"/>
      <c r="M25" s="62"/>
      <c r="N25" s="62"/>
      <c r="O25" s="62"/>
      <c r="P25" s="62"/>
      <c r="Q25" s="62"/>
      <c r="R25" s="62"/>
      <c r="S25" s="62"/>
      <c r="T25" s="66"/>
      <c r="U25" s="66"/>
      <c r="V25" s="62"/>
      <c r="W25" s="62"/>
      <c r="X25" s="62"/>
      <c r="Y25" s="67"/>
      <c r="Z25" s="67"/>
      <c r="AA25" s="68"/>
      <c r="AB25" s="62"/>
      <c r="AC25" s="68"/>
      <c r="AD25" s="68"/>
      <c r="AE25" s="62"/>
      <c r="AF25" s="59"/>
      <c r="AG25" s="60" t="s">
        <v>164</v>
      </c>
    </row>
    <row r="26" spans="1:33" x14ac:dyDescent="0.25">
      <c r="A26" s="61"/>
      <c r="B26" s="61"/>
      <c r="C26" s="62"/>
      <c r="D26" s="62"/>
      <c r="E26" s="62"/>
      <c r="F26" s="63"/>
      <c r="G26" s="59"/>
      <c r="H26" s="64"/>
      <c r="I26" s="65"/>
      <c r="J26" s="65"/>
      <c r="K26" s="65"/>
      <c r="L26" s="59"/>
      <c r="M26" s="62"/>
      <c r="N26" s="62"/>
      <c r="O26" s="62"/>
      <c r="P26" s="62"/>
      <c r="Q26" s="62"/>
      <c r="R26" s="62"/>
      <c r="S26" s="62"/>
      <c r="T26" s="66"/>
      <c r="U26" s="66"/>
      <c r="V26" s="62"/>
      <c r="W26" s="62"/>
      <c r="X26" s="62"/>
      <c r="Y26" s="67"/>
      <c r="Z26" s="67"/>
      <c r="AA26" s="68"/>
      <c r="AB26" s="62"/>
      <c r="AC26" s="68"/>
      <c r="AD26" s="68"/>
      <c r="AE26" s="62"/>
      <c r="AF26" s="59"/>
      <c r="AG26" s="60" t="s">
        <v>163</v>
      </c>
    </row>
    <row r="27" spans="1:33" x14ac:dyDescent="0.25">
      <c r="A27" s="61"/>
      <c r="B27" s="61"/>
      <c r="C27" s="62"/>
      <c r="D27" s="62"/>
      <c r="E27" s="62"/>
      <c r="F27" s="63"/>
      <c r="G27" s="59"/>
      <c r="H27" s="64"/>
      <c r="I27" s="65"/>
      <c r="J27" s="65"/>
      <c r="K27" s="65"/>
      <c r="L27" s="59"/>
      <c r="M27" s="62"/>
      <c r="N27" s="62"/>
      <c r="O27" s="62"/>
      <c r="P27" s="62"/>
      <c r="Q27" s="62"/>
      <c r="R27" s="62"/>
      <c r="S27" s="62"/>
      <c r="T27" s="66"/>
      <c r="U27" s="66"/>
      <c r="V27" s="62"/>
      <c r="W27" s="62"/>
      <c r="X27" s="62"/>
      <c r="Y27" s="67"/>
      <c r="Z27" s="67"/>
      <c r="AA27" s="68"/>
      <c r="AB27" s="62"/>
      <c r="AC27" s="68"/>
      <c r="AD27" s="68"/>
      <c r="AE27" s="62"/>
      <c r="AF27" s="59"/>
      <c r="AG27" s="60" t="s">
        <v>173</v>
      </c>
    </row>
    <row r="28" spans="1:33" x14ac:dyDescent="0.25">
      <c r="A28" s="61"/>
      <c r="B28" s="61"/>
      <c r="C28" s="62"/>
      <c r="D28" s="62"/>
      <c r="E28" s="62"/>
      <c r="F28" s="63"/>
      <c r="G28" s="59"/>
      <c r="H28" s="64"/>
      <c r="I28" s="65"/>
      <c r="J28" s="65"/>
      <c r="K28" s="65"/>
      <c r="L28" s="59"/>
      <c r="M28" s="62"/>
      <c r="N28" s="62"/>
      <c r="O28" s="62"/>
      <c r="P28" s="62"/>
      <c r="Q28" s="62"/>
      <c r="R28" s="62"/>
      <c r="S28" s="62"/>
      <c r="T28" s="66"/>
      <c r="U28" s="66"/>
      <c r="V28" s="62"/>
      <c r="W28" s="62"/>
      <c r="X28" s="62"/>
      <c r="Y28" s="67"/>
      <c r="Z28" s="67"/>
      <c r="AA28" s="68"/>
      <c r="AB28" s="62"/>
      <c r="AC28" s="68"/>
      <c r="AD28" s="68"/>
      <c r="AE28" s="62"/>
      <c r="AF28" s="59"/>
      <c r="AG28" s="60" t="s">
        <v>174</v>
      </c>
    </row>
    <row r="29" spans="1:33" x14ac:dyDescent="0.25">
      <c r="A29" s="61"/>
      <c r="B29" s="61"/>
      <c r="C29" s="62"/>
      <c r="D29" s="62"/>
      <c r="E29" s="62"/>
      <c r="F29" s="63"/>
      <c r="G29" s="59"/>
      <c r="H29" s="64"/>
      <c r="I29" s="65"/>
      <c r="J29" s="65"/>
      <c r="K29" s="65"/>
      <c r="L29" s="59"/>
      <c r="M29" s="62"/>
      <c r="N29" s="62"/>
      <c r="O29" s="62"/>
      <c r="P29" s="62"/>
      <c r="Q29" s="62"/>
      <c r="R29" s="62"/>
      <c r="S29" s="62"/>
      <c r="T29" s="66"/>
      <c r="U29" s="66"/>
      <c r="V29" s="62"/>
      <c r="W29" s="62"/>
      <c r="X29" s="62"/>
      <c r="Y29" s="67"/>
      <c r="Z29" s="67"/>
      <c r="AA29" s="68"/>
      <c r="AB29" s="62"/>
      <c r="AC29" s="68"/>
      <c r="AD29" s="68"/>
      <c r="AE29" s="62"/>
      <c r="AF29" s="59"/>
      <c r="AG29" s="60" t="s">
        <v>175</v>
      </c>
    </row>
    <row r="30" spans="1:33" x14ac:dyDescent="0.25">
      <c r="A30" s="61"/>
      <c r="B30" s="61"/>
      <c r="C30" s="62"/>
      <c r="D30" s="62"/>
      <c r="E30" s="62"/>
      <c r="F30" s="63"/>
      <c r="G30" s="59"/>
      <c r="H30" s="64"/>
      <c r="I30" s="65"/>
      <c r="J30" s="65"/>
      <c r="K30" s="65"/>
      <c r="L30" s="59"/>
      <c r="M30" s="62"/>
      <c r="N30" s="62"/>
      <c r="O30" s="62"/>
      <c r="P30" s="62"/>
      <c r="Q30" s="62"/>
      <c r="R30" s="62"/>
      <c r="S30" s="62"/>
      <c r="T30" s="66"/>
      <c r="U30" s="66"/>
      <c r="V30" s="62"/>
      <c r="W30" s="62"/>
      <c r="X30" s="62"/>
      <c r="Y30" s="67"/>
      <c r="Z30" s="67"/>
      <c r="AA30" s="68"/>
      <c r="AB30" s="62"/>
      <c r="AC30" s="68"/>
      <c r="AD30" s="68"/>
      <c r="AE30" s="62"/>
      <c r="AF30" s="59"/>
      <c r="AG30" s="60" t="s">
        <v>109</v>
      </c>
    </row>
    <row r="31" spans="1:33" x14ac:dyDescent="0.25">
      <c r="A31" s="70"/>
      <c r="B31" s="70"/>
      <c r="C31" s="70"/>
      <c r="D31" s="71"/>
      <c r="E31" s="70"/>
      <c r="F31" s="70"/>
      <c r="G31" s="70"/>
      <c r="H31" s="72"/>
      <c r="I31" s="70"/>
      <c r="J31" s="70"/>
      <c r="K31" s="72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3"/>
      <c r="Z31" s="74"/>
      <c r="AA31" s="70"/>
      <c r="AB31" s="70"/>
      <c r="AC31" s="70"/>
      <c r="AD31" s="70"/>
      <c r="AE31" s="70"/>
      <c r="AG31" s="60" t="s">
        <v>176</v>
      </c>
    </row>
    <row r="32" spans="1:33" x14ac:dyDescent="0.25">
      <c r="A32" s="70"/>
      <c r="B32" s="70"/>
      <c r="C32" s="70"/>
      <c r="D32" s="71"/>
      <c r="E32" s="70"/>
      <c r="F32" s="70"/>
      <c r="G32" s="70"/>
      <c r="H32" s="72"/>
      <c r="I32" s="70"/>
      <c r="J32" s="70"/>
      <c r="K32" s="72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5"/>
      <c r="Z32" s="76"/>
      <c r="AA32" s="77"/>
      <c r="AB32" s="70"/>
      <c r="AC32" s="77"/>
      <c r="AD32" s="77"/>
      <c r="AE32" s="70"/>
      <c r="AG32" s="60" t="s">
        <v>177</v>
      </c>
    </row>
    <row r="33" spans="1:33" x14ac:dyDescent="0.25">
      <c r="A33" s="70"/>
      <c r="B33" s="70"/>
      <c r="C33" s="70"/>
      <c r="D33" s="71"/>
      <c r="E33" s="70"/>
      <c r="F33" s="70"/>
      <c r="G33" s="70"/>
      <c r="H33" s="72"/>
      <c r="I33" s="70"/>
      <c r="J33" s="70"/>
      <c r="K33" s="72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92"/>
      <c r="Z33" s="74"/>
      <c r="AA33" s="77"/>
      <c r="AB33" s="70"/>
      <c r="AC33" s="77"/>
      <c r="AD33" s="77"/>
      <c r="AE33" s="70"/>
      <c r="AG33" s="60" t="s">
        <v>178</v>
      </c>
    </row>
    <row r="34" spans="1:33" x14ac:dyDescent="0.25">
      <c r="A34" s="70"/>
      <c r="B34" s="70"/>
      <c r="C34" s="70"/>
      <c r="D34" s="71"/>
      <c r="E34" s="70"/>
      <c r="F34" s="70"/>
      <c r="G34" s="70"/>
      <c r="H34" s="72"/>
      <c r="I34" s="70"/>
      <c r="J34" s="70"/>
      <c r="K34" s="72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92"/>
      <c r="Z34" s="74"/>
      <c r="AA34" s="77"/>
      <c r="AB34" s="70"/>
      <c r="AC34" s="77"/>
      <c r="AD34" s="77"/>
      <c r="AE34" s="70"/>
      <c r="AG34" s="60" t="s">
        <v>179</v>
      </c>
    </row>
    <row r="35" spans="1:33" x14ac:dyDescent="0.25">
      <c r="A35" s="78"/>
      <c r="B35" s="78"/>
      <c r="C35" s="78"/>
      <c r="D35" s="78"/>
      <c r="E35" s="78"/>
      <c r="F35" s="78"/>
      <c r="G35" s="153"/>
      <c r="H35" s="153"/>
      <c r="I35" s="94"/>
      <c r="J35" s="94"/>
      <c r="K35" s="94"/>
      <c r="L35" s="78"/>
      <c r="O35" s="78"/>
      <c r="P35" s="78"/>
      <c r="Q35" s="78"/>
      <c r="R35" s="78"/>
      <c r="S35" s="78"/>
      <c r="T35" s="154"/>
      <c r="U35" s="154"/>
      <c r="V35" s="78"/>
      <c r="W35" s="78"/>
      <c r="X35" s="78"/>
      <c r="Y35" s="73"/>
      <c r="Z35" s="74"/>
      <c r="AA35" s="78"/>
      <c r="AB35" s="78"/>
      <c r="AC35" s="78"/>
      <c r="AD35" s="78"/>
      <c r="AE35" s="78"/>
    </row>
    <row r="36" spans="1:33" ht="18" customHeight="1" x14ac:dyDescent="0.25">
      <c r="A36" s="79" t="s">
        <v>254</v>
      </c>
      <c r="B36" s="155" t="s">
        <v>255</v>
      </c>
      <c r="C36" s="155"/>
      <c r="D36" s="155"/>
      <c r="G36" s="93"/>
      <c r="H36" s="93"/>
      <c r="I36" s="93"/>
      <c r="J36" s="93"/>
      <c r="K36" s="93"/>
      <c r="L36" s="95"/>
      <c r="M36" s="132" t="s">
        <v>186</v>
      </c>
      <c r="N36" s="132"/>
    </row>
    <row r="37" spans="1:33" ht="16.5" customHeight="1" x14ac:dyDescent="0.25">
      <c r="A37" s="61"/>
      <c r="B37" s="131"/>
      <c r="C37" s="131"/>
      <c r="D37" s="131"/>
      <c r="G37" s="142"/>
      <c r="H37" s="143"/>
      <c r="I37" s="143"/>
      <c r="J37" s="143"/>
      <c r="K37" s="144"/>
      <c r="M37" s="85">
        <v>1</v>
      </c>
      <c r="N37" s="86" t="s">
        <v>187</v>
      </c>
    </row>
    <row r="38" spans="1:33" x14ac:dyDescent="0.25">
      <c r="A38" s="61"/>
      <c r="B38" s="131"/>
      <c r="C38" s="131"/>
      <c r="D38" s="131"/>
      <c r="G38" s="136"/>
      <c r="H38" s="137"/>
      <c r="I38" s="137"/>
      <c r="J38" s="137"/>
      <c r="K38" s="138"/>
      <c r="M38" s="85">
        <v>2</v>
      </c>
      <c r="N38" s="86" t="s">
        <v>188</v>
      </c>
    </row>
    <row r="39" spans="1:33" x14ac:dyDescent="0.25">
      <c r="A39" s="61"/>
      <c r="B39" s="131"/>
      <c r="C39" s="131"/>
      <c r="D39" s="131"/>
      <c r="G39" s="136"/>
      <c r="H39" s="137"/>
      <c r="I39" s="137"/>
      <c r="J39" s="137"/>
      <c r="K39" s="138"/>
      <c r="M39" s="85">
        <v>3</v>
      </c>
      <c r="N39" s="86" t="s">
        <v>189</v>
      </c>
    </row>
    <row r="40" spans="1:33" x14ac:dyDescent="0.25">
      <c r="A40" s="61"/>
      <c r="B40" s="131"/>
      <c r="C40" s="131"/>
      <c r="D40" s="131"/>
      <c r="G40" s="136"/>
      <c r="H40" s="137"/>
      <c r="I40" s="137"/>
      <c r="J40" s="137"/>
      <c r="K40" s="138"/>
    </row>
    <row r="41" spans="1:33" ht="15.75" thickBot="1" x14ac:dyDescent="0.3">
      <c r="A41" s="61"/>
      <c r="B41" s="131"/>
      <c r="C41" s="131"/>
      <c r="D41" s="131"/>
      <c r="G41" s="139"/>
      <c r="H41" s="140"/>
      <c r="I41" s="140"/>
      <c r="J41" s="140"/>
      <c r="K41" s="141"/>
    </row>
    <row r="42" spans="1:33" ht="15.75" thickBot="1" x14ac:dyDescent="0.3">
      <c r="A42" s="61"/>
      <c r="B42" s="131"/>
      <c r="C42" s="131"/>
      <c r="D42" s="131"/>
      <c r="G42" s="80"/>
      <c r="H42" s="80"/>
      <c r="I42" s="80"/>
      <c r="J42" s="80"/>
      <c r="K42" s="80"/>
    </row>
    <row r="43" spans="1:33" x14ac:dyDescent="0.25">
      <c r="A43" s="61"/>
      <c r="B43" s="131"/>
      <c r="C43" s="131"/>
      <c r="D43" s="131"/>
      <c r="G43" s="133"/>
      <c r="H43" s="134"/>
      <c r="I43" s="145"/>
      <c r="J43" s="145"/>
      <c r="K43" s="146"/>
    </row>
    <row r="44" spans="1:33" x14ac:dyDescent="0.25">
      <c r="A44" s="61"/>
      <c r="B44" s="131"/>
      <c r="C44" s="131"/>
      <c r="D44" s="131"/>
      <c r="G44" s="147"/>
      <c r="H44" s="148"/>
      <c r="I44" s="148"/>
      <c r="J44" s="148"/>
      <c r="K44" s="149"/>
    </row>
    <row r="45" spans="1:33" x14ac:dyDescent="0.25">
      <c r="A45" s="61"/>
      <c r="B45" s="131"/>
      <c r="C45" s="131"/>
      <c r="D45" s="131"/>
      <c r="G45" s="147"/>
      <c r="H45" s="148"/>
      <c r="I45" s="148"/>
      <c r="J45" s="148"/>
      <c r="K45" s="149"/>
    </row>
    <row r="46" spans="1:33" ht="14.1" customHeight="1" x14ac:dyDescent="0.25">
      <c r="A46" s="61"/>
      <c r="B46" s="131"/>
      <c r="C46" s="131"/>
      <c r="D46" s="131"/>
      <c r="G46" s="147"/>
      <c r="H46" s="148"/>
      <c r="I46" s="148"/>
      <c r="J46" s="148"/>
      <c r="K46" s="149"/>
    </row>
    <row r="47" spans="1:33" x14ac:dyDescent="0.25">
      <c r="A47" s="61"/>
      <c r="B47" s="131"/>
      <c r="C47" s="131"/>
      <c r="D47" s="131"/>
      <c r="G47" s="147"/>
      <c r="H47" s="148"/>
      <c r="I47" s="148"/>
      <c r="J47" s="148"/>
      <c r="K47" s="149"/>
    </row>
    <row r="48" spans="1:33" x14ac:dyDescent="0.25">
      <c r="A48" s="61"/>
      <c r="B48" s="131"/>
      <c r="C48" s="131"/>
      <c r="D48" s="131"/>
      <c r="G48" s="147"/>
      <c r="H48" s="148"/>
      <c r="I48" s="148"/>
      <c r="J48" s="148"/>
      <c r="K48" s="149"/>
    </row>
    <row r="49" spans="1:11" x14ac:dyDescent="0.25">
      <c r="A49" s="61"/>
      <c r="B49" s="131"/>
      <c r="C49" s="131"/>
      <c r="D49" s="131"/>
      <c r="G49" s="147"/>
      <c r="H49" s="148"/>
      <c r="I49" s="148"/>
      <c r="J49" s="148"/>
      <c r="K49" s="149"/>
    </row>
    <row r="50" spans="1:11" ht="15.75" thickBot="1" x14ac:dyDescent="0.3">
      <c r="A50" s="61"/>
      <c r="B50" s="131"/>
      <c r="C50" s="131"/>
      <c r="D50" s="131"/>
      <c r="G50" s="150"/>
      <c r="H50" s="151"/>
      <c r="I50" s="151"/>
      <c r="J50" s="151"/>
      <c r="K50" s="152"/>
    </row>
    <row r="51" spans="1:11" ht="15.75" thickBot="1" x14ac:dyDescent="0.3">
      <c r="A51" s="61"/>
      <c r="B51" s="131"/>
      <c r="C51" s="131"/>
      <c r="D51" s="131"/>
      <c r="G51" s="80"/>
      <c r="H51" s="80"/>
      <c r="I51" s="80"/>
      <c r="J51" s="80"/>
      <c r="K51" s="80"/>
    </row>
    <row r="52" spans="1:11" ht="14.45" customHeight="1" x14ac:dyDescent="0.25">
      <c r="A52" s="61"/>
      <c r="B52" s="131"/>
      <c r="C52" s="131"/>
      <c r="D52" s="131"/>
      <c r="G52" s="133"/>
      <c r="H52" s="134"/>
      <c r="I52" s="134"/>
      <c r="J52" s="134"/>
      <c r="K52" s="135"/>
    </row>
    <row r="53" spans="1:11" x14ac:dyDescent="0.25">
      <c r="A53" s="61"/>
      <c r="B53" s="131"/>
      <c r="C53" s="131"/>
      <c r="D53" s="131"/>
      <c r="G53" s="136"/>
      <c r="H53" s="137"/>
      <c r="I53" s="137"/>
      <c r="J53" s="137"/>
      <c r="K53" s="138"/>
    </row>
    <row r="54" spans="1:11" x14ac:dyDescent="0.25">
      <c r="A54" s="61"/>
      <c r="B54" s="131"/>
      <c r="C54" s="131"/>
      <c r="D54" s="131"/>
      <c r="G54" s="136"/>
      <c r="H54" s="137"/>
      <c r="I54" s="137"/>
      <c r="J54" s="137"/>
      <c r="K54" s="138"/>
    </row>
    <row r="55" spans="1:11" x14ac:dyDescent="0.25">
      <c r="A55" s="61"/>
      <c r="B55" s="131"/>
      <c r="C55" s="131"/>
      <c r="D55" s="131"/>
      <c r="G55" s="136"/>
      <c r="H55" s="137"/>
      <c r="I55" s="137"/>
      <c r="J55" s="137"/>
      <c r="K55" s="138"/>
    </row>
    <row r="56" spans="1:11" x14ac:dyDescent="0.25">
      <c r="A56" s="61"/>
      <c r="B56" s="131"/>
      <c r="C56" s="131"/>
      <c r="D56" s="131"/>
      <c r="G56" s="136"/>
      <c r="H56" s="137"/>
      <c r="I56" s="137"/>
      <c r="J56" s="137"/>
      <c r="K56" s="138"/>
    </row>
    <row r="57" spans="1:11" x14ac:dyDescent="0.25">
      <c r="A57" s="61"/>
      <c r="B57" s="131"/>
      <c r="C57" s="131"/>
      <c r="D57" s="131"/>
      <c r="G57" s="136"/>
      <c r="H57" s="137"/>
      <c r="I57" s="137"/>
      <c r="J57" s="137"/>
      <c r="K57" s="138"/>
    </row>
    <row r="58" spans="1:11" x14ac:dyDescent="0.25">
      <c r="A58" s="61"/>
      <c r="B58" s="131"/>
      <c r="C58" s="131"/>
      <c r="D58" s="131"/>
      <c r="G58" s="136"/>
      <c r="H58" s="137"/>
      <c r="I58" s="137"/>
      <c r="J58" s="137"/>
      <c r="K58" s="138"/>
    </row>
    <row r="59" spans="1:11" x14ac:dyDescent="0.25">
      <c r="A59" s="61"/>
      <c r="B59" s="131"/>
      <c r="C59" s="131"/>
      <c r="D59" s="131"/>
      <c r="G59" s="136"/>
      <c r="H59" s="137"/>
      <c r="I59" s="137"/>
      <c r="J59" s="137"/>
      <c r="K59" s="138"/>
    </row>
    <row r="60" spans="1:11" x14ac:dyDescent="0.25">
      <c r="A60" s="61"/>
      <c r="B60" s="131"/>
      <c r="C60" s="131"/>
      <c r="D60" s="131"/>
      <c r="G60" s="136"/>
      <c r="H60" s="137"/>
      <c r="I60" s="137"/>
      <c r="J60" s="137"/>
      <c r="K60" s="138"/>
    </row>
    <row r="61" spans="1:11" x14ac:dyDescent="0.25">
      <c r="A61" s="61"/>
      <c r="B61" s="131"/>
      <c r="C61" s="131"/>
      <c r="D61" s="131"/>
      <c r="G61" s="136"/>
      <c r="H61" s="137"/>
      <c r="I61" s="137"/>
      <c r="J61" s="137"/>
      <c r="K61" s="138"/>
    </row>
    <row r="62" spans="1:11" x14ac:dyDescent="0.25">
      <c r="A62" s="61"/>
      <c r="B62" s="131"/>
      <c r="C62" s="131"/>
      <c r="D62" s="131"/>
      <c r="G62" s="136"/>
      <c r="H62" s="137"/>
      <c r="I62" s="137"/>
      <c r="J62" s="137"/>
      <c r="K62" s="138"/>
    </row>
    <row r="63" spans="1:11" ht="15.75" thickBot="1" x14ac:dyDescent="0.3">
      <c r="A63" s="61"/>
      <c r="B63" s="131"/>
      <c r="C63" s="131"/>
      <c r="D63" s="131"/>
      <c r="G63" s="139"/>
      <c r="H63" s="140"/>
      <c r="I63" s="140"/>
      <c r="J63" s="140"/>
      <c r="K63" s="141"/>
    </row>
  </sheetData>
  <mergeCells count="34">
    <mergeCell ref="G35:H35"/>
    <mergeCell ref="T35:U35"/>
    <mergeCell ref="B36:D36"/>
    <mergeCell ref="B37:D37"/>
    <mergeCell ref="B38:D38"/>
    <mergeCell ref="B39:D39"/>
    <mergeCell ref="B40:D40"/>
    <mergeCell ref="B41:D41"/>
    <mergeCell ref="G37:K41"/>
    <mergeCell ref="B43:D43"/>
    <mergeCell ref="G43:K50"/>
    <mergeCell ref="B44:D44"/>
    <mergeCell ref="B45:D45"/>
    <mergeCell ref="B46:D46"/>
    <mergeCell ref="B47:D47"/>
    <mergeCell ref="B48:D48"/>
    <mergeCell ref="B49:D49"/>
    <mergeCell ref="B50:D50"/>
    <mergeCell ref="B60:D60"/>
    <mergeCell ref="B61:D61"/>
    <mergeCell ref="B62:D62"/>
    <mergeCell ref="B63:D63"/>
    <mergeCell ref="M36:N36"/>
    <mergeCell ref="B51:D51"/>
    <mergeCell ref="B52:D52"/>
    <mergeCell ref="G52:K63"/>
    <mergeCell ref="B53:D53"/>
    <mergeCell ref="B54:D54"/>
    <mergeCell ref="B55:D55"/>
    <mergeCell ref="B56:D56"/>
    <mergeCell ref="B57:D57"/>
    <mergeCell ref="B58:D58"/>
    <mergeCell ref="B59:D59"/>
    <mergeCell ref="B42:D42"/>
  </mergeCells>
  <conditionalFormatting sqref="C2:C30 T2:X3 T6:X30 V5:X5 U4:X4 T4:T5">
    <cfRule type="containsBlanks" dxfId="84" priority="26">
      <formula>LEN(TRIM(C2))=0</formula>
    </cfRule>
  </conditionalFormatting>
  <conditionalFormatting sqref="E2:E30">
    <cfRule type="cellIs" dxfId="83" priority="25" operator="greaterThan">
      <formula>0</formula>
    </cfRule>
  </conditionalFormatting>
  <conditionalFormatting sqref="Q2:Q30">
    <cfRule type="cellIs" dxfId="82" priority="24" operator="greaterThanOrEqual">
      <formula>0.6</formula>
    </cfRule>
  </conditionalFormatting>
  <conditionalFormatting sqref="M2:P30">
    <cfRule type="cellIs" dxfId="81" priority="23" operator="greaterThanOrEqual">
      <formula>0.5</formula>
    </cfRule>
  </conditionalFormatting>
  <conditionalFormatting sqref="P2:P30">
    <cfRule type="cellIs" dxfId="80" priority="22" operator="greaterThanOrEqual">
      <formula>0.5</formula>
    </cfRule>
  </conditionalFormatting>
  <conditionalFormatting sqref="R2:R30">
    <cfRule type="cellIs" dxfId="79" priority="21" operator="greaterThanOrEqual">
      <formula>0.6</formula>
    </cfRule>
  </conditionalFormatting>
  <conditionalFormatting sqref="F2:F30">
    <cfRule type="cellIs" dxfId="78" priority="19" operator="between">
      <formula>0</formula>
      <formula>17</formula>
    </cfRule>
    <cfRule type="cellIs" dxfId="77" priority="20" operator="greaterThan">
      <formula>30</formula>
    </cfRule>
  </conditionalFormatting>
  <conditionalFormatting sqref="D2:F30 M2:S30">
    <cfRule type="containsBlanks" dxfId="76" priority="18">
      <formula>LEN(TRIM(D2))=0</formula>
    </cfRule>
  </conditionalFormatting>
  <conditionalFormatting sqref="F2:F30">
    <cfRule type="cellIs" dxfId="75" priority="17" operator="between">
      <formula>17</formula>
      <formula>30</formula>
    </cfRule>
  </conditionalFormatting>
  <conditionalFormatting sqref="G2:G30">
    <cfRule type="cellIs" dxfId="74" priority="16" operator="greaterThan">
      <formula>0</formula>
    </cfRule>
  </conditionalFormatting>
  <conditionalFormatting sqref="K2:K30">
    <cfRule type="cellIs" dxfId="73" priority="15" operator="greaterThan">
      <formula>0.0104166666666667</formula>
    </cfRule>
  </conditionalFormatting>
  <conditionalFormatting sqref="V2:V30">
    <cfRule type="cellIs" dxfId="72" priority="14" operator="greaterThan">
      <formula>0.5</formula>
    </cfRule>
  </conditionalFormatting>
  <conditionalFormatting sqref="AB2:AB30">
    <cfRule type="cellIs" dxfId="71" priority="7" operator="greaterThanOrEqual">
      <formula>6.5</formula>
    </cfRule>
    <cfRule type="cellIs" dxfId="70" priority="12" operator="lessThan">
      <formula>6</formula>
    </cfRule>
  </conditionalFormatting>
  <conditionalFormatting sqref="AC2:AC30">
    <cfRule type="cellIs" dxfId="69" priority="9" operator="between">
      <formula>0.7647</formula>
      <formula>0.8235</formula>
    </cfRule>
    <cfRule type="cellIs" dxfId="68" priority="10" operator="between">
      <formula>0.7059</formula>
      <formula>0.7646</formula>
    </cfRule>
    <cfRule type="cellIs" dxfId="67" priority="11" operator="between">
      <formula>0</formula>
      <formula>0.7058</formula>
    </cfRule>
  </conditionalFormatting>
  <conditionalFormatting sqref="AA2:AE30">
    <cfRule type="containsBlanks" dxfId="66" priority="8">
      <formula>LEN(TRIM(AA2))=0</formula>
    </cfRule>
  </conditionalFormatting>
  <conditionalFormatting sqref="H2:H30">
    <cfRule type="cellIs" dxfId="65" priority="6" operator="greaterThan">
      <formula>15</formula>
    </cfRule>
  </conditionalFormatting>
  <conditionalFormatting sqref="AB1:AB1048576">
    <cfRule type="cellIs" dxfId="64" priority="5" operator="between">
      <formula>6</formula>
      <formula>6.5</formula>
    </cfRule>
  </conditionalFormatting>
  <conditionalFormatting sqref="AD2:AD1048576">
    <cfRule type="cellIs" dxfId="63" priority="4" operator="greaterThanOrEqual">
      <formula>0.98</formula>
    </cfRule>
  </conditionalFormatting>
  <conditionalFormatting sqref="AA2:AA1048576">
    <cfRule type="cellIs" dxfId="62" priority="3" operator="greaterThanOrEqual">
      <formula>0.95</formula>
    </cfRule>
  </conditionalFormatting>
  <conditionalFormatting sqref="AA1:AA1048576">
    <cfRule type="containsBlanks" dxfId="61" priority="1">
      <formula>LEN(TRIM(AA1))=0</formula>
    </cfRule>
    <cfRule type="cellIs" dxfId="60" priority="2" operator="lessThan">
      <formula>0.95</formula>
    </cfRule>
  </conditionalFormatting>
  <dataValidations count="1">
    <dataValidation type="list" allowBlank="1" showInputMessage="1" showErrorMessage="1" sqref="B37:D63" xr:uid="{C61AEDFD-280E-4C42-A6C1-C440E2299D18}">
      <formula1>$AG$3:$AG$36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69" r:id="rId4" name="CommandButton5">
          <controlPr defaultSize="0" autoLine="0" r:id="rId5">
            <anchor moveWithCells="1">
              <from>
                <xdr:col>16</xdr:col>
                <xdr:colOff>200025</xdr:colOff>
                <xdr:row>58</xdr:row>
                <xdr:rowOff>152400</xdr:rowOff>
              </from>
              <to>
                <xdr:col>19</xdr:col>
                <xdr:colOff>228600</xdr:colOff>
                <xdr:row>61</xdr:row>
                <xdr:rowOff>114300</xdr:rowOff>
              </to>
            </anchor>
          </controlPr>
        </control>
      </mc:Choice>
      <mc:Fallback>
        <control shapeId="19469" r:id="rId4" name="CommandButton5"/>
      </mc:Fallback>
    </mc:AlternateContent>
    <mc:AlternateContent xmlns:mc="http://schemas.openxmlformats.org/markup-compatibility/2006">
      <mc:Choice Requires="x14">
        <control shapeId="19468" r:id="rId6" name="CommandButton4">
          <controlPr defaultSize="0" autoLine="0" r:id="rId7">
            <anchor moveWithCells="1">
              <from>
                <xdr:col>16</xdr:col>
                <xdr:colOff>190500</xdr:colOff>
                <xdr:row>54</xdr:row>
                <xdr:rowOff>161925</xdr:rowOff>
              </from>
              <to>
                <xdr:col>19</xdr:col>
                <xdr:colOff>219075</xdr:colOff>
                <xdr:row>57</xdr:row>
                <xdr:rowOff>123825</xdr:rowOff>
              </to>
            </anchor>
          </controlPr>
        </control>
      </mc:Choice>
      <mc:Fallback>
        <control shapeId="19468" r:id="rId6" name="CommandButton4"/>
      </mc:Fallback>
    </mc:AlternateContent>
    <mc:AlternateContent xmlns:mc="http://schemas.openxmlformats.org/markup-compatibility/2006">
      <mc:Choice Requires="x14">
        <control shapeId="19467" r:id="rId8" name="CommandButton3">
          <controlPr defaultSize="0" autoLine="0" r:id="rId9">
            <anchor moveWithCells="1">
              <from>
                <xdr:col>16</xdr:col>
                <xdr:colOff>219075</xdr:colOff>
                <xdr:row>50</xdr:row>
                <xdr:rowOff>152400</xdr:rowOff>
              </from>
              <to>
                <xdr:col>19</xdr:col>
                <xdr:colOff>247650</xdr:colOff>
                <xdr:row>53</xdr:row>
                <xdr:rowOff>123825</xdr:rowOff>
              </to>
            </anchor>
          </controlPr>
        </control>
      </mc:Choice>
      <mc:Fallback>
        <control shapeId="19467" r:id="rId8" name="CommandButton3"/>
      </mc:Fallback>
    </mc:AlternateContent>
    <mc:AlternateContent xmlns:mc="http://schemas.openxmlformats.org/markup-compatibility/2006">
      <mc:Choice Requires="x14">
        <control shapeId="19466" r:id="rId10" name="CommandButton2">
          <controlPr defaultSize="0" autoLine="0" r:id="rId11">
            <anchor moveWithCells="1">
              <from>
                <xdr:col>16</xdr:col>
                <xdr:colOff>180975</xdr:colOff>
                <xdr:row>46</xdr:row>
                <xdr:rowOff>152400</xdr:rowOff>
              </from>
              <to>
                <xdr:col>19</xdr:col>
                <xdr:colOff>209550</xdr:colOff>
                <xdr:row>49</xdr:row>
                <xdr:rowOff>123825</xdr:rowOff>
              </to>
            </anchor>
          </controlPr>
        </control>
      </mc:Choice>
      <mc:Fallback>
        <control shapeId="19466" r:id="rId10" name="CommandButton2"/>
      </mc:Fallback>
    </mc:AlternateContent>
    <mc:AlternateContent xmlns:mc="http://schemas.openxmlformats.org/markup-compatibility/2006">
      <mc:Choice Requires="x14">
        <control shapeId="19465" r:id="rId12" name="CommandButton1">
          <controlPr defaultSize="0" autoLine="0" r:id="rId13">
            <anchor moveWithCells="1">
              <from>
                <xdr:col>16</xdr:col>
                <xdr:colOff>171450</xdr:colOff>
                <xdr:row>42</xdr:row>
                <xdr:rowOff>180975</xdr:rowOff>
              </from>
              <to>
                <xdr:col>19</xdr:col>
                <xdr:colOff>200025</xdr:colOff>
                <xdr:row>45</xdr:row>
                <xdr:rowOff>142875</xdr:rowOff>
              </to>
            </anchor>
          </controlPr>
        </control>
      </mc:Choice>
      <mc:Fallback>
        <control shapeId="19465" r:id="rId12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F135-420C-41F2-927C-5E3C63681B61}">
  <sheetPr codeName="Sheet17"/>
  <dimension ref="A1:E30"/>
  <sheetViews>
    <sheetView showGridLines="0" workbookViewId="0">
      <selection activeCell="H54" sqref="H54"/>
    </sheetView>
  </sheetViews>
  <sheetFormatPr defaultRowHeight="15" x14ac:dyDescent="0.25"/>
  <cols>
    <col min="1" max="1" width="28" customWidth="1"/>
    <col min="2" max="2" width="24.5703125" customWidth="1"/>
    <col min="3" max="3" width="20.5703125" customWidth="1"/>
    <col min="4" max="4" width="22.5703125" style="38" customWidth="1"/>
    <col min="5" max="5" width="21.140625" style="83" customWidth="1"/>
    <col min="6" max="6" width="10.5703125" customWidth="1"/>
  </cols>
  <sheetData>
    <row r="1" spans="1:5" ht="15.75" x14ac:dyDescent="0.25">
      <c r="A1" s="39" t="s">
        <v>86</v>
      </c>
      <c r="B1" s="39" t="s">
        <v>87</v>
      </c>
      <c r="C1" s="39" t="s">
        <v>88</v>
      </c>
      <c r="D1" s="41" t="s">
        <v>119</v>
      </c>
      <c r="E1" s="81" t="s">
        <v>95</v>
      </c>
    </row>
    <row r="2" spans="1:5" x14ac:dyDescent="0.25">
      <c r="A2" s="23"/>
      <c r="B2" s="23"/>
      <c r="C2" s="23"/>
      <c r="D2" s="42">
        <f t="shared" ref="D2:D30" si="0">(B2/3600)-(C2/3600)</f>
        <v>0</v>
      </c>
      <c r="E2" s="82">
        <f>MROUND(D2,0.25)</f>
        <v>0</v>
      </c>
    </row>
    <row r="3" spans="1:5" x14ac:dyDescent="0.25">
      <c r="A3" s="23"/>
      <c r="B3" s="23"/>
      <c r="C3" s="23"/>
      <c r="D3" s="42">
        <f>(B3/3600)-(C3/3600)</f>
        <v>0</v>
      </c>
      <c r="E3" s="82">
        <f t="shared" ref="E3:E30" si="1">MROUND(D3,0.25)</f>
        <v>0</v>
      </c>
    </row>
    <row r="4" spans="1:5" x14ac:dyDescent="0.25">
      <c r="A4" s="23"/>
      <c r="B4" s="23"/>
      <c r="C4" s="23"/>
      <c r="D4" s="42">
        <f t="shared" si="0"/>
        <v>0</v>
      </c>
      <c r="E4" s="82">
        <f t="shared" si="1"/>
        <v>0</v>
      </c>
    </row>
    <row r="5" spans="1:5" x14ac:dyDescent="0.25">
      <c r="A5" s="23"/>
      <c r="B5" s="23"/>
      <c r="C5" s="23"/>
      <c r="D5" s="42">
        <f t="shared" si="0"/>
        <v>0</v>
      </c>
      <c r="E5" s="82">
        <f t="shared" si="1"/>
        <v>0</v>
      </c>
    </row>
    <row r="6" spans="1:5" x14ac:dyDescent="0.25">
      <c r="A6" s="23"/>
      <c r="B6" s="23"/>
      <c r="C6" s="23"/>
      <c r="D6" s="42">
        <f t="shared" si="0"/>
        <v>0</v>
      </c>
      <c r="E6" s="82">
        <f t="shared" si="1"/>
        <v>0</v>
      </c>
    </row>
    <row r="7" spans="1:5" x14ac:dyDescent="0.25">
      <c r="A7" s="23"/>
      <c r="B7" s="23"/>
      <c r="C7" s="23"/>
      <c r="D7" s="42">
        <f t="shared" si="0"/>
        <v>0</v>
      </c>
      <c r="E7" s="82">
        <f t="shared" si="1"/>
        <v>0</v>
      </c>
    </row>
    <row r="8" spans="1:5" x14ac:dyDescent="0.25">
      <c r="A8" s="23"/>
      <c r="B8" s="23"/>
      <c r="C8" s="23"/>
      <c r="D8" s="42">
        <f t="shared" si="0"/>
        <v>0</v>
      </c>
      <c r="E8" s="82">
        <f t="shared" si="1"/>
        <v>0</v>
      </c>
    </row>
    <row r="9" spans="1:5" x14ac:dyDescent="0.25">
      <c r="A9" s="23"/>
      <c r="B9" s="23"/>
      <c r="C9" s="23"/>
      <c r="D9" s="42">
        <f t="shared" si="0"/>
        <v>0</v>
      </c>
      <c r="E9" s="82">
        <f t="shared" si="1"/>
        <v>0</v>
      </c>
    </row>
    <row r="10" spans="1:5" x14ac:dyDescent="0.25">
      <c r="A10" s="23"/>
      <c r="B10" s="23"/>
      <c r="C10" s="23"/>
      <c r="D10" s="42">
        <f t="shared" si="0"/>
        <v>0</v>
      </c>
      <c r="E10" s="82">
        <f t="shared" si="1"/>
        <v>0</v>
      </c>
    </row>
    <row r="11" spans="1:5" x14ac:dyDescent="0.25">
      <c r="A11" s="23"/>
      <c r="B11" s="23"/>
      <c r="C11" s="23"/>
      <c r="D11" s="42">
        <f t="shared" si="0"/>
        <v>0</v>
      </c>
      <c r="E11" s="82">
        <f t="shared" si="1"/>
        <v>0</v>
      </c>
    </row>
    <row r="12" spans="1:5" x14ac:dyDescent="0.25">
      <c r="A12" s="23"/>
      <c r="B12" s="23"/>
      <c r="C12" s="23"/>
      <c r="D12" s="42">
        <f t="shared" si="0"/>
        <v>0</v>
      </c>
      <c r="E12" s="82">
        <f t="shared" si="1"/>
        <v>0</v>
      </c>
    </row>
    <row r="13" spans="1:5" x14ac:dyDescent="0.25">
      <c r="A13" s="23"/>
      <c r="B13" s="23"/>
      <c r="C13" s="23"/>
      <c r="D13" s="42">
        <f t="shared" si="0"/>
        <v>0</v>
      </c>
      <c r="E13" s="82">
        <f t="shared" si="1"/>
        <v>0</v>
      </c>
    </row>
    <row r="14" spans="1:5" x14ac:dyDescent="0.25">
      <c r="A14" s="23"/>
      <c r="B14" s="23"/>
      <c r="C14" s="23"/>
      <c r="D14" s="42">
        <f t="shared" si="0"/>
        <v>0</v>
      </c>
      <c r="E14" s="82">
        <f t="shared" si="1"/>
        <v>0</v>
      </c>
    </row>
    <row r="15" spans="1:5" x14ac:dyDescent="0.25">
      <c r="A15" s="23"/>
      <c r="B15" s="23"/>
      <c r="C15" s="23"/>
      <c r="D15" s="42">
        <f t="shared" si="0"/>
        <v>0</v>
      </c>
      <c r="E15" s="82">
        <f t="shared" si="1"/>
        <v>0</v>
      </c>
    </row>
    <row r="16" spans="1:5" x14ac:dyDescent="0.25">
      <c r="A16" s="23"/>
      <c r="B16" s="23"/>
      <c r="C16" s="23"/>
      <c r="D16" s="42">
        <f t="shared" si="0"/>
        <v>0</v>
      </c>
      <c r="E16" s="82">
        <f t="shared" si="1"/>
        <v>0</v>
      </c>
    </row>
    <row r="17" spans="1:5" x14ac:dyDescent="0.25">
      <c r="A17" s="23"/>
      <c r="B17" s="23"/>
      <c r="C17" s="23"/>
      <c r="D17" s="42">
        <f t="shared" si="0"/>
        <v>0</v>
      </c>
      <c r="E17" s="82">
        <f t="shared" si="1"/>
        <v>0</v>
      </c>
    </row>
    <row r="18" spans="1:5" x14ac:dyDescent="0.25">
      <c r="A18" s="23"/>
      <c r="B18" s="23"/>
      <c r="C18" s="23"/>
      <c r="D18" s="42">
        <f t="shared" si="0"/>
        <v>0</v>
      </c>
      <c r="E18" s="82">
        <f t="shared" si="1"/>
        <v>0</v>
      </c>
    </row>
    <row r="19" spans="1:5" x14ac:dyDescent="0.25">
      <c r="A19" s="23"/>
      <c r="B19" s="23"/>
      <c r="C19" s="23"/>
      <c r="D19" s="42">
        <f t="shared" si="0"/>
        <v>0</v>
      </c>
      <c r="E19" s="82">
        <f t="shared" si="1"/>
        <v>0</v>
      </c>
    </row>
    <row r="20" spans="1:5" x14ac:dyDescent="0.25">
      <c r="A20" s="23"/>
      <c r="B20" s="23"/>
      <c r="C20" s="23"/>
      <c r="D20" s="42">
        <f t="shared" si="0"/>
        <v>0</v>
      </c>
      <c r="E20" s="82">
        <f t="shared" si="1"/>
        <v>0</v>
      </c>
    </row>
    <row r="21" spans="1:5" x14ac:dyDescent="0.25">
      <c r="A21" s="23"/>
      <c r="B21" s="23"/>
      <c r="C21" s="23"/>
      <c r="D21" s="42">
        <f t="shared" si="0"/>
        <v>0</v>
      </c>
      <c r="E21" s="82">
        <f t="shared" si="1"/>
        <v>0</v>
      </c>
    </row>
    <row r="22" spans="1:5" x14ac:dyDescent="0.25">
      <c r="A22" s="23"/>
      <c r="B22" s="23"/>
      <c r="C22" s="23"/>
      <c r="D22" s="42">
        <f t="shared" si="0"/>
        <v>0</v>
      </c>
      <c r="E22" s="82">
        <f t="shared" si="1"/>
        <v>0</v>
      </c>
    </row>
    <row r="23" spans="1:5" x14ac:dyDescent="0.25">
      <c r="A23" s="23"/>
      <c r="B23" s="23"/>
      <c r="C23" s="23"/>
      <c r="D23" s="42">
        <f t="shared" si="0"/>
        <v>0</v>
      </c>
      <c r="E23" s="82">
        <f t="shared" si="1"/>
        <v>0</v>
      </c>
    </row>
    <row r="24" spans="1:5" x14ac:dyDescent="0.25">
      <c r="A24" s="23"/>
      <c r="B24" s="23"/>
      <c r="C24" s="23"/>
      <c r="D24" s="42">
        <f t="shared" si="0"/>
        <v>0</v>
      </c>
      <c r="E24" s="82">
        <f t="shared" si="1"/>
        <v>0</v>
      </c>
    </row>
    <row r="25" spans="1:5" x14ac:dyDescent="0.25">
      <c r="A25" s="23"/>
      <c r="B25" s="23"/>
      <c r="C25" s="23"/>
      <c r="D25" s="42">
        <f t="shared" si="0"/>
        <v>0</v>
      </c>
      <c r="E25" s="82">
        <f t="shared" si="1"/>
        <v>0</v>
      </c>
    </row>
    <row r="26" spans="1:5" x14ac:dyDescent="0.25">
      <c r="A26" s="23"/>
      <c r="B26" s="23"/>
      <c r="C26" s="23"/>
      <c r="D26" s="42">
        <f t="shared" si="0"/>
        <v>0</v>
      </c>
      <c r="E26" s="82">
        <f t="shared" si="1"/>
        <v>0</v>
      </c>
    </row>
    <row r="27" spans="1:5" x14ac:dyDescent="0.25">
      <c r="A27" s="23"/>
      <c r="B27" s="23"/>
      <c r="C27" s="23"/>
      <c r="D27" s="42">
        <f t="shared" si="0"/>
        <v>0</v>
      </c>
      <c r="E27" s="82">
        <f t="shared" si="1"/>
        <v>0</v>
      </c>
    </row>
    <row r="28" spans="1:5" x14ac:dyDescent="0.25">
      <c r="A28" s="23"/>
      <c r="B28" s="23"/>
      <c r="C28" s="23"/>
      <c r="D28" s="42">
        <f t="shared" si="0"/>
        <v>0</v>
      </c>
      <c r="E28" s="82">
        <f t="shared" si="1"/>
        <v>0</v>
      </c>
    </row>
    <row r="29" spans="1:5" x14ac:dyDescent="0.25">
      <c r="A29" s="23"/>
      <c r="B29" s="23"/>
      <c r="C29" s="23"/>
      <c r="D29" s="42">
        <f t="shared" si="0"/>
        <v>0</v>
      </c>
      <c r="E29" s="82">
        <f t="shared" si="1"/>
        <v>0</v>
      </c>
    </row>
    <row r="30" spans="1:5" x14ac:dyDescent="0.25">
      <c r="A30" s="23"/>
      <c r="B30" s="23"/>
      <c r="C30" s="23"/>
      <c r="D30" s="42">
        <f t="shared" si="0"/>
        <v>0</v>
      </c>
      <c r="E30" s="82">
        <f t="shared" si="1"/>
        <v>0</v>
      </c>
    </row>
  </sheetData>
  <autoFilter ref="A1:E1" xr:uid="{7454F135-420C-41F2-927C-5E3C63681B61}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6</xdr:col>
                <xdr:colOff>495300</xdr:colOff>
                <xdr:row>15</xdr:row>
                <xdr:rowOff>28575</xdr:rowOff>
              </from>
              <to>
                <xdr:col>9</xdr:col>
                <xdr:colOff>180975</xdr:colOff>
                <xdr:row>17</xdr:row>
                <xdr:rowOff>114300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6</xdr:col>
                <xdr:colOff>447675</xdr:colOff>
                <xdr:row>5</xdr:row>
                <xdr:rowOff>28575</xdr:rowOff>
              </from>
              <to>
                <xdr:col>9</xdr:col>
                <xdr:colOff>133350</xdr:colOff>
                <xdr:row>7</xdr:row>
                <xdr:rowOff>114300</xdr:rowOff>
              </to>
            </anchor>
          </controlPr>
        </control>
      </mc:Choice>
      <mc:Fallback>
        <control shapeId="21506" r:id="rId6" name="CommandButton2"/>
      </mc:Fallback>
    </mc:AlternateContent>
    <mc:AlternateContent xmlns:mc="http://schemas.openxmlformats.org/markup-compatibility/2006">
      <mc:Choice Requires="x14">
        <control shapeId="21507" r:id="rId8" name="CommandButton3">
          <controlPr defaultSize="0" autoLine="0" r:id="rId9">
            <anchor moveWithCells="1">
              <from>
                <xdr:col>6</xdr:col>
                <xdr:colOff>476250</xdr:colOff>
                <xdr:row>8</xdr:row>
                <xdr:rowOff>85725</xdr:rowOff>
              </from>
              <to>
                <xdr:col>9</xdr:col>
                <xdr:colOff>161925</xdr:colOff>
                <xdr:row>10</xdr:row>
                <xdr:rowOff>171450</xdr:rowOff>
              </to>
            </anchor>
          </controlPr>
        </control>
      </mc:Choice>
      <mc:Fallback>
        <control shapeId="21507" r:id="rId8" name="CommandButton3"/>
      </mc:Fallback>
    </mc:AlternateContent>
    <mc:AlternateContent xmlns:mc="http://schemas.openxmlformats.org/markup-compatibility/2006">
      <mc:Choice Requires="x14">
        <control shapeId="21509" r:id="rId10" name="CommandButton5">
          <controlPr defaultSize="0" autoLine="0" r:id="rId11">
            <anchor moveWithCells="1">
              <from>
                <xdr:col>6</xdr:col>
                <xdr:colOff>485775</xdr:colOff>
                <xdr:row>11</xdr:row>
                <xdr:rowOff>171450</xdr:rowOff>
              </from>
              <to>
                <xdr:col>9</xdr:col>
                <xdr:colOff>171450</xdr:colOff>
                <xdr:row>14</xdr:row>
                <xdr:rowOff>66675</xdr:rowOff>
              </to>
            </anchor>
          </controlPr>
        </control>
      </mc:Choice>
      <mc:Fallback>
        <control shapeId="21509" r:id="rId10" name="CommandButton5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082ED-B3D2-4BA5-A032-559B5EDF5095}">
  <sheetPr codeName="Sheet10"/>
  <dimension ref="A1:O30"/>
  <sheetViews>
    <sheetView showGridLines="0" workbookViewId="0">
      <selection activeCell="P44" sqref="P44"/>
    </sheetView>
  </sheetViews>
  <sheetFormatPr defaultRowHeight="15" x14ac:dyDescent="0.25"/>
  <cols>
    <col min="1" max="1" width="16" bestFit="1" customWidth="1"/>
    <col min="2" max="2" width="11.5703125" bestFit="1" customWidth="1"/>
    <col min="3" max="3" width="11.85546875" style="83" customWidth="1"/>
    <col min="4" max="4" width="10.42578125" style="83" customWidth="1"/>
    <col min="5" max="5" width="11" style="83" customWidth="1"/>
    <col min="6" max="6" width="10.140625" style="83" customWidth="1"/>
    <col min="7" max="7" width="9.5703125" style="83" customWidth="1"/>
    <col min="8" max="8" width="11" style="83" customWidth="1"/>
    <col min="9" max="9" width="10.85546875" style="83" customWidth="1"/>
    <col min="10" max="10" width="11" style="38" bestFit="1" customWidth="1"/>
  </cols>
  <sheetData>
    <row r="1" spans="1:15" x14ac:dyDescent="0.25">
      <c r="A1" s="40" t="s">
        <v>86</v>
      </c>
      <c r="B1" s="40" t="s">
        <v>94</v>
      </c>
      <c r="C1" s="84" t="s">
        <v>89</v>
      </c>
      <c r="D1" s="84" t="s">
        <v>90</v>
      </c>
      <c r="E1" s="84" t="s">
        <v>91</v>
      </c>
      <c r="F1" s="84" t="s">
        <v>92</v>
      </c>
      <c r="G1" s="84" t="s">
        <v>93</v>
      </c>
      <c r="H1" s="84" t="s">
        <v>83</v>
      </c>
      <c r="I1" s="84" t="s">
        <v>82</v>
      </c>
      <c r="J1" s="43" t="s">
        <v>85</v>
      </c>
    </row>
    <row r="2" spans="1:15" x14ac:dyDescent="0.25">
      <c r="A2" s="23"/>
      <c r="B2" s="23" t="s">
        <v>96</v>
      </c>
      <c r="C2" s="82"/>
      <c r="D2" s="82"/>
      <c r="E2" s="82"/>
      <c r="F2" s="82"/>
      <c r="G2" s="82"/>
      <c r="H2" s="82"/>
      <c r="I2" s="82"/>
      <c r="J2" s="42">
        <f>SUM(C2:I2)</f>
        <v>0</v>
      </c>
      <c r="K2" s="38"/>
      <c r="L2" s="38"/>
      <c r="M2" s="38"/>
      <c r="N2" s="38"/>
      <c r="O2" s="38"/>
    </row>
    <row r="3" spans="1:15" x14ac:dyDescent="0.25">
      <c r="A3" s="23"/>
      <c r="B3" s="23" t="s">
        <v>96</v>
      </c>
      <c r="C3" s="82"/>
      <c r="D3" s="82"/>
      <c r="E3" s="82"/>
      <c r="F3" s="82"/>
      <c r="G3" s="82"/>
      <c r="H3" s="82"/>
      <c r="I3" s="82"/>
      <c r="J3" s="42">
        <f t="shared" ref="J3:J30" si="0">SUM(C3:I3)</f>
        <v>0</v>
      </c>
      <c r="K3" s="38"/>
      <c r="L3" s="38"/>
      <c r="M3" s="38"/>
      <c r="N3" s="38"/>
      <c r="O3" s="38"/>
    </row>
    <row r="4" spans="1:15" x14ac:dyDescent="0.25">
      <c r="A4" s="23"/>
      <c r="B4" s="23" t="s">
        <v>96</v>
      </c>
      <c r="C4" s="82"/>
      <c r="D4" s="82"/>
      <c r="E4" s="82"/>
      <c r="F4" s="82"/>
      <c r="G4" s="82"/>
      <c r="H4" s="82"/>
      <c r="I4" s="82"/>
      <c r="J4" s="42">
        <f t="shared" si="0"/>
        <v>0</v>
      </c>
      <c r="K4" s="38"/>
      <c r="L4" s="38"/>
      <c r="M4" s="38"/>
      <c r="N4" s="38"/>
      <c r="O4" s="38"/>
    </row>
    <row r="5" spans="1:15" x14ac:dyDescent="0.25">
      <c r="A5" s="23"/>
      <c r="B5" s="23" t="s">
        <v>96</v>
      </c>
      <c r="C5" s="82"/>
      <c r="D5" s="82"/>
      <c r="E5" s="82"/>
      <c r="F5" s="82"/>
      <c r="G5" s="82"/>
      <c r="H5" s="82"/>
      <c r="I5" s="82"/>
      <c r="J5" s="42">
        <f t="shared" si="0"/>
        <v>0</v>
      </c>
      <c r="K5" s="38"/>
      <c r="L5" s="38"/>
      <c r="M5" s="38"/>
      <c r="N5" s="38"/>
      <c r="O5" s="38"/>
    </row>
    <row r="6" spans="1:15" x14ac:dyDescent="0.25">
      <c r="A6" s="23"/>
      <c r="B6" s="23" t="s">
        <v>96</v>
      </c>
      <c r="C6" s="82"/>
      <c r="D6" s="82"/>
      <c r="E6" s="82"/>
      <c r="F6" s="82"/>
      <c r="G6" s="82"/>
      <c r="H6" s="82"/>
      <c r="I6" s="82"/>
      <c r="J6" s="42">
        <f t="shared" si="0"/>
        <v>0</v>
      </c>
      <c r="K6" s="38"/>
      <c r="L6" s="38"/>
      <c r="M6" s="38"/>
      <c r="N6" s="38"/>
      <c r="O6" s="38"/>
    </row>
    <row r="7" spans="1:15" x14ac:dyDescent="0.25">
      <c r="A7" s="23"/>
      <c r="B7" s="23" t="s">
        <v>96</v>
      </c>
      <c r="C7" s="82"/>
      <c r="D7" s="82"/>
      <c r="E7" s="82"/>
      <c r="F7" s="82"/>
      <c r="G7" s="82"/>
      <c r="H7" s="82"/>
      <c r="I7" s="82"/>
      <c r="J7" s="42">
        <f t="shared" si="0"/>
        <v>0</v>
      </c>
      <c r="K7" s="38"/>
      <c r="L7" s="38"/>
      <c r="M7" s="38"/>
      <c r="N7" s="38"/>
      <c r="O7" s="38"/>
    </row>
    <row r="8" spans="1:15" x14ac:dyDescent="0.25">
      <c r="A8" s="23"/>
      <c r="B8" s="23" t="s">
        <v>96</v>
      </c>
      <c r="C8" s="82"/>
      <c r="D8" s="82"/>
      <c r="E8" s="82"/>
      <c r="F8" s="82"/>
      <c r="G8" s="82"/>
      <c r="H8" s="82"/>
      <c r="I8" s="82"/>
      <c r="J8" s="42">
        <f t="shared" si="0"/>
        <v>0</v>
      </c>
      <c r="K8" s="38"/>
      <c r="L8" s="38"/>
      <c r="M8" s="38"/>
      <c r="N8" s="38"/>
      <c r="O8" s="38"/>
    </row>
    <row r="9" spans="1:15" x14ac:dyDescent="0.25">
      <c r="A9" s="23"/>
      <c r="B9" s="23" t="s">
        <v>96</v>
      </c>
      <c r="C9" s="82"/>
      <c r="D9" s="82"/>
      <c r="E9" s="82"/>
      <c r="F9" s="82"/>
      <c r="G9" s="82"/>
      <c r="H9" s="82"/>
      <c r="I9" s="82"/>
      <c r="J9" s="42">
        <f t="shared" si="0"/>
        <v>0</v>
      </c>
      <c r="K9" s="38"/>
      <c r="L9" s="38"/>
      <c r="M9" s="38"/>
      <c r="N9" s="38"/>
      <c r="O9" s="38"/>
    </row>
    <row r="10" spans="1:15" x14ac:dyDescent="0.25">
      <c r="A10" s="23"/>
      <c r="B10" s="23" t="s">
        <v>96</v>
      </c>
      <c r="C10" s="82"/>
      <c r="D10" s="82"/>
      <c r="E10" s="82"/>
      <c r="F10" s="82"/>
      <c r="G10" s="82"/>
      <c r="H10" s="82"/>
      <c r="I10" s="82"/>
      <c r="J10" s="42">
        <f t="shared" si="0"/>
        <v>0</v>
      </c>
      <c r="K10" s="38"/>
      <c r="L10" s="38"/>
      <c r="M10" s="38"/>
      <c r="N10" s="38"/>
      <c r="O10" s="38"/>
    </row>
    <row r="11" spans="1:15" x14ac:dyDescent="0.25">
      <c r="A11" s="23"/>
      <c r="B11" s="23" t="s">
        <v>96</v>
      </c>
      <c r="C11" s="82"/>
      <c r="D11" s="82"/>
      <c r="E11" s="82"/>
      <c r="F11" s="82"/>
      <c r="G11" s="82"/>
      <c r="H11" s="82"/>
      <c r="I11" s="82"/>
      <c r="J11" s="42">
        <f t="shared" si="0"/>
        <v>0</v>
      </c>
      <c r="K11" s="38"/>
      <c r="L11" s="38"/>
      <c r="M11" s="38"/>
      <c r="N11" s="38"/>
      <c r="O11" s="38"/>
    </row>
    <row r="12" spans="1:15" x14ac:dyDescent="0.25">
      <c r="A12" s="23"/>
      <c r="B12" s="23" t="s">
        <v>96</v>
      </c>
      <c r="C12" s="82"/>
      <c r="D12" s="82"/>
      <c r="E12" s="82"/>
      <c r="F12" s="82"/>
      <c r="G12" s="82"/>
      <c r="H12" s="82"/>
      <c r="I12" s="82"/>
      <c r="J12" s="42">
        <f t="shared" si="0"/>
        <v>0</v>
      </c>
      <c r="K12" s="38"/>
      <c r="L12" s="38"/>
      <c r="M12" s="38"/>
      <c r="N12" s="38"/>
      <c r="O12" s="38"/>
    </row>
    <row r="13" spans="1:15" x14ac:dyDescent="0.25">
      <c r="A13" s="23"/>
      <c r="B13" s="23" t="s">
        <v>96</v>
      </c>
      <c r="C13" s="82"/>
      <c r="D13" s="82"/>
      <c r="E13" s="82"/>
      <c r="F13" s="82"/>
      <c r="G13" s="82"/>
      <c r="H13" s="82"/>
      <c r="I13" s="82"/>
      <c r="J13" s="42">
        <f t="shared" si="0"/>
        <v>0</v>
      </c>
      <c r="K13" s="38"/>
      <c r="L13" s="38"/>
      <c r="M13" s="38"/>
      <c r="N13" s="38"/>
      <c r="O13" s="38"/>
    </row>
    <row r="14" spans="1:15" x14ac:dyDescent="0.25">
      <c r="A14" s="23"/>
      <c r="B14" s="23" t="s">
        <v>96</v>
      </c>
      <c r="C14" s="82"/>
      <c r="D14" s="82"/>
      <c r="E14" s="82"/>
      <c r="F14" s="82"/>
      <c r="G14" s="82"/>
      <c r="H14" s="82"/>
      <c r="I14" s="82"/>
      <c r="J14" s="42">
        <f t="shared" si="0"/>
        <v>0</v>
      </c>
      <c r="K14" s="38"/>
      <c r="L14" s="38"/>
      <c r="M14" s="38"/>
      <c r="N14" s="38"/>
      <c r="O14" s="38"/>
    </row>
    <row r="15" spans="1:15" x14ac:dyDescent="0.25">
      <c r="A15" s="23"/>
      <c r="B15" s="23" t="s">
        <v>96</v>
      </c>
      <c r="C15" s="82"/>
      <c r="D15" s="82"/>
      <c r="E15" s="82"/>
      <c r="F15" s="82"/>
      <c r="G15" s="82"/>
      <c r="H15" s="82"/>
      <c r="I15" s="82"/>
      <c r="J15" s="42">
        <f t="shared" si="0"/>
        <v>0</v>
      </c>
      <c r="K15" s="38"/>
      <c r="L15" s="38"/>
      <c r="M15" s="38"/>
      <c r="N15" s="38"/>
      <c r="O15" s="38"/>
    </row>
    <row r="16" spans="1:15" x14ac:dyDescent="0.25">
      <c r="A16" s="23"/>
      <c r="B16" s="23" t="s">
        <v>96</v>
      </c>
      <c r="C16" s="82"/>
      <c r="D16" s="82"/>
      <c r="E16" s="82"/>
      <c r="F16" s="82"/>
      <c r="G16" s="82"/>
      <c r="H16" s="82"/>
      <c r="I16" s="82"/>
      <c r="J16" s="42">
        <f t="shared" si="0"/>
        <v>0</v>
      </c>
      <c r="K16" s="38"/>
      <c r="L16" s="38"/>
      <c r="M16" s="38"/>
      <c r="N16" s="38"/>
      <c r="O16" s="38"/>
    </row>
    <row r="17" spans="1:15" x14ac:dyDescent="0.25">
      <c r="A17" s="23"/>
      <c r="B17" s="23" t="s">
        <v>96</v>
      </c>
      <c r="C17" s="82"/>
      <c r="D17" s="82"/>
      <c r="E17" s="82"/>
      <c r="F17" s="82"/>
      <c r="G17" s="82"/>
      <c r="H17" s="82"/>
      <c r="I17" s="82"/>
      <c r="J17" s="42">
        <f t="shared" si="0"/>
        <v>0</v>
      </c>
      <c r="K17" s="38"/>
      <c r="L17" s="38"/>
      <c r="M17" s="38"/>
      <c r="N17" s="38"/>
      <c r="O17" s="38"/>
    </row>
    <row r="18" spans="1:15" x14ac:dyDescent="0.25">
      <c r="A18" s="23"/>
      <c r="B18" s="23" t="s">
        <v>96</v>
      </c>
      <c r="C18" s="82"/>
      <c r="D18" s="82"/>
      <c r="E18" s="82"/>
      <c r="F18" s="82"/>
      <c r="G18" s="82"/>
      <c r="H18" s="82"/>
      <c r="I18" s="82"/>
      <c r="J18" s="42">
        <f t="shared" si="0"/>
        <v>0</v>
      </c>
      <c r="K18" s="38"/>
      <c r="L18" s="38"/>
      <c r="M18" s="38"/>
      <c r="N18" s="38"/>
      <c r="O18" s="38"/>
    </row>
    <row r="19" spans="1:15" x14ac:dyDescent="0.25">
      <c r="A19" s="23"/>
      <c r="B19" s="23"/>
      <c r="C19" s="82"/>
      <c r="D19" s="82"/>
      <c r="E19" s="82"/>
      <c r="F19" s="82"/>
      <c r="G19" s="82"/>
      <c r="H19" s="82"/>
      <c r="I19" s="82"/>
      <c r="J19" s="42">
        <f t="shared" si="0"/>
        <v>0</v>
      </c>
      <c r="K19" s="38"/>
      <c r="L19" s="38"/>
      <c r="M19" s="38"/>
      <c r="N19" s="38"/>
      <c r="O19" s="38"/>
    </row>
    <row r="20" spans="1:15" x14ac:dyDescent="0.25">
      <c r="A20" s="23"/>
      <c r="B20" s="23"/>
      <c r="C20" s="82"/>
      <c r="D20" s="82"/>
      <c r="E20" s="82"/>
      <c r="F20" s="82"/>
      <c r="G20" s="82"/>
      <c r="H20" s="82"/>
      <c r="I20" s="82"/>
      <c r="J20" s="42">
        <f t="shared" si="0"/>
        <v>0</v>
      </c>
      <c r="K20" s="38"/>
      <c r="L20" s="38"/>
      <c r="M20" s="38"/>
      <c r="N20" s="38"/>
      <c r="O20" s="38"/>
    </row>
    <row r="21" spans="1:15" x14ac:dyDescent="0.25">
      <c r="A21" s="23"/>
      <c r="B21" s="23"/>
      <c r="C21" s="82"/>
      <c r="D21" s="82"/>
      <c r="E21" s="82"/>
      <c r="F21" s="82"/>
      <c r="G21" s="82"/>
      <c r="H21" s="82"/>
      <c r="I21" s="82"/>
      <c r="J21" s="42">
        <f t="shared" si="0"/>
        <v>0</v>
      </c>
      <c r="K21" s="38"/>
      <c r="L21" s="38"/>
      <c r="M21" s="38"/>
      <c r="N21" s="38"/>
      <c r="O21" s="38"/>
    </row>
    <row r="22" spans="1:15" x14ac:dyDescent="0.25">
      <c r="A22" s="23"/>
      <c r="B22" s="23"/>
      <c r="C22" s="82"/>
      <c r="D22" s="82"/>
      <c r="E22" s="82"/>
      <c r="F22" s="82"/>
      <c r="G22" s="82"/>
      <c r="H22" s="82"/>
      <c r="I22" s="82"/>
      <c r="J22" s="42">
        <f t="shared" si="0"/>
        <v>0</v>
      </c>
      <c r="K22" s="38"/>
      <c r="L22" s="38"/>
      <c r="M22" s="38"/>
      <c r="N22" s="38"/>
      <c r="O22" s="38"/>
    </row>
    <row r="23" spans="1:15" x14ac:dyDescent="0.25">
      <c r="A23" s="23"/>
      <c r="B23" s="23"/>
      <c r="C23" s="82"/>
      <c r="D23" s="82"/>
      <c r="E23" s="82"/>
      <c r="F23" s="82"/>
      <c r="G23" s="82"/>
      <c r="H23" s="82"/>
      <c r="I23" s="82"/>
      <c r="J23" s="42">
        <f t="shared" si="0"/>
        <v>0</v>
      </c>
      <c r="K23" s="38"/>
      <c r="L23" s="38"/>
      <c r="M23" s="38"/>
      <c r="N23" s="38"/>
      <c r="O23" s="38"/>
    </row>
    <row r="24" spans="1:15" x14ac:dyDescent="0.25">
      <c r="A24" s="23"/>
      <c r="B24" s="23"/>
      <c r="C24" s="82"/>
      <c r="D24" s="82"/>
      <c r="E24" s="82"/>
      <c r="F24" s="82"/>
      <c r="G24" s="82"/>
      <c r="H24" s="82"/>
      <c r="I24" s="82"/>
      <c r="J24" s="42">
        <f>SUM(C24:I24)</f>
        <v>0</v>
      </c>
      <c r="K24" s="38"/>
      <c r="L24" s="38"/>
      <c r="M24" s="38"/>
      <c r="N24" s="38"/>
      <c r="O24" s="38"/>
    </row>
    <row r="25" spans="1:15" x14ac:dyDescent="0.25">
      <c r="A25" s="23"/>
      <c r="B25" s="23"/>
      <c r="C25" s="82"/>
      <c r="D25" s="82"/>
      <c r="E25" s="82"/>
      <c r="F25" s="82"/>
      <c r="G25" s="82"/>
      <c r="H25" s="82"/>
      <c r="I25" s="82"/>
      <c r="J25" s="42">
        <f t="shared" si="0"/>
        <v>0</v>
      </c>
      <c r="K25" s="38"/>
      <c r="L25" s="38"/>
      <c r="M25" s="38"/>
      <c r="N25" s="38"/>
      <c r="O25" s="38"/>
    </row>
    <row r="26" spans="1:15" x14ac:dyDescent="0.25">
      <c r="A26" s="23"/>
      <c r="B26" s="23"/>
      <c r="C26" s="82"/>
      <c r="D26" s="82"/>
      <c r="E26" s="82"/>
      <c r="F26" s="82"/>
      <c r="G26" s="82"/>
      <c r="H26" s="82"/>
      <c r="J26" s="42">
        <f t="shared" si="0"/>
        <v>0</v>
      </c>
      <c r="K26" s="38"/>
      <c r="L26" s="38"/>
      <c r="M26" s="38"/>
      <c r="N26" s="38"/>
      <c r="O26" s="38"/>
    </row>
    <row r="27" spans="1:15" x14ac:dyDescent="0.25">
      <c r="A27" s="23"/>
      <c r="B27" s="23"/>
      <c r="C27" s="82"/>
      <c r="D27" s="82"/>
      <c r="E27" s="82"/>
      <c r="F27" s="82"/>
      <c r="G27" s="82"/>
      <c r="H27" s="82"/>
      <c r="I27" s="82"/>
      <c r="J27" s="42">
        <f t="shared" si="0"/>
        <v>0</v>
      </c>
      <c r="K27" s="38"/>
      <c r="L27" s="38"/>
      <c r="M27" s="38"/>
      <c r="N27" s="38"/>
      <c r="O27" s="38"/>
    </row>
    <row r="28" spans="1:15" x14ac:dyDescent="0.25">
      <c r="A28" s="23"/>
      <c r="B28" s="23"/>
      <c r="C28" s="82"/>
      <c r="D28" s="82"/>
      <c r="E28" s="82"/>
      <c r="F28" s="82"/>
      <c r="G28" s="82"/>
      <c r="H28" s="82"/>
      <c r="I28" s="82"/>
      <c r="J28" s="42">
        <f t="shared" si="0"/>
        <v>0</v>
      </c>
      <c r="K28" s="38"/>
      <c r="L28" s="38"/>
      <c r="M28" s="38"/>
      <c r="N28" s="38"/>
      <c r="O28" s="38"/>
    </row>
    <row r="29" spans="1:15" x14ac:dyDescent="0.25">
      <c r="A29" s="23"/>
      <c r="B29" s="23"/>
      <c r="C29" s="82"/>
      <c r="D29" s="82"/>
      <c r="E29" s="82"/>
      <c r="F29" s="82"/>
      <c r="G29" s="82"/>
      <c r="H29" s="82"/>
      <c r="I29" s="82"/>
      <c r="J29" s="42">
        <f t="shared" si="0"/>
        <v>0</v>
      </c>
      <c r="K29" s="38"/>
      <c r="L29" s="38"/>
      <c r="M29" s="38"/>
      <c r="N29" s="38"/>
      <c r="O29" s="38"/>
    </row>
    <row r="30" spans="1:15" x14ac:dyDescent="0.25">
      <c r="A30" s="23"/>
      <c r="B30" s="23"/>
      <c r="C30" s="82"/>
      <c r="D30" s="82"/>
      <c r="E30" s="82"/>
      <c r="F30" s="82"/>
      <c r="G30" s="82"/>
      <c r="H30" s="82"/>
      <c r="I30" s="82"/>
      <c r="J30" s="42">
        <f t="shared" si="0"/>
        <v>0</v>
      </c>
      <c r="K30" s="38"/>
      <c r="L30" s="38"/>
      <c r="M30" s="38"/>
      <c r="N30" s="38"/>
      <c r="O30" s="38"/>
    </row>
  </sheetData>
  <autoFilter ref="A1:J1" xr:uid="{44F082ED-B3D2-4BA5-A032-559B5EDF5095}"/>
  <phoneticPr fontId="10" type="noConversion"/>
  <dataValidations count="1">
    <dataValidation type="list" allowBlank="1" showInputMessage="1" showErrorMessage="1" sqref="B2:B30" xr:uid="{F6704558-4541-4949-A023-A333C8B65BF6}">
      <formula1>"Phone, Chat"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r:id="rId5">
            <anchor moveWithCells="1">
              <from>
                <xdr:col>13</xdr:col>
                <xdr:colOff>9525</xdr:colOff>
                <xdr:row>8</xdr:row>
                <xdr:rowOff>161925</xdr:rowOff>
              </from>
              <to>
                <xdr:col>15</xdr:col>
                <xdr:colOff>285750</xdr:colOff>
                <xdr:row>11</xdr:row>
                <xdr:rowOff>47625</xdr:rowOff>
              </to>
            </anchor>
          </controlPr>
        </control>
      </mc:Choice>
      <mc:Fallback>
        <control shapeId="22529" r:id="rId4" name="CommandButton1"/>
      </mc:Fallback>
    </mc:AlternateContent>
    <mc:AlternateContent xmlns:mc="http://schemas.openxmlformats.org/markup-compatibility/2006">
      <mc:Choice Requires="x14">
        <control shapeId="22530" r:id="rId6" name="CommandButton2">
          <controlPr defaultSize="0" autoLine="0" r:id="rId7">
            <anchor moveWithCells="1">
              <from>
                <xdr:col>13</xdr:col>
                <xdr:colOff>9525</xdr:colOff>
                <xdr:row>11</xdr:row>
                <xdr:rowOff>180975</xdr:rowOff>
              </from>
              <to>
                <xdr:col>15</xdr:col>
                <xdr:colOff>285750</xdr:colOff>
                <xdr:row>14</xdr:row>
                <xdr:rowOff>66675</xdr:rowOff>
              </to>
            </anchor>
          </controlPr>
        </control>
      </mc:Choice>
      <mc:Fallback>
        <control shapeId="22530" r:id="rId6" name="CommandButton2"/>
      </mc:Fallback>
    </mc:AlternateContent>
    <mc:AlternateContent xmlns:mc="http://schemas.openxmlformats.org/markup-compatibility/2006">
      <mc:Choice Requires="x14">
        <control shapeId="22531" r:id="rId8" name="CommandButton3">
          <controlPr defaultSize="0" autoLine="0" r:id="rId9">
            <anchor moveWithCells="1">
              <from>
                <xdr:col>13</xdr:col>
                <xdr:colOff>9525</xdr:colOff>
                <xdr:row>15</xdr:row>
                <xdr:rowOff>38100</xdr:rowOff>
              </from>
              <to>
                <xdr:col>15</xdr:col>
                <xdr:colOff>285750</xdr:colOff>
                <xdr:row>17</xdr:row>
                <xdr:rowOff>114300</xdr:rowOff>
              </to>
            </anchor>
          </controlPr>
        </control>
      </mc:Choice>
      <mc:Fallback>
        <control shapeId="22531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CD5E9-F0E4-40B7-995C-42CE8B096B88}">
  <sheetPr codeName="Sheet19"/>
  <dimension ref="A1:C1"/>
  <sheetViews>
    <sheetView workbookViewId="0">
      <selection activeCell="D1" sqref="D1"/>
    </sheetView>
  </sheetViews>
  <sheetFormatPr defaultRowHeight="15" x14ac:dyDescent="0.25"/>
  <sheetData>
    <row r="1" spans="1:3" x14ac:dyDescent="0.25">
      <c r="A1" t="s">
        <v>254</v>
      </c>
      <c r="B1" t="s">
        <v>4</v>
      </c>
      <c r="C1" t="s">
        <v>371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3553" r:id="rId4" name="CommandButton1">
          <controlPr defaultSize="0" autoLine="0" autoPict="0" r:id="rId5">
            <anchor moveWithCells="1">
              <from>
                <xdr:col>20</xdr:col>
                <xdr:colOff>209550</xdr:colOff>
                <xdr:row>7</xdr:row>
                <xdr:rowOff>142875</xdr:rowOff>
              </from>
              <to>
                <xdr:col>22</xdr:col>
                <xdr:colOff>495300</xdr:colOff>
                <xdr:row>10</xdr:row>
                <xdr:rowOff>95250</xdr:rowOff>
              </to>
            </anchor>
          </controlPr>
        </control>
      </mc:Choice>
      <mc:Fallback>
        <control shapeId="23553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D8D73-26E9-4E0C-BB72-4D6E4AD525C1}">
  <sheetPr codeName="Sheet8"/>
  <dimension ref="A2:G62"/>
  <sheetViews>
    <sheetView workbookViewId="0">
      <selection activeCell="D35" sqref="D35"/>
    </sheetView>
  </sheetViews>
  <sheetFormatPr defaultRowHeight="15" x14ac:dyDescent="0.25"/>
  <cols>
    <col min="1" max="1" width="16" bestFit="1" customWidth="1"/>
    <col min="2" max="2" width="11.140625" customWidth="1"/>
    <col min="3" max="3" width="16" customWidth="1"/>
    <col min="4" max="4" width="20.7109375" customWidth="1"/>
    <col min="5" max="5" width="41.28515625" customWidth="1"/>
    <col min="6" max="6" width="30.42578125" customWidth="1"/>
    <col min="7" max="7" width="57.7109375" customWidth="1"/>
  </cols>
  <sheetData>
    <row r="2" spans="1:7" x14ac:dyDescent="0.25">
      <c r="A2" s="30" t="s">
        <v>3</v>
      </c>
      <c r="B2" s="30" t="s">
        <v>4</v>
      </c>
      <c r="C2" s="30" t="s">
        <v>253</v>
      </c>
      <c r="D2" s="31" t="s">
        <v>5</v>
      </c>
      <c r="E2" s="31" t="s">
        <v>6</v>
      </c>
      <c r="F2" s="31" t="s">
        <v>7</v>
      </c>
      <c r="G2" s="30" t="s">
        <v>8</v>
      </c>
    </row>
    <row r="3" spans="1:7" x14ac:dyDescent="0.25">
      <c r="A3" s="33" t="str">
        <f>IF('Employee Master'!B2="","",'Employee Master'!B2)</f>
        <v>alexis.abeyta</v>
      </c>
      <c r="B3" s="33" t="str">
        <f>IF('Employee Master'!C2="","",'Employee Master'!C2)</f>
        <v>Wave-64</v>
      </c>
      <c r="C3" s="33" t="str">
        <f>IF('Employee Master'!D2="","",'Employee Master'!D2)</f>
        <v>ASMR</v>
      </c>
      <c r="D3" s="34" t="str">
        <f>IF('Employee Master'!E2="","",'Employee Master'!E2)</f>
        <v/>
      </c>
      <c r="E3" s="34" t="str">
        <f>IF('Employee Master'!F2="","",'Employee Master'!F2)</f>
        <v/>
      </c>
      <c r="F3" s="35" t="str">
        <f>IF('Employee Master'!G2="","",'Employee Master'!G2)</f>
        <v/>
      </c>
      <c r="G3" s="32"/>
    </row>
    <row r="4" spans="1:7" x14ac:dyDescent="0.25">
      <c r="A4" s="33" t="str">
        <f>IF('Employee Master'!B3="","",'Employee Master'!B3)</f>
        <v>brianna.mercer</v>
      </c>
      <c r="B4" s="33" t="str">
        <f>IF('Employee Master'!C3="","",'Employee Master'!C3)</f>
        <v>Wave-24</v>
      </c>
      <c r="C4" s="33" t="str">
        <f>IF('Employee Master'!D3="","",'Employee Master'!D3)</f>
        <v>ADECCO</v>
      </c>
      <c r="D4" s="34" t="str">
        <f>IF('Employee Master'!E3="","",'Employee Master'!E3)</f>
        <v/>
      </c>
      <c r="E4" s="34" t="str">
        <f>IF('Employee Master'!F3="","",'Employee Master'!F3)</f>
        <v/>
      </c>
      <c r="F4" s="35" t="str">
        <f>IF('Employee Master'!G3="","",'Employee Master'!G3)</f>
        <v/>
      </c>
      <c r="G4" s="32"/>
    </row>
    <row r="5" spans="1:7" x14ac:dyDescent="0.25">
      <c r="A5" s="33" t="str">
        <f>IF('Employee Master'!B4="","",'Employee Master'!B4)</f>
        <v>catera.clark</v>
      </c>
      <c r="B5" s="33" t="str">
        <f>IF('Employee Master'!C4="","",'Employee Master'!C4)</f>
        <v>Wave-57</v>
      </c>
      <c r="C5" s="33" t="str">
        <f>IF('Employee Master'!D4="","",'Employee Master'!D4)</f>
        <v>VDART</v>
      </c>
      <c r="D5" s="34" t="str">
        <f>IF('Employee Master'!E4="","",'Employee Master'!E4)</f>
        <v/>
      </c>
      <c r="E5" s="34" t="str">
        <f>IF('Employee Master'!F4="","",'Employee Master'!F4)</f>
        <v/>
      </c>
      <c r="F5" s="35" t="str">
        <f>IF('Employee Master'!G4="","",'Employee Master'!G4)</f>
        <v/>
      </c>
      <c r="G5" s="32"/>
    </row>
    <row r="6" spans="1:7" x14ac:dyDescent="0.25">
      <c r="A6" s="33" t="str">
        <f>IF('Employee Master'!B5="","",'Employee Master'!B5)</f>
        <v>dyasia.downing</v>
      </c>
      <c r="B6" s="33" t="str">
        <f>IF('Employee Master'!C5="","",'Employee Master'!C5)</f>
        <v>Wave-66</v>
      </c>
      <c r="C6" s="33" t="str">
        <f>IF('Employee Master'!D5="","",'Employee Master'!D5)</f>
        <v>VDART</v>
      </c>
      <c r="D6" s="34" t="str">
        <f>IF('Employee Master'!E5="","",'Employee Master'!E5)</f>
        <v/>
      </c>
      <c r="E6" s="34" t="str">
        <f>IF('Employee Master'!F5="","",'Employee Master'!F5)</f>
        <v/>
      </c>
      <c r="F6" s="35" t="str">
        <f>IF('Employee Master'!G5="","",'Employee Master'!G5)</f>
        <v/>
      </c>
      <c r="G6" s="32"/>
    </row>
    <row r="7" spans="1:7" x14ac:dyDescent="0.25">
      <c r="A7" s="33" t="str">
        <f>IF('Employee Master'!B6="","",'Employee Master'!B6)</f>
        <v>elizabeth.greig</v>
      </c>
      <c r="B7" s="33" t="str">
        <f>IF('Employee Master'!C6="","",'Employee Master'!C6)</f>
        <v>Wave-66</v>
      </c>
      <c r="C7" s="33" t="str">
        <f>IF('Employee Master'!D6="","",'Employee Master'!D6)</f>
        <v>VDART</v>
      </c>
      <c r="D7" s="34" t="str">
        <f>IF('Employee Master'!E6="","",'Employee Master'!E6)</f>
        <v/>
      </c>
      <c r="E7" s="34" t="str">
        <f>IF('Employee Master'!F6="","",'Employee Master'!F6)</f>
        <v/>
      </c>
      <c r="F7" s="35" t="str">
        <f>IF('Employee Master'!G6="","",'Employee Master'!G6)</f>
        <v/>
      </c>
      <c r="G7" s="32"/>
    </row>
    <row r="8" spans="1:7" x14ac:dyDescent="0.25">
      <c r="A8" s="33" t="str">
        <f>IF('Employee Master'!B7="","",'Employee Master'!B7)</f>
        <v>eric.johnson</v>
      </c>
      <c r="B8" s="33" t="str">
        <f>IF('Employee Master'!C7="","",'Employee Master'!C7)</f>
        <v>Wave-66</v>
      </c>
      <c r="C8" s="33" t="str">
        <f>IF('Employee Master'!D7="","",'Employee Master'!D7)</f>
        <v>VDART</v>
      </c>
      <c r="D8" s="34" t="str">
        <f>IF('Employee Master'!E7="","",'Employee Master'!E7)</f>
        <v/>
      </c>
      <c r="E8" s="34" t="str">
        <f>IF('Employee Master'!F7="","",'Employee Master'!F7)</f>
        <v/>
      </c>
      <c r="F8" s="35" t="str">
        <f>IF('Employee Master'!G7="","",'Employee Master'!G7)</f>
        <v/>
      </c>
      <c r="G8" s="32"/>
    </row>
    <row r="9" spans="1:7" x14ac:dyDescent="0.25">
      <c r="A9" s="33" t="str">
        <f>IF('Employee Master'!B8="","",'Employee Master'!B8)</f>
        <v>ernest.hunter</v>
      </c>
      <c r="B9" s="33" t="str">
        <f>IF('Employee Master'!C8="","",'Employee Master'!C8)</f>
        <v>Wave-66</v>
      </c>
      <c r="C9" s="33" t="str">
        <f>IF('Employee Master'!D8="","",'Employee Master'!D8)</f>
        <v>VDART</v>
      </c>
      <c r="D9" s="34" t="str">
        <f>IF('Employee Master'!E8="","",'Employee Master'!E8)</f>
        <v/>
      </c>
      <c r="E9" s="34" t="str">
        <f>IF('Employee Master'!F8="","",'Employee Master'!F8)</f>
        <v/>
      </c>
      <c r="F9" s="35" t="str">
        <f>IF('Employee Master'!G8="","",'Employee Master'!G8)</f>
        <v/>
      </c>
      <c r="G9" s="32"/>
    </row>
    <row r="10" spans="1:7" x14ac:dyDescent="0.25">
      <c r="A10" s="33" t="str">
        <f>IF('Employee Master'!B9="","",'Employee Master'!B9)</f>
        <v>irene.davison</v>
      </c>
      <c r="B10" s="33" t="str">
        <f>IF('Employee Master'!C9="","",'Employee Master'!C9)</f>
        <v>Wave-66</v>
      </c>
      <c r="C10" s="33" t="str">
        <f>IF('Employee Master'!D9="","",'Employee Master'!D9)</f>
        <v>VDART</v>
      </c>
      <c r="D10" s="34" t="str">
        <f>IF('Employee Master'!E9="","",'Employee Master'!E9)</f>
        <v/>
      </c>
      <c r="E10" s="34" t="str">
        <f>IF('Employee Master'!F9="","",'Employee Master'!F9)</f>
        <v/>
      </c>
      <c r="F10" s="35" t="str">
        <f>IF('Employee Master'!G9="","",'Employee Master'!G9)</f>
        <v/>
      </c>
      <c r="G10" s="32"/>
    </row>
    <row r="11" spans="1:7" x14ac:dyDescent="0.25">
      <c r="A11" s="33" t="str">
        <f>IF('Employee Master'!B10="","",'Employee Master'!B10)</f>
        <v>irene.hurtado</v>
      </c>
      <c r="B11" s="33" t="str">
        <f>IF('Employee Master'!C10="","",'Employee Master'!C10)</f>
        <v>Wave-66</v>
      </c>
      <c r="C11" s="33" t="str">
        <f>IF('Employee Master'!D10="","",'Employee Master'!D10)</f>
        <v>VDART</v>
      </c>
      <c r="D11" s="34" t="str">
        <f>IF('Employee Master'!E10="","",'Employee Master'!E10)</f>
        <v/>
      </c>
      <c r="E11" s="34" t="str">
        <f>IF('Employee Master'!F10="","",'Employee Master'!F10)</f>
        <v/>
      </c>
      <c r="F11" s="35" t="str">
        <f>IF('Employee Master'!G10="","",'Employee Master'!G10)</f>
        <v/>
      </c>
      <c r="G11" s="32"/>
    </row>
    <row r="12" spans="1:7" x14ac:dyDescent="0.25">
      <c r="A12" s="33" t="str">
        <f>IF('Employee Master'!B11="","",'Employee Master'!B11)</f>
        <v>jacqueline.hope</v>
      </c>
      <c r="B12" s="33" t="str">
        <f>IF('Employee Master'!C11="","",'Employee Master'!C11)</f>
        <v>Wave-66</v>
      </c>
      <c r="C12" s="33" t="str">
        <f>IF('Employee Master'!D11="","",'Employee Master'!D11)</f>
        <v>ASMR</v>
      </c>
      <c r="D12" s="34" t="str">
        <f>IF('Employee Master'!E11="","",'Employee Master'!E11)</f>
        <v/>
      </c>
      <c r="E12" s="34" t="str">
        <f>IF('Employee Master'!F11="","",'Employee Master'!F11)</f>
        <v/>
      </c>
      <c r="F12" s="35" t="str">
        <f>IF('Employee Master'!G11="","",'Employee Master'!G11)</f>
        <v/>
      </c>
      <c r="G12" s="32"/>
    </row>
    <row r="13" spans="1:7" x14ac:dyDescent="0.25">
      <c r="A13" s="33" t="str">
        <f>IF('Employee Master'!B12="","",'Employee Master'!B12)</f>
        <v>judy.gombert</v>
      </c>
      <c r="B13" s="33" t="str">
        <f>IF('Employee Master'!C12="","",'Employee Master'!C12)</f>
        <v>Wave-57</v>
      </c>
      <c r="C13" s="33" t="str">
        <f>IF('Employee Master'!D12="","",'Employee Master'!D12)</f>
        <v>ASMR</v>
      </c>
      <c r="D13" s="34" t="str">
        <f>IF('Employee Master'!E12="","",'Employee Master'!E12)</f>
        <v/>
      </c>
      <c r="E13" s="34" t="str">
        <f>IF('Employee Master'!F12="","",'Employee Master'!F12)</f>
        <v/>
      </c>
      <c r="F13" s="35" t="str">
        <f>IF('Employee Master'!G12="","",'Employee Master'!G12)</f>
        <v/>
      </c>
      <c r="G13" s="36"/>
    </row>
    <row r="14" spans="1:7" x14ac:dyDescent="0.25">
      <c r="A14" s="33" t="str">
        <f>IF('Employee Master'!B13="","",'Employee Master'!B13)</f>
        <v>makaylin.baker</v>
      </c>
      <c r="B14" s="33" t="str">
        <f>IF('Employee Master'!C13="","",'Employee Master'!C13)</f>
        <v>Wave-56</v>
      </c>
      <c r="C14" s="33" t="str">
        <f>IF('Employee Master'!D13="","",'Employee Master'!D13)</f>
        <v>ASMR</v>
      </c>
      <c r="D14" s="34" t="str">
        <f>IF('Employee Master'!E13="","",'Employee Master'!E13)</f>
        <v/>
      </c>
      <c r="E14" s="34" t="str">
        <f>IF('Employee Master'!F13="","",'Employee Master'!F13)</f>
        <v/>
      </c>
      <c r="F14" s="35" t="str">
        <f>IF('Employee Master'!G13="","",'Employee Master'!G13)</f>
        <v/>
      </c>
      <c r="G14" s="36"/>
    </row>
    <row r="15" spans="1:7" x14ac:dyDescent="0.25">
      <c r="A15" s="33" t="str">
        <f>IF('Employee Master'!B14="","",'Employee Master'!B14)</f>
        <v>naomi.bush</v>
      </c>
      <c r="B15" s="33" t="str">
        <f>IF('Employee Master'!C14="","",'Employee Master'!C14)</f>
        <v>Wave-56</v>
      </c>
      <c r="C15" s="33" t="str">
        <f>IF('Employee Master'!D14="","",'Employee Master'!D14)</f>
        <v>ASMR</v>
      </c>
      <c r="D15" s="34" t="str">
        <f>IF('Employee Master'!E14="","",'Employee Master'!E14)</f>
        <v/>
      </c>
      <c r="E15" s="34" t="str">
        <f>IF('Employee Master'!F14="","",'Employee Master'!F14)</f>
        <v/>
      </c>
      <c r="F15" s="35" t="str">
        <f>IF('Employee Master'!G14="","",'Employee Master'!G14)</f>
        <v/>
      </c>
      <c r="G15" s="23"/>
    </row>
    <row r="16" spans="1:7" x14ac:dyDescent="0.25">
      <c r="A16" s="33" t="str">
        <f>IF('Employee Master'!B15="","",'Employee Master'!B15)</f>
        <v>opal.watson</v>
      </c>
      <c r="B16" s="33" t="str">
        <f>IF('Employee Master'!C15="","",'Employee Master'!C15)</f>
        <v>Wave-68</v>
      </c>
      <c r="C16" s="33" t="str">
        <f>IF('Employee Master'!D15="","",'Employee Master'!D15)</f>
        <v>ASMR</v>
      </c>
      <c r="D16" s="34" t="str">
        <f>IF('Employee Master'!E15="","",'Employee Master'!E15)</f>
        <v/>
      </c>
      <c r="E16" s="34" t="str">
        <f>IF('Employee Master'!F15="","",'Employee Master'!F15)</f>
        <v/>
      </c>
      <c r="F16" s="35" t="str">
        <f>IF('Employee Master'!G15="","",'Employee Master'!G15)</f>
        <v/>
      </c>
      <c r="G16" s="23"/>
    </row>
    <row r="17" spans="1:7" x14ac:dyDescent="0.25">
      <c r="A17" s="33" t="str">
        <f>IF('Employee Master'!B16="","",'Employee Master'!B16)</f>
        <v>paris.fisher</v>
      </c>
      <c r="B17" s="33" t="str">
        <f>IF('Employee Master'!C16="","",'Employee Master'!C16)</f>
        <v>Wave-68</v>
      </c>
      <c r="C17" s="33" t="str">
        <f>IF('Employee Master'!D16="","",'Employee Master'!D16)</f>
        <v>ASMR</v>
      </c>
      <c r="D17" s="34" t="str">
        <f>IF('Employee Master'!E16="","",'Employee Master'!E16)</f>
        <v/>
      </c>
      <c r="E17" s="34" t="str">
        <f>IF('Employee Master'!F16="","",'Employee Master'!F16)</f>
        <v/>
      </c>
      <c r="F17" s="35" t="str">
        <f>IF('Employee Master'!G16="","",'Employee Master'!G16)</f>
        <v/>
      </c>
      <c r="G17" s="23"/>
    </row>
    <row r="18" spans="1:7" x14ac:dyDescent="0.25">
      <c r="A18" s="33" t="str">
        <f>IF('Employee Master'!B17="","",'Employee Master'!B17)</f>
        <v>raledja.pruitt</v>
      </c>
      <c r="B18" s="33" t="str">
        <f>IF('Employee Master'!C17="","",'Employee Master'!C17)</f>
        <v>Wave-63</v>
      </c>
      <c r="C18" s="33" t="str">
        <f>IF('Employee Master'!D17="","",'Employee Master'!D17)</f>
        <v>ASMR</v>
      </c>
      <c r="D18" s="34" t="str">
        <f>IF('Employee Master'!E17="","",'Employee Master'!E17)</f>
        <v/>
      </c>
      <c r="E18" s="34" t="str">
        <f>IF('Employee Master'!F17="","",'Employee Master'!F17)</f>
        <v/>
      </c>
      <c r="F18" s="35" t="str">
        <f>IF('Employee Master'!G17="","",'Employee Master'!G17)</f>
        <v/>
      </c>
      <c r="G18" s="23"/>
    </row>
    <row r="19" spans="1:7" x14ac:dyDescent="0.25">
      <c r="A19" s="33" t="str">
        <f>IF('Employee Master'!B18="","",'Employee Master'!B18)</f>
        <v>ramone.horst</v>
      </c>
      <c r="B19" s="33" t="str">
        <f>IF('Employee Master'!C18="","",'Employee Master'!C18)</f>
        <v>Wave-68</v>
      </c>
      <c r="C19" s="33" t="str">
        <f>IF('Employee Master'!D18="","",'Employee Master'!D18)</f>
        <v>ASMR</v>
      </c>
      <c r="D19" s="34" t="str">
        <f>IF('Employee Master'!E18="","",'Employee Master'!E18)</f>
        <v/>
      </c>
      <c r="E19" s="34" t="str">
        <f>IF('Employee Master'!F18="","",'Employee Master'!F18)</f>
        <v/>
      </c>
      <c r="F19" s="35" t="str">
        <f>IF('Employee Master'!G18="","",'Employee Master'!G18)</f>
        <v/>
      </c>
      <c r="G19" s="23"/>
    </row>
    <row r="20" spans="1:7" x14ac:dyDescent="0.25">
      <c r="A20" s="33" t="str">
        <f>IF('Employee Master'!B19="","",'Employee Master'!B19)</f>
        <v>samara.elliott</v>
      </c>
      <c r="B20" s="33" t="str">
        <f>IF('Employee Master'!C19="","",'Employee Master'!C19)</f>
        <v>Wave-63</v>
      </c>
      <c r="C20" s="33" t="str">
        <f>IF('Employee Master'!D19="","",'Employee Master'!D19)</f>
        <v>ASMR</v>
      </c>
      <c r="D20" s="34" t="str">
        <f>IF('Employee Master'!E19="","",'Employee Master'!E19)</f>
        <v/>
      </c>
      <c r="E20" s="34" t="str">
        <f>IF('Employee Master'!F19="","",'Employee Master'!F19)</f>
        <v/>
      </c>
      <c r="F20" s="35" t="str">
        <f>IF('Employee Master'!G19="","",'Employee Master'!G19)</f>
        <v/>
      </c>
      <c r="G20" s="23"/>
    </row>
    <row r="21" spans="1:7" x14ac:dyDescent="0.25">
      <c r="A21" s="33" t="str">
        <f>IF('Employee Master'!B20="","",'Employee Master'!B20)</f>
        <v>sharron.watley</v>
      </c>
      <c r="B21" s="33" t="str">
        <f>IF('Employee Master'!C20="","",'Employee Master'!C20)</f>
        <v>Wave-63</v>
      </c>
      <c r="C21" s="33" t="str">
        <f>IF('Employee Master'!D20="","",'Employee Master'!D20)</f>
        <v>ASMR</v>
      </c>
      <c r="D21" s="34" t="str">
        <f>IF('Employee Master'!E20="","",'Employee Master'!E20)</f>
        <v/>
      </c>
      <c r="E21" s="34" t="str">
        <f>IF('Employee Master'!F20="","",'Employee Master'!F20)</f>
        <v/>
      </c>
      <c r="F21" s="35" t="str">
        <f>IF('Employee Master'!G20="","",'Employee Master'!G20)</f>
        <v/>
      </c>
      <c r="G21" s="23"/>
    </row>
    <row r="22" spans="1:7" x14ac:dyDescent="0.25">
      <c r="A22" s="33" t="str">
        <f>IF('Employee Master'!B21="","",'Employee Master'!B21)</f>
        <v>shunta.fincher</v>
      </c>
      <c r="B22" s="33" t="str">
        <f>IF('Employee Master'!C21="","",'Employee Master'!C21)</f>
        <v>Wave-59</v>
      </c>
      <c r="C22" s="33" t="str">
        <f>IF('Employee Master'!D21="","",'Employee Master'!D21)</f>
        <v>ASMR</v>
      </c>
      <c r="D22" s="34" t="str">
        <f>IF('Employee Master'!E21="","",'Employee Master'!E21)</f>
        <v/>
      </c>
      <c r="E22" s="34" t="str">
        <f>IF('Employee Master'!F21="","",'Employee Master'!F21)</f>
        <v/>
      </c>
      <c r="F22" s="35" t="str">
        <f>IF('Employee Master'!G21="","",'Employee Master'!G21)</f>
        <v/>
      </c>
      <c r="G22" s="23"/>
    </row>
    <row r="23" spans="1:7" x14ac:dyDescent="0.25">
      <c r="A23" s="33" t="str">
        <f>IF('Employee Master'!B22="","",'Employee Master'!B22)</f>
        <v>stanford.antoine</v>
      </c>
      <c r="B23" s="33" t="str">
        <f>IF('Employee Master'!C22="","",'Employee Master'!C22)</f>
        <v>Wave-59</v>
      </c>
      <c r="C23" s="33" t="str">
        <f>IF('Employee Master'!D22="","",'Employee Master'!D22)</f>
        <v>ASMR</v>
      </c>
      <c r="D23" s="34" t="str">
        <f>IF('Employee Master'!E22="","",'Employee Master'!E22)</f>
        <v/>
      </c>
      <c r="E23" s="34" t="str">
        <f>IF('Employee Master'!F22="","",'Employee Master'!F22)</f>
        <v/>
      </c>
      <c r="F23" s="35" t="str">
        <f>IF('Employee Master'!G22="","",'Employee Master'!G22)</f>
        <v/>
      </c>
      <c r="G23" s="23"/>
    </row>
    <row r="24" spans="1:7" x14ac:dyDescent="0.25">
      <c r="A24" s="33" t="str">
        <f>IF('Employee Master'!B23="","",'Employee Master'!B23)</f>
        <v>t.railey</v>
      </c>
      <c r="B24" s="33" t="str">
        <f>IF('Employee Master'!C23="","",'Employee Master'!C23)</f>
        <v>Wave-62</v>
      </c>
      <c r="C24" s="33" t="str">
        <f>IF('Employee Master'!D23="","",'Employee Master'!D23)</f>
        <v>ASMR</v>
      </c>
      <c r="D24" s="34" t="str">
        <f>IF('Employee Master'!E23="","",'Employee Master'!E23)</f>
        <v/>
      </c>
      <c r="E24" s="34" t="str">
        <f>IF('Employee Master'!F23="","",'Employee Master'!F23)</f>
        <v/>
      </c>
      <c r="F24" s="35" t="str">
        <f>IF('Employee Master'!G23="","",'Employee Master'!G23)</f>
        <v/>
      </c>
      <c r="G24" s="23"/>
    </row>
    <row r="25" spans="1:7" x14ac:dyDescent="0.25">
      <c r="A25" s="33" t="str">
        <f>IF('Employee Master'!B24="","",'Employee Master'!B24)</f>
        <v>ghis.randaln</v>
      </c>
      <c r="B25" s="33" t="str">
        <f>IF('Employee Master'!C24="","",'Employee Master'!C24)</f>
        <v>Wave-63</v>
      </c>
      <c r="C25" s="33" t="str">
        <f>IF('Employee Master'!D24="","",'Employee Master'!D24)</f>
        <v>ASMR</v>
      </c>
      <c r="D25" s="34" t="str">
        <f>IF('Employee Master'!E24="","",'Employee Master'!E24)</f>
        <v/>
      </c>
      <c r="E25" s="34" t="str">
        <f>IF('Employee Master'!F24="","",'Employee Master'!F24)</f>
        <v/>
      </c>
      <c r="F25" s="35" t="str">
        <f>IF('Employee Master'!G24="","",'Employee Master'!G24)</f>
        <v/>
      </c>
      <c r="G25" s="23"/>
    </row>
    <row r="26" spans="1:7" x14ac:dyDescent="0.25">
      <c r="A26" s="33" t="str">
        <f>IF('Employee Master'!B25="","",'Employee Master'!B25)</f>
        <v>ghis.randaln</v>
      </c>
      <c r="B26" s="33" t="str">
        <f>IF('Employee Master'!C25="","",'Employee Master'!C25)</f>
        <v>Wave-64</v>
      </c>
      <c r="C26" s="33" t="str">
        <f>IF('Employee Master'!D25="","",'Employee Master'!D25)</f>
        <v>ASMR</v>
      </c>
      <c r="D26" s="34" t="str">
        <f>IF('Employee Master'!E25="","",'Employee Master'!E25)</f>
        <v/>
      </c>
      <c r="E26" s="34" t="str">
        <f>IF('Employee Master'!F25="","",'Employee Master'!F25)</f>
        <v/>
      </c>
      <c r="F26" s="35" t="str">
        <f>IF('Employee Master'!G25="","",'Employee Master'!G25)</f>
        <v/>
      </c>
      <c r="G26" s="23"/>
    </row>
    <row r="27" spans="1:7" x14ac:dyDescent="0.25">
      <c r="A27" s="33" t="str">
        <f>IF('Employee Master'!B26="","",'Employee Master'!B26)</f>
        <v>ghis.randaln</v>
      </c>
      <c r="B27" s="33" t="str">
        <f>IF('Employee Master'!C26="","",'Employee Master'!C26)</f>
        <v>Wave-65</v>
      </c>
      <c r="C27" s="33" t="str">
        <f>IF('Employee Master'!D26="","",'Employee Master'!D26)</f>
        <v>ASMR</v>
      </c>
      <c r="D27" s="34" t="str">
        <f>IF('Employee Master'!E26="","",'Employee Master'!E26)</f>
        <v/>
      </c>
      <c r="E27" s="34" t="str">
        <f>IF('Employee Master'!F26="","",'Employee Master'!F26)</f>
        <v/>
      </c>
      <c r="F27" s="35" t="str">
        <f>IF('Employee Master'!G26="","",'Employee Master'!G26)</f>
        <v/>
      </c>
      <c r="G27" s="23"/>
    </row>
    <row r="28" spans="1:7" x14ac:dyDescent="0.25">
      <c r="A28" s="33" t="str">
        <f>IF('Employee Master'!B27="","",'Employee Master'!B27)</f>
        <v>ghis.randaln</v>
      </c>
      <c r="B28" s="33" t="str">
        <f>IF('Employee Master'!C27="","",'Employee Master'!C27)</f>
        <v>Wave-66</v>
      </c>
      <c r="C28" s="33" t="str">
        <f>IF('Employee Master'!D27="","",'Employee Master'!D27)</f>
        <v>ASMR</v>
      </c>
      <c r="D28" s="34" t="str">
        <f>IF('Employee Master'!E27="","",'Employee Master'!E27)</f>
        <v/>
      </c>
      <c r="E28" s="34" t="str">
        <f>IF('Employee Master'!F27="","",'Employee Master'!F27)</f>
        <v/>
      </c>
      <c r="F28" s="35" t="str">
        <f>IF('Employee Master'!G27="","",'Employee Master'!G27)</f>
        <v/>
      </c>
      <c r="G28" s="23"/>
    </row>
    <row r="29" spans="1:7" x14ac:dyDescent="0.25">
      <c r="A29" s="33" t="str">
        <f>IF('Employee Master'!B28="","",'Employee Master'!B28)</f>
        <v>ghislain.indama</v>
      </c>
      <c r="B29" s="33" t="str">
        <f>IF('Employee Master'!C28="","",'Employee Master'!C28)</f>
        <v>wave-67</v>
      </c>
      <c r="C29" s="33" t="str">
        <f>IF('Employee Master'!D28="","",'Employee Master'!D28)</f>
        <v>ASMR</v>
      </c>
      <c r="D29" s="34" t="str">
        <f>IF('Employee Master'!E28="","",'Employee Master'!E28)</f>
        <v/>
      </c>
      <c r="E29" s="34" t="str">
        <f>IF('Employee Master'!F28="","",'Employee Master'!F28)</f>
        <v/>
      </c>
      <c r="F29" s="35" t="str">
        <f>IF('Employee Master'!G28="","",'Employee Master'!G28)</f>
        <v/>
      </c>
      <c r="G29" s="23"/>
    </row>
    <row r="30" spans="1:7" x14ac:dyDescent="0.25">
      <c r="A30" s="33" t="str">
        <f>IF('Employee Master'!B29="","",'Employee Master'!B29)</f>
        <v>ghislain.indama</v>
      </c>
      <c r="B30" s="33" t="str">
        <f>IF('Employee Master'!C29="","",'Employee Master'!C29)</f>
        <v>wave-46</v>
      </c>
      <c r="C30" s="33" t="str">
        <f>IF('Employee Master'!D29="","",'Employee Master'!D29)</f>
        <v>ASMR</v>
      </c>
      <c r="D30" s="34" t="str">
        <f>IF('Employee Master'!E29="","",'Employee Master'!E29)</f>
        <v/>
      </c>
      <c r="E30" s="34" t="str">
        <f>IF('Employee Master'!F29="","",'Employee Master'!F29)</f>
        <v/>
      </c>
      <c r="F30" s="35" t="str">
        <f>IF('Employee Master'!G29="","",'Employee Master'!G29)</f>
        <v/>
      </c>
      <c r="G30" s="23"/>
    </row>
    <row r="31" spans="1:7" x14ac:dyDescent="0.25">
      <c r="A31" s="33" t="str">
        <f>IF('Employee Master'!B30="","",'Employee Master'!B30)</f>
        <v>tagar</v>
      </c>
      <c r="B31" s="33" t="str">
        <f>IF('Employee Master'!C30="","",'Employee Master'!C30)</f>
        <v>wave-77</v>
      </c>
      <c r="C31" s="33" t="str">
        <f>IF('Employee Master'!D30="","",'Employee Master'!D30)</f>
        <v>ASMR</v>
      </c>
      <c r="D31" s="34" t="str">
        <f>IF('Employee Master'!E30="","",'Employee Master'!E30)</f>
        <v/>
      </c>
      <c r="E31" s="34" t="str">
        <f>IF('Employee Master'!F30="","",'Employee Master'!F30)</f>
        <v/>
      </c>
      <c r="F31" s="35" t="str">
        <f>IF('Employee Master'!G30="","",'Employee Master'!G30)</f>
        <v/>
      </c>
      <c r="G31" s="23"/>
    </row>
    <row r="32" spans="1:7" x14ac:dyDescent="0.25">
      <c r="A32" s="33" t="str">
        <f>IF('Employee Master'!B31="","",'Employee Master'!B31)</f>
        <v>morales.john</v>
      </c>
      <c r="B32" s="33" t="str">
        <f>IF('Employee Master'!C31="","",'Employee Master'!C31)</f>
        <v>wave.35</v>
      </c>
      <c r="C32" s="33" t="str">
        <f>IF('Employee Master'!D31="","",'Employee Master'!D31)</f>
        <v>ASMR</v>
      </c>
      <c r="D32" s="34" t="str">
        <f>IF('Employee Master'!E31="","",'Employee Master'!E31)</f>
        <v/>
      </c>
      <c r="E32" s="34" t="str">
        <f>IF('Employee Master'!F31="","",'Employee Master'!F31)</f>
        <v/>
      </c>
      <c r="F32" s="35" t="str">
        <f>IF('Employee Master'!G31="","",'Employee Master'!G31)</f>
        <v/>
      </c>
      <c r="G32" s="23"/>
    </row>
    <row r="33" spans="1:7" x14ac:dyDescent="0.25">
      <c r="A33" s="33" t="str">
        <f>IF('Employee Master'!B32="","",'Employee Master'!B32)</f>
        <v>ghislain.indama</v>
      </c>
      <c r="B33" s="33" t="str">
        <f>IF('Employee Master'!C32="","",'Employee Master'!C32)</f>
        <v>wave-33</v>
      </c>
      <c r="C33" s="33" t="str">
        <f>IF('Employee Master'!D32="","",'Employee Master'!D32)</f>
        <v>ASMR</v>
      </c>
      <c r="D33" s="34" t="str">
        <f>IF('Employee Master'!E32="","",'Employee Master'!E32)</f>
        <v>301-920-4537</v>
      </c>
      <c r="E33" s="34" t="str">
        <f>IF('Employee Master'!F32="","",'Employee Master'!F32)</f>
        <v>240-454-3323</v>
      </c>
      <c r="F33" s="35" t="str">
        <f>IF('Employee Master'!G32="","",'Employee Master'!G32)</f>
        <v>ulrichando007@gmail.com</v>
      </c>
      <c r="G33" s="23"/>
    </row>
    <row r="34" spans="1:7" x14ac:dyDescent="0.25">
      <c r="A34" s="33" t="str">
        <f>IF('Employee Master'!B33="","",'Employee Master'!B33)</f>
        <v>tama.agggag</v>
      </c>
      <c r="B34" s="33" t="str">
        <f>IF('Employee Master'!C33="","",'Employee Master'!C33)</f>
        <v>wave-45</v>
      </c>
      <c r="C34" s="33" t="str">
        <f>IF('Employee Master'!D33="","",'Employee Master'!D33)</f>
        <v>ADECCO</v>
      </c>
      <c r="D34" s="34" t="str">
        <f>IF('Employee Master'!E33="","",'Employee Master'!E33)</f>
        <v>301-434-3434</v>
      </c>
      <c r="E34" s="34" t="str">
        <f>IF('Employee Master'!F33="","",'Employee Master'!F33)</f>
        <v>343-545-5455</v>
      </c>
      <c r="F34" s="35" t="str">
        <f>IF('Employee Master'!G33="","",'Employee Master'!G33)</f>
        <v>lsdfgkhg@gmail.com</v>
      </c>
      <c r="G34" s="23"/>
    </row>
    <row r="35" spans="1:7" x14ac:dyDescent="0.25">
      <c r="A35" s="33" t="str">
        <f>IF('Employee Master'!B34="","",'Employee Master'!B34)</f>
        <v>TROPCOMP</v>
      </c>
      <c r="B35" s="33" t="str">
        <f>IF('Employee Master'!C34="","",'Employee Master'!C34)</f>
        <v>wave-35</v>
      </c>
      <c r="C35" s="33" t="str">
        <f>IF('Employee Master'!D34="","",'Employee Master'!D34)</f>
        <v>ADECCO</v>
      </c>
      <c r="D35" s="34" t="str">
        <f>IF('Employee Master'!E34="","",'Employee Master'!E34)</f>
        <v>333-333-3333</v>
      </c>
      <c r="E35" s="34" t="str">
        <f>IF('Employee Master'!F34="","",'Employee Master'!F34)</f>
        <v>333-232-3232</v>
      </c>
      <c r="F35" s="35" t="str">
        <f>IF('Employee Master'!G34="","",'Employee Master'!G34)</f>
        <v>fortana@gmail.com</v>
      </c>
      <c r="G35" s="23"/>
    </row>
    <row r="36" spans="1:7" x14ac:dyDescent="0.25">
      <c r="A36" s="33" t="str">
        <f>IF('Employee Master'!B35="","",'Employee Master'!B35)</f>
        <v>tamam.shaiva</v>
      </c>
      <c r="B36" s="33" t="str">
        <f>IF('Employee Master'!C35="","",'Employee Master'!C35)</f>
        <v>wave-34</v>
      </c>
      <c r="C36" s="33" t="str">
        <f>IF('Employee Master'!D35="","",'Employee Master'!D35)</f>
        <v>ASMR</v>
      </c>
      <c r="D36" s="34" t="str">
        <f>IF('Employee Master'!E35="","",'Employee Master'!E35)</f>
        <v>234-232-2323</v>
      </c>
      <c r="E36" s="34" t="str">
        <f>IF('Employee Master'!F35="","",'Employee Master'!F35)</f>
        <v>344-343-3434</v>
      </c>
      <c r="F36" s="35" t="str">
        <f>IF('Employee Master'!G35="","",'Employee Master'!G35)</f>
        <v>tutrishjetetap@gmail.com</v>
      </c>
      <c r="G36" s="23"/>
    </row>
    <row r="37" spans="1:7" x14ac:dyDescent="0.25">
      <c r="A37" s="33" t="str">
        <f>IF('Employee Master'!B36="","",'Employee Master'!B36)</f>
        <v/>
      </c>
      <c r="B37" s="33" t="str">
        <f>IF('Employee Master'!C36="","",'Employee Master'!C36)</f>
        <v/>
      </c>
      <c r="C37" s="33" t="str">
        <f>IF('Employee Master'!D36="","",'Employee Master'!D36)</f>
        <v/>
      </c>
      <c r="D37" s="34" t="str">
        <f>IF('Employee Master'!E36="","",'Employee Master'!E36)</f>
        <v/>
      </c>
      <c r="E37" s="34" t="str">
        <f>IF('Employee Master'!F36="","",'Employee Master'!F36)</f>
        <v/>
      </c>
      <c r="F37" s="35" t="str">
        <f>IF('Employee Master'!G36="","",'Employee Master'!G36)</f>
        <v/>
      </c>
      <c r="G37" s="23"/>
    </row>
    <row r="38" spans="1:7" x14ac:dyDescent="0.25">
      <c r="A38" s="33" t="str">
        <f>IF('Employee Master'!B37="","",'Employee Master'!B37)</f>
        <v/>
      </c>
      <c r="B38" s="33" t="str">
        <f>IF('Employee Master'!C37="","",'Employee Master'!C37)</f>
        <v/>
      </c>
      <c r="C38" s="33" t="str">
        <f>IF('Employee Master'!D37="","",'Employee Master'!D37)</f>
        <v/>
      </c>
      <c r="D38" s="34" t="str">
        <f>IF('Employee Master'!E37="","",'Employee Master'!E37)</f>
        <v/>
      </c>
      <c r="E38" s="34" t="str">
        <f>IF('Employee Master'!F37="","",'Employee Master'!F37)</f>
        <v/>
      </c>
      <c r="F38" s="35" t="str">
        <f>IF('Employee Master'!G37="","",'Employee Master'!G37)</f>
        <v/>
      </c>
      <c r="G38" s="23"/>
    </row>
    <row r="39" spans="1:7" x14ac:dyDescent="0.25">
      <c r="A39" s="33" t="str">
        <f>IF('Employee Master'!B38="","",'Employee Master'!B38)</f>
        <v/>
      </c>
      <c r="B39" s="33" t="str">
        <f>IF('Employee Master'!C38="","",'Employee Master'!C38)</f>
        <v/>
      </c>
      <c r="C39" s="33" t="str">
        <f>IF('Employee Master'!D38="","",'Employee Master'!D38)</f>
        <v/>
      </c>
      <c r="D39" s="34" t="str">
        <f>IF('Employee Master'!E38="","",'Employee Master'!E38)</f>
        <v/>
      </c>
      <c r="E39" s="34" t="str">
        <f>IF('Employee Master'!F38="","",'Employee Master'!F38)</f>
        <v/>
      </c>
      <c r="F39" s="35" t="str">
        <f>IF('Employee Master'!G38="","",'Employee Master'!G38)</f>
        <v/>
      </c>
      <c r="G39" s="23"/>
    </row>
    <row r="40" spans="1:7" x14ac:dyDescent="0.25">
      <c r="A40" s="33" t="str">
        <f>IF('Employee Master'!B39="","",'Employee Master'!B39)</f>
        <v/>
      </c>
      <c r="B40" s="33" t="str">
        <f>IF('Employee Master'!C39="","",'Employee Master'!C39)</f>
        <v/>
      </c>
      <c r="C40" s="33" t="str">
        <f>IF('Employee Master'!D39="","",'Employee Master'!D39)</f>
        <v/>
      </c>
      <c r="D40" s="34" t="str">
        <f>IF('Employee Master'!E39="","",'Employee Master'!E39)</f>
        <v/>
      </c>
      <c r="E40" s="34" t="str">
        <f>IF('Employee Master'!F39="","",'Employee Master'!F39)</f>
        <v/>
      </c>
      <c r="F40" s="35" t="str">
        <f>IF('Employee Master'!G39="","",'Employee Master'!G39)</f>
        <v/>
      </c>
      <c r="G40" s="23"/>
    </row>
    <row r="41" spans="1:7" x14ac:dyDescent="0.25">
      <c r="A41" s="33" t="str">
        <f>IF('Employee Master'!B40="","",'Employee Master'!B40)</f>
        <v/>
      </c>
      <c r="B41" s="33" t="str">
        <f>IF('Employee Master'!C40="","",'Employee Master'!C40)</f>
        <v/>
      </c>
      <c r="C41" s="33" t="str">
        <f>IF('Employee Master'!D40="","",'Employee Master'!D40)</f>
        <v/>
      </c>
      <c r="D41" s="34" t="str">
        <f>IF('Employee Master'!E40="","",'Employee Master'!E40)</f>
        <v/>
      </c>
      <c r="E41" s="34" t="str">
        <f>IF('Employee Master'!F40="","",'Employee Master'!F40)</f>
        <v/>
      </c>
      <c r="F41" s="35" t="str">
        <f>IF('Employee Master'!G40="","",'Employee Master'!G40)</f>
        <v/>
      </c>
      <c r="G41" s="23"/>
    </row>
    <row r="42" spans="1:7" x14ac:dyDescent="0.25">
      <c r="A42" s="33" t="str">
        <f>IF('Employee Master'!B41="","",'Employee Master'!B41)</f>
        <v/>
      </c>
      <c r="B42" s="33" t="str">
        <f>IF('Employee Master'!C41="","",'Employee Master'!C41)</f>
        <v/>
      </c>
      <c r="C42" s="33" t="str">
        <f>IF('Employee Master'!D41="","",'Employee Master'!D41)</f>
        <v/>
      </c>
      <c r="D42" s="34" t="str">
        <f>IF('Employee Master'!E41="","",'Employee Master'!E41)</f>
        <v/>
      </c>
      <c r="E42" s="34" t="str">
        <f>IF('Employee Master'!F41="","",'Employee Master'!F41)</f>
        <v/>
      </c>
      <c r="F42" s="35" t="str">
        <f>IF('Employee Master'!G41="","",'Employee Master'!G41)</f>
        <v/>
      </c>
      <c r="G42" s="23"/>
    </row>
    <row r="43" spans="1:7" x14ac:dyDescent="0.25">
      <c r="A43" s="33" t="str">
        <f>IF('Employee Master'!B42="","",'Employee Master'!B42)</f>
        <v/>
      </c>
      <c r="B43" s="33" t="str">
        <f>IF('Employee Master'!C42="","",'Employee Master'!C42)</f>
        <v/>
      </c>
      <c r="C43" s="33" t="str">
        <f>IF('Employee Master'!D42="","",'Employee Master'!D42)</f>
        <v/>
      </c>
      <c r="D43" s="34" t="str">
        <f>IF('Employee Master'!E42="","",'Employee Master'!E42)</f>
        <v/>
      </c>
      <c r="E43" s="34" t="str">
        <f>IF('Employee Master'!F42="","",'Employee Master'!F42)</f>
        <v/>
      </c>
      <c r="F43" s="35" t="str">
        <f>IF('Employee Master'!G42="","",'Employee Master'!G42)</f>
        <v/>
      </c>
      <c r="G43" s="23"/>
    </row>
    <row r="44" spans="1:7" x14ac:dyDescent="0.25">
      <c r="A44" s="33" t="str">
        <f>IF('Employee Master'!B43="","",'Employee Master'!B43)</f>
        <v/>
      </c>
      <c r="B44" s="33" t="str">
        <f>IF('Employee Master'!C43="","",'Employee Master'!C43)</f>
        <v/>
      </c>
      <c r="C44" s="33" t="str">
        <f>IF('Employee Master'!D43="","",'Employee Master'!D43)</f>
        <v/>
      </c>
      <c r="D44" s="34" t="str">
        <f>IF('Employee Master'!E43="","",'Employee Master'!E43)</f>
        <v/>
      </c>
      <c r="E44" s="34" t="str">
        <f>IF('Employee Master'!F43="","",'Employee Master'!F43)</f>
        <v/>
      </c>
      <c r="F44" s="35" t="str">
        <f>IF('Employee Master'!G43="","",'Employee Master'!G43)</f>
        <v/>
      </c>
      <c r="G44" s="23"/>
    </row>
    <row r="45" spans="1:7" x14ac:dyDescent="0.25">
      <c r="A45" s="33" t="str">
        <f>IF('Employee Master'!B44="","",'Employee Master'!B44)</f>
        <v/>
      </c>
      <c r="B45" s="33" t="str">
        <f>IF('Employee Master'!C44="","",'Employee Master'!C44)</f>
        <v/>
      </c>
      <c r="C45" s="33" t="str">
        <f>IF('Employee Master'!D44="","",'Employee Master'!D44)</f>
        <v/>
      </c>
      <c r="D45" s="34" t="str">
        <f>IF('Employee Master'!E44="","",'Employee Master'!E44)</f>
        <v/>
      </c>
      <c r="E45" s="34" t="str">
        <f>IF('Employee Master'!F44="","",'Employee Master'!F44)</f>
        <v/>
      </c>
      <c r="F45" s="35" t="str">
        <f>IF('Employee Master'!G44="","",'Employee Master'!G44)</f>
        <v/>
      </c>
      <c r="G45" s="23"/>
    </row>
    <row r="46" spans="1:7" x14ac:dyDescent="0.25">
      <c r="A46" s="33" t="str">
        <f>IF('Employee Master'!B45="","",'Employee Master'!B45)</f>
        <v/>
      </c>
      <c r="B46" s="33" t="str">
        <f>IF('Employee Master'!C45="","",'Employee Master'!C45)</f>
        <v/>
      </c>
      <c r="C46" s="33" t="str">
        <f>IF('Employee Master'!D45="","",'Employee Master'!D45)</f>
        <v/>
      </c>
      <c r="D46" s="34" t="str">
        <f>IF('Employee Master'!E45="","",'Employee Master'!E45)</f>
        <v/>
      </c>
      <c r="E46" s="34" t="str">
        <f>IF('Employee Master'!F45="","",'Employee Master'!F45)</f>
        <v/>
      </c>
      <c r="F46" s="35" t="str">
        <f>IF('Employee Master'!G45="","",'Employee Master'!G45)</f>
        <v/>
      </c>
      <c r="G46" s="23"/>
    </row>
    <row r="47" spans="1:7" x14ac:dyDescent="0.25">
      <c r="A47" s="33" t="str">
        <f>IF('Employee Master'!B46="","",'Employee Master'!B46)</f>
        <v/>
      </c>
      <c r="B47" s="33" t="str">
        <f>IF('Employee Master'!C46="","",'Employee Master'!C46)</f>
        <v/>
      </c>
      <c r="C47" s="33" t="str">
        <f>IF('Employee Master'!D46="","",'Employee Master'!D46)</f>
        <v/>
      </c>
      <c r="D47" s="34" t="str">
        <f>IF('Employee Master'!E46="","",'Employee Master'!E46)</f>
        <v/>
      </c>
      <c r="E47" s="34" t="str">
        <f>IF('Employee Master'!F46="","",'Employee Master'!F46)</f>
        <v/>
      </c>
      <c r="F47" s="35" t="str">
        <f>IF('Employee Master'!G46="","",'Employee Master'!G46)</f>
        <v/>
      </c>
      <c r="G47" s="23"/>
    </row>
    <row r="48" spans="1:7" x14ac:dyDescent="0.25">
      <c r="A48" s="33" t="str">
        <f>IF('Employee Master'!B47="","",'Employee Master'!B47)</f>
        <v/>
      </c>
      <c r="B48" s="33" t="str">
        <f>IF('Employee Master'!C47="","",'Employee Master'!C47)</f>
        <v/>
      </c>
      <c r="C48" s="33" t="str">
        <f>IF('Employee Master'!D47="","",'Employee Master'!D47)</f>
        <v/>
      </c>
      <c r="D48" s="34" t="str">
        <f>IF('Employee Master'!E47="","",'Employee Master'!E47)</f>
        <v/>
      </c>
      <c r="E48" s="34" t="str">
        <f>IF('Employee Master'!F47="","",'Employee Master'!F47)</f>
        <v/>
      </c>
      <c r="F48" s="35" t="str">
        <f>IF('Employee Master'!G47="","",'Employee Master'!G47)</f>
        <v/>
      </c>
      <c r="G48" s="23"/>
    </row>
    <row r="49" spans="1:7" x14ac:dyDescent="0.25">
      <c r="A49" s="33" t="str">
        <f>IF('Employee Master'!B48="","",'Employee Master'!B48)</f>
        <v/>
      </c>
      <c r="B49" s="33" t="str">
        <f>IF('Employee Master'!C48="","",'Employee Master'!C48)</f>
        <v/>
      </c>
      <c r="C49" s="33" t="str">
        <f>IF('Employee Master'!D48="","",'Employee Master'!D48)</f>
        <v/>
      </c>
      <c r="D49" s="34" t="str">
        <f>IF('Employee Master'!E48="","",'Employee Master'!E48)</f>
        <v/>
      </c>
      <c r="E49" s="34" t="str">
        <f>IF('Employee Master'!F48="","",'Employee Master'!F48)</f>
        <v/>
      </c>
      <c r="F49" s="35" t="str">
        <f>IF('Employee Master'!G48="","",'Employee Master'!G48)</f>
        <v/>
      </c>
      <c r="G49" s="23"/>
    </row>
    <row r="50" spans="1:7" x14ac:dyDescent="0.25">
      <c r="A50" s="33" t="str">
        <f>IF('Employee Master'!B49="","",'Employee Master'!B49)</f>
        <v/>
      </c>
      <c r="B50" s="33" t="str">
        <f>IF('Employee Master'!C49="","",'Employee Master'!C49)</f>
        <v/>
      </c>
      <c r="C50" s="33" t="str">
        <f>IF('Employee Master'!D49="","",'Employee Master'!D49)</f>
        <v/>
      </c>
      <c r="D50" s="34" t="str">
        <f>IF('Employee Master'!E49="","",'Employee Master'!E49)</f>
        <v/>
      </c>
      <c r="E50" s="34" t="str">
        <f>IF('Employee Master'!F49="","",'Employee Master'!F49)</f>
        <v/>
      </c>
      <c r="F50" s="35" t="str">
        <f>IF('Employee Master'!G49="","",'Employee Master'!G49)</f>
        <v/>
      </c>
      <c r="G50" s="23"/>
    </row>
    <row r="51" spans="1:7" x14ac:dyDescent="0.25">
      <c r="A51" s="33" t="str">
        <f>IF('Employee Master'!B50="","",'Employee Master'!B50)</f>
        <v/>
      </c>
      <c r="B51" s="33"/>
      <c r="C51" s="33" t="str">
        <f>IF('Employee Master'!D50="","",'Employee Master'!D50)</f>
        <v/>
      </c>
      <c r="D51" s="34" t="str">
        <f>IF('Employee Master'!E50="","",'Employee Master'!E50)</f>
        <v/>
      </c>
      <c r="E51" s="34" t="str">
        <f>IF('Employee Master'!F50="","",'Employee Master'!F50)</f>
        <v/>
      </c>
      <c r="F51" s="35" t="str">
        <f>IF('Employee Master'!G50="","",'Employee Master'!G50)</f>
        <v/>
      </c>
      <c r="G51" s="23"/>
    </row>
    <row r="52" spans="1:7" x14ac:dyDescent="0.25">
      <c r="A52" s="33" t="str">
        <f>IF('Employee Master'!B51="","",'Employee Master'!B51)</f>
        <v/>
      </c>
      <c r="B52" s="33"/>
      <c r="C52" s="33" t="str">
        <f>IF('Employee Master'!D51="","",'Employee Master'!D51)</f>
        <v/>
      </c>
      <c r="D52" s="34" t="str">
        <f>IF('Employee Master'!E51="","",'Employee Master'!E51)</f>
        <v/>
      </c>
      <c r="E52" s="34" t="str">
        <f>IF('Employee Master'!F51="","",'Employee Master'!F51)</f>
        <v/>
      </c>
      <c r="F52" s="35" t="str">
        <f>IF('Employee Master'!G51="","",'Employee Master'!G51)</f>
        <v/>
      </c>
      <c r="G52" s="23"/>
    </row>
    <row r="53" spans="1:7" x14ac:dyDescent="0.25">
      <c r="A53" s="33" t="str">
        <f>IF('Employee Master'!B52="","",'Employee Master'!B52)</f>
        <v/>
      </c>
      <c r="B53" s="33"/>
      <c r="C53" s="33" t="str">
        <f>IF('Employee Master'!D52="","",'Employee Master'!D52)</f>
        <v/>
      </c>
      <c r="D53" s="34" t="str">
        <f>IF('Employee Master'!E52="","",'Employee Master'!E52)</f>
        <v/>
      </c>
      <c r="E53" s="34" t="str">
        <f>IF('Employee Master'!F52="","",'Employee Master'!F52)</f>
        <v/>
      </c>
      <c r="F53" s="35" t="str">
        <f>IF('Employee Master'!G52="","",'Employee Master'!G52)</f>
        <v/>
      </c>
      <c r="G53" s="23"/>
    </row>
    <row r="54" spans="1:7" x14ac:dyDescent="0.25">
      <c r="A54" s="33" t="str">
        <f>IF('Employee Master'!B53="","",'Employee Master'!B53)</f>
        <v/>
      </c>
      <c r="B54" s="33"/>
      <c r="C54" s="33" t="str">
        <f>IF('Employee Master'!D53="","",'Employee Master'!D53)</f>
        <v/>
      </c>
      <c r="D54" s="34" t="str">
        <f>IF('Employee Master'!E53="","",'Employee Master'!E53)</f>
        <v/>
      </c>
      <c r="E54" s="34" t="str">
        <f>IF('Employee Master'!F53="","",'Employee Master'!F53)</f>
        <v/>
      </c>
      <c r="F54" s="35" t="str">
        <f>IF('Employee Master'!G53="","",'Employee Master'!G53)</f>
        <v/>
      </c>
      <c r="G54" s="23"/>
    </row>
    <row r="55" spans="1:7" x14ac:dyDescent="0.25">
      <c r="A55" s="33" t="str">
        <f>IF('Employee Master'!B54="","",'Employee Master'!B54)</f>
        <v/>
      </c>
      <c r="B55" s="33"/>
      <c r="C55" s="33" t="str">
        <f>IF('Employee Master'!D54="","",'Employee Master'!D54)</f>
        <v/>
      </c>
      <c r="D55" s="34" t="str">
        <f>IF('Employee Master'!E54="","",'Employee Master'!E54)</f>
        <v/>
      </c>
      <c r="E55" s="34" t="str">
        <f>IF('Employee Master'!F54="","",'Employee Master'!F54)</f>
        <v/>
      </c>
      <c r="F55" s="35" t="str">
        <f>IF('Employee Master'!G54="","",'Employee Master'!G54)</f>
        <v/>
      </c>
      <c r="G55" s="23"/>
    </row>
    <row r="56" spans="1:7" x14ac:dyDescent="0.25">
      <c r="A56" s="33" t="str">
        <f>IF('Employee Master'!B55="","",'Employee Master'!B55)</f>
        <v/>
      </c>
      <c r="B56" s="33"/>
      <c r="C56" s="32"/>
      <c r="D56" s="34" t="str">
        <f>IF('Employee Master'!E55="","",'Employee Master'!E55)</f>
        <v/>
      </c>
      <c r="E56" s="34" t="str">
        <f>IF('Employee Master'!F55="","",'Employee Master'!F55)</f>
        <v/>
      </c>
      <c r="F56" s="37"/>
      <c r="G56" s="23"/>
    </row>
    <row r="57" spans="1:7" x14ac:dyDescent="0.25">
      <c r="A57" s="33" t="str">
        <f>IF('Employee Master'!B56="","",'Employee Master'!B56)</f>
        <v/>
      </c>
      <c r="B57" s="33"/>
      <c r="C57" s="32"/>
      <c r="D57" s="34" t="str">
        <f>IF('Employee Master'!E56="","",'Employee Master'!E56)</f>
        <v/>
      </c>
      <c r="E57" s="34" t="str">
        <f>IF('Employee Master'!F56="","",'Employee Master'!F56)</f>
        <v/>
      </c>
      <c r="F57" s="37"/>
      <c r="G57" s="23"/>
    </row>
    <row r="58" spans="1:7" x14ac:dyDescent="0.25">
      <c r="A58" s="33" t="str">
        <f>IF('Employee Master'!B57="","",'Employee Master'!B57)</f>
        <v/>
      </c>
      <c r="B58" s="33"/>
      <c r="C58" s="32"/>
      <c r="D58" s="34" t="str">
        <f>IF('Employee Master'!E57="","",'Employee Master'!E57)</f>
        <v/>
      </c>
      <c r="E58" s="34" t="str">
        <f>IF('Employee Master'!F57="","",'Employee Master'!F57)</f>
        <v/>
      </c>
      <c r="F58" s="37"/>
      <c r="G58" s="23"/>
    </row>
    <row r="59" spans="1:7" x14ac:dyDescent="0.25">
      <c r="A59" s="33" t="str">
        <f>IF('Employee Master'!B58="","",'Employee Master'!B58)</f>
        <v/>
      </c>
      <c r="B59" s="33"/>
      <c r="C59" s="32"/>
      <c r="D59" s="34" t="str">
        <f>IF('Employee Master'!E58="","",'Employee Master'!E58)</f>
        <v/>
      </c>
      <c r="E59" s="34" t="str">
        <f>IF('Employee Master'!F58="","",'Employee Master'!F58)</f>
        <v/>
      </c>
      <c r="F59" s="37"/>
      <c r="G59" s="23"/>
    </row>
    <row r="60" spans="1:7" x14ac:dyDescent="0.25">
      <c r="A60" s="33" t="str">
        <f>IF('Employee Master'!B59="","",'Employee Master'!B59)</f>
        <v/>
      </c>
      <c r="B60" s="33"/>
      <c r="C60" s="32"/>
      <c r="D60" s="34"/>
      <c r="E60" s="34"/>
      <c r="F60" s="37"/>
      <c r="G60" s="23"/>
    </row>
    <row r="61" spans="1:7" x14ac:dyDescent="0.25">
      <c r="A61" s="33" t="str">
        <f>IF('Employee Master'!B60="","",'Employee Master'!B60)</f>
        <v/>
      </c>
      <c r="B61" s="33"/>
      <c r="C61" s="32"/>
      <c r="D61" s="34"/>
      <c r="E61" s="34"/>
      <c r="F61" s="37"/>
      <c r="G61" s="23"/>
    </row>
    <row r="62" spans="1:7" x14ac:dyDescent="0.25">
      <c r="B62" s="33"/>
    </row>
  </sheetData>
  <autoFilter ref="A2:G2" xr:uid="{7BFD8D73-26E9-4E0C-BB72-4D6E4AD525C1}"/>
  <phoneticPr fontId="10" type="noConversion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4577" r:id="rId4" name="CommandButton1">
          <controlPr defaultSize="0" autoLine="0" r:id="rId5">
            <anchor moveWithCells="1">
              <from>
                <xdr:col>12</xdr:col>
                <xdr:colOff>95250</xdr:colOff>
                <xdr:row>6</xdr:row>
                <xdr:rowOff>66675</xdr:rowOff>
              </from>
              <to>
                <xdr:col>14</xdr:col>
                <xdr:colOff>419100</xdr:colOff>
                <xdr:row>8</xdr:row>
                <xdr:rowOff>123825</xdr:rowOff>
              </to>
            </anchor>
          </controlPr>
        </control>
      </mc:Choice>
      <mc:Fallback>
        <control shapeId="2457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78FA-F881-48DE-8129-17AC9D5F1509}">
  <sheetPr codeName="Sheet11"/>
  <dimension ref="A1"/>
  <sheetViews>
    <sheetView workbookViewId="0">
      <selection activeCell="O21" sqref="O21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19</xdr:col>
                <xdr:colOff>133350</xdr:colOff>
                <xdr:row>7</xdr:row>
                <xdr:rowOff>133350</xdr:rowOff>
              </from>
              <to>
                <xdr:col>21</xdr:col>
                <xdr:colOff>571500</xdr:colOff>
                <xdr:row>10</xdr:row>
                <xdr:rowOff>85725</xdr:rowOff>
              </to>
            </anchor>
          </controlPr>
        </control>
      </mc:Choice>
      <mc:Fallback>
        <control shapeId="25601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37677-5141-43AF-9102-B0748158E270}">
  <sheetPr codeName="Sheet12"/>
  <dimension ref="A1"/>
  <sheetViews>
    <sheetView workbookViewId="0">
      <selection activeCell="O16" sqref="O16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19</xdr:col>
                <xdr:colOff>114300</xdr:colOff>
                <xdr:row>8</xdr:row>
                <xdr:rowOff>152400</xdr:rowOff>
              </from>
              <to>
                <xdr:col>21</xdr:col>
                <xdr:colOff>466725</xdr:colOff>
                <xdr:row>11</xdr:row>
                <xdr:rowOff>123825</xdr:rowOff>
              </to>
            </anchor>
          </controlPr>
        </control>
      </mc:Choice>
      <mc:Fallback>
        <control shapeId="26625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10D1-761E-4CCF-9361-8FD89EEB63C7}">
  <sheetPr codeName="Sheet1"/>
  <dimension ref="A1:J87"/>
  <sheetViews>
    <sheetView showGridLines="0" showRowColHeaders="0" workbookViewId="0">
      <pane ySplit="3" topLeftCell="A4" activePane="bottomLeft" state="frozen"/>
      <selection pane="bottomLeft" activeCell="D42" sqref="D42"/>
    </sheetView>
  </sheetViews>
  <sheetFormatPr defaultColWidth="8.7109375" defaultRowHeight="12.75" outlineLevelCol="1" x14ac:dyDescent="0.2"/>
  <cols>
    <col min="1" max="1" width="12.42578125" style="5" customWidth="1"/>
    <col min="2" max="2" width="16.140625" style="5" customWidth="1"/>
    <col min="3" max="3" width="11.42578125" style="5" customWidth="1"/>
    <col min="4" max="4" width="11.140625" style="5" customWidth="1"/>
    <col min="5" max="10" width="11.140625" style="5" customWidth="1" outlineLevel="1"/>
    <col min="11" max="16384" width="8.7109375" style="5"/>
  </cols>
  <sheetData>
    <row r="1" spans="1:10" ht="15.95" customHeight="1" x14ac:dyDescent="0.2">
      <c r="D1" s="12" t="b">
        <v>0</v>
      </c>
    </row>
    <row r="2" spans="1:10" ht="17.45" customHeight="1" x14ac:dyDescent="0.2"/>
    <row r="3" spans="1:10" ht="17.45" customHeight="1" x14ac:dyDescent="0.2">
      <c r="A3" s="2" t="s">
        <v>31</v>
      </c>
      <c r="B3" s="2" t="s">
        <v>182</v>
      </c>
      <c r="C3" s="2" t="s">
        <v>4</v>
      </c>
      <c r="D3" s="7" t="s">
        <v>222</v>
      </c>
      <c r="E3" s="7">
        <f t="shared" ref="E3:J3" si="0">D3+1</f>
        <v>44539</v>
      </c>
      <c r="F3" s="7">
        <f t="shared" si="0"/>
        <v>44540</v>
      </c>
      <c r="G3" s="7">
        <f t="shared" si="0"/>
        <v>44541</v>
      </c>
      <c r="H3" s="7">
        <f t="shared" si="0"/>
        <v>44542</v>
      </c>
      <c r="I3" s="7">
        <f t="shared" si="0"/>
        <v>44543</v>
      </c>
      <c r="J3" s="7">
        <f t="shared" si="0"/>
        <v>44544</v>
      </c>
    </row>
    <row r="4" spans="1:10" x14ac:dyDescent="0.2">
      <c r="A4" s="1">
        <v>10001</v>
      </c>
      <c r="B4" s="1" t="s">
        <v>21</v>
      </c>
      <c r="C4" s="1" t="s">
        <v>32</v>
      </c>
      <c r="D4" s="1" t="s">
        <v>243</v>
      </c>
      <c r="E4" s="1"/>
      <c r="F4" s="1" t="s">
        <v>207</v>
      </c>
      <c r="G4" s="1" t="s">
        <v>33</v>
      </c>
      <c r="H4" s="1" t="s">
        <v>34</v>
      </c>
      <c r="I4" s="1" t="s">
        <v>117</v>
      </c>
      <c r="J4" s="1" t="s">
        <v>33</v>
      </c>
    </row>
    <row r="5" spans="1:10" x14ac:dyDescent="0.2">
      <c r="A5" s="1">
        <v>10002</v>
      </c>
      <c r="B5" s="1" t="s">
        <v>9</v>
      </c>
      <c r="C5" s="1" t="s">
        <v>181</v>
      </c>
      <c r="D5" s="1" t="s">
        <v>243</v>
      </c>
      <c r="E5" s="1" t="s">
        <v>176</v>
      </c>
      <c r="F5" s="1" t="s">
        <v>207</v>
      </c>
      <c r="G5" s="1" t="s">
        <v>33</v>
      </c>
      <c r="H5" s="1" t="s">
        <v>34</v>
      </c>
      <c r="I5" s="1" t="s">
        <v>117</v>
      </c>
      <c r="J5" s="1" t="s">
        <v>33</v>
      </c>
    </row>
    <row r="6" spans="1:10" x14ac:dyDescent="0.2">
      <c r="A6" s="1">
        <v>10003</v>
      </c>
      <c r="B6" s="1" t="s">
        <v>10</v>
      </c>
      <c r="C6" s="1" t="s">
        <v>35</v>
      </c>
      <c r="D6" s="1" t="s">
        <v>243</v>
      </c>
      <c r="E6" s="1" t="s">
        <v>176</v>
      </c>
      <c r="F6" s="1" t="s">
        <v>207</v>
      </c>
      <c r="G6" s="1" t="s">
        <v>33</v>
      </c>
      <c r="H6" s="1" t="s">
        <v>34</v>
      </c>
      <c r="I6" s="1" t="s">
        <v>117</v>
      </c>
      <c r="J6" s="1" t="s">
        <v>33</v>
      </c>
    </row>
    <row r="7" spans="1:10" x14ac:dyDescent="0.2">
      <c r="A7" s="1">
        <v>10004</v>
      </c>
      <c r="B7" s="1" t="s">
        <v>22</v>
      </c>
      <c r="C7" s="1" t="s">
        <v>36</v>
      </c>
      <c r="D7" s="1" t="s">
        <v>243</v>
      </c>
      <c r="E7" s="1" t="s">
        <v>176</v>
      </c>
      <c r="F7" s="1" t="s">
        <v>207</v>
      </c>
      <c r="G7" s="1" t="s">
        <v>33</v>
      </c>
      <c r="H7" s="1" t="s">
        <v>34</v>
      </c>
      <c r="I7" s="1" t="s">
        <v>117</v>
      </c>
      <c r="J7" s="1" t="s">
        <v>33</v>
      </c>
    </row>
    <row r="8" spans="1:10" x14ac:dyDescent="0.2">
      <c r="A8" s="1">
        <v>10005</v>
      </c>
      <c r="B8" s="1" t="s">
        <v>25</v>
      </c>
      <c r="C8" s="1" t="s">
        <v>36</v>
      </c>
      <c r="D8" s="1" t="s">
        <v>243</v>
      </c>
      <c r="E8" s="1" t="s">
        <v>176</v>
      </c>
      <c r="F8" s="1" t="s">
        <v>207</v>
      </c>
      <c r="G8" s="1" t="s">
        <v>33</v>
      </c>
      <c r="H8" s="1" t="s">
        <v>34</v>
      </c>
      <c r="I8" s="1" t="s">
        <v>117</v>
      </c>
      <c r="J8" s="1" t="s">
        <v>33</v>
      </c>
    </row>
    <row r="9" spans="1:10" x14ac:dyDescent="0.2">
      <c r="A9" s="1">
        <v>10006</v>
      </c>
      <c r="B9" s="1" t="s">
        <v>27</v>
      </c>
      <c r="C9" s="1" t="s">
        <v>36</v>
      </c>
      <c r="D9" s="1" t="s">
        <v>243</v>
      </c>
      <c r="E9" s="1" t="s">
        <v>176</v>
      </c>
      <c r="F9" s="1" t="s">
        <v>207</v>
      </c>
      <c r="G9" s="1" t="s">
        <v>33</v>
      </c>
      <c r="H9" s="1" t="s">
        <v>34</v>
      </c>
      <c r="I9" s="1" t="s">
        <v>117</v>
      </c>
      <c r="J9" s="1" t="s">
        <v>33</v>
      </c>
    </row>
    <row r="10" spans="1:10" x14ac:dyDescent="0.2">
      <c r="A10" s="1">
        <v>10007</v>
      </c>
      <c r="B10" s="1" t="s">
        <v>37</v>
      </c>
      <c r="C10" s="1" t="s">
        <v>36</v>
      </c>
      <c r="D10" s="1" t="s">
        <v>243</v>
      </c>
      <c r="E10" s="1" t="s">
        <v>176</v>
      </c>
      <c r="F10" s="1" t="s">
        <v>207</v>
      </c>
      <c r="G10" s="1" t="s">
        <v>33</v>
      </c>
      <c r="H10" s="1" t="s">
        <v>34</v>
      </c>
      <c r="I10" s="1" t="s">
        <v>117</v>
      </c>
      <c r="J10" s="1" t="s">
        <v>33</v>
      </c>
    </row>
    <row r="11" spans="1:10" x14ac:dyDescent="0.2">
      <c r="A11" s="1">
        <v>10008</v>
      </c>
      <c r="B11" s="1" t="s">
        <v>26</v>
      </c>
      <c r="C11" s="1" t="s">
        <v>36</v>
      </c>
      <c r="D11" s="1" t="s">
        <v>243</v>
      </c>
      <c r="E11" s="1" t="s">
        <v>176</v>
      </c>
      <c r="F11" s="1" t="s">
        <v>207</v>
      </c>
      <c r="G11" s="1" t="s">
        <v>33</v>
      </c>
      <c r="H11" s="1" t="s">
        <v>34</v>
      </c>
      <c r="I11" s="1" t="s">
        <v>117</v>
      </c>
      <c r="J11" s="1" t="s">
        <v>33</v>
      </c>
    </row>
    <row r="12" spans="1:10" x14ac:dyDescent="0.2">
      <c r="A12" s="1">
        <v>10009</v>
      </c>
      <c r="B12" s="1" t="s">
        <v>24</v>
      </c>
      <c r="C12" s="1" t="s">
        <v>36</v>
      </c>
      <c r="D12" s="1" t="s">
        <v>243</v>
      </c>
      <c r="E12" s="1" t="s">
        <v>176</v>
      </c>
      <c r="F12" s="1" t="s">
        <v>207</v>
      </c>
      <c r="G12" s="1" t="s">
        <v>33</v>
      </c>
      <c r="H12" s="1" t="s">
        <v>34</v>
      </c>
      <c r="I12" s="1" t="s">
        <v>117</v>
      </c>
      <c r="J12" s="1" t="s">
        <v>33</v>
      </c>
    </row>
    <row r="13" spans="1:10" x14ac:dyDescent="0.2">
      <c r="A13" s="1">
        <v>10010</v>
      </c>
      <c r="B13" s="1" t="s">
        <v>23</v>
      </c>
      <c r="C13" s="1" t="s">
        <v>36</v>
      </c>
      <c r="D13" s="1" t="s">
        <v>243</v>
      </c>
      <c r="E13" s="1" t="s">
        <v>176</v>
      </c>
      <c r="F13" s="1" t="s">
        <v>207</v>
      </c>
      <c r="G13" s="1" t="s">
        <v>33</v>
      </c>
      <c r="H13" s="1" t="s">
        <v>34</v>
      </c>
      <c r="I13" s="1" t="s">
        <v>117</v>
      </c>
      <c r="J13" s="1" t="s">
        <v>33</v>
      </c>
    </row>
    <row r="14" spans="1:10" x14ac:dyDescent="0.2">
      <c r="A14" s="1">
        <v>10011</v>
      </c>
      <c r="B14" s="1" t="s">
        <v>11</v>
      </c>
      <c r="C14" s="1" t="s">
        <v>35</v>
      </c>
      <c r="D14" s="1" t="s">
        <v>243</v>
      </c>
      <c r="E14" s="1" t="s">
        <v>176</v>
      </c>
      <c r="F14" s="1" t="s">
        <v>207</v>
      </c>
      <c r="G14" s="1" t="s">
        <v>33</v>
      </c>
      <c r="H14" s="1" t="s">
        <v>34</v>
      </c>
      <c r="I14" s="1" t="s">
        <v>117</v>
      </c>
      <c r="J14" s="1" t="s">
        <v>33</v>
      </c>
    </row>
    <row r="15" spans="1:10" x14ac:dyDescent="0.2">
      <c r="A15" s="1">
        <v>10012</v>
      </c>
      <c r="B15" s="1" t="s">
        <v>12</v>
      </c>
      <c r="C15" s="1" t="s">
        <v>38</v>
      </c>
      <c r="D15" s="1" t="s">
        <v>243</v>
      </c>
      <c r="E15" s="1" t="s">
        <v>176</v>
      </c>
      <c r="F15" s="1" t="s">
        <v>207</v>
      </c>
      <c r="G15" s="1" t="s">
        <v>33</v>
      </c>
      <c r="H15" s="1" t="s">
        <v>34</v>
      </c>
      <c r="I15" s="1" t="s">
        <v>117</v>
      </c>
      <c r="J15" s="1" t="s">
        <v>33</v>
      </c>
    </row>
    <row r="16" spans="1:10" x14ac:dyDescent="0.2">
      <c r="A16" s="1">
        <v>10013</v>
      </c>
      <c r="B16" s="1" t="s">
        <v>13</v>
      </c>
      <c r="C16" s="1" t="s">
        <v>38</v>
      </c>
      <c r="D16" s="1" t="s">
        <v>243</v>
      </c>
      <c r="E16" s="1" t="s">
        <v>176</v>
      </c>
      <c r="F16" s="1" t="s">
        <v>207</v>
      </c>
      <c r="G16" s="1" t="s">
        <v>33</v>
      </c>
      <c r="H16" s="1" t="s">
        <v>34</v>
      </c>
      <c r="I16" s="1" t="s">
        <v>117</v>
      </c>
      <c r="J16" s="1" t="s">
        <v>33</v>
      </c>
    </row>
    <row r="17" spans="1:10" x14ac:dyDescent="0.2">
      <c r="A17" s="1">
        <v>10014</v>
      </c>
      <c r="B17" s="1" t="s">
        <v>29</v>
      </c>
      <c r="C17" s="1" t="s">
        <v>39</v>
      </c>
      <c r="D17" s="1" t="s">
        <v>243</v>
      </c>
      <c r="E17" s="1" t="s">
        <v>176</v>
      </c>
      <c r="F17" s="1" t="s">
        <v>207</v>
      </c>
      <c r="G17" s="1" t="s">
        <v>33</v>
      </c>
      <c r="H17" s="1" t="s">
        <v>34</v>
      </c>
      <c r="I17" s="1" t="s">
        <v>117</v>
      </c>
      <c r="J17" s="1" t="s">
        <v>33</v>
      </c>
    </row>
    <row r="18" spans="1:10" x14ac:dyDescent="0.2">
      <c r="A18" s="1">
        <v>10015</v>
      </c>
      <c r="B18" s="1" t="s">
        <v>28</v>
      </c>
      <c r="C18" s="1" t="s">
        <v>39</v>
      </c>
      <c r="D18" s="1" t="s">
        <v>243</v>
      </c>
      <c r="E18" s="1" t="s">
        <v>176</v>
      </c>
      <c r="F18" s="1" t="s">
        <v>207</v>
      </c>
      <c r="G18" s="1" t="s">
        <v>33</v>
      </c>
      <c r="H18" s="1" t="s">
        <v>34</v>
      </c>
      <c r="I18" s="1" t="s">
        <v>117</v>
      </c>
      <c r="J18" s="1" t="s">
        <v>33</v>
      </c>
    </row>
    <row r="19" spans="1:10" x14ac:dyDescent="0.2">
      <c r="A19" s="1">
        <v>10015</v>
      </c>
      <c r="B19" s="1" t="s">
        <v>14</v>
      </c>
      <c r="C19" s="1" t="s">
        <v>40</v>
      </c>
      <c r="D19" s="1" t="s">
        <v>243</v>
      </c>
      <c r="E19" s="1" t="s">
        <v>176</v>
      </c>
      <c r="F19" s="1" t="s">
        <v>207</v>
      </c>
      <c r="G19" s="1" t="s">
        <v>117</v>
      </c>
      <c r="H19" s="1" t="s">
        <v>34</v>
      </c>
      <c r="I19" s="1" t="s">
        <v>117</v>
      </c>
      <c r="J19" s="1" t="s">
        <v>33</v>
      </c>
    </row>
    <row r="20" spans="1:10" x14ac:dyDescent="0.2">
      <c r="A20" s="1">
        <v>10015</v>
      </c>
      <c r="B20" s="1" t="s">
        <v>30</v>
      </c>
      <c r="C20" s="1" t="s">
        <v>39</v>
      </c>
      <c r="D20" s="1" t="s">
        <v>243</v>
      </c>
      <c r="E20" s="1" t="s">
        <v>176</v>
      </c>
      <c r="F20" s="1" t="s">
        <v>207</v>
      </c>
      <c r="G20" s="1" t="s">
        <v>33</v>
      </c>
      <c r="H20" s="1" t="s">
        <v>34</v>
      </c>
      <c r="I20" s="1" t="s">
        <v>117</v>
      </c>
      <c r="J20" s="1" t="s">
        <v>33</v>
      </c>
    </row>
    <row r="21" spans="1:10" x14ac:dyDescent="0.2">
      <c r="A21" s="1">
        <v>10015</v>
      </c>
      <c r="B21" s="1" t="s">
        <v>41</v>
      </c>
      <c r="C21" s="1" t="s">
        <v>40</v>
      </c>
      <c r="D21" s="1" t="s">
        <v>243</v>
      </c>
      <c r="E21" s="1" t="s">
        <v>176</v>
      </c>
      <c r="F21" s="1" t="s">
        <v>207</v>
      </c>
      <c r="G21" s="1" t="s">
        <v>33</v>
      </c>
      <c r="H21" s="1" t="s">
        <v>34</v>
      </c>
      <c r="I21" s="1" t="s">
        <v>117</v>
      </c>
      <c r="J21" s="1" t="s">
        <v>33</v>
      </c>
    </row>
    <row r="22" spans="1:10" x14ac:dyDescent="0.2">
      <c r="A22" s="1">
        <v>10015</v>
      </c>
      <c r="B22" s="1" t="s">
        <v>15</v>
      </c>
      <c r="C22" s="1" t="s">
        <v>40</v>
      </c>
      <c r="D22" s="1" t="s">
        <v>243</v>
      </c>
      <c r="E22" s="1" t="s">
        <v>176</v>
      </c>
      <c r="F22" s="1" t="s">
        <v>207</v>
      </c>
      <c r="G22" s="1" t="s">
        <v>33</v>
      </c>
      <c r="H22" s="1" t="s">
        <v>34</v>
      </c>
      <c r="I22" s="1" t="s">
        <v>117</v>
      </c>
      <c r="J22" s="1" t="s">
        <v>33</v>
      </c>
    </row>
    <row r="23" spans="1:10" x14ac:dyDescent="0.2">
      <c r="A23" s="1">
        <v>10015</v>
      </c>
      <c r="B23" s="1" t="s">
        <v>16</v>
      </c>
      <c r="C23" s="1" t="s">
        <v>42</v>
      </c>
      <c r="D23" s="1" t="s">
        <v>243</v>
      </c>
      <c r="E23" s="1" t="s">
        <v>176</v>
      </c>
      <c r="F23" s="1" t="s">
        <v>207</v>
      </c>
      <c r="G23" s="1" t="s">
        <v>33</v>
      </c>
      <c r="H23" s="1" t="s">
        <v>34</v>
      </c>
      <c r="I23" s="1" t="s">
        <v>117</v>
      </c>
      <c r="J23" s="1" t="s">
        <v>33</v>
      </c>
    </row>
    <row r="24" spans="1:10" x14ac:dyDescent="0.2">
      <c r="A24" s="1">
        <v>10015</v>
      </c>
      <c r="B24" s="1" t="s">
        <v>17</v>
      </c>
      <c r="C24" s="1" t="s">
        <v>42</v>
      </c>
      <c r="D24" s="1" t="s">
        <v>243</v>
      </c>
      <c r="E24" s="1" t="s">
        <v>176</v>
      </c>
      <c r="F24" s="1" t="s">
        <v>207</v>
      </c>
      <c r="G24" s="1" t="s">
        <v>33</v>
      </c>
      <c r="H24" s="1" t="s">
        <v>34</v>
      </c>
      <c r="I24" s="1" t="s">
        <v>117</v>
      </c>
      <c r="J24" s="1" t="s">
        <v>33</v>
      </c>
    </row>
    <row r="25" spans="1:10" x14ac:dyDescent="0.2">
      <c r="A25" s="1">
        <v>10015</v>
      </c>
      <c r="B25" s="1" t="s">
        <v>18</v>
      </c>
      <c r="C25" s="1" t="s">
        <v>43</v>
      </c>
      <c r="D25" s="1" t="s">
        <v>243</v>
      </c>
      <c r="E25" s="1" t="s">
        <v>176</v>
      </c>
      <c r="F25" s="1" t="s">
        <v>207</v>
      </c>
      <c r="G25" s="1" t="s">
        <v>33</v>
      </c>
      <c r="H25" s="1" t="s">
        <v>34</v>
      </c>
      <c r="I25" s="1" t="s">
        <v>117</v>
      </c>
      <c r="J25" s="1" t="s">
        <v>33</v>
      </c>
    </row>
    <row r="26" spans="1:10" x14ac:dyDescent="0.2">
      <c r="A26" s="1">
        <v>10015</v>
      </c>
      <c r="B26" s="1" t="s">
        <v>180</v>
      </c>
      <c r="C26" s="1" t="s">
        <v>40</v>
      </c>
      <c r="D26" s="1" t="s">
        <v>243</v>
      </c>
      <c r="E26" s="1" t="s">
        <v>176</v>
      </c>
      <c r="F26" s="1" t="s">
        <v>207</v>
      </c>
      <c r="G26" s="1" t="s">
        <v>33</v>
      </c>
      <c r="H26" s="1" t="s">
        <v>34</v>
      </c>
      <c r="I26" s="1" t="s">
        <v>117</v>
      </c>
      <c r="J26" s="1" t="s">
        <v>33</v>
      </c>
    </row>
    <row r="27" spans="1:10" x14ac:dyDescent="0.2">
      <c r="A27" s="1">
        <v>10015</v>
      </c>
      <c r="B27" s="1" t="s">
        <v>180</v>
      </c>
      <c r="C27" s="1" t="s">
        <v>32</v>
      </c>
      <c r="D27" s="1" t="s">
        <v>243</v>
      </c>
      <c r="E27" s="1" t="s">
        <v>176</v>
      </c>
      <c r="F27" s="1" t="s">
        <v>207</v>
      </c>
      <c r="G27" s="1" t="s">
        <v>33</v>
      </c>
      <c r="H27" s="1" t="s">
        <v>34</v>
      </c>
      <c r="I27" s="1" t="s">
        <v>117</v>
      </c>
      <c r="J27" s="1" t="s">
        <v>33</v>
      </c>
    </row>
    <row r="28" spans="1:10" x14ac:dyDescent="0.2">
      <c r="A28" s="1">
        <v>10015</v>
      </c>
      <c r="B28" s="1" t="s">
        <v>180</v>
      </c>
      <c r="C28" s="1" t="s">
        <v>183</v>
      </c>
      <c r="D28" s="1" t="s">
        <v>243</v>
      </c>
      <c r="E28" s="1" t="s">
        <v>84</v>
      </c>
      <c r="F28" s="1" t="s">
        <v>207</v>
      </c>
      <c r="G28" s="1" t="s">
        <v>33</v>
      </c>
      <c r="H28" s="1" t="s">
        <v>34</v>
      </c>
      <c r="I28" s="1" t="s">
        <v>117</v>
      </c>
      <c r="J28" s="1" t="s">
        <v>33</v>
      </c>
    </row>
    <row r="29" spans="1:10" x14ac:dyDescent="0.2">
      <c r="A29" s="1">
        <v>10015</v>
      </c>
      <c r="B29" s="1" t="s">
        <v>180</v>
      </c>
      <c r="C29" s="1" t="s">
        <v>36</v>
      </c>
      <c r="D29" s="1" t="s">
        <v>243</v>
      </c>
      <c r="E29" s="1" t="s">
        <v>34</v>
      </c>
      <c r="F29" s="1" t="s">
        <v>207</v>
      </c>
      <c r="G29" s="1" t="s">
        <v>33</v>
      </c>
      <c r="H29" s="1" t="s">
        <v>34</v>
      </c>
      <c r="I29" s="1" t="s">
        <v>117</v>
      </c>
      <c r="J29" s="1" t="s">
        <v>33</v>
      </c>
    </row>
    <row r="30" spans="1:10" x14ac:dyDescent="0.2">
      <c r="A30" s="1">
        <v>10016</v>
      </c>
      <c r="B30" s="1" t="s">
        <v>19</v>
      </c>
      <c r="C30" s="1" t="s">
        <v>184</v>
      </c>
      <c r="D30" s="1" t="s">
        <v>243</v>
      </c>
      <c r="E30" s="1" t="s">
        <v>117</v>
      </c>
      <c r="F30" s="1" t="s">
        <v>207</v>
      </c>
      <c r="G30" s="1" t="s">
        <v>33</v>
      </c>
      <c r="H30" s="1" t="s">
        <v>34</v>
      </c>
      <c r="I30" s="1" t="s">
        <v>117</v>
      </c>
      <c r="J30" s="1" t="s">
        <v>33</v>
      </c>
    </row>
    <row r="31" spans="1:10" x14ac:dyDescent="0.2">
      <c r="A31" s="1">
        <v>10032</v>
      </c>
      <c r="B31" s="1" t="s">
        <v>19</v>
      </c>
      <c r="C31" s="1" t="s">
        <v>185</v>
      </c>
      <c r="D31" s="1" t="s">
        <v>243</v>
      </c>
      <c r="E31" s="1" t="s">
        <v>243</v>
      </c>
      <c r="F31" s="1" t="s">
        <v>207</v>
      </c>
      <c r="G31" s="1" t="s">
        <v>33</v>
      </c>
      <c r="H31" s="1" t="s">
        <v>34</v>
      </c>
      <c r="I31" s="1" t="s">
        <v>117</v>
      </c>
      <c r="J31" s="1" t="s">
        <v>33</v>
      </c>
    </row>
    <row r="32" spans="1:10" x14ac:dyDescent="0.2">
      <c r="A32" s="1">
        <v>10023</v>
      </c>
      <c r="B32" s="1" t="s">
        <v>190</v>
      </c>
      <c r="C32" s="1" t="s">
        <v>191</v>
      </c>
      <c r="D32" s="1" t="s">
        <v>243</v>
      </c>
      <c r="E32" s="1" t="s">
        <v>211</v>
      </c>
      <c r="F32" s="1" t="s">
        <v>117</v>
      </c>
      <c r="G32" s="1" t="s">
        <v>33</v>
      </c>
      <c r="H32" s="1" t="s">
        <v>34</v>
      </c>
      <c r="I32" s="1" t="s">
        <v>117</v>
      </c>
      <c r="J32" s="1" t="s">
        <v>33</v>
      </c>
    </row>
    <row r="33" spans="1:10" x14ac:dyDescent="0.2">
      <c r="A33" s="1">
        <v>10034</v>
      </c>
      <c r="B33" s="1" t="s">
        <v>220</v>
      </c>
      <c r="C33" s="1" t="s">
        <v>221</v>
      </c>
      <c r="D33" s="1" t="s">
        <v>117</v>
      </c>
      <c r="E33" s="1" t="s">
        <v>117</v>
      </c>
      <c r="F33" s="1" t="s">
        <v>117</v>
      </c>
      <c r="G33" s="1" t="s">
        <v>33</v>
      </c>
      <c r="H33" s="1" t="s">
        <v>34</v>
      </c>
      <c r="I33" s="1" t="s">
        <v>117</v>
      </c>
      <c r="J33" s="1" t="s">
        <v>34</v>
      </c>
    </row>
    <row r="34" spans="1:10" x14ac:dyDescent="0.2">
      <c r="A34" s="1">
        <v>10099</v>
      </c>
      <c r="B34" s="1" t="s">
        <v>19</v>
      </c>
      <c r="C34" s="1" t="s">
        <v>334</v>
      </c>
      <c r="D34" s="1" t="s">
        <v>84</v>
      </c>
      <c r="E34" s="1" t="s">
        <v>117</v>
      </c>
      <c r="F34" s="1" t="s">
        <v>117</v>
      </c>
      <c r="G34" s="1" t="s">
        <v>33</v>
      </c>
      <c r="H34" s="1" t="s">
        <v>34</v>
      </c>
      <c r="I34" s="1" t="s">
        <v>117</v>
      </c>
      <c r="J34" s="1" t="s">
        <v>34</v>
      </c>
    </row>
    <row r="35" spans="1:10" x14ac:dyDescent="0.2">
      <c r="A35" s="1">
        <v>1023</v>
      </c>
      <c r="B35" s="1" t="s">
        <v>338</v>
      </c>
      <c r="C35" s="1" t="s">
        <v>339</v>
      </c>
      <c r="D35" s="1" t="s">
        <v>117</v>
      </c>
      <c r="E35" s="1" t="s">
        <v>117</v>
      </c>
      <c r="F35" s="1" t="s">
        <v>117</v>
      </c>
      <c r="G35" s="1" t="s">
        <v>33</v>
      </c>
      <c r="H35" s="1" t="s">
        <v>34</v>
      </c>
      <c r="I35" s="1" t="s">
        <v>117</v>
      </c>
      <c r="J35" s="1" t="s">
        <v>34</v>
      </c>
    </row>
    <row r="36" spans="1:10" x14ac:dyDescent="0.2">
      <c r="A36" s="1">
        <v>34344</v>
      </c>
      <c r="B36" s="1" t="s">
        <v>349</v>
      </c>
      <c r="C36" s="1" t="s">
        <v>343</v>
      </c>
      <c r="D36" s="1" t="s">
        <v>84</v>
      </c>
      <c r="E36" s="1" t="s">
        <v>117</v>
      </c>
      <c r="F36" s="1" t="s">
        <v>117</v>
      </c>
      <c r="G36" s="1" t="s">
        <v>33</v>
      </c>
      <c r="H36" s="1" t="s">
        <v>34</v>
      </c>
      <c r="I36" s="1" t="s">
        <v>117</v>
      </c>
      <c r="J36" s="1" t="s">
        <v>34</v>
      </c>
    </row>
    <row r="37" spans="1:10" x14ac:dyDescent="0.2">
      <c r="A37" s="1">
        <v>12300</v>
      </c>
      <c r="B37" s="1" t="s">
        <v>402</v>
      </c>
      <c r="C37" s="1" t="s">
        <v>403</v>
      </c>
      <c r="D37" s="1"/>
      <c r="E37" s="1"/>
      <c r="F37" s="1"/>
      <c r="G37" s="1"/>
      <c r="H37" s="1"/>
      <c r="I37" s="1"/>
      <c r="J37" s="1"/>
    </row>
    <row r="38" spans="1:10" x14ac:dyDescent="0.2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x14ac:dyDescent="0.2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x14ac:dyDescent="0.2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x14ac:dyDescent="0.2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x14ac:dyDescent="0.2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x14ac:dyDescent="0.2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x14ac:dyDescent="0.2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x14ac:dyDescent="0.2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x14ac:dyDescent="0.2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x14ac:dyDescent="0.2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x14ac:dyDescent="0.2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x14ac:dyDescent="0.2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x14ac:dyDescent="0.2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x14ac:dyDescent="0.2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x14ac:dyDescent="0.2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x14ac:dyDescent="0.2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x14ac:dyDescent="0.2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x14ac:dyDescent="0.2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x14ac:dyDescent="0.2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x14ac:dyDescent="0.2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x14ac:dyDescent="0.2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x14ac:dyDescent="0.2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x14ac:dyDescent="0.2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x14ac:dyDescent="0.2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x14ac:dyDescent="0.2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x14ac:dyDescent="0.2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x14ac:dyDescent="0.2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x14ac:dyDescent="0.2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x14ac:dyDescent="0.2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x14ac:dyDescent="0.2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x14ac:dyDescent="0.2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x14ac:dyDescent="0.2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x14ac:dyDescent="0.2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x14ac:dyDescent="0.2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x14ac:dyDescent="0.2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x14ac:dyDescent="0.2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x14ac:dyDescent="0.2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x14ac:dyDescent="0.2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x14ac:dyDescent="0.2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x14ac:dyDescent="0.2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x14ac:dyDescent="0.2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2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2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2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2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2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2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2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2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2">
      <c r="A87" s="1"/>
      <c r="B87" s="1"/>
      <c r="C87" s="1"/>
      <c r="D87" s="1"/>
      <c r="E87" s="1"/>
      <c r="F87" s="1"/>
      <c r="G87" s="1"/>
      <c r="H87" s="1"/>
      <c r="I87" s="1"/>
      <c r="J87" s="1"/>
    </row>
  </sheetData>
  <phoneticPr fontId="10" type="noConversion"/>
  <dataValidations count="1">
    <dataValidation type="list" allowBlank="1" showInputMessage="1" showErrorMessage="1" sqref="D4:D87 G4:G72 E4:F77 H4:J85" xr:uid="{C16477D7-30A3-4E11-B3D3-097194333830}">
      <formula1>Attendance_List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4" r:id="rId4" name="CommandButton1">
          <controlPr defaultSize="0" autoLine="0" r:id="rId5">
            <anchor moveWithCells="1">
              <from>
                <xdr:col>14</xdr:col>
                <xdr:colOff>66675</xdr:colOff>
                <xdr:row>11</xdr:row>
                <xdr:rowOff>85725</xdr:rowOff>
              </from>
              <to>
                <xdr:col>17</xdr:col>
                <xdr:colOff>247650</xdr:colOff>
                <xdr:row>15</xdr:row>
                <xdr:rowOff>0</xdr:rowOff>
              </to>
            </anchor>
          </controlPr>
        </control>
      </mc:Choice>
      <mc:Fallback>
        <control shapeId="2074" r:id="rId4" name="CommandButton1"/>
      </mc:Fallback>
    </mc:AlternateContent>
    <mc:AlternateContent xmlns:mc="http://schemas.openxmlformats.org/markup-compatibility/2006">
      <mc:Choice Requires="x14">
        <control shapeId="2076" r:id="rId6" name="CommandButton2">
          <controlPr defaultSize="0" autoLine="0" autoPict="0" r:id="rId7">
            <anchor moveWithCells="1">
              <from>
                <xdr:col>14</xdr:col>
                <xdr:colOff>47625</xdr:colOff>
                <xdr:row>16</xdr:row>
                <xdr:rowOff>47625</xdr:rowOff>
              </from>
              <to>
                <xdr:col>17</xdr:col>
                <xdr:colOff>190500</xdr:colOff>
                <xdr:row>19</xdr:row>
                <xdr:rowOff>152400</xdr:rowOff>
              </to>
            </anchor>
          </controlPr>
        </control>
      </mc:Choice>
      <mc:Fallback>
        <control shapeId="2076" r:id="rId6" name="CommandButton2"/>
      </mc:Fallback>
    </mc:AlternateContent>
    <mc:AlternateContent xmlns:mc="http://schemas.openxmlformats.org/markup-compatibility/2006">
      <mc:Choice Requires="x14">
        <control shapeId="2080" r:id="rId8" name="CommandButton3">
          <controlPr defaultSize="0" autoLine="0" r:id="rId9">
            <anchor moveWithCells="1">
              <from>
                <xdr:col>14</xdr:col>
                <xdr:colOff>66675</xdr:colOff>
                <xdr:row>21</xdr:row>
                <xdr:rowOff>38100</xdr:rowOff>
              </from>
              <to>
                <xdr:col>17</xdr:col>
                <xdr:colOff>209550</xdr:colOff>
                <xdr:row>24</xdr:row>
                <xdr:rowOff>142875</xdr:rowOff>
              </to>
            </anchor>
          </controlPr>
        </control>
      </mc:Choice>
      <mc:Fallback>
        <control shapeId="2080" r:id="rId8" name="CommandButton3"/>
      </mc:Fallback>
    </mc:AlternateContent>
    <mc:AlternateContent xmlns:mc="http://schemas.openxmlformats.org/markup-compatibility/2006">
      <mc:Choice Requires="x14">
        <control shapeId="2072" r:id="rId10" name="Check Box 24">
          <controlPr defaultSize="0" autoFill="0" autoLine="0" autoPict="0">
            <anchor>
              <from>
                <xdr:col>2</xdr:col>
                <xdr:colOff>714375</xdr:colOff>
                <xdr:row>0</xdr:row>
                <xdr:rowOff>123825</xdr:rowOff>
              </from>
              <to>
                <xdr:col>5</xdr:col>
                <xdr:colOff>142875</xdr:colOff>
                <xdr:row>1</xdr:row>
                <xdr:rowOff>123825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446A-9310-469C-AF89-FD280DB5B607}">
  <sheetPr codeName="Sheet4"/>
  <dimension ref="A1:F154"/>
  <sheetViews>
    <sheetView showGridLines="0" workbookViewId="0">
      <pane ySplit="1" topLeftCell="A101" activePane="bottomLeft" state="frozen"/>
      <selection pane="bottomLeft" activeCell="M161" sqref="M161"/>
    </sheetView>
  </sheetViews>
  <sheetFormatPr defaultColWidth="8.7109375" defaultRowHeight="12.75" x14ac:dyDescent="0.2"/>
  <cols>
    <col min="1" max="1" width="13.140625" style="4" customWidth="1"/>
    <col min="2" max="2" width="17.5703125" style="4" customWidth="1"/>
    <col min="3" max="4" width="17" style="4" customWidth="1"/>
    <col min="5" max="5" width="17" style="6" customWidth="1"/>
    <col min="6" max="6" width="17" style="127" customWidth="1"/>
    <col min="7" max="16384" width="8.7109375" style="5"/>
  </cols>
  <sheetData>
    <row r="1" spans="1:6" ht="27.95" customHeight="1" x14ac:dyDescent="0.2">
      <c r="A1" s="10" t="s">
        <v>44</v>
      </c>
      <c r="B1" s="10" t="s">
        <v>31</v>
      </c>
      <c r="C1" s="10" t="s">
        <v>3</v>
      </c>
      <c r="D1" s="10" t="s">
        <v>4</v>
      </c>
      <c r="E1" s="11" t="s">
        <v>45</v>
      </c>
      <c r="F1" s="126" t="s">
        <v>46</v>
      </c>
    </row>
    <row r="2" spans="1:6" x14ac:dyDescent="0.2">
      <c r="A2" s="4" t="s">
        <v>223</v>
      </c>
      <c r="B2" s="4">
        <v>10001</v>
      </c>
      <c r="C2" s="4" t="s">
        <v>21</v>
      </c>
      <c r="D2" s="4" t="s">
        <v>32</v>
      </c>
      <c r="E2" s="6">
        <v>44538</v>
      </c>
      <c r="F2" s="127" t="s">
        <v>243</v>
      </c>
    </row>
    <row r="3" spans="1:6" x14ac:dyDescent="0.2">
      <c r="A3" s="4" t="s">
        <v>224</v>
      </c>
      <c r="B3" s="4">
        <v>10002</v>
      </c>
      <c r="C3" s="4" t="s">
        <v>9</v>
      </c>
      <c r="D3" s="4" t="s">
        <v>181</v>
      </c>
      <c r="E3" s="6">
        <v>44538</v>
      </c>
      <c r="F3" s="127" t="s">
        <v>243</v>
      </c>
    </row>
    <row r="4" spans="1:6" x14ac:dyDescent="0.2">
      <c r="A4" s="4" t="s">
        <v>225</v>
      </c>
      <c r="B4" s="4">
        <v>10003</v>
      </c>
      <c r="C4" s="4" t="s">
        <v>10</v>
      </c>
      <c r="D4" s="4" t="s">
        <v>35</v>
      </c>
      <c r="E4" s="6">
        <v>44538</v>
      </c>
      <c r="F4" s="127" t="s">
        <v>243</v>
      </c>
    </row>
    <row r="5" spans="1:6" x14ac:dyDescent="0.2">
      <c r="A5" s="4" t="s">
        <v>226</v>
      </c>
      <c r="B5" s="4">
        <v>10004</v>
      </c>
      <c r="C5" s="4" t="s">
        <v>22</v>
      </c>
      <c r="D5" s="4" t="s">
        <v>36</v>
      </c>
      <c r="E5" s="6">
        <v>44538</v>
      </c>
      <c r="F5" s="127" t="s">
        <v>243</v>
      </c>
    </row>
    <row r="6" spans="1:6" x14ac:dyDescent="0.2">
      <c r="A6" s="4" t="s">
        <v>227</v>
      </c>
      <c r="B6" s="4">
        <v>10005</v>
      </c>
      <c r="C6" s="4" t="s">
        <v>25</v>
      </c>
      <c r="D6" s="4" t="s">
        <v>36</v>
      </c>
      <c r="E6" s="6">
        <v>44538</v>
      </c>
      <c r="F6" s="127" t="s">
        <v>243</v>
      </c>
    </row>
    <row r="7" spans="1:6" x14ac:dyDescent="0.2">
      <c r="A7" s="4" t="s">
        <v>228</v>
      </c>
      <c r="B7" s="4">
        <v>10006</v>
      </c>
      <c r="C7" s="4" t="s">
        <v>27</v>
      </c>
      <c r="D7" s="4" t="s">
        <v>36</v>
      </c>
      <c r="E7" s="6">
        <v>44538</v>
      </c>
      <c r="F7" s="127" t="s">
        <v>243</v>
      </c>
    </row>
    <row r="8" spans="1:6" x14ac:dyDescent="0.2">
      <c r="A8" s="4" t="s">
        <v>229</v>
      </c>
      <c r="B8" s="4">
        <v>10007</v>
      </c>
      <c r="C8" s="4" t="s">
        <v>37</v>
      </c>
      <c r="D8" s="4" t="s">
        <v>36</v>
      </c>
      <c r="E8" s="6">
        <v>44538</v>
      </c>
      <c r="F8" s="127" t="s">
        <v>243</v>
      </c>
    </row>
    <row r="9" spans="1:6" x14ac:dyDescent="0.2">
      <c r="A9" s="4" t="s">
        <v>230</v>
      </c>
      <c r="B9" s="4">
        <v>10008</v>
      </c>
      <c r="C9" s="4" t="s">
        <v>26</v>
      </c>
      <c r="D9" s="4" t="s">
        <v>36</v>
      </c>
      <c r="E9" s="6">
        <v>44538</v>
      </c>
      <c r="F9" s="127" t="s">
        <v>243</v>
      </c>
    </row>
    <row r="10" spans="1:6" x14ac:dyDescent="0.2">
      <c r="A10" s="4" t="s">
        <v>231</v>
      </c>
      <c r="B10" s="4">
        <v>10009</v>
      </c>
      <c r="C10" s="4" t="s">
        <v>24</v>
      </c>
      <c r="D10" s="4" t="s">
        <v>36</v>
      </c>
      <c r="E10" s="6">
        <v>44538</v>
      </c>
      <c r="F10" s="127" t="s">
        <v>243</v>
      </c>
    </row>
    <row r="11" spans="1:6" x14ac:dyDescent="0.2">
      <c r="A11" s="4" t="s">
        <v>232</v>
      </c>
      <c r="B11" s="4">
        <v>10010</v>
      </c>
      <c r="C11" s="4" t="s">
        <v>23</v>
      </c>
      <c r="D11" s="4" t="s">
        <v>36</v>
      </c>
      <c r="E11" s="6">
        <v>44538</v>
      </c>
      <c r="F11" s="127" t="s">
        <v>243</v>
      </c>
    </row>
    <row r="12" spans="1:6" x14ac:dyDescent="0.2">
      <c r="A12" s="4" t="s">
        <v>233</v>
      </c>
      <c r="B12" s="4">
        <v>10011</v>
      </c>
      <c r="C12" s="4" t="s">
        <v>11</v>
      </c>
      <c r="D12" s="4" t="s">
        <v>35</v>
      </c>
      <c r="E12" s="6">
        <v>44538</v>
      </c>
      <c r="F12" s="127" t="s">
        <v>243</v>
      </c>
    </row>
    <row r="13" spans="1:6" x14ac:dyDescent="0.2">
      <c r="A13" s="4" t="s">
        <v>234</v>
      </c>
      <c r="B13" s="4">
        <v>10012</v>
      </c>
      <c r="C13" s="4" t="s">
        <v>12</v>
      </c>
      <c r="D13" s="4" t="s">
        <v>38</v>
      </c>
      <c r="E13" s="6">
        <v>44538</v>
      </c>
      <c r="F13" s="127" t="s">
        <v>243</v>
      </c>
    </row>
    <row r="14" spans="1:6" x14ac:dyDescent="0.2">
      <c r="A14" s="4" t="s">
        <v>235</v>
      </c>
      <c r="B14" s="4">
        <v>10013</v>
      </c>
      <c r="C14" s="4" t="s">
        <v>13</v>
      </c>
      <c r="D14" s="4" t="s">
        <v>38</v>
      </c>
      <c r="E14" s="6">
        <v>44538</v>
      </c>
      <c r="F14" s="127" t="s">
        <v>243</v>
      </c>
    </row>
    <row r="15" spans="1:6" x14ac:dyDescent="0.2">
      <c r="A15" s="4" t="s">
        <v>236</v>
      </c>
      <c r="B15" s="4">
        <v>10014</v>
      </c>
      <c r="C15" s="4" t="s">
        <v>29</v>
      </c>
      <c r="D15" s="4" t="s">
        <v>39</v>
      </c>
      <c r="E15" s="6">
        <v>44538</v>
      </c>
      <c r="F15" s="127" t="s">
        <v>243</v>
      </c>
    </row>
    <row r="16" spans="1:6" x14ac:dyDescent="0.2">
      <c r="A16" s="4" t="s">
        <v>237</v>
      </c>
      <c r="B16" s="4">
        <v>10015</v>
      </c>
      <c r="C16" s="4" t="s">
        <v>180</v>
      </c>
      <c r="D16" s="4" t="s">
        <v>36</v>
      </c>
      <c r="E16" s="6">
        <v>44538</v>
      </c>
      <c r="F16" s="127" t="s">
        <v>243</v>
      </c>
    </row>
    <row r="17" spans="1:6" x14ac:dyDescent="0.2">
      <c r="A17" s="4" t="s">
        <v>238</v>
      </c>
      <c r="B17" s="4">
        <v>10016</v>
      </c>
      <c r="C17" s="4" t="s">
        <v>19</v>
      </c>
      <c r="D17" s="4" t="s">
        <v>184</v>
      </c>
      <c r="E17" s="6">
        <v>44538</v>
      </c>
      <c r="F17" s="127" t="s">
        <v>243</v>
      </c>
    </row>
    <row r="18" spans="1:6" x14ac:dyDescent="0.2">
      <c r="A18" s="4" t="s">
        <v>239</v>
      </c>
      <c r="B18" s="4">
        <v>10032</v>
      </c>
      <c r="C18" s="4" t="s">
        <v>19</v>
      </c>
      <c r="D18" s="4" t="s">
        <v>185</v>
      </c>
      <c r="E18" s="6">
        <v>44538</v>
      </c>
      <c r="F18" s="127" t="s">
        <v>243</v>
      </c>
    </row>
    <row r="19" spans="1:6" x14ac:dyDescent="0.2">
      <c r="A19" s="4" t="s">
        <v>240</v>
      </c>
      <c r="B19" s="4">
        <v>10023</v>
      </c>
      <c r="C19" s="4" t="s">
        <v>190</v>
      </c>
      <c r="D19" s="4" t="s">
        <v>191</v>
      </c>
      <c r="E19" s="6">
        <v>44538</v>
      </c>
      <c r="F19" s="127" t="s">
        <v>243</v>
      </c>
    </row>
    <row r="20" spans="1:6" x14ac:dyDescent="0.2">
      <c r="A20" s="4" t="s">
        <v>244</v>
      </c>
      <c r="B20" s="4">
        <v>10034</v>
      </c>
      <c r="C20" s="4" t="s">
        <v>220</v>
      </c>
      <c r="D20" s="4" t="s">
        <v>221</v>
      </c>
      <c r="E20" s="6">
        <v>44538</v>
      </c>
      <c r="F20" s="127" t="s">
        <v>117</v>
      </c>
    </row>
    <row r="21" spans="1:6" x14ac:dyDescent="0.2">
      <c r="A21" s="4" t="s">
        <v>47</v>
      </c>
      <c r="B21" s="4">
        <v>10002</v>
      </c>
      <c r="C21" s="4" t="s">
        <v>9</v>
      </c>
      <c r="D21" s="4" t="s">
        <v>181</v>
      </c>
      <c r="E21" s="6">
        <v>44539</v>
      </c>
      <c r="F21" s="127" t="s">
        <v>176</v>
      </c>
    </row>
    <row r="22" spans="1:6" x14ac:dyDescent="0.2">
      <c r="A22" s="4" t="s">
        <v>48</v>
      </c>
      <c r="B22" s="4">
        <v>10003</v>
      </c>
      <c r="C22" s="4" t="s">
        <v>10</v>
      </c>
      <c r="D22" s="4" t="s">
        <v>35</v>
      </c>
      <c r="E22" s="6">
        <v>44539</v>
      </c>
      <c r="F22" s="127" t="s">
        <v>176</v>
      </c>
    </row>
    <row r="23" spans="1:6" x14ac:dyDescent="0.2">
      <c r="A23" s="4" t="s">
        <v>49</v>
      </c>
      <c r="B23" s="4">
        <v>10004</v>
      </c>
      <c r="C23" s="4" t="s">
        <v>22</v>
      </c>
      <c r="D23" s="4" t="s">
        <v>36</v>
      </c>
      <c r="E23" s="6">
        <v>44539</v>
      </c>
      <c r="F23" s="127" t="s">
        <v>176</v>
      </c>
    </row>
    <row r="24" spans="1:6" x14ac:dyDescent="0.2">
      <c r="A24" s="4" t="s">
        <v>50</v>
      </c>
      <c r="B24" s="4">
        <v>10005</v>
      </c>
      <c r="C24" s="4" t="s">
        <v>25</v>
      </c>
      <c r="D24" s="4" t="s">
        <v>36</v>
      </c>
      <c r="E24" s="6">
        <v>44539</v>
      </c>
      <c r="F24" s="127" t="s">
        <v>176</v>
      </c>
    </row>
    <row r="25" spans="1:6" x14ac:dyDescent="0.2">
      <c r="A25" s="4" t="s">
        <v>51</v>
      </c>
      <c r="B25" s="4">
        <v>10006</v>
      </c>
      <c r="C25" s="4" t="s">
        <v>27</v>
      </c>
      <c r="D25" s="4" t="s">
        <v>36</v>
      </c>
      <c r="E25" s="6">
        <v>44539</v>
      </c>
      <c r="F25" s="127" t="s">
        <v>176</v>
      </c>
    </row>
    <row r="26" spans="1:6" x14ac:dyDescent="0.2">
      <c r="A26" s="4" t="s">
        <v>52</v>
      </c>
      <c r="B26" s="4">
        <v>10007</v>
      </c>
      <c r="C26" s="4" t="s">
        <v>37</v>
      </c>
      <c r="D26" s="4" t="s">
        <v>36</v>
      </c>
      <c r="E26" s="6">
        <v>44539</v>
      </c>
      <c r="F26" s="127" t="s">
        <v>176</v>
      </c>
    </row>
    <row r="27" spans="1:6" x14ac:dyDescent="0.2">
      <c r="A27" s="4" t="s">
        <v>53</v>
      </c>
      <c r="B27" s="4">
        <v>10008</v>
      </c>
      <c r="C27" s="4" t="s">
        <v>26</v>
      </c>
      <c r="D27" s="4" t="s">
        <v>36</v>
      </c>
      <c r="E27" s="6">
        <v>44539</v>
      </c>
      <c r="F27" s="127" t="s">
        <v>176</v>
      </c>
    </row>
    <row r="28" spans="1:6" x14ac:dyDescent="0.2">
      <c r="A28" s="4" t="s">
        <v>54</v>
      </c>
      <c r="B28" s="4">
        <v>10009</v>
      </c>
      <c r="C28" s="4" t="s">
        <v>24</v>
      </c>
      <c r="D28" s="4" t="s">
        <v>36</v>
      </c>
      <c r="E28" s="6">
        <v>44539</v>
      </c>
      <c r="F28" s="127" t="s">
        <v>176</v>
      </c>
    </row>
    <row r="29" spans="1:6" x14ac:dyDescent="0.2">
      <c r="A29" s="4" t="s">
        <v>55</v>
      </c>
      <c r="B29" s="4">
        <v>10010</v>
      </c>
      <c r="C29" s="4" t="s">
        <v>23</v>
      </c>
      <c r="D29" s="4" t="s">
        <v>36</v>
      </c>
      <c r="E29" s="6">
        <v>44539</v>
      </c>
      <c r="F29" s="127" t="s">
        <v>176</v>
      </c>
    </row>
    <row r="30" spans="1:6" x14ac:dyDescent="0.2">
      <c r="A30" s="4" t="s">
        <v>56</v>
      </c>
      <c r="B30" s="4">
        <v>10011</v>
      </c>
      <c r="C30" s="4" t="s">
        <v>11</v>
      </c>
      <c r="D30" s="4" t="s">
        <v>35</v>
      </c>
      <c r="E30" s="6">
        <v>44539</v>
      </c>
      <c r="F30" s="127" t="s">
        <v>176</v>
      </c>
    </row>
    <row r="31" spans="1:6" x14ac:dyDescent="0.2">
      <c r="A31" s="4" t="s">
        <v>57</v>
      </c>
      <c r="B31" s="4">
        <v>10012</v>
      </c>
      <c r="C31" s="4" t="s">
        <v>12</v>
      </c>
      <c r="D31" s="4" t="s">
        <v>38</v>
      </c>
      <c r="E31" s="6">
        <v>44539</v>
      </c>
      <c r="F31" s="127" t="s">
        <v>176</v>
      </c>
    </row>
    <row r="32" spans="1:6" x14ac:dyDescent="0.2">
      <c r="A32" s="4" t="s">
        <v>58</v>
      </c>
      <c r="B32" s="4">
        <v>10013</v>
      </c>
      <c r="C32" s="4" t="s">
        <v>13</v>
      </c>
      <c r="D32" s="4" t="s">
        <v>38</v>
      </c>
      <c r="E32" s="6">
        <v>44539</v>
      </c>
      <c r="F32" s="127" t="s">
        <v>176</v>
      </c>
    </row>
    <row r="33" spans="1:6" x14ac:dyDescent="0.2">
      <c r="A33" s="4" t="s">
        <v>59</v>
      </c>
      <c r="B33" s="4">
        <v>10014</v>
      </c>
      <c r="C33" s="4" t="s">
        <v>29</v>
      </c>
      <c r="D33" s="4" t="s">
        <v>39</v>
      </c>
      <c r="E33" s="6">
        <v>44539</v>
      </c>
      <c r="F33" s="127" t="s">
        <v>176</v>
      </c>
    </row>
    <row r="34" spans="1:6" x14ac:dyDescent="0.2">
      <c r="A34" s="4" t="s">
        <v>60</v>
      </c>
      <c r="B34" s="4">
        <v>10015</v>
      </c>
      <c r="C34" s="4" t="s">
        <v>180</v>
      </c>
      <c r="D34" s="4" t="s">
        <v>36</v>
      </c>
      <c r="E34" s="6">
        <v>44539</v>
      </c>
      <c r="F34" s="127" t="s">
        <v>34</v>
      </c>
    </row>
    <row r="35" spans="1:6" x14ac:dyDescent="0.2">
      <c r="A35" s="4" t="s">
        <v>245</v>
      </c>
      <c r="B35" s="4">
        <v>10016</v>
      </c>
      <c r="C35" s="4" t="s">
        <v>19</v>
      </c>
      <c r="D35" s="4" t="s">
        <v>184</v>
      </c>
      <c r="E35" s="6">
        <v>44539</v>
      </c>
      <c r="F35" s="127" t="s">
        <v>117</v>
      </c>
    </row>
    <row r="36" spans="1:6" x14ac:dyDescent="0.2">
      <c r="A36" s="4" t="s">
        <v>246</v>
      </c>
      <c r="B36" s="4">
        <v>10032</v>
      </c>
      <c r="C36" s="4" t="s">
        <v>19</v>
      </c>
      <c r="D36" s="4" t="s">
        <v>185</v>
      </c>
      <c r="E36" s="6">
        <v>44539</v>
      </c>
      <c r="F36" s="127" t="s">
        <v>243</v>
      </c>
    </row>
    <row r="37" spans="1:6" x14ac:dyDescent="0.2">
      <c r="A37" s="4" t="s">
        <v>247</v>
      </c>
      <c r="B37" s="4">
        <v>10023</v>
      </c>
      <c r="C37" s="4" t="s">
        <v>190</v>
      </c>
      <c r="D37" s="4" t="s">
        <v>191</v>
      </c>
      <c r="E37" s="6">
        <v>44539</v>
      </c>
      <c r="F37" s="127" t="s">
        <v>211</v>
      </c>
    </row>
    <row r="38" spans="1:6" x14ac:dyDescent="0.2">
      <c r="A38" s="4" t="s">
        <v>248</v>
      </c>
      <c r="B38" s="4">
        <v>10034</v>
      </c>
      <c r="C38" s="4" t="s">
        <v>220</v>
      </c>
      <c r="D38" s="4" t="s">
        <v>221</v>
      </c>
      <c r="E38" s="6">
        <v>44539</v>
      </c>
      <c r="F38" s="127" t="s">
        <v>117</v>
      </c>
    </row>
    <row r="39" spans="1:6" x14ac:dyDescent="0.2">
      <c r="A39" s="4" t="s">
        <v>61</v>
      </c>
      <c r="B39" s="4">
        <v>10001</v>
      </c>
      <c r="C39" s="4" t="s">
        <v>21</v>
      </c>
      <c r="D39" s="4" t="s">
        <v>32</v>
      </c>
      <c r="E39" s="6">
        <v>44540</v>
      </c>
      <c r="F39" s="127" t="s">
        <v>207</v>
      </c>
    </row>
    <row r="40" spans="1:6" x14ac:dyDescent="0.2">
      <c r="A40" s="4" t="s">
        <v>62</v>
      </c>
      <c r="B40" s="4">
        <v>10002</v>
      </c>
      <c r="C40" s="4" t="s">
        <v>9</v>
      </c>
      <c r="D40" s="4" t="s">
        <v>181</v>
      </c>
      <c r="E40" s="6">
        <v>44540</v>
      </c>
      <c r="F40" s="127" t="s">
        <v>207</v>
      </c>
    </row>
    <row r="41" spans="1:6" x14ac:dyDescent="0.2">
      <c r="A41" s="4" t="s">
        <v>63</v>
      </c>
      <c r="B41" s="4">
        <v>10003</v>
      </c>
      <c r="C41" s="4" t="s">
        <v>10</v>
      </c>
      <c r="D41" s="4" t="s">
        <v>35</v>
      </c>
      <c r="E41" s="6">
        <v>44540</v>
      </c>
      <c r="F41" s="127" t="s">
        <v>207</v>
      </c>
    </row>
    <row r="42" spans="1:6" x14ac:dyDescent="0.2">
      <c r="A42" s="4" t="s">
        <v>64</v>
      </c>
      <c r="B42" s="4">
        <v>10004</v>
      </c>
      <c r="C42" s="4" t="s">
        <v>22</v>
      </c>
      <c r="D42" s="4" t="s">
        <v>36</v>
      </c>
      <c r="E42" s="6">
        <v>44540</v>
      </c>
      <c r="F42" s="127" t="s">
        <v>207</v>
      </c>
    </row>
    <row r="43" spans="1:6" x14ac:dyDescent="0.2">
      <c r="A43" s="4" t="s">
        <v>65</v>
      </c>
      <c r="B43" s="4">
        <v>10005</v>
      </c>
      <c r="C43" s="4" t="s">
        <v>25</v>
      </c>
      <c r="D43" s="4" t="s">
        <v>36</v>
      </c>
      <c r="E43" s="6">
        <v>44540</v>
      </c>
      <c r="F43" s="127" t="s">
        <v>207</v>
      </c>
    </row>
    <row r="44" spans="1:6" x14ac:dyDescent="0.2">
      <c r="A44" s="4" t="s">
        <v>66</v>
      </c>
      <c r="B44" s="4">
        <v>10006</v>
      </c>
      <c r="C44" s="4" t="s">
        <v>27</v>
      </c>
      <c r="D44" s="4" t="s">
        <v>36</v>
      </c>
      <c r="E44" s="6">
        <v>44540</v>
      </c>
      <c r="F44" s="127" t="s">
        <v>207</v>
      </c>
    </row>
    <row r="45" spans="1:6" x14ac:dyDescent="0.2">
      <c r="A45" s="4" t="s">
        <v>67</v>
      </c>
      <c r="B45" s="4">
        <v>10007</v>
      </c>
      <c r="C45" s="4" t="s">
        <v>37</v>
      </c>
      <c r="D45" s="4" t="s">
        <v>36</v>
      </c>
      <c r="E45" s="6">
        <v>44540</v>
      </c>
      <c r="F45" s="127" t="s">
        <v>207</v>
      </c>
    </row>
    <row r="46" spans="1:6" x14ac:dyDescent="0.2">
      <c r="A46" s="4" t="s">
        <v>68</v>
      </c>
      <c r="B46" s="4">
        <v>10008</v>
      </c>
      <c r="C46" s="4" t="s">
        <v>26</v>
      </c>
      <c r="D46" s="4" t="s">
        <v>36</v>
      </c>
      <c r="E46" s="6">
        <v>44540</v>
      </c>
      <c r="F46" s="127" t="s">
        <v>207</v>
      </c>
    </row>
    <row r="47" spans="1:6" x14ac:dyDescent="0.2">
      <c r="A47" s="4" t="s">
        <v>69</v>
      </c>
      <c r="B47" s="4">
        <v>10009</v>
      </c>
      <c r="C47" s="4" t="s">
        <v>24</v>
      </c>
      <c r="D47" s="4" t="s">
        <v>36</v>
      </c>
      <c r="E47" s="6">
        <v>44540</v>
      </c>
      <c r="F47" s="127" t="s">
        <v>207</v>
      </c>
    </row>
    <row r="48" spans="1:6" x14ac:dyDescent="0.2">
      <c r="A48" s="4" t="s">
        <v>70</v>
      </c>
      <c r="B48" s="4">
        <v>10010</v>
      </c>
      <c r="C48" s="4" t="s">
        <v>23</v>
      </c>
      <c r="D48" s="4" t="s">
        <v>36</v>
      </c>
      <c r="E48" s="6">
        <v>44540</v>
      </c>
      <c r="F48" s="127" t="s">
        <v>207</v>
      </c>
    </row>
    <row r="49" spans="1:6" x14ac:dyDescent="0.2">
      <c r="A49" s="4" t="s">
        <v>71</v>
      </c>
      <c r="B49" s="4">
        <v>10011</v>
      </c>
      <c r="C49" s="4" t="s">
        <v>11</v>
      </c>
      <c r="D49" s="4" t="s">
        <v>35</v>
      </c>
      <c r="E49" s="6">
        <v>44540</v>
      </c>
      <c r="F49" s="127" t="s">
        <v>207</v>
      </c>
    </row>
    <row r="50" spans="1:6" x14ac:dyDescent="0.2">
      <c r="A50" s="4" t="s">
        <v>72</v>
      </c>
      <c r="B50" s="4">
        <v>10012</v>
      </c>
      <c r="C50" s="4" t="s">
        <v>12</v>
      </c>
      <c r="D50" s="4" t="s">
        <v>38</v>
      </c>
      <c r="E50" s="6">
        <v>44540</v>
      </c>
      <c r="F50" s="127" t="s">
        <v>207</v>
      </c>
    </row>
    <row r="51" spans="1:6" x14ac:dyDescent="0.2">
      <c r="A51" s="4" t="s">
        <v>73</v>
      </c>
      <c r="B51" s="4">
        <v>10013</v>
      </c>
      <c r="C51" s="4" t="s">
        <v>13</v>
      </c>
      <c r="D51" s="4" t="s">
        <v>38</v>
      </c>
      <c r="E51" s="6">
        <v>44540</v>
      </c>
      <c r="F51" s="127" t="s">
        <v>207</v>
      </c>
    </row>
    <row r="52" spans="1:6" x14ac:dyDescent="0.2">
      <c r="A52" s="4" t="s">
        <v>74</v>
      </c>
      <c r="B52" s="4">
        <v>10014</v>
      </c>
      <c r="C52" s="4" t="s">
        <v>29</v>
      </c>
      <c r="D52" s="4" t="s">
        <v>39</v>
      </c>
      <c r="E52" s="6">
        <v>44540</v>
      </c>
      <c r="F52" s="127" t="s">
        <v>207</v>
      </c>
    </row>
    <row r="53" spans="1:6" x14ac:dyDescent="0.2">
      <c r="A53" s="4" t="s">
        <v>75</v>
      </c>
      <c r="B53" s="4">
        <v>10015</v>
      </c>
      <c r="C53" s="4" t="s">
        <v>180</v>
      </c>
      <c r="D53" s="4" t="s">
        <v>36</v>
      </c>
      <c r="E53" s="6">
        <v>44540</v>
      </c>
      <c r="F53" s="127" t="s">
        <v>207</v>
      </c>
    </row>
    <row r="54" spans="1:6" x14ac:dyDescent="0.2">
      <c r="A54" s="4" t="s">
        <v>241</v>
      </c>
      <c r="B54" s="4">
        <v>10016</v>
      </c>
      <c r="C54" s="4" t="s">
        <v>19</v>
      </c>
      <c r="D54" s="4" t="s">
        <v>184</v>
      </c>
      <c r="E54" s="6">
        <v>44540</v>
      </c>
      <c r="F54" s="127" t="s">
        <v>207</v>
      </c>
    </row>
    <row r="55" spans="1:6" x14ac:dyDescent="0.2">
      <c r="A55" s="4" t="s">
        <v>242</v>
      </c>
      <c r="B55" s="4">
        <v>10032</v>
      </c>
      <c r="C55" s="4" t="s">
        <v>19</v>
      </c>
      <c r="D55" s="4" t="s">
        <v>185</v>
      </c>
      <c r="E55" s="6">
        <v>44540</v>
      </c>
      <c r="F55" s="127" t="s">
        <v>207</v>
      </c>
    </row>
    <row r="56" spans="1:6" x14ac:dyDescent="0.2">
      <c r="A56" s="4" t="s">
        <v>249</v>
      </c>
      <c r="B56" s="4">
        <v>10023</v>
      </c>
      <c r="C56" s="4" t="s">
        <v>190</v>
      </c>
      <c r="D56" s="4" t="s">
        <v>191</v>
      </c>
      <c r="E56" s="6">
        <v>44540</v>
      </c>
      <c r="F56" s="127" t="s">
        <v>117</v>
      </c>
    </row>
    <row r="57" spans="1:6" x14ac:dyDescent="0.2">
      <c r="A57" s="4" t="s">
        <v>250</v>
      </c>
      <c r="B57" s="4">
        <v>10034</v>
      </c>
      <c r="C57" s="4" t="s">
        <v>220</v>
      </c>
      <c r="D57" s="4" t="s">
        <v>221</v>
      </c>
      <c r="E57" s="6">
        <v>44540</v>
      </c>
      <c r="F57" s="127" t="s">
        <v>117</v>
      </c>
    </row>
    <row r="58" spans="1:6" x14ac:dyDescent="0.2">
      <c r="A58" s="4" t="s">
        <v>256</v>
      </c>
      <c r="B58" s="4">
        <v>10001</v>
      </c>
      <c r="C58" s="4" t="s">
        <v>21</v>
      </c>
      <c r="D58" s="4" t="s">
        <v>32</v>
      </c>
      <c r="E58" s="6">
        <v>44541</v>
      </c>
      <c r="F58" s="127" t="s">
        <v>33</v>
      </c>
    </row>
    <row r="59" spans="1:6" x14ac:dyDescent="0.2">
      <c r="A59" s="4" t="s">
        <v>257</v>
      </c>
      <c r="B59" s="4">
        <v>10002</v>
      </c>
      <c r="C59" s="4" t="s">
        <v>9</v>
      </c>
      <c r="D59" s="4" t="s">
        <v>181</v>
      </c>
      <c r="E59" s="6">
        <v>44541</v>
      </c>
      <c r="F59" s="127" t="s">
        <v>33</v>
      </c>
    </row>
    <row r="60" spans="1:6" x14ac:dyDescent="0.2">
      <c r="A60" s="4" t="s">
        <v>258</v>
      </c>
      <c r="B60" s="4">
        <v>10003</v>
      </c>
      <c r="C60" s="4" t="s">
        <v>10</v>
      </c>
      <c r="D60" s="4" t="s">
        <v>35</v>
      </c>
      <c r="E60" s="6">
        <v>44541</v>
      </c>
      <c r="F60" s="127" t="s">
        <v>33</v>
      </c>
    </row>
    <row r="61" spans="1:6" x14ac:dyDescent="0.2">
      <c r="A61" s="4" t="s">
        <v>259</v>
      </c>
      <c r="B61" s="4">
        <v>10004</v>
      </c>
      <c r="C61" s="4" t="s">
        <v>22</v>
      </c>
      <c r="D61" s="4" t="s">
        <v>36</v>
      </c>
      <c r="E61" s="6">
        <v>44541</v>
      </c>
      <c r="F61" s="127" t="s">
        <v>33</v>
      </c>
    </row>
    <row r="62" spans="1:6" x14ac:dyDescent="0.2">
      <c r="A62" s="4" t="s">
        <v>260</v>
      </c>
      <c r="B62" s="4">
        <v>10005</v>
      </c>
      <c r="C62" s="4" t="s">
        <v>25</v>
      </c>
      <c r="D62" s="4" t="s">
        <v>36</v>
      </c>
      <c r="E62" s="6">
        <v>44541</v>
      </c>
      <c r="F62" s="127" t="s">
        <v>33</v>
      </c>
    </row>
    <row r="63" spans="1:6" x14ac:dyDescent="0.2">
      <c r="A63" s="4" t="s">
        <v>261</v>
      </c>
      <c r="B63" s="4">
        <v>10006</v>
      </c>
      <c r="C63" s="4" t="s">
        <v>27</v>
      </c>
      <c r="D63" s="4" t="s">
        <v>36</v>
      </c>
      <c r="E63" s="6">
        <v>44541</v>
      </c>
      <c r="F63" s="127" t="s">
        <v>33</v>
      </c>
    </row>
    <row r="64" spans="1:6" x14ac:dyDescent="0.2">
      <c r="A64" s="4" t="s">
        <v>262</v>
      </c>
      <c r="B64" s="4">
        <v>10007</v>
      </c>
      <c r="C64" s="4" t="s">
        <v>37</v>
      </c>
      <c r="D64" s="4" t="s">
        <v>36</v>
      </c>
      <c r="E64" s="6">
        <v>44541</v>
      </c>
      <c r="F64" s="127" t="s">
        <v>33</v>
      </c>
    </row>
    <row r="65" spans="1:6" x14ac:dyDescent="0.2">
      <c r="A65" s="4" t="s">
        <v>263</v>
      </c>
      <c r="B65" s="4">
        <v>10008</v>
      </c>
      <c r="C65" s="4" t="s">
        <v>26</v>
      </c>
      <c r="D65" s="4" t="s">
        <v>36</v>
      </c>
      <c r="E65" s="6">
        <v>44541</v>
      </c>
      <c r="F65" s="127" t="s">
        <v>33</v>
      </c>
    </row>
    <row r="66" spans="1:6" x14ac:dyDescent="0.2">
      <c r="A66" s="4" t="s">
        <v>264</v>
      </c>
      <c r="B66" s="4">
        <v>10009</v>
      </c>
      <c r="C66" s="4" t="s">
        <v>24</v>
      </c>
      <c r="D66" s="4" t="s">
        <v>36</v>
      </c>
      <c r="E66" s="6">
        <v>44541</v>
      </c>
      <c r="F66" s="127" t="s">
        <v>33</v>
      </c>
    </row>
    <row r="67" spans="1:6" x14ac:dyDescent="0.2">
      <c r="A67" s="4" t="s">
        <v>265</v>
      </c>
      <c r="B67" s="4">
        <v>10010</v>
      </c>
      <c r="C67" s="4" t="s">
        <v>23</v>
      </c>
      <c r="D67" s="4" t="s">
        <v>36</v>
      </c>
      <c r="E67" s="6">
        <v>44541</v>
      </c>
      <c r="F67" s="127" t="s">
        <v>33</v>
      </c>
    </row>
    <row r="68" spans="1:6" x14ac:dyDescent="0.2">
      <c r="A68" s="4" t="s">
        <v>266</v>
      </c>
      <c r="B68" s="4">
        <v>10011</v>
      </c>
      <c r="C68" s="4" t="s">
        <v>11</v>
      </c>
      <c r="D68" s="4" t="s">
        <v>35</v>
      </c>
      <c r="E68" s="6">
        <v>44541</v>
      </c>
      <c r="F68" s="127" t="s">
        <v>33</v>
      </c>
    </row>
    <row r="69" spans="1:6" x14ac:dyDescent="0.2">
      <c r="A69" s="4" t="s">
        <v>267</v>
      </c>
      <c r="B69" s="4">
        <v>10012</v>
      </c>
      <c r="C69" s="4" t="s">
        <v>12</v>
      </c>
      <c r="D69" s="4" t="s">
        <v>38</v>
      </c>
      <c r="E69" s="6">
        <v>44541</v>
      </c>
      <c r="F69" s="127" t="s">
        <v>33</v>
      </c>
    </row>
    <row r="70" spans="1:6" x14ac:dyDescent="0.2">
      <c r="A70" s="4" t="s">
        <v>268</v>
      </c>
      <c r="B70" s="4">
        <v>10013</v>
      </c>
      <c r="C70" s="4" t="s">
        <v>13</v>
      </c>
      <c r="D70" s="4" t="s">
        <v>38</v>
      </c>
      <c r="E70" s="6">
        <v>44541</v>
      </c>
      <c r="F70" s="127" t="s">
        <v>33</v>
      </c>
    </row>
    <row r="71" spans="1:6" x14ac:dyDescent="0.2">
      <c r="A71" s="4" t="s">
        <v>269</v>
      </c>
      <c r="B71" s="4">
        <v>10014</v>
      </c>
      <c r="C71" s="4" t="s">
        <v>29</v>
      </c>
      <c r="D71" s="4" t="s">
        <v>39</v>
      </c>
      <c r="E71" s="6">
        <v>44541</v>
      </c>
      <c r="F71" s="127" t="s">
        <v>33</v>
      </c>
    </row>
    <row r="72" spans="1:6" x14ac:dyDescent="0.2">
      <c r="A72" s="4" t="s">
        <v>270</v>
      </c>
      <c r="B72" s="4">
        <v>10015</v>
      </c>
      <c r="C72" s="4" t="s">
        <v>180</v>
      </c>
      <c r="D72" s="4" t="s">
        <v>36</v>
      </c>
      <c r="E72" s="6">
        <v>44541</v>
      </c>
      <c r="F72" s="127" t="s">
        <v>33</v>
      </c>
    </row>
    <row r="73" spans="1:6" x14ac:dyDescent="0.2">
      <c r="A73" s="4" t="s">
        <v>271</v>
      </c>
      <c r="B73" s="4">
        <v>10016</v>
      </c>
      <c r="C73" s="4" t="s">
        <v>19</v>
      </c>
      <c r="D73" s="4" t="s">
        <v>184</v>
      </c>
      <c r="E73" s="6">
        <v>44541</v>
      </c>
      <c r="F73" s="127" t="s">
        <v>33</v>
      </c>
    </row>
    <row r="74" spans="1:6" x14ac:dyDescent="0.2">
      <c r="A74" s="4" t="s">
        <v>272</v>
      </c>
      <c r="B74" s="4">
        <v>10032</v>
      </c>
      <c r="C74" s="4" t="s">
        <v>19</v>
      </c>
      <c r="D74" s="4" t="s">
        <v>185</v>
      </c>
      <c r="E74" s="6">
        <v>44541</v>
      </c>
      <c r="F74" s="127" t="s">
        <v>33</v>
      </c>
    </row>
    <row r="75" spans="1:6" x14ac:dyDescent="0.2">
      <c r="A75" s="4" t="s">
        <v>273</v>
      </c>
      <c r="B75" s="4">
        <v>10023</v>
      </c>
      <c r="C75" s="4" t="s">
        <v>190</v>
      </c>
      <c r="D75" s="4" t="s">
        <v>191</v>
      </c>
      <c r="E75" s="6">
        <v>44541</v>
      </c>
      <c r="F75" s="127" t="s">
        <v>33</v>
      </c>
    </row>
    <row r="76" spans="1:6" x14ac:dyDescent="0.2">
      <c r="A76" s="4" t="s">
        <v>274</v>
      </c>
      <c r="B76" s="4">
        <v>10034</v>
      </c>
      <c r="C76" s="4" t="s">
        <v>220</v>
      </c>
      <c r="D76" s="4" t="s">
        <v>221</v>
      </c>
      <c r="E76" s="6">
        <v>44541</v>
      </c>
      <c r="F76" s="127" t="s">
        <v>33</v>
      </c>
    </row>
    <row r="77" spans="1:6" x14ac:dyDescent="0.2">
      <c r="A77" s="4" t="s">
        <v>118</v>
      </c>
      <c r="B77" s="4">
        <v>10001</v>
      </c>
      <c r="C77" s="4" t="s">
        <v>21</v>
      </c>
      <c r="D77" s="4" t="s">
        <v>32</v>
      </c>
      <c r="E77" s="6">
        <v>44542</v>
      </c>
      <c r="F77" s="127" t="s">
        <v>34</v>
      </c>
    </row>
    <row r="78" spans="1:6" x14ac:dyDescent="0.2">
      <c r="A78" s="4" t="s">
        <v>275</v>
      </c>
      <c r="B78" s="4">
        <v>10002</v>
      </c>
      <c r="C78" s="4" t="s">
        <v>9</v>
      </c>
      <c r="D78" s="4" t="s">
        <v>181</v>
      </c>
      <c r="E78" s="6">
        <v>44542</v>
      </c>
      <c r="F78" s="127" t="s">
        <v>34</v>
      </c>
    </row>
    <row r="79" spans="1:6" x14ac:dyDescent="0.2">
      <c r="A79" s="4" t="s">
        <v>276</v>
      </c>
      <c r="B79" s="4">
        <v>10003</v>
      </c>
      <c r="C79" s="4" t="s">
        <v>10</v>
      </c>
      <c r="D79" s="4" t="s">
        <v>35</v>
      </c>
      <c r="E79" s="6">
        <v>44542</v>
      </c>
      <c r="F79" s="127" t="s">
        <v>34</v>
      </c>
    </row>
    <row r="80" spans="1:6" x14ac:dyDescent="0.2">
      <c r="A80" s="4" t="s">
        <v>277</v>
      </c>
      <c r="B80" s="4">
        <v>10004</v>
      </c>
      <c r="C80" s="4" t="s">
        <v>22</v>
      </c>
      <c r="D80" s="4" t="s">
        <v>36</v>
      </c>
      <c r="E80" s="6">
        <v>44542</v>
      </c>
      <c r="F80" s="127" t="s">
        <v>34</v>
      </c>
    </row>
    <row r="81" spans="1:6" x14ac:dyDescent="0.2">
      <c r="A81" s="4" t="s">
        <v>278</v>
      </c>
      <c r="B81" s="4">
        <v>10005</v>
      </c>
      <c r="C81" s="4" t="s">
        <v>25</v>
      </c>
      <c r="D81" s="4" t="s">
        <v>36</v>
      </c>
      <c r="E81" s="6">
        <v>44542</v>
      </c>
      <c r="F81" s="127" t="s">
        <v>34</v>
      </c>
    </row>
    <row r="82" spans="1:6" x14ac:dyDescent="0.2">
      <c r="A82" s="4" t="s">
        <v>279</v>
      </c>
      <c r="B82" s="4">
        <v>10006</v>
      </c>
      <c r="C82" s="4" t="s">
        <v>27</v>
      </c>
      <c r="D82" s="4" t="s">
        <v>36</v>
      </c>
      <c r="E82" s="6">
        <v>44542</v>
      </c>
      <c r="F82" s="127" t="s">
        <v>34</v>
      </c>
    </row>
    <row r="83" spans="1:6" x14ac:dyDescent="0.2">
      <c r="A83" s="4" t="s">
        <v>280</v>
      </c>
      <c r="B83" s="4">
        <v>10007</v>
      </c>
      <c r="C83" s="4" t="s">
        <v>37</v>
      </c>
      <c r="D83" s="4" t="s">
        <v>36</v>
      </c>
      <c r="E83" s="6">
        <v>44542</v>
      </c>
      <c r="F83" s="127" t="s">
        <v>34</v>
      </c>
    </row>
    <row r="84" spans="1:6" x14ac:dyDescent="0.2">
      <c r="A84" s="4" t="s">
        <v>281</v>
      </c>
      <c r="B84" s="4">
        <v>10008</v>
      </c>
      <c r="C84" s="4" t="s">
        <v>26</v>
      </c>
      <c r="D84" s="4" t="s">
        <v>36</v>
      </c>
      <c r="E84" s="6">
        <v>44542</v>
      </c>
      <c r="F84" s="127" t="s">
        <v>34</v>
      </c>
    </row>
    <row r="85" spans="1:6" x14ac:dyDescent="0.2">
      <c r="A85" s="4" t="s">
        <v>282</v>
      </c>
      <c r="B85" s="4">
        <v>10009</v>
      </c>
      <c r="C85" s="4" t="s">
        <v>24</v>
      </c>
      <c r="D85" s="4" t="s">
        <v>36</v>
      </c>
      <c r="E85" s="6">
        <v>44542</v>
      </c>
      <c r="F85" s="127" t="s">
        <v>34</v>
      </c>
    </row>
    <row r="86" spans="1:6" x14ac:dyDescent="0.2">
      <c r="A86" s="4" t="s">
        <v>283</v>
      </c>
      <c r="B86" s="4">
        <v>10010</v>
      </c>
      <c r="C86" s="4" t="s">
        <v>23</v>
      </c>
      <c r="D86" s="4" t="s">
        <v>36</v>
      </c>
      <c r="E86" s="6">
        <v>44542</v>
      </c>
      <c r="F86" s="127" t="s">
        <v>34</v>
      </c>
    </row>
    <row r="87" spans="1:6" x14ac:dyDescent="0.2">
      <c r="A87" s="4" t="s">
        <v>284</v>
      </c>
      <c r="B87" s="4">
        <v>10011</v>
      </c>
      <c r="C87" s="4" t="s">
        <v>11</v>
      </c>
      <c r="D87" s="4" t="s">
        <v>35</v>
      </c>
      <c r="E87" s="6">
        <v>44542</v>
      </c>
      <c r="F87" s="127" t="s">
        <v>34</v>
      </c>
    </row>
    <row r="88" spans="1:6" x14ac:dyDescent="0.2">
      <c r="A88" s="4" t="s">
        <v>285</v>
      </c>
      <c r="B88" s="4">
        <v>10012</v>
      </c>
      <c r="C88" s="4" t="s">
        <v>12</v>
      </c>
      <c r="D88" s="4" t="s">
        <v>38</v>
      </c>
      <c r="E88" s="6">
        <v>44542</v>
      </c>
      <c r="F88" s="127" t="s">
        <v>34</v>
      </c>
    </row>
    <row r="89" spans="1:6" x14ac:dyDescent="0.2">
      <c r="A89" s="4" t="s">
        <v>286</v>
      </c>
      <c r="B89" s="4">
        <v>10013</v>
      </c>
      <c r="C89" s="4" t="s">
        <v>13</v>
      </c>
      <c r="D89" s="4" t="s">
        <v>38</v>
      </c>
      <c r="E89" s="6">
        <v>44542</v>
      </c>
      <c r="F89" s="127" t="s">
        <v>34</v>
      </c>
    </row>
    <row r="90" spans="1:6" x14ac:dyDescent="0.2">
      <c r="A90" s="4" t="s">
        <v>287</v>
      </c>
      <c r="B90" s="4">
        <v>10014</v>
      </c>
      <c r="C90" s="4" t="s">
        <v>29</v>
      </c>
      <c r="D90" s="4" t="s">
        <v>39</v>
      </c>
      <c r="E90" s="6">
        <v>44542</v>
      </c>
      <c r="F90" s="127" t="s">
        <v>34</v>
      </c>
    </row>
    <row r="91" spans="1:6" x14ac:dyDescent="0.2">
      <c r="A91" s="4" t="s">
        <v>288</v>
      </c>
      <c r="B91" s="4">
        <v>10015</v>
      </c>
      <c r="C91" s="4" t="s">
        <v>180</v>
      </c>
      <c r="D91" s="4" t="s">
        <v>36</v>
      </c>
      <c r="E91" s="6">
        <v>44542</v>
      </c>
      <c r="F91" s="127" t="s">
        <v>34</v>
      </c>
    </row>
    <row r="92" spans="1:6" x14ac:dyDescent="0.2">
      <c r="A92" s="4" t="s">
        <v>289</v>
      </c>
      <c r="B92" s="4">
        <v>10016</v>
      </c>
      <c r="C92" s="4" t="s">
        <v>19</v>
      </c>
      <c r="D92" s="4" t="s">
        <v>184</v>
      </c>
      <c r="E92" s="6">
        <v>44542</v>
      </c>
      <c r="F92" s="127" t="s">
        <v>34</v>
      </c>
    </row>
    <row r="93" spans="1:6" x14ac:dyDescent="0.2">
      <c r="A93" s="4" t="s">
        <v>290</v>
      </c>
      <c r="B93" s="4">
        <v>10032</v>
      </c>
      <c r="C93" s="4" t="s">
        <v>19</v>
      </c>
      <c r="D93" s="4" t="s">
        <v>185</v>
      </c>
      <c r="E93" s="6">
        <v>44542</v>
      </c>
      <c r="F93" s="127" t="s">
        <v>34</v>
      </c>
    </row>
    <row r="94" spans="1:6" x14ac:dyDescent="0.2">
      <c r="A94" s="4" t="s">
        <v>291</v>
      </c>
      <c r="B94" s="4">
        <v>10023</v>
      </c>
      <c r="C94" s="4" t="s">
        <v>190</v>
      </c>
      <c r="D94" s="4" t="s">
        <v>191</v>
      </c>
      <c r="E94" s="6">
        <v>44542</v>
      </c>
      <c r="F94" s="127" t="s">
        <v>34</v>
      </c>
    </row>
    <row r="95" spans="1:6" x14ac:dyDescent="0.2">
      <c r="A95" s="4" t="s">
        <v>292</v>
      </c>
      <c r="B95" s="4">
        <v>10034</v>
      </c>
      <c r="C95" s="4" t="s">
        <v>220</v>
      </c>
      <c r="D95" s="4" t="s">
        <v>221</v>
      </c>
      <c r="E95" s="6">
        <v>44542</v>
      </c>
      <c r="F95" s="127" t="s">
        <v>34</v>
      </c>
    </row>
    <row r="96" spans="1:6" x14ac:dyDescent="0.2">
      <c r="A96" s="4" t="s">
        <v>293</v>
      </c>
      <c r="B96" s="4">
        <v>10001</v>
      </c>
      <c r="C96" s="4" t="s">
        <v>21</v>
      </c>
      <c r="D96" s="4" t="s">
        <v>32</v>
      </c>
      <c r="E96" s="6">
        <v>44543</v>
      </c>
      <c r="F96" s="127" t="s">
        <v>117</v>
      </c>
    </row>
    <row r="97" spans="1:6" x14ac:dyDescent="0.2">
      <c r="A97" s="4" t="s">
        <v>294</v>
      </c>
      <c r="B97" s="4">
        <v>10002</v>
      </c>
      <c r="C97" s="4" t="s">
        <v>9</v>
      </c>
      <c r="D97" s="4" t="s">
        <v>181</v>
      </c>
      <c r="E97" s="6">
        <v>44543</v>
      </c>
      <c r="F97" s="127" t="s">
        <v>117</v>
      </c>
    </row>
    <row r="98" spans="1:6" x14ac:dyDescent="0.2">
      <c r="A98" s="4" t="s">
        <v>295</v>
      </c>
      <c r="B98" s="4">
        <v>10003</v>
      </c>
      <c r="C98" s="4" t="s">
        <v>10</v>
      </c>
      <c r="D98" s="4" t="s">
        <v>35</v>
      </c>
      <c r="E98" s="6">
        <v>44543</v>
      </c>
      <c r="F98" s="127" t="s">
        <v>117</v>
      </c>
    </row>
    <row r="99" spans="1:6" x14ac:dyDescent="0.2">
      <c r="A99" s="4" t="s">
        <v>296</v>
      </c>
      <c r="B99" s="4">
        <v>10004</v>
      </c>
      <c r="C99" s="4" t="s">
        <v>22</v>
      </c>
      <c r="D99" s="4" t="s">
        <v>36</v>
      </c>
      <c r="E99" s="6">
        <v>44543</v>
      </c>
      <c r="F99" s="127" t="s">
        <v>117</v>
      </c>
    </row>
    <row r="100" spans="1:6" x14ac:dyDescent="0.2">
      <c r="A100" s="4" t="s">
        <v>297</v>
      </c>
      <c r="B100" s="4">
        <v>10005</v>
      </c>
      <c r="C100" s="4" t="s">
        <v>25</v>
      </c>
      <c r="D100" s="4" t="s">
        <v>36</v>
      </c>
      <c r="E100" s="6">
        <v>44543</v>
      </c>
      <c r="F100" s="127" t="s">
        <v>117</v>
      </c>
    </row>
    <row r="101" spans="1:6" x14ac:dyDescent="0.2">
      <c r="A101" s="4" t="s">
        <v>298</v>
      </c>
      <c r="B101" s="4">
        <v>10006</v>
      </c>
      <c r="C101" s="4" t="s">
        <v>27</v>
      </c>
      <c r="D101" s="4" t="s">
        <v>36</v>
      </c>
      <c r="E101" s="6">
        <v>44543</v>
      </c>
      <c r="F101" s="127" t="s">
        <v>117</v>
      </c>
    </row>
    <row r="102" spans="1:6" x14ac:dyDescent="0.2">
      <c r="A102" s="4" t="s">
        <v>299</v>
      </c>
      <c r="B102" s="4">
        <v>10007</v>
      </c>
      <c r="C102" s="4" t="s">
        <v>37</v>
      </c>
      <c r="D102" s="4" t="s">
        <v>36</v>
      </c>
      <c r="E102" s="6">
        <v>44543</v>
      </c>
      <c r="F102" s="127" t="s">
        <v>117</v>
      </c>
    </row>
    <row r="103" spans="1:6" x14ac:dyDescent="0.2">
      <c r="A103" s="4" t="s">
        <v>300</v>
      </c>
      <c r="B103" s="4">
        <v>10008</v>
      </c>
      <c r="C103" s="4" t="s">
        <v>26</v>
      </c>
      <c r="D103" s="4" t="s">
        <v>36</v>
      </c>
      <c r="E103" s="6">
        <v>44543</v>
      </c>
      <c r="F103" s="127" t="s">
        <v>117</v>
      </c>
    </row>
    <row r="104" spans="1:6" x14ac:dyDescent="0.2">
      <c r="A104" s="4" t="s">
        <v>301</v>
      </c>
      <c r="B104" s="4">
        <v>10009</v>
      </c>
      <c r="C104" s="4" t="s">
        <v>24</v>
      </c>
      <c r="D104" s="4" t="s">
        <v>36</v>
      </c>
      <c r="E104" s="6">
        <v>44543</v>
      </c>
      <c r="F104" s="127" t="s">
        <v>117</v>
      </c>
    </row>
    <row r="105" spans="1:6" x14ac:dyDescent="0.2">
      <c r="A105" s="4" t="s">
        <v>302</v>
      </c>
      <c r="B105" s="4">
        <v>10010</v>
      </c>
      <c r="C105" s="4" t="s">
        <v>23</v>
      </c>
      <c r="D105" s="4" t="s">
        <v>36</v>
      </c>
      <c r="E105" s="6">
        <v>44543</v>
      </c>
      <c r="F105" s="127" t="s">
        <v>117</v>
      </c>
    </row>
    <row r="106" spans="1:6" x14ac:dyDescent="0.2">
      <c r="A106" s="4" t="s">
        <v>303</v>
      </c>
      <c r="B106" s="4">
        <v>10011</v>
      </c>
      <c r="C106" s="4" t="s">
        <v>11</v>
      </c>
      <c r="D106" s="4" t="s">
        <v>35</v>
      </c>
      <c r="E106" s="6">
        <v>44543</v>
      </c>
      <c r="F106" s="127" t="s">
        <v>117</v>
      </c>
    </row>
    <row r="107" spans="1:6" x14ac:dyDescent="0.2">
      <c r="A107" s="4" t="s">
        <v>304</v>
      </c>
      <c r="B107" s="4">
        <v>10012</v>
      </c>
      <c r="C107" s="4" t="s">
        <v>12</v>
      </c>
      <c r="D107" s="4" t="s">
        <v>38</v>
      </c>
      <c r="E107" s="6">
        <v>44543</v>
      </c>
      <c r="F107" s="127" t="s">
        <v>117</v>
      </c>
    </row>
    <row r="108" spans="1:6" x14ac:dyDescent="0.2">
      <c r="A108" s="4" t="s">
        <v>305</v>
      </c>
      <c r="B108" s="4">
        <v>10013</v>
      </c>
      <c r="C108" s="4" t="s">
        <v>13</v>
      </c>
      <c r="D108" s="4" t="s">
        <v>38</v>
      </c>
      <c r="E108" s="6">
        <v>44543</v>
      </c>
      <c r="F108" s="127" t="s">
        <v>117</v>
      </c>
    </row>
    <row r="109" spans="1:6" x14ac:dyDescent="0.2">
      <c r="A109" s="4" t="s">
        <v>306</v>
      </c>
      <c r="B109" s="4">
        <v>10014</v>
      </c>
      <c r="C109" s="4" t="s">
        <v>29</v>
      </c>
      <c r="D109" s="4" t="s">
        <v>39</v>
      </c>
      <c r="E109" s="6">
        <v>44543</v>
      </c>
      <c r="F109" s="127" t="s">
        <v>117</v>
      </c>
    </row>
    <row r="110" spans="1:6" x14ac:dyDescent="0.2">
      <c r="A110" s="4" t="s">
        <v>307</v>
      </c>
      <c r="B110" s="4">
        <v>10015</v>
      </c>
      <c r="C110" s="4" t="s">
        <v>180</v>
      </c>
      <c r="D110" s="4" t="s">
        <v>36</v>
      </c>
      <c r="E110" s="6">
        <v>44543</v>
      </c>
      <c r="F110" s="127" t="s">
        <v>117</v>
      </c>
    </row>
    <row r="111" spans="1:6" x14ac:dyDescent="0.2">
      <c r="A111" s="4" t="s">
        <v>308</v>
      </c>
      <c r="B111" s="4">
        <v>10016</v>
      </c>
      <c r="C111" s="4" t="s">
        <v>19</v>
      </c>
      <c r="D111" s="4" t="s">
        <v>184</v>
      </c>
      <c r="E111" s="6">
        <v>44543</v>
      </c>
      <c r="F111" s="127" t="s">
        <v>117</v>
      </c>
    </row>
    <row r="112" spans="1:6" x14ac:dyDescent="0.2">
      <c r="A112" s="4" t="s">
        <v>309</v>
      </c>
      <c r="B112" s="4">
        <v>10032</v>
      </c>
      <c r="C112" s="4" t="s">
        <v>19</v>
      </c>
      <c r="D112" s="4" t="s">
        <v>185</v>
      </c>
      <c r="E112" s="6">
        <v>44543</v>
      </c>
      <c r="F112" s="127" t="s">
        <v>117</v>
      </c>
    </row>
    <row r="113" spans="1:6" x14ac:dyDescent="0.2">
      <c r="A113" s="4" t="s">
        <v>310</v>
      </c>
      <c r="B113" s="4">
        <v>10023</v>
      </c>
      <c r="C113" s="4" t="s">
        <v>190</v>
      </c>
      <c r="D113" s="4" t="s">
        <v>191</v>
      </c>
      <c r="E113" s="6">
        <v>44543</v>
      </c>
      <c r="F113" s="127" t="s">
        <v>117</v>
      </c>
    </row>
    <row r="114" spans="1:6" x14ac:dyDescent="0.2">
      <c r="A114" s="4" t="s">
        <v>311</v>
      </c>
      <c r="B114" s="4">
        <v>10034</v>
      </c>
      <c r="C114" s="4" t="s">
        <v>220</v>
      </c>
      <c r="D114" s="4" t="s">
        <v>221</v>
      </c>
      <c r="E114" s="6">
        <v>44543</v>
      </c>
      <c r="F114" s="127" t="s">
        <v>117</v>
      </c>
    </row>
    <row r="115" spans="1:6" x14ac:dyDescent="0.2">
      <c r="A115" s="4" t="s">
        <v>312</v>
      </c>
      <c r="B115" s="4">
        <v>10001</v>
      </c>
      <c r="C115" s="4" t="s">
        <v>21</v>
      </c>
      <c r="D115" s="4" t="s">
        <v>32</v>
      </c>
      <c r="E115" s="6">
        <v>44544</v>
      </c>
      <c r="F115" s="127" t="s">
        <v>33</v>
      </c>
    </row>
    <row r="116" spans="1:6" x14ac:dyDescent="0.2">
      <c r="A116" s="4" t="s">
        <v>313</v>
      </c>
      <c r="B116" s="4">
        <v>10002</v>
      </c>
      <c r="C116" s="4" t="s">
        <v>9</v>
      </c>
      <c r="D116" s="4" t="s">
        <v>181</v>
      </c>
      <c r="E116" s="6">
        <v>44544</v>
      </c>
      <c r="F116" s="127" t="s">
        <v>33</v>
      </c>
    </row>
    <row r="117" spans="1:6" x14ac:dyDescent="0.2">
      <c r="A117" s="4" t="s">
        <v>314</v>
      </c>
      <c r="B117" s="4">
        <v>10003</v>
      </c>
      <c r="C117" s="4" t="s">
        <v>10</v>
      </c>
      <c r="D117" s="4" t="s">
        <v>35</v>
      </c>
      <c r="E117" s="6">
        <v>44544</v>
      </c>
      <c r="F117" s="127" t="s">
        <v>33</v>
      </c>
    </row>
    <row r="118" spans="1:6" x14ac:dyDescent="0.2">
      <c r="A118" s="4" t="s">
        <v>315</v>
      </c>
      <c r="B118" s="4">
        <v>10004</v>
      </c>
      <c r="C118" s="4" t="s">
        <v>22</v>
      </c>
      <c r="D118" s="4" t="s">
        <v>36</v>
      </c>
      <c r="E118" s="6">
        <v>44544</v>
      </c>
      <c r="F118" s="127" t="s">
        <v>33</v>
      </c>
    </row>
    <row r="119" spans="1:6" x14ac:dyDescent="0.2">
      <c r="A119" s="4" t="s">
        <v>316</v>
      </c>
      <c r="B119" s="4">
        <v>10005</v>
      </c>
      <c r="C119" s="4" t="s">
        <v>25</v>
      </c>
      <c r="D119" s="4" t="s">
        <v>36</v>
      </c>
      <c r="E119" s="6">
        <v>44544</v>
      </c>
      <c r="F119" s="127" t="s">
        <v>33</v>
      </c>
    </row>
    <row r="120" spans="1:6" x14ac:dyDescent="0.2">
      <c r="A120" s="4" t="s">
        <v>317</v>
      </c>
      <c r="B120" s="4">
        <v>10006</v>
      </c>
      <c r="C120" s="4" t="s">
        <v>27</v>
      </c>
      <c r="D120" s="4" t="s">
        <v>36</v>
      </c>
      <c r="E120" s="6">
        <v>44544</v>
      </c>
      <c r="F120" s="127" t="s">
        <v>33</v>
      </c>
    </row>
    <row r="121" spans="1:6" x14ac:dyDescent="0.2">
      <c r="A121" s="4" t="s">
        <v>318</v>
      </c>
      <c r="B121" s="4">
        <v>10007</v>
      </c>
      <c r="C121" s="4" t="s">
        <v>37</v>
      </c>
      <c r="D121" s="4" t="s">
        <v>36</v>
      </c>
      <c r="E121" s="6">
        <v>44544</v>
      </c>
      <c r="F121" s="127" t="s">
        <v>33</v>
      </c>
    </row>
    <row r="122" spans="1:6" x14ac:dyDescent="0.2">
      <c r="A122" s="4" t="s">
        <v>319</v>
      </c>
      <c r="B122" s="4">
        <v>10008</v>
      </c>
      <c r="C122" s="4" t="s">
        <v>26</v>
      </c>
      <c r="D122" s="4" t="s">
        <v>36</v>
      </c>
      <c r="E122" s="6">
        <v>44544</v>
      </c>
      <c r="F122" s="127" t="s">
        <v>33</v>
      </c>
    </row>
    <row r="123" spans="1:6" x14ac:dyDescent="0.2">
      <c r="A123" s="4" t="s">
        <v>320</v>
      </c>
      <c r="B123" s="4">
        <v>10009</v>
      </c>
      <c r="C123" s="4" t="s">
        <v>24</v>
      </c>
      <c r="D123" s="4" t="s">
        <v>36</v>
      </c>
      <c r="E123" s="6">
        <v>44544</v>
      </c>
      <c r="F123" s="127" t="s">
        <v>33</v>
      </c>
    </row>
    <row r="124" spans="1:6" x14ac:dyDescent="0.2">
      <c r="A124" s="4" t="s">
        <v>321</v>
      </c>
      <c r="B124" s="4">
        <v>10010</v>
      </c>
      <c r="C124" s="4" t="s">
        <v>23</v>
      </c>
      <c r="D124" s="4" t="s">
        <v>36</v>
      </c>
      <c r="E124" s="6">
        <v>44544</v>
      </c>
      <c r="F124" s="127" t="s">
        <v>33</v>
      </c>
    </row>
    <row r="125" spans="1:6" x14ac:dyDescent="0.2">
      <c r="A125" s="4" t="s">
        <v>322</v>
      </c>
      <c r="B125" s="4">
        <v>10011</v>
      </c>
      <c r="C125" s="4" t="s">
        <v>11</v>
      </c>
      <c r="D125" s="4" t="s">
        <v>35</v>
      </c>
      <c r="E125" s="6">
        <v>44544</v>
      </c>
      <c r="F125" s="127" t="s">
        <v>33</v>
      </c>
    </row>
    <row r="126" spans="1:6" x14ac:dyDescent="0.2">
      <c r="A126" s="4" t="s">
        <v>323</v>
      </c>
      <c r="B126" s="4">
        <v>10012</v>
      </c>
      <c r="C126" s="4" t="s">
        <v>12</v>
      </c>
      <c r="D126" s="4" t="s">
        <v>38</v>
      </c>
      <c r="E126" s="6">
        <v>44544</v>
      </c>
      <c r="F126" s="127" t="s">
        <v>33</v>
      </c>
    </row>
    <row r="127" spans="1:6" x14ac:dyDescent="0.2">
      <c r="A127" s="4" t="s">
        <v>324</v>
      </c>
      <c r="B127" s="4">
        <v>10013</v>
      </c>
      <c r="C127" s="4" t="s">
        <v>13</v>
      </c>
      <c r="D127" s="4" t="s">
        <v>38</v>
      </c>
      <c r="E127" s="6">
        <v>44544</v>
      </c>
      <c r="F127" s="127" t="s">
        <v>33</v>
      </c>
    </row>
    <row r="128" spans="1:6" x14ac:dyDescent="0.2">
      <c r="A128" s="4" t="s">
        <v>325</v>
      </c>
      <c r="B128" s="4">
        <v>10014</v>
      </c>
      <c r="C128" s="4" t="s">
        <v>29</v>
      </c>
      <c r="D128" s="4" t="s">
        <v>39</v>
      </c>
      <c r="E128" s="6">
        <v>44544</v>
      </c>
      <c r="F128" s="127" t="s">
        <v>33</v>
      </c>
    </row>
    <row r="129" spans="1:6" x14ac:dyDescent="0.2">
      <c r="A129" s="4" t="s">
        <v>326</v>
      </c>
      <c r="B129" s="4">
        <v>10015</v>
      </c>
      <c r="C129" s="4" t="s">
        <v>180</v>
      </c>
      <c r="D129" s="4" t="s">
        <v>36</v>
      </c>
      <c r="E129" s="6">
        <v>44544</v>
      </c>
      <c r="F129" s="127" t="s">
        <v>33</v>
      </c>
    </row>
    <row r="130" spans="1:6" x14ac:dyDescent="0.2">
      <c r="A130" s="4" t="s">
        <v>327</v>
      </c>
      <c r="B130" s="4">
        <v>10016</v>
      </c>
      <c r="C130" s="4" t="s">
        <v>19</v>
      </c>
      <c r="D130" s="4" t="s">
        <v>184</v>
      </c>
      <c r="E130" s="6">
        <v>44544</v>
      </c>
      <c r="F130" s="127" t="s">
        <v>33</v>
      </c>
    </row>
    <row r="131" spans="1:6" x14ac:dyDescent="0.2">
      <c r="A131" s="4" t="s">
        <v>328</v>
      </c>
      <c r="B131" s="4">
        <v>10032</v>
      </c>
      <c r="C131" s="4" t="s">
        <v>19</v>
      </c>
      <c r="D131" s="4" t="s">
        <v>185</v>
      </c>
      <c r="E131" s="6">
        <v>44544</v>
      </c>
      <c r="F131" s="127" t="s">
        <v>33</v>
      </c>
    </row>
    <row r="132" spans="1:6" x14ac:dyDescent="0.2">
      <c r="A132" s="4" t="s">
        <v>329</v>
      </c>
      <c r="B132" s="4">
        <v>10023</v>
      </c>
      <c r="C132" s="4" t="s">
        <v>190</v>
      </c>
      <c r="D132" s="4" t="s">
        <v>191</v>
      </c>
      <c r="E132" s="6">
        <v>44544</v>
      </c>
      <c r="F132" s="127" t="s">
        <v>33</v>
      </c>
    </row>
    <row r="133" spans="1:6" x14ac:dyDescent="0.2">
      <c r="A133" s="4" t="s">
        <v>330</v>
      </c>
      <c r="B133" s="4">
        <v>10034</v>
      </c>
      <c r="C133" s="4" t="s">
        <v>220</v>
      </c>
      <c r="D133" s="4" t="s">
        <v>221</v>
      </c>
      <c r="E133" s="6">
        <v>44544</v>
      </c>
      <c r="F133" s="127" t="s">
        <v>33</v>
      </c>
    </row>
    <row r="134" spans="1:6" x14ac:dyDescent="0.2">
      <c r="A134" s="4" t="s">
        <v>350</v>
      </c>
      <c r="B134" s="4">
        <v>10099</v>
      </c>
      <c r="C134" s="4" t="s">
        <v>19</v>
      </c>
      <c r="D134" s="4" t="s">
        <v>334</v>
      </c>
      <c r="E134" s="6">
        <v>44538</v>
      </c>
      <c r="F134" s="127" t="s">
        <v>84</v>
      </c>
    </row>
    <row r="135" spans="1:6" x14ac:dyDescent="0.2">
      <c r="A135" s="4" t="s">
        <v>351</v>
      </c>
      <c r="B135" s="4">
        <v>1023</v>
      </c>
      <c r="C135" s="4" t="s">
        <v>338</v>
      </c>
      <c r="D135" s="4" t="s">
        <v>339</v>
      </c>
      <c r="E135" s="6">
        <v>44538</v>
      </c>
      <c r="F135" s="127" t="s">
        <v>117</v>
      </c>
    </row>
    <row r="136" spans="1:6" x14ac:dyDescent="0.2">
      <c r="A136" s="4" t="s">
        <v>352</v>
      </c>
      <c r="B136" s="4">
        <v>34344</v>
      </c>
      <c r="C136" s="4" t="s">
        <v>349</v>
      </c>
      <c r="D136" s="4" t="s">
        <v>343</v>
      </c>
      <c r="E136" s="6">
        <v>44538</v>
      </c>
      <c r="F136" s="127" t="s">
        <v>84</v>
      </c>
    </row>
    <row r="137" spans="1:6" x14ac:dyDescent="0.2">
      <c r="A137" s="4" t="s">
        <v>353</v>
      </c>
      <c r="B137" s="4">
        <v>10099</v>
      </c>
      <c r="C137" s="4" t="s">
        <v>19</v>
      </c>
      <c r="D137" s="4" t="s">
        <v>334</v>
      </c>
      <c r="E137" s="6">
        <v>44539</v>
      </c>
      <c r="F137" s="127" t="s">
        <v>117</v>
      </c>
    </row>
    <row r="138" spans="1:6" x14ac:dyDescent="0.2">
      <c r="A138" s="4" t="s">
        <v>354</v>
      </c>
      <c r="B138" s="4">
        <v>1023</v>
      </c>
      <c r="C138" s="4" t="s">
        <v>338</v>
      </c>
      <c r="D138" s="4" t="s">
        <v>339</v>
      </c>
      <c r="E138" s="6">
        <v>44539</v>
      </c>
      <c r="F138" s="127" t="s">
        <v>117</v>
      </c>
    </row>
    <row r="139" spans="1:6" x14ac:dyDescent="0.2">
      <c r="A139" s="4" t="s">
        <v>355</v>
      </c>
      <c r="B139" s="4">
        <v>34344</v>
      </c>
      <c r="C139" s="4" t="s">
        <v>349</v>
      </c>
      <c r="D139" s="4" t="s">
        <v>343</v>
      </c>
      <c r="E139" s="6">
        <v>44539</v>
      </c>
      <c r="F139" s="127" t="s">
        <v>117</v>
      </c>
    </row>
    <row r="140" spans="1:6" x14ac:dyDescent="0.2">
      <c r="A140" s="4" t="s">
        <v>356</v>
      </c>
      <c r="B140" s="4">
        <v>10099</v>
      </c>
      <c r="C140" s="4" t="s">
        <v>19</v>
      </c>
      <c r="D140" s="4" t="s">
        <v>334</v>
      </c>
      <c r="E140" s="6">
        <v>44540</v>
      </c>
      <c r="F140" s="127" t="s">
        <v>117</v>
      </c>
    </row>
    <row r="141" spans="1:6" x14ac:dyDescent="0.2">
      <c r="A141" s="4" t="s">
        <v>357</v>
      </c>
      <c r="B141" s="4">
        <v>1023</v>
      </c>
      <c r="C141" s="4" t="s">
        <v>338</v>
      </c>
      <c r="D141" s="4" t="s">
        <v>339</v>
      </c>
      <c r="E141" s="6">
        <v>44540</v>
      </c>
      <c r="F141" s="127" t="s">
        <v>117</v>
      </c>
    </row>
    <row r="142" spans="1:6" x14ac:dyDescent="0.2">
      <c r="A142" s="4" t="s">
        <v>358</v>
      </c>
      <c r="B142" s="4">
        <v>34344</v>
      </c>
      <c r="C142" s="4" t="s">
        <v>349</v>
      </c>
      <c r="D142" s="4" t="s">
        <v>343</v>
      </c>
      <c r="E142" s="6">
        <v>44540</v>
      </c>
      <c r="F142" s="127" t="s">
        <v>117</v>
      </c>
    </row>
    <row r="143" spans="1:6" x14ac:dyDescent="0.2">
      <c r="A143" s="4" t="s">
        <v>359</v>
      </c>
      <c r="B143" s="4">
        <v>10099</v>
      </c>
      <c r="C143" s="4" t="s">
        <v>19</v>
      </c>
      <c r="D143" s="4" t="s">
        <v>334</v>
      </c>
      <c r="E143" s="6">
        <v>44541</v>
      </c>
      <c r="F143" s="127" t="s">
        <v>33</v>
      </c>
    </row>
    <row r="144" spans="1:6" x14ac:dyDescent="0.2">
      <c r="A144" s="4" t="s">
        <v>360</v>
      </c>
      <c r="B144" s="4">
        <v>1023</v>
      </c>
      <c r="C144" s="4" t="s">
        <v>338</v>
      </c>
      <c r="D144" s="4" t="s">
        <v>339</v>
      </c>
      <c r="E144" s="6">
        <v>44541</v>
      </c>
      <c r="F144" s="127" t="s">
        <v>33</v>
      </c>
    </row>
    <row r="145" spans="1:6" x14ac:dyDescent="0.2">
      <c r="A145" s="4" t="s">
        <v>361</v>
      </c>
      <c r="B145" s="4">
        <v>34344</v>
      </c>
      <c r="C145" s="4" t="s">
        <v>349</v>
      </c>
      <c r="D145" s="4" t="s">
        <v>343</v>
      </c>
      <c r="E145" s="6">
        <v>44541</v>
      </c>
      <c r="F145" s="127" t="s">
        <v>33</v>
      </c>
    </row>
    <row r="146" spans="1:6" x14ac:dyDescent="0.2">
      <c r="A146" s="4" t="s">
        <v>362</v>
      </c>
      <c r="B146" s="4">
        <v>10099</v>
      </c>
      <c r="C146" s="4" t="s">
        <v>19</v>
      </c>
      <c r="D146" s="4" t="s">
        <v>334</v>
      </c>
      <c r="E146" s="6">
        <v>44542</v>
      </c>
      <c r="F146" s="127" t="s">
        <v>34</v>
      </c>
    </row>
    <row r="147" spans="1:6" x14ac:dyDescent="0.2">
      <c r="A147" s="4" t="s">
        <v>363</v>
      </c>
      <c r="B147" s="4">
        <v>1023</v>
      </c>
      <c r="C147" s="4" t="s">
        <v>338</v>
      </c>
      <c r="D147" s="4" t="s">
        <v>339</v>
      </c>
      <c r="E147" s="6">
        <v>44542</v>
      </c>
      <c r="F147" s="127" t="s">
        <v>34</v>
      </c>
    </row>
    <row r="148" spans="1:6" x14ac:dyDescent="0.2">
      <c r="A148" s="4" t="s">
        <v>364</v>
      </c>
      <c r="B148" s="4">
        <v>34344</v>
      </c>
      <c r="C148" s="4" t="s">
        <v>349</v>
      </c>
      <c r="D148" s="4" t="s">
        <v>343</v>
      </c>
      <c r="E148" s="6">
        <v>44542</v>
      </c>
      <c r="F148" s="127" t="s">
        <v>34</v>
      </c>
    </row>
    <row r="149" spans="1:6" x14ac:dyDescent="0.2">
      <c r="A149" s="4" t="s">
        <v>365</v>
      </c>
      <c r="B149" s="4">
        <v>10099</v>
      </c>
      <c r="C149" s="4" t="s">
        <v>19</v>
      </c>
      <c r="D149" s="4" t="s">
        <v>334</v>
      </c>
      <c r="E149" s="6">
        <v>44543</v>
      </c>
      <c r="F149" s="127" t="s">
        <v>117</v>
      </c>
    </row>
    <row r="150" spans="1:6" x14ac:dyDescent="0.2">
      <c r="A150" s="4" t="s">
        <v>366</v>
      </c>
      <c r="B150" s="4">
        <v>1023</v>
      </c>
      <c r="C150" s="4" t="s">
        <v>338</v>
      </c>
      <c r="D150" s="4" t="s">
        <v>339</v>
      </c>
      <c r="E150" s="6">
        <v>44543</v>
      </c>
      <c r="F150" s="127" t="s">
        <v>117</v>
      </c>
    </row>
    <row r="151" spans="1:6" x14ac:dyDescent="0.2">
      <c r="A151" s="4" t="s">
        <v>367</v>
      </c>
      <c r="B151" s="4">
        <v>34344</v>
      </c>
      <c r="C151" s="4" t="s">
        <v>349</v>
      </c>
      <c r="D151" s="4" t="s">
        <v>343</v>
      </c>
      <c r="E151" s="6">
        <v>44543</v>
      </c>
      <c r="F151" s="127" t="s">
        <v>117</v>
      </c>
    </row>
    <row r="152" spans="1:6" x14ac:dyDescent="0.2">
      <c r="A152" s="4" t="s">
        <v>368</v>
      </c>
      <c r="B152" s="4">
        <v>10099</v>
      </c>
      <c r="C152" s="4" t="s">
        <v>19</v>
      </c>
      <c r="D152" s="4" t="s">
        <v>334</v>
      </c>
      <c r="E152" s="6">
        <v>44544</v>
      </c>
      <c r="F152" s="127" t="s">
        <v>34</v>
      </c>
    </row>
    <row r="153" spans="1:6" x14ac:dyDescent="0.2">
      <c r="A153" s="4" t="s">
        <v>369</v>
      </c>
      <c r="B153" s="4">
        <v>1023</v>
      </c>
      <c r="C153" s="4" t="s">
        <v>338</v>
      </c>
      <c r="D153" s="4" t="s">
        <v>339</v>
      </c>
      <c r="E153" s="6">
        <v>44544</v>
      </c>
      <c r="F153" s="127" t="s">
        <v>34</v>
      </c>
    </row>
    <row r="154" spans="1:6" x14ac:dyDescent="0.2">
      <c r="A154" s="4" t="s">
        <v>370</v>
      </c>
      <c r="B154" s="4">
        <v>34344</v>
      </c>
      <c r="C154" s="4" t="s">
        <v>349</v>
      </c>
      <c r="D154" s="4" t="s">
        <v>343</v>
      </c>
      <c r="E154" s="6">
        <v>44544</v>
      </c>
      <c r="F154" s="127" t="s">
        <v>34</v>
      </c>
    </row>
  </sheetData>
  <autoFilter ref="A1:F133" xr:uid="{E94C446A-9310-469C-AF89-FD280DB5B607}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autoPict="0" r:id="rId5">
            <anchor moveWithCells="1">
              <from>
                <xdr:col>14</xdr:col>
                <xdr:colOff>133350</xdr:colOff>
                <xdr:row>12</xdr:row>
                <xdr:rowOff>19050</xdr:rowOff>
              </from>
              <to>
                <xdr:col>17</xdr:col>
                <xdr:colOff>314325</xdr:colOff>
                <xdr:row>15</xdr:row>
                <xdr:rowOff>123825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7E7D-DBB5-48BF-925C-FE163EF534E1}">
  <sheetPr codeName="Sheet2"/>
  <dimension ref="A1:AK97"/>
  <sheetViews>
    <sheetView workbookViewId="0">
      <pane ySplit="5" topLeftCell="A6" activePane="bottomLeft" state="frozen"/>
      <selection pane="bottomLeft" activeCell="O63" sqref="O63"/>
    </sheetView>
  </sheetViews>
  <sheetFormatPr defaultColWidth="8.7109375" defaultRowHeight="12.75" x14ac:dyDescent="0.2"/>
  <cols>
    <col min="1" max="1" width="8.140625" style="5" customWidth="1"/>
    <col min="2" max="2" width="15.42578125" style="5" customWidth="1"/>
    <col min="3" max="3" width="9.5703125" style="5" customWidth="1"/>
    <col min="4" max="4" width="6.5703125" style="5" bestFit="1" customWidth="1"/>
    <col min="5" max="5" width="6.140625" style="5" bestFit="1" customWidth="1"/>
    <col min="6" max="6" width="5.140625" style="5" bestFit="1" customWidth="1"/>
    <col min="7" max="37" width="4.140625" style="5" customWidth="1"/>
    <col min="38" max="16384" width="8.7109375" style="5"/>
  </cols>
  <sheetData>
    <row r="1" spans="1:37" ht="8.1" customHeight="1" thickBot="1" x14ac:dyDescent="0.25"/>
    <row r="2" spans="1:37" ht="13.5" thickTop="1" x14ac:dyDescent="0.2">
      <c r="A2" s="158" t="s">
        <v>76</v>
      </c>
      <c r="B2" s="156">
        <v>44562</v>
      </c>
      <c r="H2" s="162">
        <f>SUM(D6:D1048576)</f>
        <v>0</v>
      </c>
      <c r="I2" s="162"/>
      <c r="J2" s="162"/>
      <c r="K2" s="162"/>
      <c r="L2" s="162"/>
      <c r="M2" s="162"/>
      <c r="P2" s="159">
        <f>SUM(E6:E1048576)</f>
        <v>0</v>
      </c>
      <c r="Q2" s="159"/>
      <c r="R2" s="159"/>
      <c r="S2" s="159"/>
      <c r="T2" s="159"/>
      <c r="U2" s="159"/>
      <c r="X2" s="160">
        <f>SUM(F6:F1048576)</f>
        <v>0</v>
      </c>
      <c r="Y2" s="160"/>
      <c r="Z2" s="160"/>
      <c r="AA2" s="160"/>
      <c r="AB2" s="160"/>
      <c r="AC2" s="160"/>
    </row>
    <row r="3" spans="1:37" ht="13.5" thickBot="1" x14ac:dyDescent="0.25">
      <c r="A3" s="158"/>
      <c r="B3" s="157"/>
      <c r="H3" s="162"/>
      <c r="I3" s="162"/>
      <c r="J3" s="162"/>
      <c r="K3" s="162"/>
      <c r="L3" s="162"/>
      <c r="M3" s="162"/>
      <c r="P3" s="159"/>
      <c r="Q3" s="159"/>
      <c r="R3" s="159"/>
      <c r="S3" s="159"/>
      <c r="T3" s="159"/>
      <c r="U3" s="159"/>
      <c r="X3" s="160"/>
      <c r="Y3" s="160"/>
      <c r="Z3" s="160"/>
      <c r="AA3" s="160"/>
      <c r="AB3" s="160"/>
      <c r="AC3" s="160"/>
    </row>
    <row r="4" spans="1:37" ht="18.95" customHeight="1" thickTop="1" x14ac:dyDescent="0.2">
      <c r="H4" s="161" t="s">
        <v>77</v>
      </c>
      <c r="I4" s="161"/>
      <c r="J4" s="161"/>
      <c r="K4" s="161"/>
      <c r="L4" s="161"/>
      <c r="M4" s="161"/>
      <c r="N4" s="13"/>
      <c r="O4" s="13"/>
      <c r="P4" s="161" t="s">
        <v>78</v>
      </c>
      <c r="Q4" s="161"/>
      <c r="R4" s="161"/>
      <c r="S4" s="161"/>
      <c r="T4" s="161"/>
      <c r="U4" s="161"/>
      <c r="V4" s="13"/>
      <c r="W4" s="13"/>
      <c r="X4" s="161" t="s">
        <v>117</v>
      </c>
      <c r="Y4" s="161"/>
      <c r="Z4" s="161"/>
      <c r="AA4" s="161"/>
      <c r="AB4" s="161"/>
      <c r="AC4" s="161"/>
    </row>
    <row r="5" spans="1:37" x14ac:dyDescent="0.2">
      <c r="A5" s="14" t="s">
        <v>31</v>
      </c>
      <c r="B5" s="14" t="s">
        <v>3</v>
      </c>
      <c r="C5" s="14" t="s">
        <v>4</v>
      </c>
      <c r="D5" s="14" t="s">
        <v>77</v>
      </c>
      <c r="E5" s="14" t="s">
        <v>78</v>
      </c>
      <c r="F5" s="15" t="s">
        <v>117</v>
      </c>
      <c r="G5" s="16">
        <f>B2</f>
        <v>44562</v>
      </c>
      <c r="H5" s="16">
        <f>G5+1</f>
        <v>44563</v>
      </c>
      <c r="I5" s="16">
        <f t="shared" ref="I5:AH5" si="0">H5+1</f>
        <v>44564</v>
      </c>
      <c r="J5" s="16">
        <f t="shared" si="0"/>
        <v>44565</v>
      </c>
      <c r="K5" s="16">
        <f t="shared" si="0"/>
        <v>44566</v>
      </c>
      <c r="L5" s="16">
        <f t="shared" si="0"/>
        <v>44567</v>
      </c>
      <c r="M5" s="16">
        <f t="shared" si="0"/>
        <v>44568</v>
      </c>
      <c r="N5" s="16">
        <f t="shared" si="0"/>
        <v>44569</v>
      </c>
      <c r="O5" s="16">
        <f t="shared" si="0"/>
        <v>44570</v>
      </c>
      <c r="P5" s="16">
        <f t="shared" si="0"/>
        <v>44571</v>
      </c>
      <c r="Q5" s="16">
        <f t="shared" si="0"/>
        <v>44572</v>
      </c>
      <c r="R5" s="16">
        <f t="shared" si="0"/>
        <v>44573</v>
      </c>
      <c r="S5" s="16">
        <f t="shared" si="0"/>
        <v>44574</v>
      </c>
      <c r="T5" s="16">
        <f t="shared" si="0"/>
        <v>44575</v>
      </c>
      <c r="U5" s="16">
        <f t="shared" si="0"/>
        <v>44576</v>
      </c>
      <c r="V5" s="16">
        <f t="shared" si="0"/>
        <v>44577</v>
      </c>
      <c r="W5" s="16">
        <f t="shared" si="0"/>
        <v>44578</v>
      </c>
      <c r="X5" s="16">
        <f t="shared" si="0"/>
        <v>44579</v>
      </c>
      <c r="Y5" s="16">
        <f t="shared" si="0"/>
        <v>44580</v>
      </c>
      <c r="Z5" s="16">
        <f t="shared" si="0"/>
        <v>44581</v>
      </c>
      <c r="AA5" s="16">
        <f t="shared" si="0"/>
        <v>44582</v>
      </c>
      <c r="AB5" s="16">
        <f t="shared" si="0"/>
        <v>44583</v>
      </c>
      <c r="AC5" s="16">
        <f t="shared" si="0"/>
        <v>44584</v>
      </c>
      <c r="AD5" s="16">
        <f t="shared" si="0"/>
        <v>44585</v>
      </c>
      <c r="AE5" s="16">
        <f t="shared" si="0"/>
        <v>44586</v>
      </c>
      <c r="AF5" s="16">
        <f t="shared" si="0"/>
        <v>44587</v>
      </c>
      <c r="AG5" s="16">
        <f>AF5+1</f>
        <v>44588</v>
      </c>
      <c r="AH5" s="16">
        <f t="shared" si="0"/>
        <v>44589</v>
      </c>
      <c r="AI5" s="16">
        <f>IF(DAY(AH5+1)&lt;=3,"",AH5+1)</f>
        <v>44590</v>
      </c>
      <c r="AJ5" s="16">
        <f>IF(DAY(AH5+2)&lt;=3,"",AH5+2)</f>
        <v>44591</v>
      </c>
      <c r="AK5" s="16">
        <f>IF(DAY(AH5+3)&lt;=3,"",AH5+3)</f>
        <v>44592</v>
      </c>
    </row>
    <row r="6" spans="1:37" x14ac:dyDescent="0.2">
      <c r="A6" s="17">
        <f>IF('Employee Master'!A2="","",'Employee Master'!A2)</f>
        <v>10001</v>
      </c>
      <c r="B6" s="18" t="str">
        <f>IF('Employee Master'!B2="","",'Employee Master'!B2)</f>
        <v>alexis.abeyta</v>
      </c>
      <c r="C6" s="18" t="str">
        <f>IF('Employee Master'!C2="","",'Employee Master'!C2)</f>
        <v>Wave-64</v>
      </c>
      <c r="D6" s="19">
        <f>COUNTIF(G6:AK6,"P")</f>
        <v>0</v>
      </c>
      <c r="E6" s="19">
        <f>COUNTIF(G6:AK6,"A")</f>
        <v>0</v>
      </c>
      <c r="F6" s="19">
        <f>COUNTIF(G6:AK6,"PTO")</f>
        <v>0</v>
      </c>
      <c r="G6" s="20" t="str">
        <f>IFERROR(VLOOKUP($A6&amp;"_"&amp;G$5,Database!$A:$F,6,0),"")</f>
        <v/>
      </c>
      <c r="H6" s="20" t="str">
        <f>IFERROR(VLOOKUP($A6&amp;"_"&amp;H$5,Database!$A:$F,6,0),"")</f>
        <v/>
      </c>
      <c r="I6" s="20" t="str">
        <f>IFERROR(VLOOKUP($A6&amp;"_"&amp;I$5,Database!$A:$F,6,0),"")</f>
        <v/>
      </c>
      <c r="J6" s="20" t="str">
        <f>IFERROR(VLOOKUP($A6&amp;"_"&amp;J$5,Database!$A:$F,6,0),"")</f>
        <v/>
      </c>
      <c r="K6" s="20" t="str">
        <f>IFERROR(VLOOKUP($A6&amp;"_"&amp;K$5,Database!$A:$F,6,0),"")</f>
        <v/>
      </c>
      <c r="L6" s="20" t="str">
        <f>IFERROR(VLOOKUP($A6&amp;"_"&amp;L$5,Database!$A:$F,6,0),"")</f>
        <v/>
      </c>
      <c r="M6" s="20" t="str">
        <f>IFERROR(VLOOKUP($A6&amp;"_"&amp;M$5,Database!$A:$F,6,0),"")</f>
        <v/>
      </c>
      <c r="N6" s="20" t="str">
        <f>IFERROR(VLOOKUP($A6&amp;"_"&amp;N$5,Database!$A:$F,6,0),"")</f>
        <v/>
      </c>
      <c r="O6" s="20" t="str">
        <f>IFERROR(VLOOKUP($A6&amp;"_"&amp;O$5,Database!$A:$F,6,0),"")</f>
        <v/>
      </c>
      <c r="P6" s="20" t="str">
        <f>IFERROR(VLOOKUP($A6&amp;"_"&amp;P$5,Database!$A:$F,6,0),"")</f>
        <v/>
      </c>
      <c r="Q6" s="20" t="str">
        <f>IFERROR(VLOOKUP($A6&amp;"_"&amp;Q$5,Database!$A:$F,6,0),"")</f>
        <v/>
      </c>
      <c r="R6" s="20" t="str">
        <f>IFERROR(VLOOKUP($A6&amp;"_"&amp;R$5,Database!$A:$F,6,0),"")</f>
        <v/>
      </c>
      <c r="S6" s="20" t="str">
        <f>IFERROR(VLOOKUP($A6&amp;"_"&amp;S$5,Database!$A:$F,6,0),"")</f>
        <v/>
      </c>
      <c r="T6" s="20" t="str">
        <f>IFERROR(VLOOKUP($A6&amp;"_"&amp;T$5,Database!$A:$F,6,0),"")</f>
        <v/>
      </c>
      <c r="U6" s="20" t="str">
        <f>IFERROR(VLOOKUP($A6&amp;"_"&amp;U$5,Database!$A:$F,6,0),"")</f>
        <v/>
      </c>
      <c r="V6" s="20" t="str">
        <f>IFERROR(VLOOKUP($A6&amp;"_"&amp;V$5,Database!$A:$F,6,0),"")</f>
        <v/>
      </c>
      <c r="W6" s="20" t="str">
        <f>IFERROR(VLOOKUP($A6&amp;"_"&amp;W$5,Database!$A:$F,6,0),"")</f>
        <v/>
      </c>
      <c r="X6" s="20" t="str">
        <f>IFERROR(VLOOKUP($A6&amp;"_"&amp;X$5,Database!$A:$F,6,0),"")</f>
        <v/>
      </c>
      <c r="Y6" s="20" t="str">
        <f>IFERROR(VLOOKUP($A6&amp;"_"&amp;Y$5,Database!$A:$F,6,0),"")</f>
        <v/>
      </c>
      <c r="Z6" s="20" t="str">
        <f>IFERROR(VLOOKUP($A6&amp;"_"&amp;Z$5,Database!$A:$F,6,0),"")</f>
        <v/>
      </c>
      <c r="AA6" s="20" t="str">
        <f>IFERROR(VLOOKUP($A6&amp;"_"&amp;AA$5,Database!$A:$F,6,0),"")</f>
        <v/>
      </c>
      <c r="AB6" s="20" t="str">
        <f>IFERROR(VLOOKUP($A6&amp;"_"&amp;AB$5,Database!$A:$F,6,0),"")</f>
        <v/>
      </c>
      <c r="AC6" s="20" t="str">
        <f>IFERROR(VLOOKUP($A6&amp;"_"&amp;AC$5,Database!$A:$F,6,0),"")</f>
        <v/>
      </c>
      <c r="AD6" s="20" t="str">
        <f>IFERROR(VLOOKUP($A6&amp;"_"&amp;AD$5,Database!$A:$F,6,0),"")</f>
        <v/>
      </c>
      <c r="AE6" s="20" t="str">
        <f>IFERROR(VLOOKUP($A6&amp;"_"&amp;AE$5,Database!$A:$F,6,0),"")</f>
        <v/>
      </c>
      <c r="AF6" s="20" t="str">
        <f>IFERROR(VLOOKUP($A6&amp;"_"&amp;AF$5,Database!$A:$F,6,0),"")</f>
        <v/>
      </c>
      <c r="AG6" s="20" t="str">
        <f>IFERROR(VLOOKUP($A6&amp;"_"&amp;AG$5,Database!$A:$F,6,0),"")</f>
        <v/>
      </c>
      <c r="AH6" s="20" t="str">
        <f>IFERROR(VLOOKUP($A6&amp;"_"&amp;AH$5,Database!$A:$F,6,0),"")</f>
        <v/>
      </c>
      <c r="AI6" s="20" t="str">
        <f>IFERROR(VLOOKUP($A6&amp;"_"&amp;AI$5,Database!$A:$F,6,0),"")</f>
        <v/>
      </c>
      <c r="AJ6" s="20" t="str">
        <f>IFERROR(VLOOKUP($A6&amp;"_"&amp;AJ$5,Database!$A:$F,6,0),"")</f>
        <v/>
      </c>
      <c r="AK6" s="20" t="str">
        <f>IFERROR(VLOOKUP($A6&amp;"_"&amp;AK$5,Database!$A:$F,6,0),"")</f>
        <v/>
      </c>
    </row>
    <row r="7" spans="1:37" x14ac:dyDescent="0.2">
      <c r="A7" s="17">
        <f>IF('Employee Master'!A3="","",'Employee Master'!A3)</f>
        <v>10002</v>
      </c>
      <c r="B7" s="18" t="str">
        <f>IF('Employee Master'!B3="","",'Employee Master'!B3)</f>
        <v>brianna.mercer</v>
      </c>
      <c r="C7" s="18" t="str">
        <f>IF('Employee Master'!C3="","",'Employee Master'!C3)</f>
        <v>Wave-24</v>
      </c>
      <c r="D7" s="19">
        <f t="shared" ref="D7:D20" si="1">COUNTIF(G7:AK7,"P")</f>
        <v>0</v>
      </c>
      <c r="E7" s="19">
        <f t="shared" ref="E7:E20" si="2">COUNTIF(G7:AK7,"A")</f>
        <v>0</v>
      </c>
      <c r="F7" s="19">
        <f t="shared" ref="F7:F36" si="3">COUNTIF(G7:AK7,"PTO")</f>
        <v>0</v>
      </c>
      <c r="G7" s="20" t="str">
        <f>IFERROR(VLOOKUP($A7&amp;"_"&amp;G$5,Database!$A:$F,6,0),"")</f>
        <v/>
      </c>
      <c r="H7" s="20" t="str">
        <f>IFERROR(VLOOKUP($A7&amp;"_"&amp;H$5,Database!$A:$F,6,0),"")</f>
        <v/>
      </c>
      <c r="I7" s="20" t="str">
        <f>IFERROR(VLOOKUP($A7&amp;"_"&amp;I$5,Database!$A:$F,6,0),"")</f>
        <v/>
      </c>
      <c r="J7" s="20" t="str">
        <f>IFERROR(VLOOKUP($A7&amp;"_"&amp;J$5,Database!$A:$F,6,0),"")</f>
        <v/>
      </c>
      <c r="K7" s="20" t="str">
        <f>IFERROR(VLOOKUP($A7&amp;"_"&amp;K$5,Database!$A:$F,6,0),"")</f>
        <v/>
      </c>
      <c r="L7" s="20" t="str">
        <f>IFERROR(VLOOKUP($A7&amp;"_"&amp;L$5,Database!$A:$F,6,0),"")</f>
        <v/>
      </c>
      <c r="M7" s="20" t="str">
        <f>IFERROR(VLOOKUP($A7&amp;"_"&amp;M$5,Database!$A:$F,6,0),"")</f>
        <v/>
      </c>
      <c r="N7" s="20" t="str">
        <f>IFERROR(VLOOKUP($A7&amp;"_"&amp;N$5,Database!$A:$F,6,0),"")</f>
        <v/>
      </c>
      <c r="O7" s="20" t="str">
        <f>IFERROR(VLOOKUP($A7&amp;"_"&amp;O$5,Database!$A:$F,6,0),"")</f>
        <v/>
      </c>
      <c r="P7" s="20" t="str">
        <f>IFERROR(VLOOKUP($A7&amp;"_"&amp;P$5,Database!$A:$F,6,0),"")</f>
        <v/>
      </c>
      <c r="Q7" s="20" t="str">
        <f>IFERROR(VLOOKUP($A7&amp;"_"&amp;Q$5,Database!$A:$F,6,0),"")</f>
        <v/>
      </c>
      <c r="R7" s="20" t="str">
        <f>IFERROR(VLOOKUP($A7&amp;"_"&amp;R$5,Database!$A:$F,6,0),"")</f>
        <v/>
      </c>
      <c r="S7" s="20" t="str">
        <f>IFERROR(VLOOKUP($A7&amp;"_"&amp;S$5,Database!$A:$F,6,0),"")</f>
        <v/>
      </c>
      <c r="T7" s="20" t="str">
        <f>IFERROR(VLOOKUP($A7&amp;"_"&amp;T$5,Database!$A:$F,6,0),"")</f>
        <v/>
      </c>
      <c r="U7" s="20" t="str">
        <f>IFERROR(VLOOKUP($A7&amp;"_"&amp;U$5,Database!$A:$F,6,0),"")</f>
        <v/>
      </c>
      <c r="V7" s="20" t="str">
        <f>IFERROR(VLOOKUP($A7&amp;"_"&amp;V$5,Database!$A:$F,6,0),"")</f>
        <v/>
      </c>
      <c r="W7" s="20"/>
      <c r="X7" s="20" t="str">
        <f>IFERROR(VLOOKUP($A7&amp;"_"&amp;X$5,Database!$A:$F,6,0),"")</f>
        <v/>
      </c>
      <c r="Y7" s="20" t="str">
        <f>IFERROR(VLOOKUP($A7&amp;"_"&amp;Y$5,Database!$A:$F,6,0),"")</f>
        <v/>
      </c>
      <c r="Z7" s="20" t="str">
        <f>IFERROR(VLOOKUP($A7&amp;"_"&amp;Z$5,Database!$A:$F,6,0),"")</f>
        <v/>
      </c>
      <c r="AA7" s="20" t="str">
        <f>IFERROR(VLOOKUP($A7&amp;"_"&amp;AA$5,Database!$A:$F,6,0),"")</f>
        <v/>
      </c>
      <c r="AB7" s="20" t="str">
        <f>IFERROR(VLOOKUP($A7&amp;"_"&amp;AB$5,Database!$A:$F,6,0),"")</f>
        <v/>
      </c>
      <c r="AC7" s="20" t="str">
        <f>IFERROR(VLOOKUP($A7&amp;"_"&amp;AC$5,Database!$A:$F,6,0),"")</f>
        <v/>
      </c>
      <c r="AD7" s="20" t="str">
        <f>IFERROR(VLOOKUP($A7&amp;"_"&amp;AD$5,Database!$A:$F,6,0),"")</f>
        <v/>
      </c>
      <c r="AE7" s="20" t="str">
        <f>IFERROR(VLOOKUP($A7&amp;"_"&amp;AE$5,Database!$A:$F,6,0),"")</f>
        <v/>
      </c>
      <c r="AF7" s="20" t="str">
        <f>IFERROR(VLOOKUP($A7&amp;"_"&amp;AF$5,Database!$A:$F,6,0),"")</f>
        <v/>
      </c>
      <c r="AG7" s="20" t="str">
        <f>IFERROR(VLOOKUP($A7&amp;"_"&amp;AG$5,Database!$A:$F,6,0),"")</f>
        <v/>
      </c>
      <c r="AH7" s="20" t="str">
        <f>IFERROR(VLOOKUP($A7&amp;"_"&amp;AH$5,Database!$A:$F,6,0),"")</f>
        <v/>
      </c>
      <c r="AI7" s="20" t="str">
        <f>IFERROR(VLOOKUP($A7&amp;"_"&amp;AI$5,Database!$A:$F,6,0),"")</f>
        <v/>
      </c>
      <c r="AJ7" s="20" t="str">
        <f>IFERROR(VLOOKUP($A7&amp;"_"&amp;AJ$5,Database!$A:$F,6,0),"")</f>
        <v/>
      </c>
      <c r="AK7" s="20" t="str">
        <f>IFERROR(VLOOKUP($A7&amp;"_"&amp;AK$5,Database!$A:$F,6,0),"")</f>
        <v/>
      </c>
    </row>
    <row r="8" spans="1:37" x14ac:dyDescent="0.2">
      <c r="A8" s="17">
        <f>IF('Employee Master'!A4="","",'Employee Master'!A4)</f>
        <v>10003</v>
      </c>
      <c r="B8" s="18" t="str">
        <f>IF('Employee Master'!B4="","",'Employee Master'!B4)</f>
        <v>catera.clark</v>
      </c>
      <c r="C8" s="18" t="str">
        <f>IF('Employee Master'!C4="","",'Employee Master'!C4)</f>
        <v>Wave-57</v>
      </c>
      <c r="D8" s="19">
        <f t="shared" si="1"/>
        <v>0</v>
      </c>
      <c r="E8" s="19">
        <f t="shared" si="2"/>
        <v>0</v>
      </c>
      <c r="F8" s="19">
        <f t="shared" si="3"/>
        <v>0</v>
      </c>
      <c r="G8" s="20" t="str">
        <f>IFERROR(VLOOKUP($A8&amp;"_"&amp;G$5,Database!$A:$F,6,0),"")</f>
        <v/>
      </c>
      <c r="H8" s="20" t="str">
        <f>IFERROR(VLOOKUP($A8&amp;"_"&amp;H$5,Database!$A:$F,6,0),"")</f>
        <v/>
      </c>
      <c r="I8" s="20" t="str">
        <f>IFERROR(VLOOKUP($A8&amp;"_"&amp;I$5,Database!$A:$F,6,0),"")</f>
        <v/>
      </c>
      <c r="J8" s="20" t="str">
        <f>IFERROR(VLOOKUP($A8&amp;"_"&amp;J$5,Database!$A:$F,6,0),"")</f>
        <v/>
      </c>
      <c r="K8" s="20" t="str">
        <f>IFERROR(VLOOKUP($A8&amp;"_"&amp;K$5,Database!$A:$F,6,0),"")</f>
        <v/>
      </c>
      <c r="L8" s="20" t="str">
        <f>IFERROR(VLOOKUP($A8&amp;"_"&amp;L$5,Database!$A:$F,6,0),"")</f>
        <v/>
      </c>
      <c r="M8" s="20" t="str">
        <f>IFERROR(VLOOKUP($A8&amp;"_"&amp;M$5,Database!$A:$F,6,0),"")</f>
        <v/>
      </c>
      <c r="N8" s="20" t="str">
        <f>IFERROR(VLOOKUP($A8&amp;"_"&amp;N$5,Database!$A:$F,6,0),"")</f>
        <v/>
      </c>
      <c r="O8" s="20" t="str">
        <f>IFERROR(VLOOKUP($A8&amp;"_"&amp;O$5,Database!$A:$F,6,0),"")</f>
        <v/>
      </c>
      <c r="P8" s="20" t="str">
        <f>IFERROR(VLOOKUP($A8&amp;"_"&amp;P$5,Database!$A:$F,6,0),"")</f>
        <v/>
      </c>
      <c r="Q8" s="20" t="str">
        <f>IFERROR(VLOOKUP($A8&amp;"_"&amp;Q$5,Database!$A:$F,6,0),"")</f>
        <v/>
      </c>
      <c r="R8" s="20" t="str">
        <f>IFERROR(VLOOKUP($A8&amp;"_"&amp;R$5,Database!$A:$F,6,0),"")</f>
        <v/>
      </c>
      <c r="S8" s="20" t="str">
        <f>IFERROR(VLOOKUP($A8&amp;"_"&amp;S$5,Database!$A:$F,6,0),"")</f>
        <v/>
      </c>
      <c r="T8" s="20" t="str">
        <f>IFERROR(VLOOKUP($A8&amp;"_"&amp;T$5,Database!$A:$F,6,0),"")</f>
        <v/>
      </c>
      <c r="U8" s="20" t="str">
        <f>IFERROR(VLOOKUP($A8&amp;"_"&amp;U$5,Database!$A:$F,6,0),"")</f>
        <v/>
      </c>
      <c r="V8" s="20" t="str">
        <f>IFERROR(VLOOKUP($A8&amp;"_"&amp;V$5,Database!$A:$F,6,0),"")</f>
        <v/>
      </c>
      <c r="W8" s="20" t="str">
        <f>IFERROR(VLOOKUP($A8&amp;"_"&amp;W$5,Database!$A:$F,6,0),"")</f>
        <v/>
      </c>
      <c r="X8" s="20" t="str">
        <f>IFERROR(VLOOKUP($A8&amp;"_"&amp;X$5,Database!$A:$F,6,0),"")</f>
        <v/>
      </c>
      <c r="Y8" s="20" t="str">
        <f>IFERROR(VLOOKUP($A8&amp;"_"&amp;Y$5,Database!$A:$F,6,0),"")</f>
        <v/>
      </c>
      <c r="Z8" s="20" t="str">
        <f>IFERROR(VLOOKUP($A8&amp;"_"&amp;Z$5,Database!$A:$F,6,0),"")</f>
        <v/>
      </c>
      <c r="AA8" s="20" t="str">
        <f>IFERROR(VLOOKUP($A8&amp;"_"&amp;AA$5,Database!$A:$F,6,0),"")</f>
        <v/>
      </c>
      <c r="AB8" s="20" t="str">
        <f>IFERROR(VLOOKUP($A8&amp;"_"&amp;AB$5,Database!$A:$F,6,0),"")</f>
        <v/>
      </c>
      <c r="AC8" s="20" t="str">
        <f>IFERROR(VLOOKUP($A8&amp;"_"&amp;AC$5,Database!$A:$F,6,0),"")</f>
        <v/>
      </c>
      <c r="AD8" s="20" t="str">
        <f>IFERROR(VLOOKUP($A8&amp;"_"&amp;AD$5,Database!$A:$F,6,0),"")</f>
        <v/>
      </c>
      <c r="AE8" s="20" t="str">
        <f>IFERROR(VLOOKUP($A8&amp;"_"&amp;AE$5,Database!$A:$F,6,0),"")</f>
        <v/>
      </c>
      <c r="AF8" s="20" t="str">
        <f>IFERROR(VLOOKUP($A8&amp;"_"&amp;AF$5,Database!$A:$F,6,0),"")</f>
        <v/>
      </c>
      <c r="AG8" s="20" t="str">
        <f>IFERROR(VLOOKUP($A8&amp;"_"&amp;AG$5,Database!$A:$F,6,0),"")</f>
        <v/>
      </c>
      <c r="AH8" s="20" t="str">
        <f>IFERROR(VLOOKUP($A8&amp;"_"&amp;AH$5,Database!$A:$F,6,0),"")</f>
        <v/>
      </c>
      <c r="AI8" s="20" t="str">
        <f>IFERROR(VLOOKUP($A8&amp;"_"&amp;AI$5,Database!$A:$F,6,0),"")</f>
        <v/>
      </c>
      <c r="AJ8" s="20" t="str">
        <f>IFERROR(VLOOKUP($A8&amp;"_"&amp;AJ$5,Database!$A:$F,6,0),"")</f>
        <v/>
      </c>
      <c r="AK8" s="20" t="str">
        <f>IFERROR(VLOOKUP($A8&amp;"_"&amp;AK$5,Database!$A:$F,6,0),"")</f>
        <v/>
      </c>
    </row>
    <row r="9" spans="1:37" x14ac:dyDescent="0.2">
      <c r="A9" s="17">
        <f>IF('Employee Master'!A5="","",'Employee Master'!A5)</f>
        <v>10004</v>
      </c>
      <c r="B9" s="18" t="str">
        <f>IF('Employee Master'!B5="","",'Employee Master'!B5)</f>
        <v>dyasia.downing</v>
      </c>
      <c r="C9" s="18" t="str">
        <f>IF('Employee Master'!C5="","",'Employee Master'!C5)</f>
        <v>Wave-66</v>
      </c>
      <c r="D9" s="19">
        <f t="shared" si="1"/>
        <v>0</v>
      </c>
      <c r="E9" s="19">
        <f t="shared" si="2"/>
        <v>0</v>
      </c>
      <c r="F9" s="19">
        <f t="shared" si="3"/>
        <v>0</v>
      </c>
      <c r="G9" s="20" t="str">
        <f>IFERROR(VLOOKUP($A9&amp;"_"&amp;G$5,Database!$A:$F,6,0),"")</f>
        <v/>
      </c>
      <c r="H9" s="20" t="str">
        <f>IFERROR(VLOOKUP($A9&amp;"_"&amp;H$5,Database!$A:$F,6,0),"")</f>
        <v/>
      </c>
      <c r="I9" s="20" t="str">
        <f>IFERROR(VLOOKUP($A9&amp;"_"&amp;I$5,Database!$A:$F,6,0),"")</f>
        <v/>
      </c>
      <c r="J9" s="20" t="str">
        <f>IFERROR(VLOOKUP($A9&amp;"_"&amp;J$5,Database!$A:$F,6,0),"")</f>
        <v/>
      </c>
      <c r="K9" s="20" t="str">
        <f>IFERROR(VLOOKUP($A9&amp;"_"&amp;K$5,Database!$A:$F,6,0),"")</f>
        <v/>
      </c>
      <c r="L9" s="20" t="str">
        <f>IFERROR(VLOOKUP($A9&amp;"_"&amp;L$5,Database!$A:$F,6,0),"")</f>
        <v/>
      </c>
      <c r="M9" s="20" t="str">
        <f>IFERROR(VLOOKUP($A9&amp;"_"&amp;M$5,Database!$A:$F,6,0),"")</f>
        <v/>
      </c>
      <c r="N9" s="20" t="str">
        <f>IFERROR(VLOOKUP($A9&amp;"_"&amp;N$5,Database!$A:$F,6,0),"")</f>
        <v/>
      </c>
      <c r="O9" s="20" t="str">
        <f>IFERROR(VLOOKUP($A9&amp;"_"&amp;O$5,Database!$A:$F,6,0),"")</f>
        <v/>
      </c>
      <c r="P9" s="20" t="str">
        <f>IFERROR(VLOOKUP($A9&amp;"_"&amp;P$5,Database!$A:$F,6,0),"")</f>
        <v/>
      </c>
      <c r="Q9" s="20" t="str">
        <f>IFERROR(VLOOKUP($A9&amp;"_"&amp;Q$5,Database!$A:$F,6,0),"")</f>
        <v/>
      </c>
      <c r="R9" s="20" t="str">
        <f>IFERROR(VLOOKUP($A9&amp;"_"&amp;R$5,Database!$A:$F,6,0),"")</f>
        <v/>
      </c>
      <c r="S9" s="20" t="str">
        <f>IFERROR(VLOOKUP($A9&amp;"_"&amp;S$5,Database!$A:$F,6,0),"")</f>
        <v/>
      </c>
      <c r="T9" s="20" t="str">
        <f>IFERROR(VLOOKUP($A9&amp;"_"&amp;T$5,Database!$A:$F,6,0),"")</f>
        <v/>
      </c>
      <c r="U9" s="20" t="str">
        <f>IFERROR(VLOOKUP($A9&amp;"_"&amp;U$5,Database!$A:$F,6,0),"")</f>
        <v/>
      </c>
      <c r="V9" s="20" t="str">
        <f>IFERROR(VLOOKUP($A9&amp;"_"&amp;V$5,Database!$A:$F,6,0),"")</f>
        <v/>
      </c>
      <c r="W9" s="20" t="str">
        <f>IFERROR(VLOOKUP($A9&amp;"_"&amp;W$5,Database!$A:$F,6,0),"")</f>
        <v/>
      </c>
      <c r="X9" s="20" t="str">
        <f>IFERROR(VLOOKUP($A9&amp;"_"&amp;X$5,Database!$A:$F,6,0),"")</f>
        <v/>
      </c>
      <c r="Y9" s="20" t="str">
        <f>IFERROR(VLOOKUP($A9&amp;"_"&amp;Y$5,Database!$A:$F,6,0),"")</f>
        <v/>
      </c>
      <c r="Z9" s="20" t="str">
        <f>IFERROR(VLOOKUP($A9&amp;"_"&amp;Z$5,Database!$A:$F,6,0),"")</f>
        <v/>
      </c>
      <c r="AA9" s="20" t="str">
        <f>IFERROR(VLOOKUP($A9&amp;"_"&amp;AA$5,Database!$A:$F,6,0),"")</f>
        <v/>
      </c>
      <c r="AB9" s="20" t="str">
        <f>IFERROR(VLOOKUP($A9&amp;"_"&amp;AB$5,Database!$A:$F,6,0),"")</f>
        <v/>
      </c>
      <c r="AC9" s="20" t="str">
        <f>IFERROR(VLOOKUP($A9&amp;"_"&amp;AC$5,Database!$A:$F,6,0),"")</f>
        <v/>
      </c>
      <c r="AD9" s="20" t="str">
        <f>IFERROR(VLOOKUP($A9&amp;"_"&amp;AD$5,Database!$A:$F,6,0),"")</f>
        <v/>
      </c>
      <c r="AE9" s="20" t="str">
        <f>IFERROR(VLOOKUP($A9&amp;"_"&amp;AE$5,Database!$A:$F,6,0),"")</f>
        <v/>
      </c>
      <c r="AF9" s="20" t="str">
        <f>IFERROR(VLOOKUP($A9&amp;"_"&amp;AF$5,Database!$A:$F,6,0),"")</f>
        <v/>
      </c>
      <c r="AG9" s="20" t="str">
        <f>IFERROR(VLOOKUP($A9&amp;"_"&amp;AG$5,Database!$A:$F,6,0),"")</f>
        <v/>
      </c>
      <c r="AH9" s="20" t="str">
        <f>IFERROR(VLOOKUP($A9&amp;"_"&amp;AH$5,Database!$A:$F,6,0),"")</f>
        <v/>
      </c>
      <c r="AI9" s="20" t="str">
        <f>IFERROR(VLOOKUP($A9&amp;"_"&amp;AI$5,Database!$A:$F,6,0),"")</f>
        <v/>
      </c>
      <c r="AJ9" s="20" t="str">
        <f>IFERROR(VLOOKUP($A9&amp;"_"&amp;AJ$5,Database!$A:$F,6,0),"")</f>
        <v/>
      </c>
      <c r="AK9" s="20" t="str">
        <f>IFERROR(VLOOKUP($A9&amp;"_"&amp;AK$5,Database!$A:$F,6,0),"")</f>
        <v/>
      </c>
    </row>
    <row r="10" spans="1:37" x14ac:dyDescent="0.2">
      <c r="A10" s="17">
        <f>IF('Employee Master'!A6="","",'Employee Master'!A6)</f>
        <v>10005</v>
      </c>
      <c r="B10" s="18" t="str">
        <f>IF('Employee Master'!B6="","",'Employee Master'!B6)</f>
        <v>elizabeth.greig</v>
      </c>
      <c r="C10" s="18" t="str">
        <f>IF('Employee Master'!C6="","",'Employee Master'!C6)</f>
        <v>Wave-66</v>
      </c>
      <c r="D10" s="19">
        <f t="shared" si="1"/>
        <v>0</v>
      </c>
      <c r="E10" s="19">
        <f t="shared" si="2"/>
        <v>0</v>
      </c>
      <c r="F10" s="19">
        <f t="shared" si="3"/>
        <v>0</v>
      </c>
      <c r="G10" s="20" t="str">
        <f>IFERROR(VLOOKUP($A10&amp;"_"&amp;G$5,Database!$A:$F,6,0),"")</f>
        <v/>
      </c>
      <c r="H10" s="20" t="str">
        <f>IFERROR(VLOOKUP($A10&amp;"_"&amp;H$5,Database!$A:$F,6,0),"")</f>
        <v/>
      </c>
      <c r="I10" s="20" t="str">
        <f>IFERROR(VLOOKUP($A10&amp;"_"&amp;I$5,Database!$A:$F,6,0),"")</f>
        <v/>
      </c>
      <c r="J10" s="20" t="str">
        <f>IFERROR(VLOOKUP($A10&amp;"_"&amp;J$5,Database!$A:$F,6,0),"")</f>
        <v/>
      </c>
      <c r="K10" s="20" t="str">
        <f>IFERROR(VLOOKUP($A10&amp;"_"&amp;K$5,Database!$A:$F,6,0),"")</f>
        <v/>
      </c>
      <c r="L10" s="20" t="str">
        <f>IFERROR(VLOOKUP($A10&amp;"_"&amp;L$5,Database!$A:$F,6,0),"")</f>
        <v/>
      </c>
      <c r="M10" s="20" t="str">
        <f>IFERROR(VLOOKUP($A10&amp;"_"&amp;M$5,Database!$A:$F,6,0),"")</f>
        <v/>
      </c>
      <c r="N10" s="20" t="str">
        <f>IFERROR(VLOOKUP($A10&amp;"_"&amp;N$5,Database!$A:$F,6,0),"")</f>
        <v/>
      </c>
      <c r="O10" s="20" t="str">
        <f>IFERROR(VLOOKUP($A10&amp;"_"&amp;O$5,Database!$A:$F,6,0),"")</f>
        <v/>
      </c>
      <c r="P10" s="20" t="str">
        <f>IFERROR(VLOOKUP($A10&amp;"_"&amp;P$5,Database!$A:$F,6,0),"")</f>
        <v/>
      </c>
      <c r="Q10" s="20" t="str">
        <f>IFERROR(VLOOKUP($A10&amp;"_"&amp;Q$5,Database!$A:$F,6,0),"")</f>
        <v/>
      </c>
      <c r="R10" s="20" t="str">
        <f>IFERROR(VLOOKUP($A10&amp;"_"&amp;R$5,Database!$A:$F,6,0),"")</f>
        <v/>
      </c>
      <c r="S10" s="20" t="str">
        <f>IFERROR(VLOOKUP($A10&amp;"_"&amp;S$5,Database!$A:$F,6,0),"")</f>
        <v/>
      </c>
      <c r="T10" s="20" t="str">
        <f>IFERROR(VLOOKUP($A10&amp;"_"&amp;T$5,Database!$A:$F,6,0),"")</f>
        <v/>
      </c>
      <c r="U10" s="20" t="str">
        <f>IFERROR(VLOOKUP($A10&amp;"_"&amp;U$5,Database!$A:$F,6,0),"")</f>
        <v/>
      </c>
      <c r="V10" s="20" t="str">
        <f>IFERROR(VLOOKUP($A10&amp;"_"&amp;V$5,Database!$A:$F,6,0),"")</f>
        <v/>
      </c>
      <c r="W10" s="20" t="str">
        <f>IFERROR(VLOOKUP($A10&amp;"_"&amp;W$5,Database!$A:$F,6,0),"")</f>
        <v/>
      </c>
      <c r="X10" s="20" t="str">
        <f>IFERROR(VLOOKUP($A10&amp;"_"&amp;X$5,Database!$A:$F,6,0),"")</f>
        <v/>
      </c>
      <c r="Y10" s="20" t="str">
        <f>IFERROR(VLOOKUP($A10&amp;"_"&amp;Y$5,Database!$A:$F,6,0),"")</f>
        <v/>
      </c>
      <c r="Z10" s="20" t="str">
        <f>IFERROR(VLOOKUP($A10&amp;"_"&amp;Z$5,Database!$A:$F,6,0),"")</f>
        <v/>
      </c>
      <c r="AA10" s="20" t="str">
        <f>IFERROR(VLOOKUP($A10&amp;"_"&amp;AA$5,Database!$A:$F,6,0),"")</f>
        <v/>
      </c>
      <c r="AB10" s="20" t="str">
        <f>IFERROR(VLOOKUP($A10&amp;"_"&amp;AB$5,Database!$A:$F,6,0),"")</f>
        <v/>
      </c>
      <c r="AC10" s="20" t="str">
        <f>IFERROR(VLOOKUP($A10&amp;"_"&amp;AC$5,Database!$A:$F,6,0),"")</f>
        <v/>
      </c>
      <c r="AD10" s="20" t="str">
        <f>IFERROR(VLOOKUP($A10&amp;"_"&amp;AD$5,Database!$A:$F,6,0),"")</f>
        <v/>
      </c>
      <c r="AE10" s="20" t="str">
        <f>IFERROR(VLOOKUP($A10&amp;"_"&amp;AE$5,Database!$A:$F,6,0),"")</f>
        <v/>
      </c>
      <c r="AF10" s="20" t="str">
        <f>IFERROR(VLOOKUP($A10&amp;"_"&amp;AF$5,Database!$A:$F,6,0),"")</f>
        <v/>
      </c>
      <c r="AG10" s="20" t="str">
        <f>IFERROR(VLOOKUP($A10&amp;"_"&amp;AG$5,Database!$A:$F,6,0),"")</f>
        <v/>
      </c>
      <c r="AH10" s="20" t="str">
        <f>IFERROR(VLOOKUP($A10&amp;"_"&amp;AH$5,Database!$A:$F,6,0),"")</f>
        <v/>
      </c>
      <c r="AI10" s="20" t="str">
        <f>IFERROR(VLOOKUP($A10&amp;"_"&amp;AI$5,Database!$A:$F,6,0),"")</f>
        <v/>
      </c>
      <c r="AJ10" s="20" t="str">
        <f>IFERROR(VLOOKUP($A10&amp;"_"&amp;AJ$5,Database!$A:$F,6,0),"")</f>
        <v/>
      </c>
      <c r="AK10" s="20" t="str">
        <f>IFERROR(VLOOKUP($A10&amp;"_"&amp;AK$5,Database!$A:$F,6,0),"")</f>
        <v/>
      </c>
    </row>
    <row r="11" spans="1:37" x14ac:dyDescent="0.2">
      <c r="A11" s="17">
        <f>IF('Employee Master'!A7="","",'Employee Master'!A7)</f>
        <v>10006</v>
      </c>
      <c r="B11" s="18" t="str">
        <f>IF('Employee Master'!B7="","",'Employee Master'!B7)</f>
        <v>eric.johnson</v>
      </c>
      <c r="C11" s="18" t="str">
        <f>IF('Employee Master'!C7="","",'Employee Master'!C7)</f>
        <v>Wave-66</v>
      </c>
      <c r="D11" s="19">
        <f t="shared" si="1"/>
        <v>0</v>
      </c>
      <c r="E11" s="19">
        <f t="shared" si="2"/>
        <v>0</v>
      </c>
      <c r="F11" s="19">
        <f t="shared" si="3"/>
        <v>0</v>
      </c>
      <c r="G11" s="20" t="str">
        <f>IFERROR(VLOOKUP($A11&amp;"_"&amp;G$5,Database!$A:$F,6,0),"")</f>
        <v/>
      </c>
      <c r="H11" s="20" t="str">
        <f>IFERROR(VLOOKUP($A11&amp;"_"&amp;H$5,Database!$A:$F,6,0),"")</f>
        <v/>
      </c>
      <c r="I11" s="20" t="str">
        <f>IFERROR(VLOOKUP($A11&amp;"_"&amp;I$5,Database!$A:$F,6,0),"")</f>
        <v/>
      </c>
      <c r="J11" s="20" t="str">
        <f>IFERROR(VLOOKUP($A11&amp;"_"&amp;J$5,Database!$A:$F,6,0),"")</f>
        <v/>
      </c>
      <c r="K11" s="20" t="str">
        <f>IFERROR(VLOOKUP($A11&amp;"_"&amp;K$5,Database!$A:$F,6,0),"")</f>
        <v/>
      </c>
      <c r="L11" s="20" t="str">
        <f>IFERROR(VLOOKUP($A11&amp;"_"&amp;L$5,Database!$A:$F,6,0),"")</f>
        <v/>
      </c>
      <c r="M11" s="20" t="str">
        <f>IFERROR(VLOOKUP($A11&amp;"_"&amp;M$5,Database!$A:$F,6,0),"")</f>
        <v/>
      </c>
      <c r="N11" s="20" t="str">
        <f>IFERROR(VLOOKUP($A11&amp;"_"&amp;N$5,Database!$A:$F,6,0),"")</f>
        <v/>
      </c>
      <c r="O11" s="20" t="str">
        <f>IFERROR(VLOOKUP($A11&amp;"_"&amp;O$5,Database!$A:$F,6,0),"")</f>
        <v/>
      </c>
      <c r="P11" s="20" t="str">
        <f>IFERROR(VLOOKUP($A11&amp;"_"&amp;P$5,Database!$A:$F,6,0),"")</f>
        <v/>
      </c>
      <c r="Q11" s="20" t="str">
        <f>IFERROR(VLOOKUP($A11&amp;"_"&amp;Q$5,Database!$A:$F,6,0),"")</f>
        <v/>
      </c>
      <c r="R11" s="20" t="str">
        <f>IFERROR(VLOOKUP($A11&amp;"_"&amp;R$5,Database!$A:$F,6,0),"")</f>
        <v/>
      </c>
      <c r="S11" s="20" t="str">
        <f>IFERROR(VLOOKUP($A11&amp;"_"&amp;S$5,Database!$A:$F,6,0),"")</f>
        <v/>
      </c>
      <c r="T11" s="20" t="str">
        <f>IFERROR(VLOOKUP($A11&amp;"_"&amp;T$5,Database!$A:$F,6,0),"")</f>
        <v/>
      </c>
      <c r="U11" s="20" t="str">
        <f>IFERROR(VLOOKUP($A11&amp;"_"&amp;U$5,Database!$A:$F,6,0),"")</f>
        <v/>
      </c>
      <c r="V11" s="20" t="str">
        <f>IFERROR(VLOOKUP($A11&amp;"_"&amp;V$5,Database!$A:$F,6,0),"")</f>
        <v/>
      </c>
      <c r="W11" s="20" t="str">
        <f>IFERROR(VLOOKUP($A11&amp;"_"&amp;W$5,Database!$A:$F,6,0),"")</f>
        <v/>
      </c>
      <c r="X11" s="20" t="str">
        <f>IFERROR(VLOOKUP($A11&amp;"_"&amp;X$5,Database!$A:$F,6,0),"")</f>
        <v/>
      </c>
      <c r="Y11" s="20" t="str">
        <f>IFERROR(VLOOKUP($A11&amp;"_"&amp;Y$5,Database!$A:$F,6,0),"")</f>
        <v/>
      </c>
      <c r="Z11" s="20" t="str">
        <f>IFERROR(VLOOKUP($A11&amp;"_"&amp;Z$5,Database!$A:$F,6,0),"")</f>
        <v/>
      </c>
      <c r="AA11" s="20" t="str">
        <f>IFERROR(VLOOKUP($A11&amp;"_"&amp;AA$5,Database!$A:$F,6,0),"")</f>
        <v/>
      </c>
      <c r="AB11" s="20" t="str">
        <f>IFERROR(VLOOKUP($A11&amp;"_"&amp;AB$5,Database!$A:$F,6,0),"")</f>
        <v/>
      </c>
      <c r="AC11" s="20" t="str">
        <f>IFERROR(VLOOKUP($A11&amp;"_"&amp;AC$5,Database!$A:$F,6,0),"")</f>
        <v/>
      </c>
      <c r="AD11" s="20" t="str">
        <f>IFERROR(VLOOKUP($A11&amp;"_"&amp;AD$5,Database!$A:$F,6,0),"")</f>
        <v/>
      </c>
      <c r="AE11" s="20" t="str">
        <f>IFERROR(VLOOKUP($A11&amp;"_"&amp;AE$5,Database!$A:$F,6,0),"")</f>
        <v/>
      </c>
      <c r="AF11" s="20" t="str">
        <f>IFERROR(VLOOKUP($A11&amp;"_"&amp;AF$5,Database!$A:$F,6,0),"")</f>
        <v/>
      </c>
      <c r="AG11" s="20" t="str">
        <f>IFERROR(VLOOKUP($A11&amp;"_"&amp;AG$5,Database!$A:$F,6,0),"")</f>
        <v/>
      </c>
      <c r="AH11" s="20" t="str">
        <f>IFERROR(VLOOKUP($A11&amp;"_"&amp;AH$5,Database!$A:$F,6,0),"")</f>
        <v/>
      </c>
      <c r="AI11" s="20" t="str">
        <f>IFERROR(VLOOKUP($A11&amp;"_"&amp;AI$5,Database!$A:$F,6,0),"")</f>
        <v/>
      </c>
      <c r="AJ11" s="20" t="str">
        <f>IFERROR(VLOOKUP($A11&amp;"_"&amp;AJ$5,Database!$A:$F,6,0),"")</f>
        <v/>
      </c>
      <c r="AK11" s="20" t="str">
        <f>IFERROR(VLOOKUP($A11&amp;"_"&amp;AK$5,Database!$A:$F,6,0),"")</f>
        <v/>
      </c>
    </row>
    <row r="12" spans="1:37" x14ac:dyDescent="0.2">
      <c r="A12" s="17">
        <f>IF('Employee Master'!A8="","",'Employee Master'!A8)</f>
        <v>10007</v>
      </c>
      <c r="B12" s="18" t="str">
        <f>IF('Employee Master'!B8="","",'Employee Master'!B8)</f>
        <v>ernest.hunter</v>
      </c>
      <c r="C12" s="18" t="str">
        <f>IF('Employee Master'!C8="","",'Employee Master'!C8)</f>
        <v>Wave-66</v>
      </c>
      <c r="D12" s="19">
        <f t="shared" si="1"/>
        <v>0</v>
      </c>
      <c r="E12" s="19">
        <f t="shared" si="2"/>
        <v>0</v>
      </c>
      <c r="F12" s="19">
        <f t="shared" si="3"/>
        <v>0</v>
      </c>
      <c r="G12" s="20" t="str">
        <f>IFERROR(VLOOKUP($A12&amp;"_"&amp;G$5,Database!$A:$F,6,0),"")</f>
        <v/>
      </c>
      <c r="H12" s="20" t="str">
        <f>IFERROR(VLOOKUP($A12&amp;"_"&amp;H$5,Database!$A:$F,6,0),"")</f>
        <v/>
      </c>
      <c r="I12" s="20" t="str">
        <f>IFERROR(VLOOKUP($A12&amp;"_"&amp;I$5,Database!$A:$F,6,0),"")</f>
        <v/>
      </c>
      <c r="J12" s="20" t="str">
        <f>IFERROR(VLOOKUP($A12&amp;"_"&amp;J$5,Database!$A:$F,6,0),"")</f>
        <v/>
      </c>
      <c r="K12" s="20" t="str">
        <f>IFERROR(VLOOKUP($A12&amp;"_"&amp;K$5,Database!$A:$F,6,0),"")</f>
        <v/>
      </c>
      <c r="L12" s="20" t="str">
        <f>IFERROR(VLOOKUP($A12&amp;"_"&amp;L$5,Database!$A:$F,6,0),"")</f>
        <v/>
      </c>
      <c r="M12" s="20" t="str">
        <f>IFERROR(VLOOKUP($A12&amp;"_"&amp;M$5,Database!$A:$F,6,0),"")</f>
        <v/>
      </c>
      <c r="N12" s="20" t="str">
        <f>IFERROR(VLOOKUP($A12&amp;"_"&amp;N$5,Database!$A:$F,6,0),"")</f>
        <v/>
      </c>
      <c r="O12" s="20" t="str">
        <f>IFERROR(VLOOKUP($A12&amp;"_"&amp;O$5,Database!$A:$F,6,0),"")</f>
        <v/>
      </c>
      <c r="P12" s="20" t="str">
        <f>IFERROR(VLOOKUP($A12&amp;"_"&amp;P$5,Database!$A:$F,6,0),"")</f>
        <v/>
      </c>
      <c r="Q12" s="20" t="str">
        <f>IFERROR(VLOOKUP($A12&amp;"_"&amp;Q$5,Database!$A:$F,6,0),"")</f>
        <v/>
      </c>
      <c r="R12" s="20" t="str">
        <f>IFERROR(VLOOKUP($A12&amp;"_"&amp;R$5,Database!$A:$F,6,0),"")</f>
        <v/>
      </c>
      <c r="S12" s="20" t="str">
        <f>IFERROR(VLOOKUP($A12&amp;"_"&amp;S$5,Database!$A:$F,6,0),"")</f>
        <v/>
      </c>
      <c r="T12" s="20" t="str">
        <f>IFERROR(VLOOKUP($A12&amp;"_"&amp;T$5,Database!$A:$F,6,0),"")</f>
        <v/>
      </c>
      <c r="U12" s="20" t="str">
        <f>IFERROR(VLOOKUP($A12&amp;"_"&amp;U$5,Database!$A:$F,6,0),"")</f>
        <v/>
      </c>
      <c r="V12" s="20" t="str">
        <f>IFERROR(VLOOKUP($A12&amp;"_"&amp;V$5,Database!$A:$F,6,0),"")</f>
        <v/>
      </c>
      <c r="W12" s="20" t="str">
        <f>IFERROR(VLOOKUP($A12&amp;"_"&amp;W$5,Database!$A:$F,6,0),"")</f>
        <v/>
      </c>
      <c r="X12" s="20" t="str">
        <f>IFERROR(VLOOKUP($A12&amp;"_"&amp;X$5,Database!$A:$F,6,0),"")</f>
        <v/>
      </c>
      <c r="Y12" s="20" t="str">
        <f>IFERROR(VLOOKUP($A12&amp;"_"&amp;Y$5,Database!$A:$F,6,0),"")</f>
        <v/>
      </c>
      <c r="Z12" s="20" t="str">
        <f>IFERROR(VLOOKUP($A12&amp;"_"&amp;Z$5,Database!$A:$F,6,0),"")</f>
        <v/>
      </c>
      <c r="AA12" s="20" t="str">
        <f>IFERROR(VLOOKUP($A12&amp;"_"&amp;AA$5,Database!$A:$F,6,0),"")</f>
        <v/>
      </c>
      <c r="AB12" s="20" t="str">
        <f>IFERROR(VLOOKUP($A12&amp;"_"&amp;AB$5,Database!$A:$F,6,0),"")</f>
        <v/>
      </c>
      <c r="AC12" s="20" t="str">
        <f>IFERROR(VLOOKUP($A12&amp;"_"&amp;AC$5,Database!$A:$F,6,0),"")</f>
        <v/>
      </c>
      <c r="AD12" s="20" t="str">
        <f>IFERROR(VLOOKUP($A12&amp;"_"&amp;AD$5,Database!$A:$F,6,0),"")</f>
        <v/>
      </c>
      <c r="AE12" s="20" t="str">
        <f>IFERROR(VLOOKUP($A12&amp;"_"&amp;AE$5,Database!$A:$F,6,0),"")</f>
        <v/>
      </c>
      <c r="AF12" s="20" t="str">
        <f>IFERROR(VLOOKUP($A12&amp;"_"&amp;AF$5,Database!$A:$F,6,0),"")</f>
        <v/>
      </c>
      <c r="AG12" s="20" t="str">
        <f>IFERROR(VLOOKUP($A12&amp;"_"&amp;AG$5,Database!$A:$F,6,0),"")</f>
        <v/>
      </c>
      <c r="AH12" s="20" t="str">
        <f>IFERROR(VLOOKUP($A12&amp;"_"&amp;AH$5,Database!$A:$F,6,0),"")</f>
        <v/>
      </c>
      <c r="AI12" s="20" t="str">
        <f>IFERROR(VLOOKUP($A12&amp;"_"&amp;AI$5,Database!$A:$F,6,0),"")</f>
        <v/>
      </c>
      <c r="AJ12" s="20" t="str">
        <f>IFERROR(VLOOKUP($A12&amp;"_"&amp;AJ$5,Database!$A:$F,6,0),"")</f>
        <v/>
      </c>
      <c r="AK12" s="20" t="str">
        <f>IFERROR(VLOOKUP($A12&amp;"_"&amp;AK$5,Database!$A:$F,6,0),"")</f>
        <v/>
      </c>
    </row>
    <row r="13" spans="1:37" x14ac:dyDescent="0.2">
      <c r="A13" s="17">
        <f>IF('Employee Master'!A9="","",'Employee Master'!A9)</f>
        <v>10008</v>
      </c>
      <c r="B13" s="18" t="str">
        <f>IF('Employee Master'!B9="","",'Employee Master'!B9)</f>
        <v>irene.davison</v>
      </c>
      <c r="C13" s="18" t="str">
        <f>IF('Employee Master'!C9="","",'Employee Master'!C9)</f>
        <v>Wave-66</v>
      </c>
      <c r="D13" s="19">
        <f t="shared" si="1"/>
        <v>0</v>
      </c>
      <c r="E13" s="19">
        <f t="shared" si="2"/>
        <v>0</v>
      </c>
      <c r="F13" s="19">
        <f t="shared" si="3"/>
        <v>0</v>
      </c>
      <c r="G13" s="20" t="str">
        <f>IFERROR(VLOOKUP($A13&amp;"_"&amp;G$5,Database!$A:$F,6,0),"")</f>
        <v/>
      </c>
      <c r="H13" s="20" t="str">
        <f>IFERROR(VLOOKUP($A13&amp;"_"&amp;H$5,Database!$A:$F,6,0),"")</f>
        <v/>
      </c>
      <c r="I13" s="20" t="str">
        <f>IFERROR(VLOOKUP($A13&amp;"_"&amp;I$5,Database!$A:$F,6,0),"")</f>
        <v/>
      </c>
      <c r="J13" s="20" t="str">
        <f>IFERROR(VLOOKUP($A13&amp;"_"&amp;J$5,Database!$A:$F,6,0),"")</f>
        <v/>
      </c>
      <c r="K13" s="20" t="str">
        <f>IFERROR(VLOOKUP($A13&amp;"_"&amp;K$5,Database!$A:$F,6,0),"")</f>
        <v/>
      </c>
      <c r="L13" s="20" t="str">
        <f>IFERROR(VLOOKUP($A13&amp;"_"&amp;L$5,Database!$A:$F,6,0),"")</f>
        <v/>
      </c>
      <c r="M13" s="20" t="str">
        <f>IFERROR(VLOOKUP($A13&amp;"_"&amp;M$5,Database!$A:$F,6,0),"")</f>
        <v/>
      </c>
      <c r="N13" s="20" t="str">
        <f>IFERROR(VLOOKUP($A13&amp;"_"&amp;N$5,Database!$A:$F,6,0),"")</f>
        <v/>
      </c>
      <c r="O13" s="20" t="str">
        <f>IFERROR(VLOOKUP($A13&amp;"_"&amp;O$5,Database!$A:$F,6,0),"")</f>
        <v/>
      </c>
      <c r="P13" s="20" t="str">
        <f>IFERROR(VLOOKUP($A13&amp;"_"&amp;P$5,Database!$A:$F,6,0),"")</f>
        <v/>
      </c>
      <c r="Q13" s="20" t="str">
        <f>IFERROR(VLOOKUP($A13&amp;"_"&amp;Q$5,Database!$A:$F,6,0),"")</f>
        <v/>
      </c>
      <c r="R13" s="20" t="str">
        <f>IFERROR(VLOOKUP($A13&amp;"_"&amp;R$5,Database!$A:$F,6,0),"")</f>
        <v/>
      </c>
      <c r="S13" s="20" t="str">
        <f>IFERROR(VLOOKUP($A13&amp;"_"&amp;S$5,Database!$A:$F,6,0),"")</f>
        <v/>
      </c>
      <c r="T13" s="20" t="str">
        <f>IFERROR(VLOOKUP($A13&amp;"_"&amp;T$5,Database!$A:$F,6,0),"")</f>
        <v/>
      </c>
      <c r="U13" s="20" t="str">
        <f>IFERROR(VLOOKUP($A13&amp;"_"&amp;U$5,Database!$A:$F,6,0),"")</f>
        <v/>
      </c>
      <c r="V13" s="20" t="str">
        <f>IFERROR(VLOOKUP($A13&amp;"_"&amp;V$5,Database!$A:$F,6,0),"")</f>
        <v/>
      </c>
      <c r="W13" s="20" t="str">
        <f>IFERROR(VLOOKUP($A13&amp;"_"&amp;W$5,Database!$A:$F,6,0),"")</f>
        <v/>
      </c>
      <c r="X13" s="20" t="str">
        <f>IFERROR(VLOOKUP($A13&amp;"_"&amp;X$5,Database!$A:$F,6,0),"")</f>
        <v/>
      </c>
      <c r="Y13" s="20" t="str">
        <f>IFERROR(VLOOKUP($A13&amp;"_"&amp;Y$5,Database!$A:$F,6,0),"")</f>
        <v/>
      </c>
      <c r="Z13" s="20" t="str">
        <f>IFERROR(VLOOKUP($A13&amp;"_"&amp;Z$5,Database!$A:$F,6,0),"")</f>
        <v/>
      </c>
      <c r="AA13" s="20" t="str">
        <f>IFERROR(VLOOKUP($A13&amp;"_"&amp;AA$5,Database!$A:$F,6,0),"")</f>
        <v/>
      </c>
      <c r="AB13" s="20" t="str">
        <f>IFERROR(VLOOKUP($A13&amp;"_"&amp;AB$5,Database!$A:$F,6,0),"")</f>
        <v/>
      </c>
      <c r="AC13" s="20" t="str">
        <f>IFERROR(VLOOKUP($A13&amp;"_"&amp;AC$5,Database!$A:$F,6,0),"")</f>
        <v/>
      </c>
      <c r="AD13" s="20" t="str">
        <f>IFERROR(VLOOKUP($A13&amp;"_"&amp;AD$5,Database!$A:$F,6,0),"")</f>
        <v/>
      </c>
      <c r="AE13" s="20" t="str">
        <f>IFERROR(VLOOKUP($A13&amp;"_"&amp;AE$5,Database!$A:$F,6,0),"")</f>
        <v/>
      </c>
      <c r="AF13" s="20" t="str">
        <f>IFERROR(VLOOKUP($A13&amp;"_"&amp;AF$5,Database!$A:$F,6,0),"")</f>
        <v/>
      </c>
      <c r="AG13" s="20" t="str">
        <f>IFERROR(VLOOKUP($A13&amp;"_"&amp;AG$5,Database!$A:$F,6,0),"")</f>
        <v/>
      </c>
      <c r="AH13" s="20" t="str">
        <f>IFERROR(VLOOKUP($A13&amp;"_"&amp;AH$5,Database!$A:$F,6,0),"")</f>
        <v/>
      </c>
      <c r="AI13" s="20" t="str">
        <f>IFERROR(VLOOKUP($A13&amp;"_"&amp;AI$5,Database!$A:$F,6,0),"")</f>
        <v/>
      </c>
      <c r="AJ13" s="20" t="str">
        <f>IFERROR(VLOOKUP($A13&amp;"_"&amp;AJ$5,Database!$A:$F,6,0),"")</f>
        <v/>
      </c>
      <c r="AK13" s="20" t="str">
        <f>IFERROR(VLOOKUP($A13&amp;"_"&amp;AK$5,Database!$A:$F,6,0),"")</f>
        <v/>
      </c>
    </row>
    <row r="14" spans="1:37" x14ac:dyDescent="0.2">
      <c r="A14" s="17">
        <f>IF('Employee Master'!A10="","",'Employee Master'!A10)</f>
        <v>10009</v>
      </c>
      <c r="B14" s="18" t="str">
        <f>IF('Employee Master'!B10="","",'Employee Master'!B10)</f>
        <v>irene.hurtado</v>
      </c>
      <c r="C14" s="18" t="str">
        <f>IF('Employee Master'!C10="","",'Employee Master'!C10)</f>
        <v>Wave-66</v>
      </c>
      <c r="D14" s="19">
        <f t="shared" si="1"/>
        <v>0</v>
      </c>
      <c r="E14" s="19">
        <f t="shared" si="2"/>
        <v>0</v>
      </c>
      <c r="F14" s="19">
        <f t="shared" si="3"/>
        <v>0</v>
      </c>
      <c r="G14" s="20" t="str">
        <f>IFERROR(VLOOKUP($A14&amp;"_"&amp;G$5,Database!$A:$F,6,0),"")</f>
        <v/>
      </c>
      <c r="H14" s="20" t="str">
        <f>IFERROR(VLOOKUP($A14&amp;"_"&amp;H$5,Database!$A:$F,6,0),"")</f>
        <v/>
      </c>
      <c r="I14" s="20" t="str">
        <f>IFERROR(VLOOKUP($A14&amp;"_"&amp;I$5,Database!$A:$F,6,0),"")</f>
        <v/>
      </c>
      <c r="J14" s="20" t="str">
        <f>IFERROR(VLOOKUP($A14&amp;"_"&amp;J$5,Database!$A:$F,6,0),"")</f>
        <v/>
      </c>
      <c r="K14" s="20" t="str">
        <f>IFERROR(VLOOKUP($A14&amp;"_"&amp;K$5,Database!$A:$F,6,0),"")</f>
        <v/>
      </c>
      <c r="L14" s="20" t="str">
        <f>IFERROR(VLOOKUP($A14&amp;"_"&amp;L$5,Database!$A:$F,6,0),"")</f>
        <v/>
      </c>
      <c r="M14" s="20" t="str">
        <f>IFERROR(VLOOKUP($A14&amp;"_"&amp;M$5,Database!$A:$F,6,0),"")</f>
        <v/>
      </c>
      <c r="N14" s="20" t="str">
        <f>IFERROR(VLOOKUP($A14&amp;"_"&amp;N$5,Database!$A:$F,6,0),"")</f>
        <v/>
      </c>
      <c r="O14" s="20" t="str">
        <f>IFERROR(VLOOKUP($A14&amp;"_"&amp;O$5,Database!$A:$F,6,0),"")</f>
        <v/>
      </c>
      <c r="P14" s="20" t="str">
        <f>IFERROR(VLOOKUP($A14&amp;"_"&amp;P$5,Database!$A:$F,6,0),"")</f>
        <v/>
      </c>
      <c r="Q14" s="20" t="str">
        <f>IFERROR(VLOOKUP($A14&amp;"_"&amp;Q$5,Database!$A:$F,6,0),"")</f>
        <v/>
      </c>
      <c r="R14" s="20" t="str">
        <f>IFERROR(VLOOKUP($A14&amp;"_"&amp;R$5,Database!$A:$F,6,0),"")</f>
        <v/>
      </c>
      <c r="S14" s="20" t="str">
        <f>IFERROR(VLOOKUP($A14&amp;"_"&amp;S$5,Database!$A:$F,6,0),"")</f>
        <v/>
      </c>
      <c r="T14" s="20" t="str">
        <f>IFERROR(VLOOKUP($A14&amp;"_"&amp;T$5,Database!$A:$F,6,0),"")</f>
        <v/>
      </c>
      <c r="U14" s="20" t="str">
        <f>IFERROR(VLOOKUP($A14&amp;"_"&amp;U$5,Database!$A:$F,6,0),"")</f>
        <v/>
      </c>
      <c r="V14" s="20" t="str">
        <f>IFERROR(VLOOKUP($A14&amp;"_"&amp;V$5,Database!$A:$F,6,0),"")</f>
        <v/>
      </c>
      <c r="W14" s="20" t="str">
        <f>IFERROR(VLOOKUP($A14&amp;"_"&amp;W$5,Database!$A:$F,6,0),"")</f>
        <v/>
      </c>
      <c r="X14" s="20" t="str">
        <f>IFERROR(VLOOKUP($A14&amp;"_"&amp;X$5,Database!$A:$F,6,0),"")</f>
        <v/>
      </c>
      <c r="Y14" s="20" t="str">
        <f>IFERROR(VLOOKUP($A14&amp;"_"&amp;Y$5,Database!$A:$F,6,0),"")</f>
        <v/>
      </c>
      <c r="Z14" s="20" t="str">
        <f>IFERROR(VLOOKUP($A14&amp;"_"&amp;Z$5,Database!$A:$F,6,0),"")</f>
        <v/>
      </c>
      <c r="AA14" s="20" t="str">
        <f>IFERROR(VLOOKUP($A14&amp;"_"&amp;AA$5,Database!$A:$F,6,0),"")</f>
        <v/>
      </c>
      <c r="AB14" s="20" t="str">
        <f>IFERROR(VLOOKUP($A14&amp;"_"&amp;AB$5,Database!$A:$F,6,0),"")</f>
        <v/>
      </c>
      <c r="AC14" s="20" t="str">
        <f>IFERROR(VLOOKUP($A14&amp;"_"&amp;AC$5,Database!$A:$F,6,0),"")</f>
        <v/>
      </c>
      <c r="AD14" s="20" t="str">
        <f>IFERROR(VLOOKUP($A14&amp;"_"&amp;AD$5,Database!$A:$F,6,0),"")</f>
        <v/>
      </c>
      <c r="AE14" s="20" t="str">
        <f>IFERROR(VLOOKUP($A14&amp;"_"&amp;AE$5,Database!$A:$F,6,0),"")</f>
        <v/>
      </c>
      <c r="AF14" s="20" t="str">
        <f>IFERROR(VLOOKUP($A14&amp;"_"&amp;AF$5,Database!$A:$F,6,0),"")</f>
        <v/>
      </c>
      <c r="AG14" s="20" t="str">
        <f>IFERROR(VLOOKUP($A14&amp;"_"&amp;AG$5,Database!$A:$F,6,0),"")</f>
        <v/>
      </c>
      <c r="AH14" s="20" t="str">
        <f>IFERROR(VLOOKUP($A14&amp;"_"&amp;AH$5,Database!$A:$F,6,0),"")</f>
        <v/>
      </c>
      <c r="AI14" s="20" t="str">
        <f>IFERROR(VLOOKUP($A14&amp;"_"&amp;AI$5,Database!$A:$F,6,0),"")</f>
        <v/>
      </c>
      <c r="AJ14" s="20" t="str">
        <f>IFERROR(VLOOKUP($A14&amp;"_"&amp;AJ$5,Database!$A:$F,6,0),"")</f>
        <v/>
      </c>
      <c r="AK14" s="20" t="str">
        <f>IFERROR(VLOOKUP($A14&amp;"_"&amp;AK$5,Database!$A:$F,6,0),"")</f>
        <v/>
      </c>
    </row>
    <row r="15" spans="1:37" x14ac:dyDescent="0.2">
      <c r="A15" s="17">
        <f>IF('Employee Master'!A11="","",'Employee Master'!A11)</f>
        <v>10010</v>
      </c>
      <c r="B15" s="18" t="str">
        <f>IF('Employee Master'!B11="","",'Employee Master'!B11)</f>
        <v>jacqueline.hope</v>
      </c>
      <c r="C15" s="18" t="str">
        <f>IF('Employee Master'!C11="","",'Employee Master'!C11)</f>
        <v>Wave-66</v>
      </c>
      <c r="D15" s="19">
        <f t="shared" si="1"/>
        <v>0</v>
      </c>
      <c r="E15" s="19">
        <f t="shared" si="2"/>
        <v>0</v>
      </c>
      <c r="F15" s="19">
        <f t="shared" si="3"/>
        <v>0</v>
      </c>
      <c r="G15" s="20" t="str">
        <f>IFERROR(VLOOKUP($A15&amp;"_"&amp;G$5,Database!$A:$F,6,0),"")</f>
        <v/>
      </c>
      <c r="H15" s="20" t="str">
        <f>IFERROR(VLOOKUP($A15&amp;"_"&amp;H$5,Database!$A:$F,6,0),"")</f>
        <v/>
      </c>
      <c r="I15" s="20" t="str">
        <f>IFERROR(VLOOKUP($A15&amp;"_"&amp;I$5,Database!$A:$F,6,0),"")</f>
        <v/>
      </c>
      <c r="J15" s="20" t="str">
        <f>IFERROR(VLOOKUP($A15&amp;"_"&amp;J$5,Database!$A:$F,6,0),"")</f>
        <v/>
      </c>
      <c r="K15" s="20" t="str">
        <f>IFERROR(VLOOKUP($A15&amp;"_"&amp;K$5,Database!$A:$F,6,0),"")</f>
        <v/>
      </c>
      <c r="L15" s="20" t="str">
        <f>IFERROR(VLOOKUP($A15&amp;"_"&amp;L$5,Database!$A:$F,6,0),"")</f>
        <v/>
      </c>
      <c r="M15" s="20" t="str">
        <f>IFERROR(VLOOKUP($A15&amp;"_"&amp;M$5,Database!$A:$F,6,0),"")</f>
        <v/>
      </c>
      <c r="N15" s="20" t="str">
        <f>IFERROR(VLOOKUP($A15&amp;"_"&amp;N$5,Database!$A:$F,6,0),"")</f>
        <v/>
      </c>
      <c r="O15" s="20" t="str">
        <f>IFERROR(VLOOKUP($A15&amp;"_"&amp;O$5,Database!$A:$F,6,0),"")</f>
        <v/>
      </c>
      <c r="P15" s="20" t="str">
        <f>IFERROR(VLOOKUP($A15&amp;"_"&amp;P$5,Database!$A:$F,6,0),"")</f>
        <v/>
      </c>
      <c r="Q15" s="20" t="str">
        <f>IFERROR(VLOOKUP($A15&amp;"_"&amp;Q$5,Database!$A:$F,6,0),"")</f>
        <v/>
      </c>
      <c r="R15" s="20" t="str">
        <f>IFERROR(VLOOKUP($A15&amp;"_"&amp;R$5,Database!$A:$F,6,0),"")</f>
        <v/>
      </c>
      <c r="S15" s="20" t="str">
        <f>IFERROR(VLOOKUP($A15&amp;"_"&amp;S$5,Database!$A:$F,6,0),"")</f>
        <v/>
      </c>
      <c r="T15" s="20" t="str">
        <f>IFERROR(VLOOKUP($A15&amp;"_"&amp;T$5,Database!$A:$F,6,0),"")</f>
        <v/>
      </c>
      <c r="U15" s="20" t="str">
        <f>IFERROR(VLOOKUP($A15&amp;"_"&amp;U$5,Database!$A:$F,6,0),"")</f>
        <v/>
      </c>
      <c r="V15" s="20" t="str">
        <f>IFERROR(VLOOKUP($A15&amp;"_"&amp;V$5,Database!$A:$F,6,0),"")</f>
        <v/>
      </c>
      <c r="W15" s="20" t="str">
        <f>IFERROR(VLOOKUP($A15&amp;"_"&amp;W$5,Database!$A:$F,6,0),"")</f>
        <v/>
      </c>
      <c r="X15" s="20" t="str">
        <f>IFERROR(VLOOKUP($A15&amp;"_"&amp;X$5,Database!$A:$F,6,0),"")</f>
        <v/>
      </c>
      <c r="Y15" s="20" t="str">
        <f>IFERROR(VLOOKUP($A15&amp;"_"&amp;Y$5,Database!$A:$F,6,0),"")</f>
        <v/>
      </c>
      <c r="Z15" s="20" t="str">
        <f>IFERROR(VLOOKUP($A15&amp;"_"&amp;Z$5,Database!$A:$F,6,0),"")</f>
        <v/>
      </c>
      <c r="AA15" s="20" t="str">
        <f>IFERROR(VLOOKUP($A15&amp;"_"&amp;AA$5,Database!$A:$F,6,0),"")</f>
        <v/>
      </c>
      <c r="AB15" s="20" t="str">
        <f>IFERROR(VLOOKUP($A15&amp;"_"&amp;AB$5,Database!$A:$F,6,0),"")</f>
        <v/>
      </c>
      <c r="AC15" s="20" t="str">
        <f>IFERROR(VLOOKUP($A15&amp;"_"&amp;AC$5,Database!$A:$F,6,0),"")</f>
        <v/>
      </c>
      <c r="AD15" s="20" t="str">
        <f>IFERROR(VLOOKUP($A15&amp;"_"&amp;AD$5,Database!$A:$F,6,0),"")</f>
        <v/>
      </c>
      <c r="AE15" s="20" t="str">
        <f>IFERROR(VLOOKUP($A15&amp;"_"&amp;AE$5,Database!$A:$F,6,0),"")</f>
        <v/>
      </c>
      <c r="AF15" s="20" t="str">
        <f>IFERROR(VLOOKUP($A15&amp;"_"&amp;AF$5,Database!$A:$F,6,0),"")</f>
        <v/>
      </c>
      <c r="AG15" s="20" t="str">
        <f>IFERROR(VLOOKUP($A15&amp;"_"&amp;AG$5,Database!$A:$F,6,0),"")</f>
        <v/>
      </c>
      <c r="AH15" s="20" t="str">
        <f>IFERROR(VLOOKUP($A15&amp;"_"&amp;AH$5,Database!$A:$F,6,0),"")</f>
        <v/>
      </c>
      <c r="AI15" s="20" t="str">
        <f>IFERROR(VLOOKUP($A15&amp;"_"&amp;AI$5,Database!$A:$F,6,0),"")</f>
        <v/>
      </c>
      <c r="AJ15" s="20" t="str">
        <f>IFERROR(VLOOKUP($A15&amp;"_"&amp;AJ$5,Database!$A:$F,6,0),"")</f>
        <v/>
      </c>
      <c r="AK15" s="20" t="str">
        <f>IFERROR(VLOOKUP($A15&amp;"_"&amp;AK$5,Database!$A:$F,6,0),"")</f>
        <v/>
      </c>
    </row>
    <row r="16" spans="1:37" x14ac:dyDescent="0.2">
      <c r="A16" s="17">
        <f>IF('Employee Master'!A12="","",'Employee Master'!A12)</f>
        <v>10011</v>
      </c>
      <c r="B16" s="18" t="str">
        <f>IF('Employee Master'!B12="","",'Employee Master'!B12)</f>
        <v>judy.gombert</v>
      </c>
      <c r="C16" s="18" t="str">
        <f>IF('Employee Master'!C12="","",'Employee Master'!C12)</f>
        <v>Wave-57</v>
      </c>
      <c r="D16" s="19">
        <f t="shared" si="1"/>
        <v>0</v>
      </c>
      <c r="E16" s="19">
        <f t="shared" si="2"/>
        <v>0</v>
      </c>
      <c r="F16" s="19">
        <f t="shared" si="3"/>
        <v>0</v>
      </c>
      <c r="G16" s="20" t="str">
        <f>IFERROR(VLOOKUP($A16&amp;"_"&amp;G$5,Database!$A:$F,6,0),"")</f>
        <v/>
      </c>
      <c r="H16" s="20" t="str">
        <f>IFERROR(VLOOKUP($A16&amp;"_"&amp;H$5,Database!$A:$F,6,0),"")</f>
        <v/>
      </c>
      <c r="I16" s="20" t="str">
        <f>IFERROR(VLOOKUP($A16&amp;"_"&amp;I$5,Database!$A:$F,6,0),"")</f>
        <v/>
      </c>
      <c r="J16" s="20" t="str">
        <f>IFERROR(VLOOKUP($A16&amp;"_"&amp;J$5,Database!$A:$F,6,0),"")</f>
        <v/>
      </c>
      <c r="K16" s="20" t="str">
        <f>IFERROR(VLOOKUP($A16&amp;"_"&amp;K$5,Database!$A:$F,6,0),"")</f>
        <v/>
      </c>
      <c r="L16" s="20" t="str">
        <f>IFERROR(VLOOKUP($A16&amp;"_"&amp;L$5,Database!$A:$F,6,0),"")</f>
        <v/>
      </c>
      <c r="M16" s="20" t="str">
        <f>IFERROR(VLOOKUP($A16&amp;"_"&amp;M$5,Database!$A:$F,6,0),"")</f>
        <v/>
      </c>
      <c r="N16" s="20" t="str">
        <f>IFERROR(VLOOKUP($A16&amp;"_"&amp;N$5,Database!$A:$F,6,0),"")</f>
        <v/>
      </c>
      <c r="O16" s="20" t="str">
        <f>IFERROR(VLOOKUP($A16&amp;"_"&amp;O$5,Database!$A:$F,6,0),"")</f>
        <v/>
      </c>
      <c r="P16" s="20" t="str">
        <f>IFERROR(VLOOKUP($A16&amp;"_"&amp;P$5,Database!$A:$F,6,0),"")</f>
        <v/>
      </c>
      <c r="Q16" s="20" t="str">
        <f>IFERROR(VLOOKUP($A16&amp;"_"&amp;Q$5,Database!$A:$F,6,0),"")</f>
        <v/>
      </c>
      <c r="R16" s="20" t="str">
        <f>IFERROR(VLOOKUP($A16&amp;"_"&amp;R$5,Database!$A:$F,6,0),"")</f>
        <v/>
      </c>
      <c r="S16" s="20" t="str">
        <f>IFERROR(VLOOKUP($A16&amp;"_"&amp;S$5,Database!$A:$F,6,0),"")</f>
        <v/>
      </c>
      <c r="T16" s="20" t="str">
        <f>IFERROR(VLOOKUP($A16&amp;"_"&amp;T$5,Database!$A:$F,6,0),"")</f>
        <v/>
      </c>
      <c r="U16" s="20" t="str">
        <f>IFERROR(VLOOKUP($A16&amp;"_"&amp;U$5,Database!$A:$F,6,0),"")</f>
        <v/>
      </c>
      <c r="V16" s="20" t="str">
        <f>IFERROR(VLOOKUP($A16&amp;"_"&amp;V$5,Database!$A:$F,6,0),"")</f>
        <v/>
      </c>
      <c r="W16" s="20" t="str">
        <f>IFERROR(VLOOKUP($A16&amp;"_"&amp;W$5,Database!$A:$F,6,0),"")</f>
        <v/>
      </c>
      <c r="X16" s="20" t="str">
        <f>IFERROR(VLOOKUP($A16&amp;"_"&amp;X$5,Database!$A:$F,6,0),"")</f>
        <v/>
      </c>
      <c r="Y16" s="20" t="str">
        <f>IFERROR(VLOOKUP($A16&amp;"_"&amp;Y$5,Database!$A:$F,6,0),"")</f>
        <v/>
      </c>
      <c r="Z16" s="20" t="str">
        <f>IFERROR(VLOOKUP($A16&amp;"_"&amp;Z$5,Database!$A:$F,6,0),"")</f>
        <v/>
      </c>
      <c r="AA16" s="20" t="str">
        <f>IFERROR(VLOOKUP($A16&amp;"_"&amp;AA$5,Database!$A:$F,6,0),"")</f>
        <v/>
      </c>
      <c r="AB16" s="20" t="str">
        <f>IFERROR(VLOOKUP($A16&amp;"_"&amp;AB$5,Database!$A:$F,6,0),"")</f>
        <v/>
      </c>
      <c r="AC16" s="20" t="str">
        <f>IFERROR(VLOOKUP($A16&amp;"_"&amp;AC$5,Database!$A:$F,6,0),"")</f>
        <v/>
      </c>
      <c r="AD16" s="20" t="str">
        <f>IFERROR(VLOOKUP($A16&amp;"_"&amp;AD$5,Database!$A:$F,6,0),"")</f>
        <v/>
      </c>
      <c r="AE16" s="20" t="str">
        <f>IFERROR(VLOOKUP($A16&amp;"_"&amp;AE$5,Database!$A:$F,6,0),"")</f>
        <v/>
      </c>
      <c r="AF16" s="20" t="str">
        <f>IFERROR(VLOOKUP($A16&amp;"_"&amp;AF$5,Database!$A:$F,6,0),"")</f>
        <v/>
      </c>
      <c r="AG16" s="20" t="str">
        <f>IFERROR(VLOOKUP($A16&amp;"_"&amp;AG$5,Database!$A:$F,6,0),"")</f>
        <v/>
      </c>
      <c r="AH16" s="20" t="str">
        <f>IFERROR(VLOOKUP($A16&amp;"_"&amp;AH$5,Database!$A:$F,6,0),"")</f>
        <v/>
      </c>
      <c r="AI16" s="20" t="str">
        <f>IFERROR(VLOOKUP($A16&amp;"_"&amp;AI$5,Database!$A:$F,6,0),"")</f>
        <v/>
      </c>
      <c r="AJ16" s="20" t="str">
        <f>IFERROR(VLOOKUP($A16&amp;"_"&amp;AJ$5,Database!$A:$F,6,0),"")</f>
        <v/>
      </c>
      <c r="AK16" s="20" t="str">
        <f>IFERROR(VLOOKUP($A16&amp;"_"&amp;AK$5,Database!$A:$F,6,0),"")</f>
        <v/>
      </c>
    </row>
    <row r="17" spans="1:37" x14ac:dyDescent="0.2">
      <c r="A17" s="17">
        <f>IF('Employee Master'!A13="","",'Employee Master'!A13)</f>
        <v>10012</v>
      </c>
      <c r="B17" s="18" t="str">
        <f>IF('Employee Master'!B13="","",'Employee Master'!B13)</f>
        <v>makaylin.baker</v>
      </c>
      <c r="C17" s="18" t="str">
        <f>IF('Employee Master'!C13="","",'Employee Master'!C13)</f>
        <v>Wave-56</v>
      </c>
      <c r="D17" s="19">
        <f t="shared" si="1"/>
        <v>0</v>
      </c>
      <c r="E17" s="19">
        <f t="shared" si="2"/>
        <v>0</v>
      </c>
      <c r="F17" s="19">
        <f t="shared" si="3"/>
        <v>0</v>
      </c>
      <c r="G17" s="20" t="str">
        <f>IFERROR(VLOOKUP($A17&amp;"_"&amp;G$5,Database!$A:$F,6,0),"")</f>
        <v/>
      </c>
      <c r="H17" s="20" t="str">
        <f>IFERROR(VLOOKUP($A17&amp;"_"&amp;H$5,Database!$A:$F,6,0),"")</f>
        <v/>
      </c>
      <c r="I17" s="20" t="str">
        <f>IFERROR(VLOOKUP($A17&amp;"_"&amp;I$5,Database!$A:$F,6,0),"")</f>
        <v/>
      </c>
      <c r="J17" s="20" t="str">
        <f>IFERROR(VLOOKUP($A17&amp;"_"&amp;J$5,Database!$A:$F,6,0),"")</f>
        <v/>
      </c>
      <c r="K17" s="20" t="str">
        <f>IFERROR(VLOOKUP($A17&amp;"_"&amp;K$5,Database!$A:$F,6,0),"")</f>
        <v/>
      </c>
      <c r="L17" s="20" t="str">
        <f>IFERROR(VLOOKUP($A17&amp;"_"&amp;L$5,Database!$A:$F,6,0),"")</f>
        <v/>
      </c>
      <c r="M17" s="20" t="str">
        <f>IFERROR(VLOOKUP($A17&amp;"_"&amp;M$5,Database!$A:$F,6,0),"")</f>
        <v/>
      </c>
      <c r="N17" s="20" t="str">
        <f>IFERROR(VLOOKUP($A17&amp;"_"&amp;N$5,Database!$A:$F,6,0),"")</f>
        <v/>
      </c>
      <c r="O17" s="20" t="str">
        <f>IFERROR(VLOOKUP($A17&amp;"_"&amp;O$5,Database!$A:$F,6,0),"")</f>
        <v/>
      </c>
      <c r="P17" s="20" t="str">
        <f>IFERROR(VLOOKUP($A17&amp;"_"&amp;P$5,Database!$A:$F,6,0),"")</f>
        <v/>
      </c>
      <c r="Q17" s="20" t="str">
        <f>IFERROR(VLOOKUP($A17&amp;"_"&amp;Q$5,Database!$A:$F,6,0),"")</f>
        <v/>
      </c>
      <c r="R17" s="20" t="str">
        <f>IFERROR(VLOOKUP($A17&amp;"_"&amp;R$5,Database!$A:$F,6,0),"")</f>
        <v/>
      </c>
      <c r="S17" s="20" t="str">
        <f>IFERROR(VLOOKUP($A17&amp;"_"&amp;S$5,Database!$A:$F,6,0),"")</f>
        <v/>
      </c>
      <c r="T17" s="20" t="str">
        <f>IFERROR(VLOOKUP($A17&amp;"_"&amp;T$5,Database!$A:$F,6,0),"")</f>
        <v/>
      </c>
      <c r="U17" s="20" t="str">
        <f>IFERROR(VLOOKUP($A17&amp;"_"&amp;U$5,Database!$A:$F,6,0),"")</f>
        <v/>
      </c>
      <c r="V17" s="20" t="str">
        <f>IFERROR(VLOOKUP($A17&amp;"_"&amp;V$5,Database!$A:$F,6,0),"")</f>
        <v/>
      </c>
      <c r="W17" s="20" t="str">
        <f>IFERROR(VLOOKUP($A17&amp;"_"&amp;W$5,Database!$A:$F,6,0),"")</f>
        <v/>
      </c>
      <c r="X17" s="20" t="str">
        <f>IFERROR(VLOOKUP($A17&amp;"_"&amp;X$5,Database!$A:$F,6,0),"")</f>
        <v/>
      </c>
      <c r="Y17" s="20" t="str">
        <f>IFERROR(VLOOKUP($A17&amp;"_"&amp;Y$5,Database!$A:$F,6,0),"")</f>
        <v/>
      </c>
      <c r="Z17" s="20" t="str">
        <f>IFERROR(VLOOKUP($A17&amp;"_"&amp;Z$5,Database!$A:$F,6,0),"")</f>
        <v/>
      </c>
      <c r="AA17" s="20" t="str">
        <f>IFERROR(VLOOKUP($A17&amp;"_"&amp;AA$5,Database!$A:$F,6,0),"")</f>
        <v/>
      </c>
      <c r="AB17" s="20" t="str">
        <f>IFERROR(VLOOKUP($A17&amp;"_"&amp;AB$5,Database!$A:$F,6,0),"")</f>
        <v/>
      </c>
      <c r="AC17" s="20" t="str">
        <f>IFERROR(VLOOKUP($A17&amp;"_"&amp;AC$5,Database!$A:$F,6,0),"")</f>
        <v/>
      </c>
      <c r="AD17" s="20" t="str">
        <f>IFERROR(VLOOKUP($A17&amp;"_"&amp;AD$5,Database!$A:$F,6,0),"")</f>
        <v/>
      </c>
      <c r="AE17" s="20" t="str">
        <f>IFERROR(VLOOKUP($A17&amp;"_"&amp;AE$5,Database!$A:$F,6,0),"")</f>
        <v/>
      </c>
      <c r="AF17" s="20" t="str">
        <f>IFERROR(VLOOKUP($A17&amp;"_"&amp;AF$5,Database!$A:$F,6,0),"")</f>
        <v/>
      </c>
      <c r="AG17" s="20" t="str">
        <f>IFERROR(VLOOKUP($A17&amp;"_"&amp;AG$5,Database!$A:$F,6,0),"")</f>
        <v/>
      </c>
      <c r="AH17" s="20" t="str">
        <f>IFERROR(VLOOKUP($A17&amp;"_"&amp;AH$5,Database!$A:$F,6,0),"")</f>
        <v/>
      </c>
      <c r="AI17" s="20" t="str">
        <f>IFERROR(VLOOKUP($A17&amp;"_"&amp;AI$5,Database!$A:$F,6,0),"")</f>
        <v/>
      </c>
      <c r="AJ17" s="20" t="str">
        <f>IFERROR(VLOOKUP($A17&amp;"_"&amp;AJ$5,Database!$A:$F,6,0),"")</f>
        <v/>
      </c>
      <c r="AK17" s="20" t="str">
        <f>IFERROR(VLOOKUP($A17&amp;"_"&amp;AK$5,Database!$A:$F,6,0),"")</f>
        <v/>
      </c>
    </row>
    <row r="18" spans="1:37" x14ac:dyDescent="0.2">
      <c r="A18" s="17">
        <f>IF('Employee Master'!A14="","",'Employee Master'!A14)</f>
        <v>10013</v>
      </c>
      <c r="B18" s="18" t="str">
        <f>IF('Employee Master'!B14="","",'Employee Master'!B14)</f>
        <v>naomi.bush</v>
      </c>
      <c r="C18" s="18" t="str">
        <f>IF('Employee Master'!C14="","",'Employee Master'!C14)</f>
        <v>Wave-56</v>
      </c>
      <c r="D18" s="19">
        <f t="shared" si="1"/>
        <v>0</v>
      </c>
      <c r="E18" s="19">
        <f t="shared" si="2"/>
        <v>0</v>
      </c>
      <c r="F18" s="19">
        <f t="shared" si="3"/>
        <v>0</v>
      </c>
      <c r="G18" s="20" t="str">
        <f>IFERROR(VLOOKUP($A18&amp;"_"&amp;G$5,Database!$A:$F,6,0),"")</f>
        <v/>
      </c>
      <c r="H18" s="20" t="str">
        <f>IFERROR(VLOOKUP($A18&amp;"_"&amp;H$5,Database!$A:$F,6,0),"")</f>
        <v/>
      </c>
      <c r="I18" s="20" t="str">
        <f>IFERROR(VLOOKUP($A18&amp;"_"&amp;I$5,Database!$A:$F,6,0),"")</f>
        <v/>
      </c>
      <c r="J18" s="20" t="str">
        <f>IFERROR(VLOOKUP($A18&amp;"_"&amp;J$5,Database!$A:$F,6,0),"")</f>
        <v/>
      </c>
      <c r="K18" s="20" t="str">
        <f>IFERROR(VLOOKUP($A18&amp;"_"&amp;K$5,Database!$A:$F,6,0),"")</f>
        <v/>
      </c>
      <c r="L18" s="20" t="str">
        <f>IFERROR(VLOOKUP($A18&amp;"_"&amp;L$5,Database!$A:$F,6,0),"")</f>
        <v/>
      </c>
      <c r="M18" s="20" t="str">
        <f>IFERROR(VLOOKUP($A18&amp;"_"&amp;M$5,Database!$A:$F,6,0),"")</f>
        <v/>
      </c>
      <c r="N18" s="20" t="str">
        <f>IFERROR(VLOOKUP($A18&amp;"_"&amp;N$5,Database!$A:$F,6,0),"")</f>
        <v/>
      </c>
      <c r="O18" s="20" t="str">
        <f>IFERROR(VLOOKUP($A18&amp;"_"&amp;O$5,Database!$A:$F,6,0),"")</f>
        <v/>
      </c>
      <c r="P18" s="20" t="str">
        <f>IFERROR(VLOOKUP($A18&amp;"_"&amp;P$5,Database!$A:$F,6,0),"")</f>
        <v/>
      </c>
      <c r="Q18" s="20" t="str">
        <f>IFERROR(VLOOKUP($A18&amp;"_"&amp;Q$5,Database!$A:$F,6,0),"")</f>
        <v/>
      </c>
      <c r="R18" s="20" t="str">
        <f>IFERROR(VLOOKUP($A18&amp;"_"&amp;R$5,Database!$A:$F,6,0),"")</f>
        <v/>
      </c>
      <c r="S18" s="20" t="str">
        <f>IFERROR(VLOOKUP($A18&amp;"_"&amp;S$5,Database!$A:$F,6,0),"")</f>
        <v/>
      </c>
      <c r="T18" s="20" t="str">
        <f>IFERROR(VLOOKUP($A18&amp;"_"&amp;T$5,Database!$A:$F,6,0),"")</f>
        <v/>
      </c>
      <c r="U18" s="20" t="str">
        <f>IFERROR(VLOOKUP($A18&amp;"_"&amp;U$5,Database!$A:$F,6,0),"")</f>
        <v/>
      </c>
      <c r="V18" s="20" t="str">
        <f>IFERROR(VLOOKUP($A18&amp;"_"&amp;V$5,Database!$A:$F,6,0),"")</f>
        <v/>
      </c>
      <c r="W18" s="20" t="str">
        <f>IFERROR(VLOOKUP($A18&amp;"_"&amp;W$5,Database!$A:$F,6,0),"")</f>
        <v/>
      </c>
      <c r="X18" s="20" t="str">
        <f>IFERROR(VLOOKUP($A18&amp;"_"&amp;X$5,Database!$A:$F,6,0),"")</f>
        <v/>
      </c>
      <c r="Y18" s="20" t="str">
        <f>IFERROR(VLOOKUP($A18&amp;"_"&amp;Y$5,Database!$A:$F,6,0),"")</f>
        <v/>
      </c>
      <c r="Z18" s="20" t="str">
        <f>IFERROR(VLOOKUP($A18&amp;"_"&amp;Z$5,Database!$A:$F,6,0),"")</f>
        <v/>
      </c>
      <c r="AA18" s="20" t="str">
        <f>IFERROR(VLOOKUP($A18&amp;"_"&amp;AA$5,Database!$A:$F,6,0),"")</f>
        <v/>
      </c>
      <c r="AB18" s="20" t="str">
        <f>IFERROR(VLOOKUP($A18&amp;"_"&amp;AB$5,Database!$A:$F,6,0),"")</f>
        <v/>
      </c>
      <c r="AC18" s="20" t="str">
        <f>IFERROR(VLOOKUP($A18&amp;"_"&amp;AC$5,Database!$A:$F,6,0),"")</f>
        <v/>
      </c>
      <c r="AD18" s="20" t="str">
        <f>IFERROR(VLOOKUP($A18&amp;"_"&amp;AD$5,Database!$A:$F,6,0),"")</f>
        <v/>
      </c>
      <c r="AE18" s="20" t="str">
        <f>IFERROR(VLOOKUP($A18&amp;"_"&amp;AE$5,Database!$A:$F,6,0),"")</f>
        <v/>
      </c>
      <c r="AF18" s="20" t="str">
        <f>IFERROR(VLOOKUP($A18&amp;"_"&amp;AF$5,Database!$A:$F,6,0),"")</f>
        <v/>
      </c>
      <c r="AG18" s="20" t="str">
        <f>IFERROR(VLOOKUP($A18&amp;"_"&amp;AG$5,Database!$A:$F,6,0),"")</f>
        <v/>
      </c>
      <c r="AH18" s="20" t="str">
        <f>IFERROR(VLOOKUP($A18&amp;"_"&amp;AH$5,Database!$A:$F,6,0),"")</f>
        <v/>
      </c>
      <c r="AI18" s="20" t="str">
        <f>IFERROR(VLOOKUP($A18&amp;"_"&amp;AI$5,Database!$A:$F,6,0),"")</f>
        <v/>
      </c>
      <c r="AJ18" s="20" t="str">
        <f>IFERROR(VLOOKUP($A18&amp;"_"&amp;AJ$5,Database!$A:$F,6,0),"")</f>
        <v/>
      </c>
      <c r="AK18" s="20" t="str">
        <f>IFERROR(VLOOKUP($A18&amp;"_"&amp;AK$5,Database!$A:$F,6,0),"")</f>
        <v/>
      </c>
    </row>
    <row r="19" spans="1:37" x14ac:dyDescent="0.2">
      <c r="A19" s="17">
        <f>IF('Employee Master'!A15="","",'Employee Master'!A15)</f>
        <v>10014</v>
      </c>
      <c r="B19" s="18" t="str">
        <f>IF('Employee Master'!B15="","",'Employee Master'!B15)</f>
        <v>opal.watson</v>
      </c>
      <c r="C19" s="18" t="str">
        <f>IF('Employee Master'!C15="","",'Employee Master'!C15)</f>
        <v>Wave-68</v>
      </c>
      <c r="D19" s="19">
        <f t="shared" si="1"/>
        <v>0</v>
      </c>
      <c r="E19" s="19">
        <f t="shared" si="2"/>
        <v>0</v>
      </c>
      <c r="F19" s="19">
        <f t="shared" si="3"/>
        <v>0</v>
      </c>
      <c r="G19" s="20" t="str">
        <f>IFERROR(VLOOKUP($A19&amp;"_"&amp;G$5,Database!$A:$F,6,0),"")</f>
        <v/>
      </c>
      <c r="H19" s="20" t="str">
        <f>IFERROR(VLOOKUP($A19&amp;"_"&amp;H$5,Database!$A:$F,6,0),"")</f>
        <v/>
      </c>
      <c r="I19" s="20" t="str">
        <f>IFERROR(VLOOKUP($A19&amp;"_"&amp;I$5,Database!$A:$F,6,0),"")</f>
        <v/>
      </c>
      <c r="J19" s="20" t="str">
        <f>IFERROR(VLOOKUP($A19&amp;"_"&amp;J$5,Database!$A:$F,6,0),"")</f>
        <v/>
      </c>
      <c r="K19" s="20" t="str">
        <f>IFERROR(VLOOKUP($A19&amp;"_"&amp;K$5,Database!$A:$F,6,0),"")</f>
        <v/>
      </c>
      <c r="L19" s="20" t="str">
        <f>IFERROR(VLOOKUP($A19&amp;"_"&amp;L$5,Database!$A:$F,6,0),"")</f>
        <v/>
      </c>
      <c r="M19" s="20" t="str">
        <f>IFERROR(VLOOKUP($A19&amp;"_"&amp;M$5,Database!$A:$F,6,0),"")</f>
        <v/>
      </c>
      <c r="N19" s="20" t="str">
        <f>IFERROR(VLOOKUP($A19&amp;"_"&amp;N$5,Database!$A:$F,6,0),"")</f>
        <v/>
      </c>
      <c r="O19" s="20" t="str">
        <f>IFERROR(VLOOKUP($A19&amp;"_"&amp;O$5,Database!$A:$F,6,0),"")</f>
        <v/>
      </c>
      <c r="P19" s="20" t="str">
        <f>IFERROR(VLOOKUP($A19&amp;"_"&amp;P$5,Database!$A:$F,6,0),"")</f>
        <v/>
      </c>
      <c r="Q19" s="20" t="str">
        <f>IFERROR(VLOOKUP($A19&amp;"_"&amp;Q$5,Database!$A:$F,6,0),"")</f>
        <v/>
      </c>
      <c r="R19" s="20" t="str">
        <f>IFERROR(VLOOKUP($A19&amp;"_"&amp;R$5,Database!$A:$F,6,0),"")</f>
        <v/>
      </c>
      <c r="S19" s="20" t="str">
        <f>IFERROR(VLOOKUP($A19&amp;"_"&amp;S$5,Database!$A:$F,6,0),"")</f>
        <v/>
      </c>
      <c r="T19" s="20" t="str">
        <f>IFERROR(VLOOKUP($A19&amp;"_"&amp;T$5,Database!$A:$F,6,0),"")</f>
        <v/>
      </c>
      <c r="U19" s="20" t="str">
        <f>IFERROR(VLOOKUP($A19&amp;"_"&amp;U$5,Database!$A:$F,6,0),"")</f>
        <v/>
      </c>
      <c r="V19" s="20" t="str">
        <f>IFERROR(VLOOKUP($A19&amp;"_"&amp;V$5,Database!$A:$F,6,0),"")</f>
        <v/>
      </c>
      <c r="W19" s="20" t="str">
        <f>IFERROR(VLOOKUP($A19&amp;"_"&amp;W$5,Database!$A:$F,6,0),"")</f>
        <v/>
      </c>
      <c r="X19" s="20" t="str">
        <f>IFERROR(VLOOKUP($A19&amp;"_"&amp;X$5,Database!$A:$F,6,0),"")</f>
        <v/>
      </c>
      <c r="Y19" s="20" t="str">
        <f>IFERROR(VLOOKUP($A19&amp;"_"&amp;Y$5,Database!$A:$F,6,0),"")</f>
        <v/>
      </c>
      <c r="Z19" s="20" t="str">
        <f>IFERROR(VLOOKUP($A19&amp;"_"&amp;Z$5,Database!$A:$F,6,0),"")</f>
        <v/>
      </c>
      <c r="AA19" s="20" t="str">
        <f>IFERROR(VLOOKUP($A19&amp;"_"&amp;AA$5,Database!$A:$F,6,0),"")</f>
        <v/>
      </c>
      <c r="AB19" s="20" t="str">
        <f>IFERROR(VLOOKUP($A19&amp;"_"&amp;AB$5,Database!$A:$F,6,0),"")</f>
        <v/>
      </c>
      <c r="AC19" s="20" t="str">
        <f>IFERROR(VLOOKUP($A19&amp;"_"&amp;AC$5,Database!$A:$F,6,0),"")</f>
        <v/>
      </c>
      <c r="AD19" s="20" t="str">
        <f>IFERROR(VLOOKUP($A19&amp;"_"&amp;AD$5,Database!$A:$F,6,0),"")</f>
        <v/>
      </c>
      <c r="AE19" s="20" t="str">
        <f>IFERROR(VLOOKUP($A19&amp;"_"&amp;AE$5,Database!$A:$F,6,0),"")</f>
        <v/>
      </c>
      <c r="AF19" s="20" t="str">
        <f>IFERROR(VLOOKUP($A19&amp;"_"&amp;AF$5,Database!$A:$F,6,0),"")</f>
        <v/>
      </c>
      <c r="AG19" s="20" t="str">
        <f>IFERROR(VLOOKUP($A19&amp;"_"&amp;AG$5,Database!$A:$F,6,0),"")</f>
        <v/>
      </c>
      <c r="AH19" s="20" t="str">
        <f>IFERROR(VLOOKUP($A19&amp;"_"&amp;AH$5,Database!$A:$F,6,0),"")</f>
        <v/>
      </c>
      <c r="AI19" s="20" t="str">
        <f>IFERROR(VLOOKUP($A19&amp;"_"&amp;AI$5,Database!$A:$F,6,0),"")</f>
        <v/>
      </c>
      <c r="AJ19" s="20" t="str">
        <f>IFERROR(VLOOKUP($A19&amp;"_"&amp;AJ$5,Database!$A:$F,6,0),"")</f>
        <v/>
      </c>
      <c r="AK19" s="20" t="str">
        <f>IFERROR(VLOOKUP($A19&amp;"_"&amp;AK$5,Database!$A:$F,6,0),"")</f>
        <v/>
      </c>
    </row>
    <row r="20" spans="1:37" x14ac:dyDescent="0.2">
      <c r="A20" s="17">
        <f>IF('Employee Master'!A16="","",'Employee Master'!A16)</f>
        <v>10015</v>
      </c>
      <c r="B20" s="18" t="str">
        <f>IF('Employee Master'!B16="","",'Employee Master'!B16)</f>
        <v>paris.fisher</v>
      </c>
      <c r="C20" s="18" t="str">
        <f>IF('Employee Master'!C16="","",'Employee Master'!C16)</f>
        <v>Wave-68</v>
      </c>
      <c r="D20" s="19">
        <f t="shared" si="1"/>
        <v>0</v>
      </c>
      <c r="E20" s="19">
        <f t="shared" si="2"/>
        <v>0</v>
      </c>
      <c r="F20" s="19">
        <f t="shared" si="3"/>
        <v>0</v>
      </c>
      <c r="G20" s="20" t="str">
        <f>IFERROR(VLOOKUP($A20&amp;"_"&amp;G$5,Database!$A:$F,6,0),"")</f>
        <v/>
      </c>
      <c r="H20" s="20" t="str">
        <f>IFERROR(VLOOKUP($A20&amp;"_"&amp;H$5,Database!$A:$F,6,0),"")</f>
        <v/>
      </c>
      <c r="I20" s="20" t="str">
        <f>IFERROR(VLOOKUP($A20&amp;"_"&amp;I$5,Database!$A:$F,6,0),"")</f>
        <v/>
      </c>
      <c r="J20" s="20" t="str">
        <f>IFERROR(VLOOKUP($A20&amp;"_"&amp;J$5,Database!$A:$F,6,0),"")</f>
        <v/>
      </c>
      <c r="K20" s="20" t="str">
        <f>IFERROR(VLOOKUP($A20&amp;"_"&amp;K$5,Database!$A:$F,6,0),"")</f>
        <v/>
      </c>
      <c r="L20" s="20" t="str">
        <f>IFERROR(VLOOKUP($A20&amp;"_"&amp;L$5,Database!$A:$F,6,0),"")</f>
        <v/>
      </c>
      <c r="M20" s="20" t="str">
        <f>IFERROR(VLOOKUP($A20&amp;"_"&amp;M$5,Database!$A:$F,6,0),"")</f>
        <v/>
      </c>
      <c r="N20" s="20" t="str">
        <f>IFERROR(VLOOKUP($A20&amp;"_"&amp;N$5,Database!$A:$F,6,0),"")</f>
        <v/>
      </c>
      <c r="O20" s="20" t="str">
        <f>IFERROR(VLOOKUP($A20&amp;"_"&amp;O$5,Database!$A:$F,6,0),"")</f>
        <v/>
      </c>
      <c r="P20" s="20" t="str">
        <f>IFERROR(VLOOKUP($A20&amp;"_"&amp;P$5,Database!$A:$F,6,0),"")</f>
        <v/>
      </c>
      <c r="Q20" s="20" t="str">
        <f>IFERROR(VLOOKUP($A20&amp;"_"&amp;Q$5,Database!$A:$F,6,0),"")</f>
        <v/>
      </c>
      <c r="R20" s="20" t="str">
        <f>IFERROR(VLOOKUP($A20&amp;"_"&amp;R$5,Database!$A:$F,6,0),"")</f>
        <v/>
      </c>
      <c r="S20" s="20" t="str">
        <f>IFERROR(VLOOKUP($A20&amp;"_"&amp;S$5,Database!$A:$F,6,0),"")</f>
        <v/>
      </c>
      <c r="T20" s="20" t="str">
        <f>IFERROR(VLOOKUP($A20&amp;"_"&amp;T$5,Database!$A:$F,6,0),"")</f>
        <v/>
      </c>
      <c r="U20" s="20" t="str">
        <f>IFERROR(VLOOKUP($A20&amp;"_"&amp;U$5,Database!$A:$F,6,0),"")</f>
        <v/>
      </c>
      <c r="V20" s="20" t="str">
        <f>IFERROR(VLOOKUP($A20&amp;"_"&amp;V$5,Database!$A:$F,6,0),"")</f>
        <v/>
      </c>
      <c r="W20" s="20" t="str">
        <f>IFERROR(VLOOKUP($A20&amp;"_"&amp;W$5,Database!$A:$F,6,0),"")</f>
        <v/>
      </c>
      <c r="X20" s="20" t="str">
        <f>IFERROR(VLOOKUP($A20&amp;"_"&amp;X$5,Database!$A:$F,6,0),"")</f>
        <v/>
      </c>
      <c r="Y20" s="20" t="str">
        <f>IFERROR(VLOOKUP($A20&amp;"_"&amp;Y$5,Database!$A:$F,6,0),"")</f>
        <v/>
      </c>
      <c r="Z20" s="20" t="str">
        <f>IFERROR(VLOOKUP($A20&amp;"_"&amp;Z$5,Database!$A:$F,6,0),"")</f>
        <v/>
      </c>
      <c r="AA20" s="20" t="str">
        <f>IFERROR(VLOOKUP($A20&amp;"_"&amp;AA$5,Database!$A:$F,6,0),"")</f>
        <v/>
      </c>
      <c r="AB20" s="20" t="str">
        <f>IFERROR(VLOOKUP($A20&amp;"_"&amp;AB$5,Database!$A:$F,6,0),"")</f>
        <v/>
      </c>
      <c r="AC20" s="20" t="str">
        <f>IFERROR(VLOOKUP($A20&amp;"_"&amp;AC$5,Database!$A:$F,6,0),"")</f>
        <v/>
      </c>
      <c r="AD20" s="20" t="str">
        <f>IFERROR(VLOOKUP($A20&amp;"_"&amp;AD$5,Database!$A:$F,6,0),"")</f>
        <v/>
      </c>
      <c r="AE20" s="20" t="str">
        <f>IFERROR(VLOOKUP($A20&amp;"_"&amp;AE$5,Database!$A:$F,6,0),"")</f>
        <v/>
      </c>
      <c r="AF20" s="20" t="str">
        <f>IFERROR(VLOOKUP($A20&amp;"_"&amp;AF$5,Database!$A:$F,6,0),"")</f>
        <v/>
      </c>
      <c r="AG20" s="20" t="str">
        <f>IFERROR(VLOOKUP($A20&amp;"_"&amp;AG$5,Database!$A:$F,6,0),"")</f>
        <v/>
      </c>
      <c r="AH20" s="20" t="str">
        <f>IFERROR(VLOOKUP($A20&amp;"_"&amp;AH$5,Database!$A:$F,6,0),"")</f>
        <v/>
      </c>
      <c r="AI20" s="20" t="str">
        <f>IFERROR(VLOOKUP($A20&amp;"_"&amp;AI$5,Database!$A:$F,6,0),"")</f>
        <v/>
      </c>
      <c r="AJ20" s="20" t="str">
        <f>IFERROR(VLOOKUP($A20&amp;"_"&amp;AJ$5,Database!$A:$F,6,0),"")</f>
        <v/>
      </c>
      <c r="AK20" s="20" t="str">
        <f>IFERROR(VLOOKUP($A20&amp;"_"&amp;AK$5,Database!$A:$F,6,0),"")</f>
        <v/>
      </c>
    </row>
    <row r="21" spans="1:37" x14ac:dyDescent="0.2">
      <c r="A21" s="17">
        <f>IF('Employee Master'!A17="","",'Employee Master'!A17)</f>
        <v>10015</v>
      </c>
      <c r="B21" s="18" t="str">
        <f>IF('Employee Master'!B17="","",'Employee Master'!B17)</f>
        <v>raledja.pruitt</v>
      </c>
      <c r="C21" s="18" t="str">
        <f>IF('Employee Master'!C17="","",'Employee Master'!C17)</f>
        <v>Wave-63</v>
      </c>
      <c r="D21" s="19">
        <f t="shared" ref="D21:D28" si="4">COUNTIF(G21:AK21,"P")</f>
        <v>0</v>
      </c>
      <c r="E21" s="19">
        <f t="shared" ref="E21:E28" si="5">COUNTIF(G21:AK21,"A")</f>
        <v>0</v>
      </c>
      <c r="F21" s="19">
        <f t="shared" si="3"/>
        <v>0</v>
      </c>
      <c r="G21" s="20" t="str">
        <f>IFERROR(VLOOKUP($A21&amp;"_"&amp;G$5,Database!$A:$F,6,0),"")</f>
        <v/>
      </c>
      <c r="H21" s="20" t="str">
        <f>IFERROR(VLOOKUP($A21&amp;"_"&amp;H$5,Database!$A:$F,6,0),"")</f>
        <v/>
      </c>
      <c r="I21" s="20" t="str">
        <f>IFERROR(VLOOKUP($A21&amp;"_"&amp;I$5,Database!$A:$F,6,0),"")</f>
        <v/>
      </c>
      <c r="J21" s="20" t="str">
        <f>IFERROR(VLOOKUP($A21&amp;"_"&amp;J$5,Database!$A:$F,6,0),"")</f>
        <v/>
      </c>
      <c r="K21" s="20" t="str">
        <f>IFERROR(VLOOKUP($A21&amp;"_"&amp;K$5,Database!$A:$F,6,0),"")</f>
        <v/>
      </c>
      <c r="L21" s="20" t="str">
        <f>IFERROR(VLOOKUP($A21&amp;"_"&amp;L$5,Database!$A:$F,6,0),"")</f>
        <v/>
      </c>
      <c r="M21" s="20" t="str">
        <f>IFERROR(VLOOKUP($A21&amp;"_"&amp;M$5,Database!$A:$F,6,0),"")</f>
        <v/>
      </c>
      <c r="N21" s="20" t="str">
        <f>IFERROR(VLOOKUP($A21&amp;"_"&amp;N$5,Database!$A:$F,6,0),"")</f>
        <v/>
      </c>
      <c r="O21" s="20" t="str">
        <f>IFERROR(VLOOKUP($A21&amp;"_"&amp;O$5,Database!$A:$F,6,0),"")</f>
        <v/>
      </c>
      <c r="P21" s="20" t="str">
        <f>IFERROR(VLOOKUP($A21&amp;"_"&amp;P$5,Database!$A:$F,6,0),"")</f>
        <v/>
      </c>
      <c r="Q21" s="20" t="str">
        <f>IFERROR(VLOOKUP($A21&amp;"_"&amp;Q$5,Database!$A:$F,6,0),"")</f>
        <v/>
      </c>
      <c r="R21" s="20" t="str">
        <f>IFERROR(VLOOKUP($A21&amp;"_"&amp;R$5,Database!$A:$F,6,0),"")</f>
        <v/>
      </c>
      <c r="S21" s="20" t="str">
        <f>IFERROR(VLOOKUP($A21&amp;"_"&amp;S$5,Database!$A:$F,6,0),"")</f>
        <v/>
      </c>
      <c r="T21" s="20" t="str">
        <f>IFERROR(VLOOKUP($A21&amp;"_"&amp;T$5,Database!$A:$F,6,0),"")</f>
        <v/>
      </c>
      <c r="U21" s="20" t="str">
        <f>IFERROR(VLOOKUP($A21&amp;"_"&amp;U$5,Database!$A:$F,6,0),"")</f>
        <v/>
      </c>
      <c r="V21" s="20" t="str">
        <f>IFERROR(VLOOKUP($A21&amp;"_"&amp;V$5,Database!$A:$F,6,0),"")</f>
        <v/>
      </c>
      <c r="W21" s="20" t="str">
        <f>IFERROR(VLOOKUP($A21&amp;"_"&amp;W$5,Database!$A:$F,6,0),"")</f>
        <v/>
      </c>
      <c r="X21" s="20" t="str">
        <f>IFERROR(VLOOKUP($A21&amp;"_"&amp;X$5,Database!$A:$F,6,0),"")</f>
        <v/>
      </c>
      <c r="Y21" s="20" t="str">
        <f>IFERROR(VLOOKUP($A21&amp;"_"&amp;Y$5,Database!$A:$F,6,0),"")</f>
        <v/>
      </c>
      <c r="Z21" s="20" t="str">
        <f>IFERROR(VLOOKUP($A21&amp;"_"&amp;Z$5,Database!$A:$F,6,0),"")</f>
        <v/>
      </c>
      <c r="AA21" s="20" t="str">
        <f>IFERROR(VLOOKUP($A21&amp;"_"&amp;AA$5,Database!$A:$F,6,0),"")</f>
        <v/>
      </c>
      <c r="AB21" s="20" t="str">
        <f>IFERROR(VLOOKUP($A21&amp;"_"&amp;AB$5,Database!$A:$F,6,0),"")</f>
        <v/>
      </c>
      <c r="AC21" s="20" t="str">
        <f>IFERROR(VLOOKUP($A21&amp;"_"&amp;AC$5,Database!$A:$F,6,0),"")</f>
        <v/>
      </c>
      <c r="AD21" s="20" t="str">
        <f>IFERROR(VLOOKUP($A21&amp;"_"&amp;AD$5,Database!$A:$F,6,0),"")</f>
        <v/>
      </c>
      <c r="AE21" s="20" t="str">
        <f>IFERROR(VLOOKUP($A21&amp;"_"&amp;AE$5,Database!$A:$F,6,0),"")</f>
        <v/>
      </c>
      <c r="AF21" s="20" t="str">
        <f>IFERROR(VLOOKUP($A21&amp;"_"&amp;AF$5,Database!$A:$F,6,0),"")</f>
        <v/>
      </c>
      <c r="AG21" s="20" t="str">
        <f>IFERROR(VLOOKUP($A21&amp;"_"&amp;AG$5,Database!$A:$F,6,0),"")</f>
        <v/>
      </c>
      <c r="AH21" s="20" t="str">
        <f>IFERROR(VLOOKUP($A21&amp;"_"&amp;AH$5,Database!$A:$F,6,0),"")</f>
        <v/>
      </c>
      <c r="AI21" s="20" t="str">
        <f>IFERROR(VLOOKUP($A21&amp;"_"&amp;AI$5,Database!$A:$F,6,0),"")</f>
        <v/>
      </c>
      <c r="AJ21" s="20" t="str">
        <f>IFERROR(VLOOKUP($A21&amp;"_"&amp;AJ$5,Database!$A:$F,6,0),"")</f>
        <v/>
      </c>
      <c r="AK21" s="20" t="str">
        <f>IFERROR(VLOOKUP($A21&amp;"_"&amp;AK$5,Database!$A:$F,6,0),"")</f>
        <v/>
      </c>
    </row>
    <row r="22" spans="1:37" x14ac:dyDescent="0.2">
      <c r="A22" s="17">
        <f>IF('Employee Master'!A18="","",'Employee Master'!A18)</f>
        <v>10015</v>
      </c>
      <c r="B22" s="18" t="str">
        <f>IF('Employee Master'!B18="","",'Employee Master'!B18)</f>
        <v>ramone.horst</v>
      </c>
      <c r="C22" s="18" t="str">
        <f>IF('Employee Master'!C18="","",'Employee Master'!C18)</f>
        <v>Wave-68</v>
      </c>
      <c r="D22" s="19">
        <f t="shared" si="4"/>
        <v>0</v>
      </c>
      <c r="E22" s="19">
        <f t="shared" si="5"/>
        <v>0</v>
      </c>
      <c r="F22" s="19">
        <f t="shared" si="3"/>
        <v>0</v>
      </c>
      <c r="G22" s="20" t="str">
        <f>IFERROR(VLOOKUP($A22&amp;"_"&amp;G$5,Database!$A:$F,6,0),"")</f>
        <v/>
      </c>
      <c r="H22" s="20" t="str">
        <f>IFERROR(VLOOKUP($A22&amp;"_"&amp;H$5,Database!$A:$F,6,0),"")</f>
        <v/>
      </c>
      <c r="I22" s="20" t="str">
        <f>IFERROR(VLOOKUP($A22&amp;"_"&amp;I$5,Database!$A:$F,6,0),"")</f>
        <v/>
      </c>
      <c r="J22" s="20" t="str">
        <f>IFERROR(VLOOKUP($A22&amp;"_"&amp;J$5,Database!$A:$F,6,0),"")</f>
        <v/>
      </c>
      <c r="K22" s="20" t="str">
        <f>IFERROR(VLOOKUP($A22&amp;"_"&amp;K$5,Database!$A:$F,6,0),"")</f>
        <v/>
      </c>
      <c r="L22" s="20" t="str">
        <f>IFERROR(VLOOKUP($A22&amp;"_"&amp;L$5,Database!$A:$F,6,0),"")</f>
        <v/>
      </c>
      <c r="M22" s="20" t="str">
        <f>IFERROR(VLOOKUP($A22&amp;"_"&amp;M$5,Database!$A:$F,6,0),"")</f>
        <v/>
      </c>
      <c r="N22" s="20" t="str">
        <f>IFERROR(VLOOKUP($A22&amp;"_"&amp;N$5,Database!$A:$F,6,0),"")</f>
        <v/>
      </c>
      <c r="O22" s="20" t="str">
        <f>IFERROR(VLOOKUP($A22&amp;"_"&amp;O$5,Database!$A:$F,6,0),"")</f>
        <v/>
      </c>
      <c r="P22" s="20" t="str">
        <f>IFERROR(VLOOKUP($A22&amp;"_"&amp;P$5,Database!$A:$F,6,0),"")</f>
        <v/>
      </c>
      <c r="Q22" s="20" t="str">
        <f>IFERROR(VLOOKUP($A22&amp;"_"&amp;Q$5,Database!$A:$F,6,0),"")</f>
        <v/>
      </c>
      <c r="R22" s="20" t="str">
        <f>IFERROR(VLOOKUP($A22&amp;"_"&amp;R$5,Database!$A:$F,6,0),"")</f>
        <v/>
      </c>
      <c r="S22" s="20" t="str">
        <f>IFERROR(VLOOKUP($A22&amp;"_"&amp;S$5,Database!$A:$F,6,0),"")</f>
        <v/>
      </c>
      <c r="T22" s="20" t="str">
        <f>IFERROR(VLOOKUP($A22&amp;"_"&amp;T$5,Database!$A:$F,6,0),"")</f>
        <v/>
      </c>
      <c r="U22" s="20" t="str">
        <f>IFERROR(VLOOKUP($A22&amp;"_"&amp;U$5,Database!$A:$F,6,0),"")</f>
        <v/>
      </c>
      <c r="V22" s="20" t="str">
        <f>IFERROR(VLOOKUP($A22&amp;"_"&amp;V$5,Database!$A:$F,6,0),"")</f>
        <v/>
      </c>
      <c r="W22" s="20" t="str">
        <f>IFERROR(VLOOKUP($A22&amp;"_"&amp;W$5,Database!$A:$F,6,0),"")</f>
        <v/>
      </c>
      <c r="X22" s="20" t="str">
        <f>IFERROR(VLOOKUP($A22&amp;"_"&amp;X$5,Database!$A:$F,6,0),"")</f>
        <v/>
      </c>
      <c r="Y22" s="20" t="str">
        <f>IFERROR(VLOOKUP($A22&amp;"_"&amp;Y$5,Database!$A:$F,6,0),"")</f>
        <v/>
      </c>
      <c r="Z22" s="20" t="str">
        <f>IFERROR(VLOOKUP($A22&amp;"_"&amp;Z$5,Database!$A:$F,6,0),"")</f>
        <v/>
      </c>
      <c r="AA22" s="20" t="str">
        <f>IFERROR(VLOOKUP($A22&amp;"_"&amp;AA$5,Database!$A:$F,6,0),"")</f>
        <v/>
      </c>
      <c r="AB22" s="20" t="str">
        <f>IFERROR(VLOOKUP($A22&amp;"_"&amp;AB$5,Database!$A:$F,6,0),"")</f>
        <v/>
      </c>
      <c r="AC22" s="20" t="str">
        <f>IFERROR(VLOOKUP($A22&amp;"_"&amp;AC$5,Database!$A:$F,6,0),"")</f>
        <v/>
      </c>
      <c r="AD22" s="20" t="str">
        <f>IFERROR(VLOOKUP($A22&amp;"_"&amp;AD$5,Database!$A:$F,6,0),"")</f>
        <v/>
      </c>
      <c r="AE22" s="20" t="str">
        <f>IFERROR(VLOOKUP($A22&amp;"_"&amp;AE$5,Database!$A:$F,6,0),"")</f>
        <v/>
      </c>
      <c r="AF22" s="20" t="str">
        <f>IFERROR(VLOOKUP($A22&amp;"_"&amp;AF$5,Database!$A:$F,6,0),"")</f>
        <v/>
      </c>
      <c r="AG22" s="20" t="str">
        <f>IFERROR(VLOOKUP($A22&amp;"_"&amp;AG$5,Database!$A:$F,6,0),"")</f>
        <v/>
      </c>
      <c r="AH22" s="20" t="str">
        <f>IFERROR(VLOOKUP($A22&amp;"_"&amp;AH$5,Database!$A:$F,6,0),"")</f>
        <v/>
      </c>
      <c r="AI22" s="20" t="str">
        <f>IFERROR(VLOOKUP($A22&amp;"_"&amp;AI$5,Database!$A:$F,6,0),"")</f>
        <v/>
      </c>
      <c r="AJ22" s="20" t="str">
        <f>IFERROR(VLOOKUP($A22&amp;"_"&amp;AJ$5,Database!$A:$F,6,0),"")</f>
        <v/>
      </c>
      <c r="AK22" s="20" t="str">
        <f>IFERROR(VLOOKUP($A22&amp;"_"&amp;AK$5,Database!$A:$F,6,0),"")</f>
        <v/>
      </c>
    </row>
    <row r="23" spans="1:37" x14ac:dyDescent="0.2">
      <c r="A23" s="17">
        <f>IF('Employee Master'!A19="","",'Employee Master'!A19)</f>
        <v>10015</v>
      </c>
      <c r="B23" s="18" t="str">
        <f>IF('Employee Master'!B19="","",'Employee Master'!B19)</f>
        <v>samara.elliott</v>
      </c>
      <c r="C23" s="18" t="str">
        <f>IF('Employee Master'!C19="","",'Employee Master'!C19)</f>
        <v>Wave-63</v>
      </c>
      <c r="D23" s="19">
        <f t="shared" si="4"/>
        <v>0</v>
      </c>
      <c r="E23" s="19">
        <f t="shared" si="5"/>
        <v>0</v>
      </c>
      <c r="F23" s="19">
        <f t="shared" si="3"/>
        <v>0</v>
      </c>
      <c r="G23" s="20" t="str">
        <f>IFERROR(VLOOKUP($A23&amp;"_"&amp;G$5,Database!$A:$F,6,0),"")</f>
        <v/>
      </c>
      <c r="H23" s="20" t="str">
        <f>IFERROR(VLOOKUP($A23&amp;"_"&amp;H$5,Database!$A:$F,6,0),"")</f>
        <v/>
      </c>
      <c r="I23" s="20" t="str">
        <f>IFERROR(VLOOKUP($A23&amp;"_"&amp;I$5,Database!$A:$F,6,0),"")</f>
        <v/>
      </c>
      <c r="J23" s="20" t="str">
        <f>IFERROR(VLOOKUP($A23&amp;"_"&amp;J$5,Database!$A:$F,6,0),"")</f>
        <v/>
      </c>
      <c r="K23" s="20" t="str">
        <f>IFERROR(VLOOKUP($A23&amp;"_"&amp;K$5,Database!$A:$F,6,0),"")</f>
        <v/>
      </c>
      <c r="L23" s="20" t="str">
        <f>IFERROR(VLOOKUP($A23&amp;"_"&amp;L$5,Database!$A:$F,6,0),"")</f>
        <v/>
      </c>
      <c r="M23" s="20" t="str">
        <f>IFERROR(VLOOKUP($A23&amp;"_"&amp;M$5,Database!$A:$F,6,0),"")</f>
        <v/>
      </c>
      <c r="N23" s="20" t="str">
        <f>IFERROR(VLOOKUP($A23&amp;"_"&amp;N$5,Database!$A:$F,6,0),"")</f>
        <v/>
      </c>
      <c r="O23" s="20" t="str">
        <f>IFERROR(VLOOKUP($A23&amp;"_"&amp;O$5,Database!$A:$F,6,0),"")</f>
        <v/>
      </c>
      <c r="P23" s="20" t="str">
        <f>IFERROR(VLOOKUP($A23&amp;"_"&amp;P$5,Database!$A:$F,6,0),"")</f>
        <v/>
      </c>
      <c r="Q23" s="20" t="str">
        <f>IFERROR(VLOOKUP($A23&amp;"_"&amp;Q$5,Database!$A:$F,6,0),"")</f>
        <v/>
      </c>
      <c r="R23" s="20" t="str">
        <f>IFERROR(VLOOKUP($A23&amp;"_"&amp;R$5,Database!$A:$F,6,0),"")</f>
        <v/>
      </c>
      <c r="S23" s="20" t="str">
        <f>IFERROR(VLOOKUP($A23&amp;"_"&amp;S$5,Database!$A:$F,6,0),"")</f>
        <v/>
      </c>
      <c r="T23" s="20" t="str">
        <f>IFERROR(VLOOKUP($A23&amp;"_"&amp;T$5,Database!$A:$F,6,0),"")</f>
        <v/>
      </c>
      <c r="U23" s="20" t="str">
        <f>IFERROR(VLOOKUP($A23&amp;"_"&amp;U$5,Database!$A:$F,6,0),"")</f>
        <v/>
      </c>
      <c r="V23" s="20" t="str">
        <f>IFERROR(VLOOKUP($A23&amp;"_"&amp;V$5,Database!$A:$F,6,0),"")</f>
        <v/>
      </c>
      <c r="W23" s="20" t="str">
        <f>IFERROR(VLOOKUP($A23&amp;"_"&amp;W$5,Database!$A:$F,6,0),"")</f>
        <v/>
      </c>
      <c r="X23" s="20" t="str">
        <f>IFERROR(VLOOKUP($A23&amp;"_"&amp;X$5,Database!$A:$F,6,0),"")</f>
        <v/>
      </c>
      <c r="Y23" s="20" t="str">
        <f>IFERROR(VLOOKUP($A23&amp;"_"&amp;Y$5,Database!$A:$F,6,0),"")</f>
        <v/>
      </c>
      <c r="Z23" s="20" t="str">
        <f>IFERROR(VLOOKUP($A23&amp;"_"&amp;Z$5,Database!$A:$F,6,0),"")</f>
        <v/>
      </c>
      <c r="AA23" s="20" t="str">
        <f>IFERROR(VLOOKUP($A23&amp;"_"&amp;AA$5,Database!$A:$F,6,0),"")</f>
        <v/>
      </c>
      <c r="AB23" s="20" t="str">
        <f>IFERROR(VLOOKUP($A23&amp;"_"&amp;AB$5,Database!$A:$F,6,0),"")</f>
        <v/>
      </c>
      <c r="AC23" s="20" t="str">
        <f>IFERROR(VLOOKUP($A23&amp;"_"&amp;AC$5,Database!$A:$F,6,0),"")</f>
        <v/>
      </c>
      <c r="AD23" s="20" t="str">
        <f>IFERROR(VLOOKUP($A23&amp;"_"&amp;AD$5,Database!$A:$F,6,0),"")</f>
        <v/>
      </c>
      <c r="AE23" s="20" t="str">
        <f>IFERROR(VLOOKUP($A23&amp;"_"&amp;AE$5,Database!$A:$F,6,0),"")</f>
        <v/>
      </c>
      <c r="AF23" s="20" t="str">
        <f>IFERROR(VLOOKUP($A23&amp;"_"&amp;AF$5,Database!$A:$F,6,0),"")</f>
        <v/>
      </c>
      <c r="AG23" s="20" t="str">
        <f>IFERROR(VLOOKUP($A23&amp;"_"&amp;AG$5,Database!$A:$F,6,0),"")</f>
        <v/>
      </c>
      <c r="AH23" s="20" t="str">
        <f>IFERROR(VLOOKUP($A23&amp;"_"&amp;AH$5,Database!$A:$F,6,0),"")</f>
        <v/>
      </c>
      <c r="AI23" s="20" t="str">
        <f>IFERROR(VLOOKUP($A23&amp;"_"&amp;AI$5,Database!$A:$F,6,0),"")</f>
        <v/>
      </c>
      <c r="AJ23" s="20" t="str">
        <f>IFERROR(VLOOKUP($A23&amp;"_"&amp;AJ$5,Database!$A:$F,6,0),"")</f>
        <v/>
      </c>
      <c r="AK23" s="20" t="str">
        <f>IFERROR(VLOOKUP($A23&amp;"_"&amp;AK$5,Database!$A:$F,6,0),"")</f>
        <v/>
      </c>
    </row>
    <row r="24" spans="1:37" x14ac:dyDescent="0.2">
      <c r="A24" s="17">
        <f>IF('Employee Master'!A20="","",'Employee Master'!A20)</f>
        <v>10015</v>
      </c>
      <c r="B24" s="18" t="str">
        <f>IF('Employee Master'!B20="","",'Employee Master'!B20)</f>
        <v>sharron.watley</v>
      </c>
      <c r="C24" s="18" t="str">
        <f>IF('Employee Master'!C20="","",'Employee Master'!C20)</f>
        <v>Wave-63</v>
      </c>
      <c r="D24" s="19">
        <f t="shared" si="4"/>
        <v>0</v>
      </c>
      <c r="E24" s="19">
        <f t="shared" si="5"/>
        <v>0</v>
      </c>
      <c r="F24" s="19">
        <f t="shared" si="3"/>
        <v>0</v>
      </c>
      <c r="G24" s="20" t="str">
        <f>IFERROR(VLOOKUP($A24&amp;"_"&amp;G$5,Database!$A:$F,6,0),"")</f>
        <v/>
      </c>
      <c r="H24" s="20" t="str">
        <f>IFERROR(VLOOKUP($A24&amp;"_"&amp;H$5,Database!$A:$F,6,0),"")</f>
        <v/>
      </c>
      <c r="I24" s="20" t="str">
        <f>IFERROR(VLOOKUP($A24&amp;"_"&amp;I$5,Database!$A:$F,6,0),"")</f>
        <v/>
      </c>
      <c r="J24" s="20" t="str">
        <f>IFERROR(VLOOKUP($A24&amp;"_"&amp;J$5,Database!$A:$F,6,0),"")</f>
        <v/>
      </c>
      <c r="K24" s="20" t="str">
        <f>IFERROR(VLOOKUP($A24&amp;"_"&amp;K$5,Database!$A:$F,6,0),"")</f>
        <v/>
      </c>
      <c r="L24" s="20" t="str">
        <f>IFERROR(VLOOKUP($A24&amp;"_"&amp;L$5,Database!$A:$F,6,0),"")</f>
        <v/>
      </c>
      <c r="M24" s="20" t="str">
        <f>IFERROR(VLOOKUP($A24&amp;"_"&amp;M$5,Database!$A:$F,6,0),"")</f>
        <v/>
      </c>
      <c r="N24" s="20" t="str">
        <f>IFERROR(VLOOKUP($A24&amp;"_"&amp;N$5,Database!$A:$F,6,0),"")</f>
        <v/>
      </c>
      <c r="O24" s="20" t="str">
        <f>IFERROR(VLOOKUP($A24&amp;"_"&amp;O$5,Database!$A:$F,6,0),"")</f>
        <v/>
      </c>
      <c r="P24" s="20" t="str">
        <f>IFERROR(VLOOKUP($A24&amp;"_"&amp;P$5,Database!$A:$F,6,0),"")</f>
        <v/>
      </c>
      <c r="Q24" s="20" t="str">
        <f>IFERROR(VLOOKUP($A24&amp;"_"&amp;Q$5,Database!$A:$F,6,0),"")</f>
        <v/>
      </c>
      <c r="R24" s="20" t="str">
        <f>IFERROR(VLOOKUP($A24&amp;"_"&amp;R$5,Database!$A:$F,6,0),"")</f>
        <v/>
      </c>
      <c r="S24" s="20" t="str">
        <f>IFERROR(VLOOKUP($A24&amp;"_"&amp;S$5,Database!$A:$F,6,0),"")</f>
        <v/>
      </c>
      <c r="T24" s="20" t="str">
        <f>IFERROR(VLOOKUP($A24&amp;"_"&amp;T$5,Database!$A:$F,6,0),"")</f>
        <v/>
      </c>
      <c r="U24" s="20" t="str">
        <f>IFERROR(VLOOKUP($A24&amp;"_"&amp;U$5,Database!$A:$F,6,0),"")</f>
        <v/>
      </c>
      <c r="V24" s="20" t="str">
        <f>IFERROR(VLOOKUP($A24&amp;"_"&amp;V$5,Database!$A:$F,6,0),"")</f>
        <v/>
      </c>
      <c r="W24" s="20" t="str">
        <f>IFERROR(VLOOKUP($A24&amp;"_"&amp;W$5,Database!$A:$F,6,0),"")</f>
        <v/>
      </c>
      <c r="X24" s="20" t="str">
        <f>IFERROR(VLOOKUP($A24&amp;"_"&amp;X$5,Database!$A:$F,6,0),"")</f>
        <v/>
      </c>
      <c r="Y24" s="20" t="str">
        <f>IFERROR(VLOOKUP($A24&amp;"_"&amp;Y$5,Database!$A:$F,6,0),"")</f>
        <v/>
      </c>
      <c r="Z24" s="20" t="str">
        <f>IFERROR(VLOOKUP($A24&amp;"_"&amp;Z$5,Database!$A:$F,6,0),"")</f>
        <v/>
      </c>
      <c r="AA24" s="20" t="str">
        <f>IFERROR(VLOOKUP($A24&amp;"_"&amp;AA$5,Database!$A:$F,6,0),"")</f>
        <v/>
      </c>
      <c r="AB24" s="20" t="str">
        <f>IFERROR(VLOOKUP($A24&amp;"_"&amp;AB$5,Database!$A:$F,6,0),"")</f>
        <v/>
      </c>
      <c r="AC24" s="20" t="str">
        <f>IFERROR(VLOOKUP($A24&amp;"_"&amp;AC$5,Database!$A:$F,6,0),"")</f>
        <v/>
      </c>
      <c r="AD24" s="20" t="str">
        <f>IFERROR(VLOOKUP($A24&amp;"_"&amp;AD$5,Database!$A:$F,6,0),"")</f>
        <v/>
      </c>
      <c r="AE24" s="20" t="str">
        <f>IFERROR(VLOOKUP($A24&amp;"_"&amp;AE$5,Database!$A:$F,6,0),"")</f>
        <v/>
      </c>
      <c r="AF24" s="20" t="str">
        <f>IFERROR(VLOOKUP($A24&amp;"_"&amp;AF$5,Database!$A:$F,6,0),"")</f>
        <v/>
      </c>
      <c r="AG24" s="20" t="str">
        <f>IFERROR(VLOOKUP($A24&amp;"_"&amp;AG$5,Database!$A:$F,6,0),"")</f>
        <v/>
      </c>
      <c r="AH24" s="20" t="str">
        <f>IFERROR(VLOOKUP($A24&amp;"_"&amp;AH$5,Database!$A:$F,6,0),"")</f>
        <v/>
      </c>
      <c r="AI24" s="20" t="str">
        <f>IFERROR(VLOOKUP($A24&amp;"_"&amp;AI$5,Database!$A:$F,6,0),"")</f>
        <v/>
      </c>
      <c r="AJ24" s="20" t="str">
        <f>IFERROR(VLOOKUP($A24&amp;"_"&amp;AJ$5,Database!$A:$F,6,0),"")</f>
        <v/>
      </c>
      <c r="AK24" s="20" t="str">
        <f>IFERROR(VLOOKUP($A24&amp;"_"&amp;AK$5,Database!$A:$F,6,0),"")</f>
        <v/>
      </c>
    </row>
    <row r="25" spans="1:37" x14ac:dyDescent="0.2">
      <c r="A25" s="17">
        <f>IF('Employee Master'!A21="","",'Employee Master'!A21)</f>
        <v>10015</v>
      </c>
      <c r="B25" s="18" t="str">
        <f>IF('Employee Master'!B21="","",'Employee Master'!B21)</f>
        <v>shunta.fincher</v>
      </c>
      <c r="C25" s="18" t="str">
        <f>IF('Employee Master'!C21="","",'Employee Master'!C21)</f>
        <v>Wave-59</v>
      </c>
      <c r="D25" s="19">
        <f t="shared" si="4"/>
        <v>0</v>
      </c>
      <c r="E25" s="19">
        <f t="shared" si="5"/>
        <v>0</v>
      </c>
      <c r="F25" s="19">
        <f t="shared" si="3"/>
        <v>0</v>
      </c>
      <c r="G25" s="20" t="str">
        <f>IFERROR(VLOOKUP($A25&amp;"_"&amp;G$5,Database!$A:$F,6,0),"")</f>
        <v/>
      </c>
      <c r="H25" s="20" t="str">
        <f>IFERROR(VLOOKUP($A25&amp;"_"&amp;H$5,Database!$A:$F,6,0),"")</f>
        <v/>
      </c>
      <c r="I25" s="20" t="str">
        <f>IFERROR(VLOOKUP($A25&amp;"_"&amp;I$5,Database!$A:$F,6,0),"")</f>
        <v/>
      </c>
      <c r="J25" s="20" t="str">
        <f>IFERROR(VLOOKUP($A25&amp;"_"&amp;J$5,Database!$A:$F,6,0),"")</f>
        <v/>
      </c>
      <c r="K25" s="20" t="str">
        <f>IFERROR(VLOOKUP($A25&amp;"_"&amp;K$5,Database!$A:$F,6,0),"")</f>
        <v/>
      </c>
      <c r="L25" s="20" t="str">
        <f>IFERROR(VLOOKUP($A25&amp;"_"&amp;L$5,Database!$A:$F,6,0),"")</f>
        <v/>
      </c>
      <c r="M25" s="20" t="str">
        <f>IFERROR(VLOOKUP($A25&amp;"_"&amp;M$5,Database!$A:$F,6,0),"")</f>
        <v/>
      </c>
      <c r="N25" s="20" t="str">
        <f>IFERROR(VLOOKUP($A25&amp;"_"&amp;N$5,Database!$A:$F,6,0),"")</f>
        <v/>
      </c>
      <c r="O25" s="20" t="str">
        <f>IFERROR(VLOOKUP($A25&amp;"_"&amp;O$5,Database!$A:$F,6,0),"")</f>
        <v/>
      </c>
      <c r="P25" s="20" t="str">
        <f>IFERROR(VLOOKUP($A25&amp;"_"&amp;P$5,Database!$A:$F,6,0),"")</f>
        <v/>
      </c>
      <c r="Q25" s="20" t="str">
        <f>IFERROR(VLOOKUP($A25&amp;"_"&amp;Q$5,Database!$A:$F,6,0),"")</f>
        <v/>
      </c>
      <c r="R25" s="20" t="str">
        <f>IFERROR(VLOOKUP($A25&amp;"_"&amp;R$5,Database!$A:$F,6,0),"")</f>
        <v/>
      </c>
      <c r="S25" s="20" t="str">
        <f>IFERROR(VLOOKUP($A25&amp;"_"&amp;S$5,Database!$A:$F,6,0),"")</f>
        <v/>
      </c>
      <c r="T25" s="20" t="str">
        <f>IFERROR(VLOOKUP($A25&amp;"_"&amp;T$5,Database!$A:$F,6,0),"")</f>
        <v/>
      </c>
      <c r="U25" s="20" t="str">
        <f>IFERROR(VLOOKUP($A25&amp;"_"&amp;U$5,Database!$A:$F,6,0),"")</f>
        <v/>
      </c>
      <c r="V25" s="20" t="str">
        <f>IFERROR(VLOOKUP($A25&amp;"_"&amp;V$5,Database!$A:$F,6,0),"")</f>
        <v/>
      </c>
      <c r="W25" s="20" t="str">
        <f>IFERROR(VLOOKUP($A25&amp;"_"&amp;W$5,Database!$A:$F,6,0),"")</f>
        <v/>
      </c>
      <c r="X25" s="20" t="str">
        <f>IFERROR(VLOOKUP($A25&amp;"_"&amp;X$5,Database!$A:$F,6,0),"")</f>
        <v/>
      </c>
      <c r="Y25" s="20" t="str">
        <f>IFERROR(VLOOKUP($A25&amp;"_"&amp;Y$5,Database!$A:$F,6,0),"")</f>
        <v/>
      </c>
      <c r="Z25" s="20" t="str">
        <f>IFERROR(VLOOKUP($A25&amp;"_"&amp;Z$5,Database!$A:$F,6,0),"")</f>
        <v/>
      </c>
      <c r="AA25" s="20" t="str">
        <f>IFERROR(VLOOKUP($A25&amp;"_"&amp;AA$5,Database!$A:$F,6,0),"")</f>
        <v/>
      </c>
      <c r="AB25" s="20" t="str">
        <f>IFERROR(VLOOKUP($A25&amp;"_"&amp;AB$5,Database!$A:$F,6,0),"")</f>
        <v/>
      </c>
      <c r="AC25" s="20" t="str">
        <f>IFERROR(VLOOKUP($A25&amp;"_"&amp;AC$5,Database!$A:$F,6,0),"")</f>
        <v/>
      </c>
      <c r="AD25" s="20" t="str">
        <f>IFERROR(VLOOKUP($A25&amp;"_"&amp;AD$5,Database!$A:$F,6,0),"")</f>
        <v/>
      </c>
      <c r="AE25" s="20" t="str">
        <f>IFERROR(VLOOKUP($A25&amp;"_"&amp;AE$5,Database!$A:$F,6,0),"")</f>
        <v/>
      </c>
      <c r="AF25" s="20" t="str">
        <f>IFERROR(VLOOKUP($A25&amp;"_"&amp;AF$5,Database!$A:$F,6,0),"")</f>
        <v/>
      </c>
      <c r="AG25" s="20" t="str">
        <f>IFERROR(VLOOKUP($A25&amp;"_"&amp;AG$5,Database!$A:$F,6,0),"")</f>
        <v/>
      </c>
      <c r="AH25" s="20" t="str">
        <f>IFERROR(VLOOKUP($A25&amp;"_"&amp;AH$5,Database!$A:$F,6,0),"")</f>
        <v/>
      </c>
      <c r="AI25" s="20" t="str">
        <f>IFERROR(VLOOKUP($A25&amp;"_"&amp;AI$5,Database!$A:$F,6,0),"")</f>
        <v/>
      </c>
      <c r="AJ25" s="20" t="str">
        <f>IFERROR(VLOOKUP($A25&amp;"_"&amp;AJ$5,Database!$A:$F,6,0),"")</f>
        <v/>
      </c>
      <c r="AK25" s="20" t="str">
        <f>IFERROR(VLOOKUP($A25&amp;"_"&amp;AK$5,Database!$A:$F,6,0),"")</f>
        <v/>
      </c>
    </row>
    <row r="26" spans="1:37" x14ac:dyDescent="0.2">
      <c r="A26" s="17">
        <f>IF('Employee Master'!A22="","",'Employee Master'!A22)</f>
        <v>10015</v>
      </c>
      <c r="B26" s="18" t="str">
        <f>IF('Employee Master'!B22="","",'Employee Master'!B22)</f>
        <v>stanford.antoine</v>
      </c>
      <c r="C26" s="18" t="str">
        <f>IF('Employee Master'!C22="","",'Employee Master'!C22)</f>
        <v>Wave-59</v>
      </c>
      <c r="D26" s="19">
        <f t="shared" si="4"/>
        <v>0</v>
      </c>
      <c r="E26" s="19">
        <f t="shared" si="5"/>
        <v>0</v>
      </c>
      <c r="F26" s="19">
        <f t="shared" si="3"/>
        <v>0</v>
      </c>
      <c r="G26" s="20" t="str">
        <f>IFERROR(VLOOKUP($A26&amp;"_"&amp;G$5,Database!$A:$F,6,0),"")</f>
        <v/>
      </c>
      <c r="H26" s="20" t="str">
        <f>IFERROR(VLOOKUP($A26&amp;"_"&amp;H$5,Database!$A:$F,6,0),"")</f>
        <v/>
      </c>
      <c r="I26" s="20" t="str">
        <f>IFERROR(VLOOKUP($A26&amp;"_"&amp;I$5,Database!$A:$F,6,0),"")</f>
        <v/>
      </c>
      <c r="J26" s="20" t="str">
        <f>IFERROR(VLOOKUP($A26&amp;"_"&amp;J$5,Database!$A:$F,6,0),"")</f>
        <v/>
      </c>
      <c r="K26" s="20" t="str">
        <f>IFERROR(VLOOKUP($A26&amp;"_"&amp;K$5,Database!$A:$F,6,0),"")</f>
        <v/>
      </c>
      <c r="L26" s="20" t="str">
        <f>IFERROR(VLOOKUP($A26&amp;"_"&amp;L$5,Database!$A:$F,6,0),"")</f>
        <v/>
      </c>
      <c r="M26" s="20" t="str">
        <f>IFERROR(VLOOKUP($A26&amp;"_"&amp;M$5,Database!$A:$F,6,0),"")</f>
        <v/>
      </c>
      <c r="N26" s="20" t="str">
        <f>IFERROR(VLOOKUP($A26&amp;"_"&amp;N$5,Database!$A:$F,6,0),"")</f>
        <v/>
      </c>
      <c r="O26" s="20" t="str">
        <f>IFERROR(VLOOKUP($A26&amp;"_"&amp;O$5,Database!$A:$F,6,0),"")</f>
        <v/>
      </c>
      <c r="P26" s="20" t="str">
        <f>IFERROR(VLOOKUP($A26&amp;"_"&amp;P$5,Database!$A:$F,6,0),"")</f>
        <v/>
      </c>
      <c r="Q26" s="20" t="str">
        <f>IFERROR(VLOOKUP($A26&amp;"_"&amp;Q$5,Database!$A:$F,6,0),"")</f>
        <v/>
      </c>
      <c r="R26" s="20" t="str">
        <f>IFERROR(VLOOKUP($A26&amp;"_"&amp;R$5,Database!$A:$F,6,0),"")</f>
        <v/>
      </c>
      <c r="S26" s="20" t="str">
        <f>IFERROR(VLOOKUP($A26&amp;"_"&amp;S$5,Database!$A:$F,6,0),"")</f>
        <v/>
      </c>
      <c r="T26" s="20" t="str">
        <f>IFERROR(VLOOKUP($A26&amp;"_"&amp;T$5,Database!$A:$F,6,0),"")</f>
        <v/>
      </c>
      <c r="U26" s="20" t="str">
        <f>IFERROR(VLOOKUP($A26&amp;"_"&amp;U$5,Database!$A:$F,6,0),"")</f>
        <v/>
      </c>
      <c r="V26" s="20" t="str">
        <f>IFERROR(VLOOKUP($A26&amp;"_"&amp;V$5,Database!$A:$F,6,0),"")</f>
        <v/>
      </c>
      <c r="W26" s="20" t="str">
        <f>IFERROR(VLOOKUP($A26&amp;"_"&amp;W$5,Database!$A:$F,6,0),"")</f>
        <v/>
      </c>
      <c r="X26" s="20" t="str">
        <f>IFERROR(VLOOKUP($A26&amp;"_"&amp;X$5,Database!$A:$F,6,0),"")</f>
        <v/>
      </c>
      <c r="Y26" s="20" t="str">
        <f>IFERROR(VLOOKUP($A26&amp;"_"&amp;Y$5,Database!$A:$F,6,0),"")</f>
        <v/>
      </c>
      <c r="Z26" s="20" t="str">
        <f>IFERROR(VLOOKUP($A26&amp;"_"&amp;Z$5,Database!$A:$F,6,0),"")</f>
        <v/>
      </c>
      <c r="AA26" s="20" t="str">
        <f>IFERROR(VLOOKUP($A26&amp;"_"&amp;AA$5,Database!$A:$F,6,0),"")</f>
        <v/>
      </c>
      <c r="AB26" s="20" t="str">
        <f>IFERROR(VLOOKUP($A26&amp;"_"&amp;AB$5,Database!$A:$F,6,0),"")</f>
        <v/>
      </c>
      <c r="AC26" s="20" t="str">
        <f>IFERROR(VLOOKUP($A26&amp;"_"&amp;AC$5,Database!$A:$F,6,0),"")</f>
        <v/>
      </c>
      <c r="AD26" s="20" t="str">
        <f>IFERROR(VLOOKUP($A26&amp;"_"&amp;AD$5,Database!$A:$F,6,0),"")</f>
        <v/>
      </c>
      <c r="AE26" s="20" t="str">
        <f>IFERROR(VLOOKUP($A26&amp;"_"&amp;AE$5,Database!$A:$F,6,0),"")</f>
        <v/>
      </c>
      <c r="AF26" s="20" t="str">
        <f>IFERROR(VLOOKUP($A26&amp;"_"&amp;AF$5,Database!$A:$F,6,0),"")</f>
        <v/>
      </c>
      <c r="AG26" s="20" t="str">
        <f>IFERROR(VLOOKUP($A26&amp;"_"&amp;AG$5,Database!$A:$F,6,0),"")</f>
        <v/>
      </c>
      <c r="AH26" s="20" t="str">
        <f>IFERROR(VLOOKUP($A26&amp;"_"&amp;AH$5,Database!$A:$F,6,0),"")</f>
        <v/>
      </c>
      <c r="AI26" s="20" t="str">
        <f>IFERROR(VLOOKUP($A26&amp;"_"&amp;AI$5,Database!$A:$F,6,0),"")</f>
        <v/>
      </c>
      <c r="AJ26" s="20" t="str">
        <f>IFERROR(VLOOKUP($A26&amp;"_"&amp;AJ$5,Database!$A:$F,6,0),"")</f>
        <v/>
      </c>
      <c r="AK26" s="20" t="str">
        <f>IFERROR(VLOOKUP($A26&amp;"_"&amp;AK$5,Database!$A:$F,6,0),"")</f>
        <v/>
      </c>
    </row>
    <row r="27" spans="1:37" x14ac:dyDescent="0.2">
      <c r="A27" s="17">
        <f>IF('Employee Master'!A23="","",'Employee Master'!A23)</f>
        <v>10015</v>
      </c>
      <c r="B27" s="18" t="str">
        <f>IF('Employee Master'!B23="","",'Employee Master'!B23)</f>
        <v>t.railey</v>
      </c>
      <c r="C27" s="18" t="str">
        <f>IF('Employee Master'!C23="","",'Employee Master'!C23)</f>
        <v>Wave-62</v>
      </c>
      <c r="D27" s="19">
        <f t="shared" si="4"/>
        <v>0</v>
      </c>
      <c r="E27" s="19">
        <f t="shared" si="5"/>
        <v>0</v>
      </c>
      <c r="F27" s="19">
        <f t="shared" si="3"/>
        <v>0</v>
      </c>
      <c r="G27" s="20" t="str">
        <f>IFERROR(VLOOKUP($A27&amp;"_"&amp;G$5,Database!$A:$F,6,0),"")</f>
        <v/>
      </c>
      <c r="H27" s="20" t="str">
        <f>IFERROR(VLOOKUP($A27&amp;"_"&amp;H$5,Database!$A:$F,6,0),"")</f>
        <v/>
      </c>
      <c r="I27" s="20" t="str">
        <f>IFERROR(VLOOKUP($A27&amp;"_"&amp;I$5,Database!$A:$F,6,0),"")</f>
        <v/>
      </c>
      <c r="J27" s="20" t="str">
        <f>IFERROR(VLOOKUP($A27&amp;"_"&amp;J$5,Database!$A:$F,6,0),"")</f>
        <v/>
      </c>
      <c r="K27" s="20" t="str">
        <f>IFERROR(VLOOKUP($A27&amp;"_"&amp;K$5,Database!$A:$F,6,0),"")</f>
        <v/>
      </c>
      <c r="L27" s="20" t="str">
        <f>IFERROR(VLOOKUP($A27&amp;"_"&amp;L$5,Database!$A:$F,6,0),"")</f>
        <v/>
      </c>
      <c r="M27" s="20" t="str">
        <f>IFERROR(VLOOKUP($A27&amp;"_"&amp;M$5,Database!$A:$F,6,0),"")</f>
        <v/>
      </c>
      <c r="N27" s="20" t="str">
        <f>IFERROR(VLOOKUP($A27&amp;"_"&amp;N$5,Database!$A:$F,6,0),"")</f>
        <v/>
      </c>
      <c r="O27" s="20" t="str">
        <f>IFERROR(VLOOKUP($A27&amp;"_"&amp;O$5,Database!$A:$F,6,0),"")</f>
        <v/>
      </c>
      <c r="P27" s="20" t="str">
        <f>IFERROR(VLOOKUP($A27&amp;"_"&amp;P$5,Database!$A:$F,6,0),"")</f>
        <v/>
      </c>
      <c r="Q27" s="20" t="str">
        <f>IFERROR(VLOOKUP($A27&amp;"_"&amp;Q$5,Database!$A:$F,6,0),"")</f>
        <v/>
      </c>
      <c r="R27" s="20" t="str">
        <f>IFERROR(VLOOKUP($A27&amp;"_"&amp;R$5,Database!$A:$F,6,0),"")</f>
        <v/>
      </c>
      <c r="S27" s="20" t="str">
        <f>IFERROR(VLOOKUP($A27&amp;"_"&amp;S$5,Database!$A:$F,6,0),"")</f>
        <v/>
      </c>
      <c r="T27" s="20" t="str">
        <f>IFERROR(VLOOKUP($A27&amp;"_"&amp;T$5,Database!$A:$F,6,0),"")</f>
        <v/>
      </c>
      <c r="U27" s="20" t="str">
        <f>IFERROR(VLOOKUP($A27&amp;"_"&amp;U$5,Database!$A:$F,6,0),"")</f>
        <v/>
      </c>
      <c r="V27" s="20" t="str">
        <f>IFERROR(VLOOKUP($A27&amp;"_"&amp;V$5,Database!$A:$F,6,0),"")</f>
        <v/>
      </c>
      <c r="W27" s="20" t="str">
        <f>IFERROR(VLOOKUP($A27&amp;"_"&amp;W$5,Database!$A:$F,6,0),"")</f>
        <v/>
      </c>
      <c r="X27" s="20" t="str">
        <f>IFERROR(VLOOKUP($A27&amp;"_"&amp;X$5,Database!$A:$F,6,0),"")</f>
        <v/>
      </c>
      <c r="Y27" s="20" t="str">
        <f>IFERROR(VLOOKUP($A27&amp;"_"&amp;Y$5,Database!$A:$F,6,0),"")</f>
        <v/>
      </c>
      <c r="Z27" s="20" t="str">
        <f>IFERROR(VLOOKUP($A27&amp;"_"&amp;Z$5,Database!$A:$F,6,0),"")</f>
        <v/>
      </c>
      <c r="AA27" s="20" t="str">
        <f>IFERROR(VLOOKUP($A27&amp;"_"&amp;AA$5,Database!$A:$F,6,0),"")</f>
        <v/>
      </c>
      <c r="AB27" s="20" t="str">
        <f>IFERROR(VLOOKUP($A27&amp;"_"&amp;AB$5,Database!$A:$F,6,0),"")</f>
        <v/>
      </c>
      <c r="AC27" s="20" t="str">
        <f>IFERROR(VLOOKUP($A27&amp;"_"&amp;AC$5,Database!$A:$F,6,0),"")</f>
        <v/>
      </c>
      <c r="AD27" s="20" t="str">
        <f>IFERROR(VLOOKUP($A27&amp;"_"&amp;AD$5,Database!$A:$F,6,0),"")</f>
        <v/>
      </c>
      <c r="AE27" s="20" t="str">
        <f>IFERROR(VLOOKUP($A27&amp;"_"&amp;AE$5,Database!$A:$F,6,0),"")</f>
        <v/>
      </c>
      <c r="AF27" s="20" t="str">
        <f>IFERROR(VLOOKUP($A27&amp;"_"&amp;AF$5,Database!$A:$F,6,0),"")</f>
        <v/>
      </c>
      <c r="AG27" s="20" t="str">
        <f>IFERROR(VLOOKUP($A27&amp;"_"&amp;AG$5,Database!$A:$F,6,0),"")</f>
        <v/>
      </c>
      <c r="AH27" s="20" t="str">
        <f>IFERROR(VLOOKUP($A27&amp;"_"&amp;AH$5,Database!$A:$F,6,0),"")</f>
        <v/>
      </c>
      <c r="AI27" s="20" t="str">
        <f>IFERROR(VLOOKUP($A27&amp;"_"&amp;AI$5,Database!$A:$F,6,0),"")</f>
        <v/>
      </c>
      <c r="AJ27" s="20" t="str">
        <f>IFERROR(VLOOKUP($A27&amp;"_"&amp;AJ$5,Database!$A:$F,6,0),"")</f>
        <v/>
      </c>
      <c r="AK27" s="20" t="str">
        <f>IFERROR(VLOOKUP($A27&amp;"_"&amp;AK$5,Database!$A:$F,6,0),"")</f>
        <v/>
      </c>
    </row>
    <row r="28" spans="1:37" x14ac:dyDescent="0.2">
      <c r="A28" s="17">
        <f>IF('Employee Master'!A24="","",'Employee Master'!A24)</f>
        <v>10015</v>
      </c>
      <c r="B28" s="18" t="str">
        <f>IF('Employee Master'!B24="","",'Employee Master'!B24)</f>
        <v>ghis.randaln</v>
      </c>
      <c r="C28" s="18" t="str">
        <f>IF('Employee Master'!C24="","",'Employee Master'!C24)</f>
        <v>Wave-63</v>
      </c>
      <c r="D28" s="19">
        <f t="shared" si="4"/>
        <v>0</v>
      </c>
      <c r="E28" s="19">
        <f t="shared" si="5"/>
        <v>0</v>
      </c>
      <c r="F28" s="19">
        <f t="shared" si="3"/>
        <v>0</v>
      </c>
      <c r="G28" s="20" t="str">
        <f>IFERROR(VLOOKUP($A28&amp;"_"&amp;G$5,Database!$A:$F,6,0),"")</f>
        <v/>
      </c>
      <c r="H28" s="20" t="str">
        <f>IFERROR(VLOOKUP($A28&amp;"_"&amp;H$5,Database!$A:$F,6,0),"")</f>
        <v/>
      </c>
      <c r="I28" s="20" t="str">
        <f>IFERROR(VLOOKUP($A28&amp;"_"&amp;I$5,Database!$A:$F,6,0),"")</f>
        <v/>
      </c>
      <c r="J28" s="20" t="str">
        <f>IFERROR(VLOOKUP($A28&amp;"_"&amp;J$5,Database!$A:$F,6,0),"")</f>
        <v/>
      </c>
      <c r="K28" s="20" t="str">
        <f>IFERROR(VLOOKUP($A28&amp;"_"&amp;K$5,Database!$A:$F,6,0),"")</f>
        <v/>
      </c>
      <c r="L28" s="20" t="str">
        <f>IFERROR(VLOOKUP($A28&amp;"_"&amp;L$5,Database!$A:$F,6,0),"")</f>
        <v/>
      </c>
      <c r="M28" s="20" t="str">
        <f>IFERROR(VLOOKUP($A28&amp;"_"&amp;M$5,Database!$A:$F,6,0),"")</f>
        <v/>
      </c>
      <c r="N28" s="20" t="str">
        <f>IFERROR(VLOOKUP($A28&amp;"_"&amp;N$5,Database!$A:$F,6,0),"")</f>
        <v/>
      </c>
      <c r="O28" s="20" t="str">
        <f>IFERROR(VLOOKUP($A28&amp;"_"&amp;O$5,Database!$A:$F,6,0),"")</f>
        <v/>
      </c>
      <c r="P28" s="20" t="str">
        <f>IFERROR(VLOOKUP($A28&amp;"_"&amp;P$5,Database!$A:$F,6,0),"")</f>
        <v/>
      </c>
      <c r="Q28" s="20" t="str">
        <f>IFERROR(VLOOKUP($A28&amp;"_"&amp;Q$5,Database!$A:$F,6,0),"")</f>
        <v/>
      </c>
      <c r="R28" s="20" t="str">
        <f>IFERROR(VLOOKUP($A28&amp;"_"&amp;R$5,Database!$A:$F,6,0),"")</f>
        <v/>
      </c>
      <c r="S28" s="20" t="str">
        <f>IFERROR(VLOOKUP($A28&amp;"_"&amp;S$5,Database!$A:$F,6,0),"")</f>
        <v/>
      </c>
      <c r="T28" s="20" t="str">
        <f>IFERROR(VLOOKUP($A28&amp;"_"&amp;T$5,Database!$A:$F,6,0),"")</f>
        <v/>
      </c>
      <c r="U28" s="20" t="str">
        <f>IFERROR(VLOOKUP($A28&amp;"_"&amp;U$5,Database!$A:$F,6,0),"")</f>
        <v/>
      </c>
      <c r="V28" s="20" t="str">
        <f>IFERROR(VLOOKUP($A28&amp;"_"&amp;V$5,Database!$A:$F,6,0),"")</f>
        <v/>
      </c>
      <c r="W28" s="20" t="str">
        <f>IFERROR(VLOOKUP($A28&amp;"_"&amp;W$5,Database!$A:$F,6,0),"")</f>
        <v/>
      </c>
      <c r="X28" s="20" t="str">
        <f>IFERROR(VLOOKUP($A28&amp;"_"&amp;X$5,Database!$A:$F,6,0),"")</f>
        <v/>
      </c>
      <c r="Y28" s="20" t="str">
        <f>IFERROR(VLOOKUP($A28&amp;"_"&amp;Y$5,Database!$A:$F,6,0),"")</f>
        <v/>
      </c>
      <c r="Z28" s="20" t="str">
        <f>IFERROR(VLOOKUP($A28&amp;"_"&amp;Z$5,Database!$A:$F,6,0),"")</f>
        <v/>
      </c>
      <c r="AA28" s="20" t="str">
        <f>IFERROR(VLOOKUP($A28&amp;"_"&amp;AA$5,Database!$A:$F,6,0),"")</f>
        <v/>
      </c>
      <c r="AB28" s="20" t="str">
        <f>IFERROR(VLOOKUP($A28&amp;"_"&amp;AB$5,Database!$A:$F,6,0),"")</f>
        <v/>
      </c>
      <c r="AC28" s="20" t="str">
        <f>IFERROR(VLOOKUP($A28&amp;"_"&amp;AC$5,Database!$A:$F,6,0),"")</f>
        <v/>
      </c>
      <c r="AD28" s="20" t="str">
        <f>IFERROR(VLOOKUP($A28&amp;"_"&amp;AD$5,Database!$A:$F,6,0),"")</f>
        <v/>
      </c>
      <c r="AE28" s="20" t="str">
        <f>IFERROR(VLOOKUP($A28&amp;"_"&amp;AE$5,Database!$A:$F,6,0),"")</f>
        <v/>
      </c>
      <c r="AF28" s="20" t="str">
        <f>IFERROR(VLOOKUP($A28&amp;"_"&amp;AF$5,Database!$A:$F,6,0),"")</f>
        <v/>
      </c>
      <c r="AG28" s="20" t="str">
        <f>IFERROR(VLOOKUP($A28&amp;"_"&amp;AG$5,Database!$A:$F,6,0),"")</f>
        <v/>
      </c>
      <c r="AH28" s="20" t="str">
        <f>IFERROR(VLOOKUP($A28&amp;"_"&amp;AH$5,Database!$A:$F,6,0),"")</f>
        <v/>
      </c>
      <c r="AI28" s="20" t="str">
        <f>IFERROR(VLOOKUP($A28&amp;"_"&amp;AI$5,Database!$A:$F,6,0),"")</f>
        <v/>
      </c>
      <c r="AJ28" s="20" t="str">
        <f>IFERROR(VLOOKUP($A28&amp;"_"&amp;AJ$5,Database!$A:$F,6,0),"")</f>
        <v/>
      </c>
      <c r="AK28" s="20" t="str">
        <f>IFERROR(VLOOKUP($A28&amp;"_"&amp;AK$5,Database!$A:$F,6,0),"")</f>
        <v/>
      </c>
    </row>
    <row r="29" spans="1:37" x14ac:dyDescent="0.2">
      <c r="A29" s="17">
        <f>IF('Employee Master'!A25="","",'Employee Master'!A25)</f>
        <v>10015</v>
      </c>
      <c r="B29" s="18" t="str">
        <f>IF('Employee Master'!B25="","",'Employee Master'!B25)</f>
        <v>ghis.randaln</v>
      </c>
      <c r="C29" s="18" t="str">
        <f>IF('Employee Master'!C25="","",'Employee Master'!C25)</f>
        <v>Wave-64</v>
      </c>
      <c r="D29" s="19">
        <f t="shared" ref="D29:D88" si="6">COUNTIF(G29:AK29,"P")</f>
        <v>0</v>
      </c>
      <c r="E29" s="19">
        <f t="shared" ref="E29:E88" si="7">COUNTIF(G29:AK29,"A")</f>
        <v>0</v>
      </c>
      <c r="F29" s="19">
        <f t="shared" si="3"/>
        <v>0</v>
      </c>
      <c r="G29" s="20" t="str">
        <f>IFERROR(VLOOKUP($A29&amp;"_"&amp;G$5,Database!$A:$F,6,0),"")</f>
        <v/>
      </c>
      <c r="H29" s="20" t="str">
        <f>IFERROR(VLOOKUP($A29&amp;"_"&amp;H$5,Database!$A:$F,6,0),"")</f>
        <v/>
      </c>
      <c r="I29" s="20" t="str">
        <f>IFERROR(VLOOKUP($A29&amp;"_"&amp;I$5,Database!$A:$F,6,0),"")</f>
        <v/>
      </c>
      <c r="J29" s="20" t="str">
        <f>IFERROR(VLOOKUP($A29&amp;"_"&amp;J$5,Database!$A:$F,6,0),"")</f>
        <v/>
      </c>
      <c r="K29" s="20" t="str">
        <f>IFERROR(VLOOKUP($A29&amp;"_"&amp;K$5,Database!$A:$F,6,0),"")</f>
        <v/>
      </c>
      <c r="L29" s="20" t="str">
        <f>IFERROR(VLOOKUP($A29&amp;"_"&amp;L$5,Database!$A:$F,6,0),"")</f>
        <v/>
      </c>
      <c r="M29" s="20" t="str">
        <f>IFERROR(VLOOKUP($A29&amp;"_"&amp;M$5,Database!$A:$F,6,0),"")</f>
        <v/>
      </c>
      <c r="N29" s="20" t="str">
        <f>IFERROR(VLOOKUP($A29&amp;"_"&amp;N$5,Database!$A:$F,6,0),"")</f>
        <v/>
      </c>
      <c r="O29" s="20" t="str">
        <f>IFERROR(VLOOKUP($A29&amp;"_"&amp;O$5,Database!$A:$F,6,0),"")</f>
        <v/>
      </c>
      <c r="P29" s="20" t="str">
        <f>IFERROR(VLOOKUP($A29&amp;"_"&amp;P$5,Database!$A:$F,6,0),"")</f>
        <v/>
      </c>
      <c r="Q29" s="20" t="str">
        <f>IFERROR(VLOOKUP($A29&amp;"_"&amp;Q$5,Database!$A:$F,6,0),"")</f>
        <v/>
      </c>
      <c r="R29" s="20" t="str">
        <f>IFERROR(VLOOKUP($A29&amp;"_"&amp;R$5,Database!$A:$F,6,0),"")</f>
        <v/>
      </c>
      <c r="S29" s="20" t="str">
        <f>IFERROR(VLOOKUP($A29&amp;"_"&amp;S$5,Database!$A:$F,6,0),"")</f>
        <v/>
      </c>
      <c r="T29" s="20" t="str">
        <f>IFERROR(VLOOKUP($A29&amp;"_"&amp;T$5,Database!$A:$F,6,0),"")</f>
        <v/>
      </c>
      <c r="U29" s="20" t="str">
        <f>IFERROR(VLOOKUP($A29&amp;"_"&amp;U$5,Database!$A:$F,6,0),"")</f>
        <v/>
      </c>
      <c r="V29" s="20" t="str">
        <f>IFERROR(VLOOKUP($A29&amp;"_"&amp;V$5,Database!$A:$F,6,0),"")</f>
        <v/>
      </c>
      <c r="W29" s="20" t="str">
        <f>IFERROR(VLOOKUP($A29&amp;"_"&amp;W$5,Database!$A:$F,6,0),"")</f>
        <v/>
      </c>
      <c r="X29" s="20" t="str">
        <f>IFERROR(VLOOKUP($A29&amp;"_"&amp;X$5,Database!$A:$F,6,0),"")</f>
        <v/>
      </c>
      <c r="Y29" s="20" t="str">
        <f>IFERROR(VLOOKUP($A29&amp;"_"&amp;Y$5,Database!$A:$F,6,0),"")</f>
        <v/>
      </c>
      <c r="Z29" s="20" t="str">
        <f>IFERROR(VLOOKUP($A29&amp;"_"&amp;Z$5,Database!$A:$F,6,0),"")</f>
        <v/>
      </c>
      <c r="AA29" s="20" t="str">
        <f>IFERROR(VLOOKUP($A29&amp;"_"&amp;AA$5,Database!$A:$F,6,0),"")</f>
        <v/>
      </c>
      <c r="AB29" s="20" t="str">
        <f>IFERROR(VLOOKUP($A29&amp;"_"&amp;AB$5,Database!$A:$F,6,0),"")</f>
        <v/>
      </c>
      <c r="AC29" s="20" t="str">
        <f>IFERROR(VLOOKUP($A29&amp;"_"&amp;AC$5,Database!$A:$F,6,0),"")</f>
        <v/>
      </c>
      <c r="AD29" s="20" t="str">
        <f>IFERROR(VLOOKUP($A29&amp;"_"&amp;AD$5,Database!$A:$F,6,0),"")</f>
        <v/>
      </c>
      <c r="AE29" s="20" t="str">
        <f>IFERROR(VLOOKUP($A29&amp;"_"&amp;AE$5,Database!$A:$F,6,0),"")</f>
        <v/>
      </c>
      <c r="AF29" s="20" t="str">
        <f>IFERROR(VLOOKUP($A29&amp;"_"&amp;AF$5,Database!$A:$F,6,0),"")</f>
        <v/>
      </c>
      <c r="AG29" s="20" t="str">
        <f>IFERROR(VLOOKUP($A29&amp;"_"&amp;AG$5,Database!$A:$F,6,0),"")</f>
        <v/>
      </c>
      <c r="AH29" s="20" t="str">
        <f>IFERROR(VLOOKUP($A29&amp;"_"&amp;AH$5,Database!$A:$F,6,0),"")</f>
        <v/>
      </c>
      <c r="AI29" s="20" t="str">
        <f>IFERROR(VLOOKUP($A29&amp;"_"&amp;AI$5,Database!$A:$F,6,0),"")</f>
        <v/>
      </c>
      <c r="AJ29" s="20" t="str">
        <f>IFERROR(VLOOKUP($A29&amp;"_"&amp;AJ$5,Database!$A:$F,6,0),"")</f>
        <v/>
      </c>
      <c r="AK29" s="20" t="str">
        <f>IFERROR(VLOOKUP($A29&amp;"_"&amp;AK$5,Database!$A:$F,6,0),"")</f>
        <v/>
      </c>
    </row>
    <row r="30" spans="1:37" x14ac:dyDescent="0.2">
      <c r="A30" s="17">
        <f>IF('Employee Master'!A26="","",'Employee Master'!A26)</f>
        <v>10015</v>
      </c>
      <c r="B30" s="18" t="str">
        <f>IF('Employee Master'!B26="","",'Employee Master'!B26)</f>
        <v>ghis.randaln</v>
      </c>
      <c r="C30" s="18" t="str">
        <f>IF('Employee Master'!C26="","",'Employee Master'!C26)</f>
        <v>Wave-65</v>
      </c>
      <c r="D30" s="19">
        <f t="shared" si="6"/>
        <v>0</v>
      </c>
      <c r="E30" s="19">
        <f t="shared" si="7"/>
        <v>0</v>
      </c>
      <c r="F30" s="19">
        <f t="shared" si="3"/>
        <v>0</v>
      </c>
      <c r="G30" s="20" t="str">
        <f>IFERROR(VLOOKUP($A30&amp;"_"&amp;G$5,Database!$A:$F,6,0),"")</f>
        <v/>
      </c>
      <c r="H30" s="20" t="str">
        <f>IFERROR(VLOOKUP($A30&amp;"_"&amp;H$5,Database!$A:$F,6,0),"")</f>
        <v/>
      </c>
      <c r="I30" s="20" t="str">
        <f>IFERROR(VLOOKUP($A30&amp;"_"&amp;I$5,Database!$A:$F,6,0),"")</f>
        <v/>
      </c>
      <c r="J30" s="20" t="str">
        <f>IFERROR(VLOOKUP($A30&amp;"_"&amp;J$5,Database!$A:$F,6,0),"")</f>
        <v/>
      </c>
      <c r="K30" s="20" t="str">
        <f>IFERROR(VLOOKUP($A30&amp;"_"&amp;K$5,Database!$A:$F,6,0),"")</f>
        <v/>
      </c>
      <c r="L30" s="20" t="str">
        <f>IFERROR(VLOOKUP($A30&amp;"_"&amp;L$5,Database!$A:$F,6,0),"")</f>
        <v/>
      </c>
      <c r="M30" s="20" t="str">
        <f>IFERROR(VLOOKUP($A30&amp;"_"&amp;M$5,Database!$A:$F,6,0),"")</f>
        <v/>
      </c>
      <c r="N30" s="20" t="str">
        <f>IFERROR(VLOOKUP($A30&amp;"_"&amp;N$5,Database!$A:$F,6,0),"")</f>
        <v/>
      </c>
      <c r="O30" s="20" t="str">
        <f>IFERROR(VLOOKUP($A30&amp;"_"&amp;O$5,Database!$A:$F,6,0),"")</f>
        <v/>
      </c>
      <c r="P30" s="20" t="str">
        <f>IFERROR(VLOOKUP($A30&amp;"_"&amp;P$5,Database!$A:$F,6,0),"")</f>
        <v/>
      </c>
      <c r="Q30" s="20" t="str">
        <f>IFERROR(VLOOKUP($A30&amp;"_"&amp;Q$5,Database!$A:$F,6,0),"")</f>
        <v/>
      </c>
      <c r="R30" s="20" t="str">
        <f>IFERROR(VLOOKUP($A30&amp;"_"&amp;R$5,Database!$A:$F,6,0),"")</f>
        <v/>
      </c>
      <c r="S30" s="20" t="str">
        <f>IFERROR(VLOOKUP($A30&amp;"_"&amp;S$5,Database!$A:$F,6,0),"")</f>
        <v/>
      </c>
      <c r="T30" s="20" t="str">
        <f>IFERROR(VLOOKUP($A30&amp;"_"&amp;T$5,Database!$A:$F,6,0),"")</f>
        <v/>
      </c>
      <c r="U30" s="20" t="str">
        <f>IFERROR(VLOOKUP($A30&amp;"_"&amp;U$5,Database!$A:$F,6,0),"")</f>
        <v/>
      </c>
      <c r="V30" s="20" t="str">
        <f>IFERROR(VLOOKUP($A30&amp;"_"&amp;V$5,Database!$A:$F,6,0),"")</f>
        <v/>
      </c>
      <c r="W30" s="20" t="str">
        <f>IFERROR(VLOOKUP($A30&amp;"_"&amp;W$5,Database!$A:$F,6,0),"")</f>
        <v/>
      </c>
      <c r="X30" s="20" t="str">
        <f>IFERROR(VLOOKUP($A30&amp;"_"&amp;X$5,Database!$A:$F,6,0),"")</f>
        <v/>
      </c>
      <c r="Y30" s="20" t="str">
        <f>IFERROR(VLOOKUP($A30&amp;"_"&amp;Y$5,Database!$A:$F,6,0),"")</f>
        <v/>
      </c>
      <c r="Z30" s="20" t="str">
        <f>IFERROR(VLOOKUP($A30&amp;"_"&amp;Z$5,Database!$A:$F,6,0),"")</f>
        <v/>
      </c>
      <c r="AA30" s="20" t="str">
        <f>IFERROR(VLOOKUP($A30&amp;"_"&amp;AA$5,Database!$A:$F,6,0),"")</f>
        <v/>
      </c>
      <c r="AB30" s="20" t="str">
        <f>IFERROR(VLOOKUP($A30&amp;"_"&amp;AB$5,Database!$A:$F,6,0),"")</f>
        <v/>
      </c>
      <c r="AC30" s="20" t="str">
        <f>IFERROR(VLOOKUP($A30&amp;"_"&amp;AC$5,Database!$A:$F,6,0),"")</f>
        <v/>
      </c>
      <c r="AD30" s="20" t="str">
        <f>IFERROR(VLOOKUP($A30&amp;"_"&amp;AD$5,Database!$A:$F,6,0),"")</f>
        <v/>
      </c>
      <c r="AE30" s="20" t="str">
        <f>IFERROR(VLOOKUP($A30&amp;"_"&amp;AE$5,Database!$A:$F,6,0),"")</f>
        <v/>
      </c>
      <c r="AF30" s="20" t="str">
        <f>IFERROR(VLOOKUP($A30&amp;"_"&amp;AF$5,Database!$A:$F,6,0),"")</f>
        <v/>
      </c>
      <c r="AG30" s="20" t="str">
        <f>IFERROR(VLOOKUP($A30&amp;"_"&amp;AG$5,Database!$A:$F,6,0),"")</f>
        <v/>
      </c>
      <c r="AH30" s="20" t="str">
        <f>IFERROR(VLOOKUP($A30&amp;"_"&amp;AH$5,Database!$A:$F,6,0),"")</f>
        <v/>
      </c>
      <c r="AI30" s="20" t="str">
        <f>IFERROR(VLOOKUP($A30&amp;"_"&amp;AI$5,Database!$A:$F,6,0),"")</f>
        <v/>
      </c>
      <c r="AJ30" s="20" t="str">
        <f>IFERROR(VLOOKUP($A30&amp;"_"&amp;AJ$5,Database!$A:$F,6,0),"")</f>
        <v/>
      </c>
      <c r="AK30" s="20" t="str">
        <f>IFERROR(VLOOKUP($A30&amp;"_"&amp;AK$5,Database!$A:$F,6,0),"")</f>
        <v/>
      </c>
    </row>
    <row r="31" spans="1:37" x14ac:dyDescent="0.2">
      <c r="A31" s="17">
        <f>IF('Employee Master'!A27="","",'Employee Master'!A27)</f>
        <v>10015</v>
      </c>
      <c r="B31" s="18" t="str">
        <f>IF('Employee Master'!B27="","",'Employee Master'!B27)</f>
        <v>ghis.randaln</v>
      </c>
      <c r="C31" s="18" t="str">
        <f>IF('Employee Master'!C27="","",'Employee Master'!C27)</f>
        <v>Wave-66</v>
      </c>
      <c r="D31" s="19">
        <f t="shared" si="6"/>
        <v>0</v>
      </c>
      <c r="E31" s="19">
        <f t="shared" si="7"/>
        <v>0</v>
      </c>
      <c r="F31" s="19">
        <f t="shared" si="3"/>
        <v>0</v>
      </c>
      <c r="G31" s="20" t="str">
        <f>IFERROR(VLOOKUP($A31&amp;"_"&amp;G$5,Database!$A:$F,6,0),"")</f>
        <v/>
      </c>
      <c r="H31" s="20" t="str">
        <f>IFERROR(VLOOKUP($A31&amp;"_"&amp;H$5,Database!$A:$F,6,0),"")</f>
        <v/>
      </c>
      <c r="I31" s="20" t="str">
        <f>IFERROR(VLOOKUP($A31&amp;"_"&amp;I$5,Database!$A:$F,6,0),"")</f>
        <v/>
      </c>
      <c r="J31" s="20" t="str">
        <f>IFERROR(VLOOKUP($A31&amp;"_"&amp;J$5,Database!$A:$F,6,0),"")</f>
        <v/>
      </c>
      <c r="K31" s="20" t="str">
        <f>IFERROR(VLOOKUP($A31&amp;"_"&amp;K$5,Database!$A:$F,6,0),"")</f>
        <v/>
      </c>
      <c r="L31" s="20" t="str">
        <f>IFERROR(VLOOKUP($A31&amp;"_"&amp;L$5,Database!$A:$F,6,0),"")</f>
        <v/>
      </c>
      <c r="M31" s="20" t="str">
        <f>IFERROR(VLOOKUP($A31&amp;"_"&amp;M$5,Database!$A:$F,6,0),"")</f>
        <v/>
      </c>
      <c r="N31" s="20" t="str">
        <f>IFERROR(VLOOKUP($A31&amp;"_"&amp;N$5,Database!$A:$F,6,0),"")</f>
        <v/>
      </c>
      <c r="O31" s="20" t="str">
        <f>IFERROR(VLOOKUP($A31&amp;"_"&amp;O$5,Database!$A:$F,6,0),"")</f>
        <v/>
      </c>
      <c r="P31" s="20" t="str">
        <f>IFERROR(VLOOKUP($A31&amp;"_"&amp;P$5,Database!$A:$F,6,0),"")</f>
        <v/>
      </c>
      <c r="Q31" s="20" t="str">
        <f>IFERROR(VLOOKUP($A31&amp;"_"&amp;Q$5,Database!$A:$F,6,0),"")</f>
        <v/>
      </c>
      <c r="R31" s="20" t="str">
        <f>IFERROR(VLOOKUP($A31&amp;"_"&amp;R$5,Database!$A:$F,6,0),"")</f>
        <v/>
      </c>
      <c r="S31" s="20" t="str">
        <f>IFERROR(VLOOKUP($A31&amp;"_"&amp;S$5,Database!$A:$F,6,0),"")</f>
        <v/>
      </c>
      <c r="T31" s="20" t="str">
        <f>IFERROR(VLOOKUP($A31&amp;"_"&amp;T$5,Database!$A:$F,6,0),"")</f>
        <v/>
      </c>
      <c r="U31" s="20" t="str">
        <f>IFERROR(VLOOKUP($A31&amp;"_"&amp;U$5,Database!$A:$F,6,0),"")</f>
        <v/>
      </c>
      <c r="V31" s="20" t="str">
        <f>IFERROR(VLOOKUP($A31&amp;"_"&amp;V$5,Database!$A:$F,6,0),"")</f>
        <v/>
      </c>
      <c r="W31" s="20" t="str">
        <f>IFERROR(VLOOKUP($A31&amp;"_"&amp;W$5,Database!$A:$F,6,0),"")</f>
        <v/>
      </c>
      <c r="X31" s="20" t="str">
        <f>IFERROR(VLOOKUP($A31&amp;"_"&amp;X$5,Database!$A:$F,6,0),"")</f>
        <v/>
      </c>
      <c r="Y31" s="20" t="str">
        <f>IFERROR(VLOOKUP($A31&amp;"_"&amp;Y$5,Database!$A:$F,6,0),"")</f>
        <v/>
      </c>
      <c r="Z31" s="20" t="str">
        <f>IFERROR(VLOOKUP($A31&amp;"_"&amp;Z$5,Database!$A:$F,6,0),"")</f>
        <v/>
      </c>
      <c r="AA31" s="20" t="str">
        <f>IFERROR(VLOOKUP($A31&amp;"_"&amp;AA$5,Database!$A:$F,6,0),"")</f>
        <v/>
      </c>
      <c r="AB31" s="20" t="str">
        <f>IFERROR(VLOOKUP($A31&amp;"_"&amp;AB$5,Database!$A:$F,6,0),"")</f>
        <v/>
      </c>
      <c r="AC31" s="20" t="str">
        <f>IFERROR(VLOOKUP($A31&amp;"_"&amp;AC$5,Database!$A:$F,6,0),"")</f>
        <v/>
      </c>
      <c r="AD31" s="20" t="str">
        <f>IFERROR(VLOOKUP($A31&amp;"_"&amp;AD$5,Database!$A:$F,6,0),"")</f>
        <v/>
      </c>
      <c r="AE31" s="20" t="str">
        <f>IFERROR(VLOOKUP($A31&amp;"_"&amp;AE$5,Database!$A:$F,6,0),"")</f>
        <v/>
      </c>
      <c r="AF31" s="20" t="str">
        <f>IFERROR(VLOOKUP($A31&amp;"_"&amp;AF$5,Database!$A:$F,6,0),"")</f>
        <v/>
      </c>
      <c r="AG31" s="20" t="str">
        <f>IFERROR(VLOOKUP($A31&amp;"_"&amp;AG$5,Database!$A:$F,6,0),"")</f>
        <v/>
      </c>
      <c r="AH31" s="20" t="str">
        <f>IFERROR(VLOOKUP($A31&amp;"_"&amp;AH$5,Database!$A:$F,6,0),"")</f>
        <v/>
      </c>
      <c r="AI31" s="20" t="str">
        <f>IFERROR(VLOOKUP($A31&amp;"_"&amp;AI$5,Database!$A:$F,6,0),"")</f>
        <v/>
      </c>
      <c r="AJ31" s="20" t="str">
        <f>IFERROR(VLOOKUP($A31&amp;"_"&amp;AJ$5,Database!$A:$F,6,0),"")</f>
        <v/>
      </c>
      <c r="AK31" s="20" t="str">
        <f>IFERROR(VLOOKUP($A31&amp;"_"&amp;AK$5,Database!$A:$F,6,0),"")</f>
        <v/>
      </c>
    </row>
    <row r="32" spans="1:37" x14ac:dyDescent="0.2">
      <c r="A32" s="17">
        <f>IF('Employee Master'!A28="","",'Employee Master'!A28)</f>
        <v>10016</v>
      </c>
      <c r="B32" s="18" t="str">
        <f>IF('Employee Master'!B28="","",'Employee Master'!B28)</f>
        <v>ghislain.indama</v>
      </c>
      <c r="C32" s="18" t="str">
        <f>IF('Employee Master'!C28="","",'Employee Master'!C28)</f>
        <v>wave-67</v>
      </c>
      <c r="D32" s="19">
        <f t="shared" si="6"/>
        <v>0</v>
      </c>
      <c r="E32" s="19">
        <f>COUNTIF(G32:AK32,"A")</f>
        <v>0</v>
      </c>
      <c r="F32" s="19">
        <f t="shared" si="3"/>
        <v>0</v>
      </c>
      <c r="G32" s="20" t="str">
        <f>IFERROR(VLOOKUP($A32&amp;"_"&amp;G$5,Database!$A:$F,6,0),"")</f>
        <v/>
      </c>
      <c r="H32" s="20" t="str">
        <f>IFERROR(VLOOKUP($A32&amp;"_"&amp;H$5,Database!$A:$F,6,0),"")</f>
        <v/>
      </c>
      <c r="I32" s="20" t="str">
        <f>IFERROR(VLOOKUP($A32&amp;"_"&amp;I$5,Database!$A:$F,6,0),"")</f>
        <v/>
      </c>
      <c r="J32" s="20" t="str">
        <f>IFERROR(VLOOKUP($A32&amp;"_"&amp;J$5,Database!$A:$F,6,0),"")</f>
        <v/>
      </c>
      <c r="K32" s="20" t="str">
        <f>IFERROR(VLOOKUP($A32&amp;"_"&amp;K$5,Database!$A:$F,6,0),"")</f>
        <v/>
      </c>
      <c r="L32" s="20" t="str">
        <f>IFERROR(VLOOKUP($A32&amp;"_"&amp;L$5,Database!$A:$F,6,0),"")</f>
        <v/>
      </c>
      <c r="M32" s="20" t="str">
        <f>IFERROR(VLOOKUP($A32&amp;"_"&amp;M$5,Database!$A:$F,6,0),"")</f>
        <v/>
      </c>
      <c r="N32" s="20" t="str">
        <f>IFERROR(VLOOKUP($A32&amp;"_"&amp;N$5,Database!$A:$F,6,0),"")</f>
        <v/>
      </c>
      <c r="O32" s="20" t="str">
        <f>IFERROR(VLOOKUP($A32&amp;"_"&amp;O$5,Database!$A:$F,6,0),"")</f>
        <v/>
      </c>
      <c r="P32" s="20" t="str">
        <f>IFERROR(VLOOKUP($A32&amp;"_"&amp;P$5,Database!$A:$F,6,0),"")</f>
        <v/>
      </c>
      <c r="Q32" s="20" t="str">
        <f>IFERROR(VLOOKUP($A32&amp;"_"&amp;Q$5,Database!$A:$F,6,0),"")</f>
        <v/>
      </c>
      <c r="R32" s="20" t="str">
        <f>IFERROR(VLOOKUP($A32&amp;"_"&amp;R$5,Database!$A:$F,6,0),"")</f>
        <v/>
      </c>
      <c r="S32" s="20" t="str">
        <f>IFERROR(VLOOKUP($A32&amp;"_"&amp;S$5,Database!$A:$F,6,0),"")</f>
        <v/>
      </c>
      <c r="T32" s="20" t="str">
        <f>IFERROR(VLOOKUP($A32&amp;"_"&amp;T$5,Database!$A:$F,6,0),"")</f>
        <v/>
      </c>
      <c r="U32" s="20" t="str">
        <f>IFERROR(VLOOKUP($A32&amp;"_"&amp;U$5,Database!$A:$F,6,0),"")</f>
        <v/>
      </c>
      <c r="V32" s="20" t="str">
        <f>IFERROR(VLOOKUP($A32&amp;"_"&amp;V$5,Database!$A:$F,6,0),"")</f>
        <v/>
      </c>
      <c r="W32" s="20" t="str">
        <f>IFERROR(VLOOKUP($A32&amp;"_"&amp;W$5,Database!$A:$F,6,0),"")</f>
        <v/>
      </c>
      <c r="X32" s="20" t="str">
        <f>IFERROR(VLOOKUP($A32&amp;"_"&amp;X$5,Database!$A:$F,6,0),"")</f>
        <v/>
      </c>
      <c r="Y32" s="20" t="str">
        <f>IFERROR(VLOOKUP($A32&amp;"_"&amp;Y$5,Database!$A:$F,6,0),"")</f>
        <v/>
      </c>
      <c r="Z32" s="20" t="str">
        <f>IFERROR(VLOOKUP($A32&amp;"_"&amp;Z$5,Database!$A:$F,6,0),"")</f>
        <v/>
      </c>
      <c r="AA32" s="20" t="str">
        <f>IFERROR(VLOOKUP($A32&amp;"_"&amp;AA$5,Database!$A:$F,6,0),"")</f>
        <v/>
      </c>
      <c r="AB32" s="20" t="str">
        <f>IFERROR(VLOOKUP($A32&amp;"_"&amp;AB$5,Database!$A:$F,6,0),"")</f>
        <v/>
      </c>
      <c r="AC32" s="20" t="str">
        <f>IFERROR(VLOOKUP($A32&amp;"_"&amp;AC$5,Database!$A:$F,6,0),"")</f>
        <v/>
      </c>
      <c r="AD32" s="20" t="str">
        <f>IFERROR(VLOOKUP($A32&amp;"_"&amp;AD$5,Database!$A:$F,6,0),"")</f>
        <v/>
      </c>
      <c r="AE32" s="20" t="str">
        <f>IFERROR(VLOOKUP($A32&amp;"_"&amp;AE$5,Database!$A:$F,6,0),"")</f>
        <v/>
      </c>
      <c r="AF32" s="20" t="str">
        <f>IFERROR(VLOOKUP($A32&amp;"_"&amp;AF$5,Database!$A:$F,6,0),"")</f>
        <v/>
      </c>
      <c r="AG32" s="20" t="str">
        <f>IFERROR(VLOOKUP($A32&amp;"_"&amp;AG$5,Database!$A:$F,6,0),"")</f>
        <v/>
      </c>
      <c r="AH32" s="20" t="str">
        <f>IFERROR(VLOOKUP($A32&amp;"_"&amp;AH$5,Database!$A:$F,6,0),"")</f>
        <v/>
      </c>
      <c r="AI32" s="20" t="str">
        <f>IFERROR(VLOOKUP($A32&amp;"_"&amp;AI$5,Database!$A:$F,6,0),"")</f>
        <v/>
      </c>
      <c r="AJ32" s="20" t="str">
        <f>IFERROR(VLOOKUP($A32&amp;"_"&amp;AJ$5,Database!$A:$F,6,0),"")</f>
        <v/>
      </c>
      <c r="AK32" s="20" t="str">
        <f>IFERROR(VLOOKUP($A32&amp;"_"&amp;AK$5,Database!$A:$F,6,0),"")</f>
        <v/>
      </c>
    </row>
    <row r="33" spans="1:37" x14ac:dyDescent="0.2">
      <c r="A33" s="17">
        <f>IF('Employee Master'!A29="","",'Employee Master'!A29)</f>
        <v>10032</v>
      </c>
      <c r="B33" s="18" t="str">
        <f>IF('Employee Master'!B29="","",'Employee Master'!B29)</f>
        <v>ghislain.indama</v>
      </c>
      <c r="C33" s="18" t="str">
        <f>IF('Employee Master'!C29="","",'Employee Master'!C29)</f>
        <v>wave-46</v>
      </c>
      <c r="D33" s="19">
        <f t="shared" si="6"/>
        <v>0</v>
      </c>
      <c r="E33" s="19">
        <f>COUNTIF(G33:AK33,"A")</f>
        <v>0</v>
      </c>
      <c r="F33" s="19">
        <f t="shared" si="3"/>
        <v>0</v>
      </c>
      <c r="G33" s="20" t="str">
        <f>IFERROR(VLOOKUP($A33&amp;"_"&amp;G$5,Database!$A:$F,6,0),"")</f>
        <v/>
      </c>
      <c r="H33" s="20" t="str">
        <f>IFERROR(VLOOKUP($A33&amp;"_"&amp;H$5,Database!$A:$F,6,0),"")</f>
        <v/>
      </c>
      <c r="I33" s="20" t="str">
        <f>IFERROR(VLOOKUP($A33&amp;"_"&amp;I$5,Database!$A:$F,6,0),"")</f>
        <v/>
      </c>
      <c r="J33" s="20" t="str">
        <f>IFERROR(VLOOKUP($A33&amp;"_"&amp;J$5,Database!$A:$F,6,0),"")</f>
        <v/>
      </c>
      <c r="K33" s="20" t="str">
        <f>IFERROR(VLOOKUP($A33&amp;"_"&amp;K$5,Database!$A:$F,6,0),"")</f>
        <v/>
      </c>
      <c r="L33" s="20" t="str">
        <f>IFERROR(VLOOKUP($A33&amp;"_"&amp;L$5,Database!$A:$F,6,0),"")</f>
        <v/>
      </c>
      <c r="M33" s="20" t="str">
        <f>IFERROR(VLOOKUP($A33&amp;"_"&amp;M$5,Database!$A:$F,6,0),"")</f>
        <v/>
      </c>
      <c r="N33" s="20" t="str">
        <f>IFERROR(VLOOKUP($A33&amp;"_"&amp;N$5,Database!$A:$F,6,0),"")</f>
        <v/>
      </c>
      <c r="O33" s="20" t="str">
        <f>IFERROR(VLOOKUP($A33&amp;"_"&amp;O$5,Database!$A:$F,6,0),"")</f>
        <v/>
      </c>
      <c r="P33" s="20" t="str">
        <f>IFERROR(VLOOKUP($A33&amp;"_"&amp;P$5,Database!$A:$F,6,0),"")</f>
        <v/>
      </c>
      <c r="Q33" s="20" t="str">
        <f>IFERROR(VLOOKUP($A33&amp;"_"&amp;Q$5,Database!$A:$F,6,0),"")</f>
        <v/>
      </c>
      <c r="R33" s="20" t="str">
        <f>IFERROR(VLOOKUP($A33&amp;"_"&amp;R$5,Database!$A:$F,6,0),"")</f>
        <v/>
      </c>
      <c r="S33" s="20" t="str">
        <f>IFERROR(VLOOKUP($A33&amp;"_"&amp;S$5,Database!$A:$F,6,0),"")</f>
        <v/>
      </c>
      <c r="T33" s="20" t="str">
        <f>IFERROR(VLOOKUP($A33&amp;"_"&amp;T$5,Database!$A:$F,6,0),"")</f>
        <v/>
      </c>
      <c r="U33" s="20" t="str">
        <f>IFERROR(VLOOKUP($A33&amp;"_"&amp;U$5,Database!$A:$F,6,0),"")</f>
        <v/>
      </c>
      <c r="V33" s="20" t="str">
        <f>IFERROR(VLOOKUP($A33&amp;"_"&amp;V$5,Database!$A:$F,6,0),"")</f>
        <v/>
      </c>
      <c r="W33" s="20" t="str">
        <f>IFERROR(VLOOKUP($A33&amp;"_"&amp;W$5,Database!$A:$F,6,0),"")</f>
        <v/>
      </c>
      <c r="X33" s="20" t="str">
        <f>IFERROR(VLOOKUP($A33&amp;"_"&amp;X$5,Database!$A:$F,6,0),"")</f>
        <v/>
      </c>
      <c r="Y33" s="20" t="str">
        <f>IFERROR(VLOOKUP($A33&amp;"_"&amp;Y$5,Database!$A:$F,6,0),"")</f>
        <v/>
      </c>
      <c r="Z33" s="20" t="str">
        <f>IFERROR(VLOOKUP($A33&amp;"_"&amp;Z$5,Database!$A:$F,6,0),"")</f>
        <v/>
      </c>
      <c r="AA33" s="20" t="str">
        <f>IFERROR(VLOOKUP($A33&amp;"_"&amp;AA$5,Database!$A:$F,6,0),"")</f>
        <v/>
      </c>
      <c r="AB33" s="20" t="str">
        <f>IFERROR(VLOOKUP($A33&amp;"_"&amp;AB$5,Database!$A:$F,6,0),"")</f>
        <v/>
      </c>
      <c r="AC33" s="20" t="str">
        <f>IFERROR(VLOOKUP($A33&amp;"_"&amp;AC$5,Database!$A:$F,6,0),"")</f>
        <v/>
      </c>
      <c r="AD33" s="20" t="str">
        <f>IFERROR(VLOOKUP($A33&amp;"_"&amp;AD$5,Database!$A:$F,6,0),"")</f>
        <v/>
      </c>
      <c r="AE33" s="20" t="str">
        <f>IFERROR(VLOOKUP($A33&amp;"_"&amp;AE$5,Database!$A:$F,6,0),"")</f>
        <v/>
      </c>
      <c r="AF33" s="20" t="str">
        <f>IFERROR(VLOOKUP($A33&amp;"_"&amp;AF$5,Database!$A:$F,6,0),"")</f>
        <v/>
      </c>
      <c r="AG33" s="20" t="str">
        <f>IFERROR(VLOOKUP($A33&amp;"_"&amp;AG$5,Database!$A:$F,6,0),"")</f>
        <v/>
      </c>
      <c r="AH33" s="20" t="str">
        <f>IFERROR(VLOOKUP($A33&amp;"_"&amp;AH$5,Database!$A:$F,6,0),"")</f>
        <v/>
      </c>
      <c r="AI33" s="20" t="str">
        <f>IFERROR(VLOOKUP($A33&amp;"_"&amp;AI$5,Database!$A:$F,6,0),"")</f>
        <v/>
      </c>
      <c r="AJ33" s="20" t="str">
        <f>IFERROR(VLOOKUP($A33&amp;"_"&amp;AJ$5,Database!$A:$F,6,0),"")</f>
        <v/>
      </c>
      <c r="AK33" s="20" t="str">
        <f>IFERROR(VLOOKUP($A33&amp;"_"&amp;AK$5,Database!$A:$F,6,0),"")</f>
        <v/>
      </c>
    </row>
    <row r="34" spans="1:37" x14ac:dyDescent="0.2">
      <c r="A34" s="17">
        <f>IF('Employee Master'!A30="","",'Employee Master'!A30)</f>
        <v>10023</v>
      </c>
      <c r="B34" s="18" t="str">
        <f>IF('Employee Master'!B30="","",'Employee Master'!B30)</f>
        <v>tagar</v>
      </c>
      <c r="C34" s="18" t="str">
        <f>IF('Employee Master'!C30="","",'Employee Master'!C30)</f>
        <v>wave-77</v>
      </c>
      <c r="D34" s="19">
        <f t="shared" si="6"/>
        <v>0</v>
      </c>
      <c r="E34" s="19">
        <f t="shared" si="7"/>
        <v>0</v>
      </c>
      <c r="F34" s="19">
        <f t="shared" si="3"/>
        <v>0</v>
      </c>
      <c r="G34" s="20" t="str">
        <f>IFERROR(VLOOKUP($A34&amp;"_"&amp;G$5,Database!$A:$F,6,0),"")</f>
        <v/>
      </c>
      <c r="H34" s="20" t="str">
        <f>IFERROR(VLOOKUP($A34&amp;"_"&amp;H$5,Database!$A:$F,6,0),"")</f>
        <v/>
      </c>
      <c r="I34" s="20" t="str">
        <f>IFERROR(VLOOKUP($A34&amp;"_"&amp;I$5,Database!$A:$F,6,0),"")</f>
        <v/>
      </c>
      <c r="J34" s="20" t="str">
        <f>IFERROR(VLOOKUP($A34&amp;"_"&amp;J$5,Database!$A:$F,6,0),"")</f>
        <v/>
      </c>
      <c r="K34" s="20" t="str">
        <f>IFERROR(VLOOKUP($A34&amp;"_"&amp;K$5,Database!$A:$F,6,0),"")</f>
        <v/>
      </c>
      <c r="L34" s="20" t="str">
        <f>IFERROR(VLOOKUP($A34&amp;"_"&amp;L$5,Database!$A:$F,6,0),"")</f>
        <v/>
      </c>
      <c r="M34" s="20" t="str">
        <f>IFERROR(VLOOKUP($A34&amp;"_"&amp;M$5,Database!$A:$F,6,0),"")</f>
        <v/>
      </c>
      <c r="N34" s="20" t="str">
        <f>IFERROR(VLOOKUP($A34&amp;"_"&amp;N$5,Database!$A:$F,6,0),"")</f>
        <v/>
      </c>
      <c r="O34" s="20" t="str">
        <f>IFERROR(VLOOKUP($A34&amp;"_"&amp;O$5,Database!$A:$F,6,0),"")</f>
        <v/>
      </c>
      <c r="P34" s="20" t="str">
        <f>IFERROR(VLOOKUP($A34&amp;"_"&amp;P$5,Database!$A:$F,6,0),"")</f>
        <v/>
      </c>
      <c r="Q34" s="20" t="str">
        <f>IFERROR(VLOOKUP($A34&amp;"_"&amp;Q$5,Database!$A:$F,6,0),"")</f>
        <v/>
      </c>
      <c r="R34" s="20" t="str">
        <f>IFERROR(VLOOKUP($A34&amp;"_"&amp;R$5,Database!$A:$F,6,0),"")</f>
        <v/>
      </c>
      <c r="S34" s="20" t="str">
        <f>IFERROR(VLOOKUP($A34&amp;"_"&amp;S$5,Database!$A:$F,6,0),"")</f>
        <v/>
      </c>
      <c r="T34" s="20" t="str">
        <f>IFERROR(VLOOKUP($A34&amp;"_"&amp;T$5,Database!$A:$F,6,0),"")</f>
        <v/>
      </c>
      <c r="U34" s="20" t="str">
        <f>IFERROR(VLOOKUP($A34&amp;"_"&amp;U$5,Database!$A:$F,6,0),"")</f>
        <v/>
      </c>
      <c r="V34" s="20" t="str">
        <f>IFERROR(VLOOKUP($A34&amp;"_"&amp;V$5,Database!$A:$F,6,0),"")</f>
        <v/>
      </c>
      <c r="W34" s="20" t="str">
        <f>IFERROR(VLOOKUP($A34&amp;"_"&amp;W$5,Database!$A:$F,6,0),"")</f>
        <v/>
      </c>
      <c r="X34" s="20" t="str">
        <f>IFERROR(VLOOKUP($A34&amp;"_"&amp;X$5,Database!$A:$F,6,0),"")</f>
        <v/>
      </c>
      <c r="Y34" s="20" t="str">
        <f>IFERROR(VLOOKUP($A34&amp;"_"&amp;Y$5,Database!$A:$F,6,0),"")</f>
        <v/>
      </c>
      <c r="Z34" s="20" t="str">
        <f>IFERROR(VLOOKUP($A34&amp;"_"&amp;Z$5,Database!$A:$F,6,0),"")</f>
        <v/>
      </c>
      <c r="AA34" s="20" t="str">
        <f>IFERROR(VLOOKUP($A34&amp;"_"&amp;AA$5,Database!$A:$F,6,0),"")</f>
        <v/>
      </c>
      <c r="AB34" s="20" t="str">
        <f>IFERROR(VLOOKUP($A34&amp;"_"&amp;AB$5,Database!$A:$F,6,0),"")</f>
        <v/>
      </c>
      <c r="AC34" s="20" t="str">
        <f>IFERROR(VLOOKUP($A34&amp;"_"&amp;AC$5,Database!$A:$F,6,0),"")</f>
        <v/>
      </c>
      <c r="AD34" s="20" t="str">
        <f>IFERROR(VLOOKUP($A34&amp;"_"&amp;AD$5,Database!$A:$F,6,0),"")</f>
        <v/>
      </c>
      <c r="AE34" s="20" t="str">
        <f>IFERROR(VLOOKUP($A34&amp;"_"&amp;AE$5,Database!$A:$F,6,0),"")</f>
        <v/>
      </c>
      <c r="AF34" s="20" t="str">
        <f>IFERROR(VLOOKUP($A34&amp;"_"&amp;AF$5,Database!$A:$F,6,0),"")</f>
        <v/>
      </c>
      <c r="AG34" s="20" t="str">
        <f>IFERROR(VLOOKUP($A34&amp;"_"&amp;AG$5,Database!$A:$F,6,0),"")</f>
        <v/>
      </c>
      <c r="AH34" s="20" t="str">
        <f>IFERROR(VLOOKUP($A34&amp;"_"&amp;AH$5,Database!$A:$F,6,0),"")</f>
        <v/>
      </c>
      <c r="AI34" s="20" t="str">
        <f>IFERROR(VLOOKUP($A34&amp;"_"&amp;AI$5,Database!$A:$F,6,0),"")</f>
        <v/>
      </c>
      <c r="AJ34" s="20" t="str">
        <f>IFERROR(VLOOKUP($A34&amp;"_"&amp;AJ$5,Database!$A:$F,6,0),"")</f>
        <v/>
      </c>
      <c r="AK34" s="20" t="str">
        <f>IFERROR(VLOOKUP($A34&amp;"_"&amp;AK$5,Database!$A:$F,6,0),"")</f>
        <v/>
      </c>
    </row>
    <row r="35" spans="1:37" x14ac:dyDescent="0.2">
      <c r="A35" s="17">
        <f>IF('Employee Master'!A31="","",'Employee Master'!A31)</f>
        <v>10034</v>
      </c>
      <c r="B35" s="18" t="str">
        <f>IF('Employee Master'!B31="","",'Employee Master'!B31)</f>
        <v>morales.john</v>
      </c>
      <c r="C35" s="18" t="str">
        <f>IF('Employee Master'!C31="","",'Employee Master'!C31)</f>
        <v>wave.35</v>
      </c>
      <c r="D35" s="19">
        <f t="shared" si="6"/>
        <v>0</v>
      </c>
      <c r="E35" s="19">
        <f t="shared" si="7"/>
        <v>0</v>
      </c>
      <c r="F35" s="19">
        <f t="shared" si="3"/>
        <v>0</v>
      </c>
      <c r="G35" s="20" t="str">
        <f>IFERROR(VLOOKUP($A35&amp;"_"&amp;G$5,Database!$A:$F,6,0),"")</f>
        <v/>
      </c>
      <c r="H35" s="20" t="str">
        <f>IFERROR(VLOOKUP($A35&amp;"_"&amp;H$5,Database!$A:$F,6,0),"")</f>
        <v/>
      </c>
      <c r="I35" s="20" t="str">
        <f>IFERROR(VLOOKUP($A35&amp;"_"&amp;I$5,Database!$A:$F,6,0),"")</f>
        <v/>
      </c>
      <c r="J35" s="20" t="str">
        <f>IFERROR(VLOOKUP($A35&amp;"_"&amp;J$5,Database!$A:$F,6,0),"")</f>
        <v/>
      </c>
      <c r="K35" s="20" t="str">
        <f>IFERROR(VLOOKUP($A35&amp;"_"&amp;K$5,Database!$A:$F,6,0),"")</f>
        <v/>
      </c>
      <c r="L35" s="20" t="str">
        <f>IFERROR(VLOOKUP($A35&amp;"_"&amp;L$5,Database!$A:$F,6,0),"")</f>
        <v/>
      </c>
      <c r="M35" s="20" t="str">
        <f>IFERROR(VLOOKUP($A35&amp;"_"&amp;M$5,Database!$A:$F,6,0),"")</f>
        <v/>
      </c>
      <c r="N35" s="20" t="str">
        <f>IFERROR(VLOOKUP($A35&amp;"_"&amp;N$5,Database!$A:$F,6,0),"")</f>
        <v/>
      </c>
      <c r="O35" s="20" t="str">
        <f>IFERROR(VLOOKUP($A35&amp;"_"&amp;O$5,Database!$A:$F,6,0),"")</f>
        <v/>
      </c>
      <c r="P35" s="20" t="str">
        <f>IFERROR(VLOOKUP($A35&amp;"_"&amp;P$5,Database!$A:$F,6,0),"")</f>
        <v/>
      </c>
      <c r="Q35" s="20" t="str">
        <f>IFERROR(VLOOKUP($A35&amp;"_"&amp;Q$5,Database!$A:$F,6,0),"")</f>
        <v/>
      </c>
      <c r="R35" s="20" t="str">
        <f>IFERROR(VLOOKUP($A35&amp;"_"&amp;R$5,Database!$A:$F,6,0),"")</f>
        <v/>
      </c>
      <c r="S35" s="20" t="str">
        <f>IFERROR(VLOOKUP($A35&amp;"_"&amp;S$5,Database!$A:$F,6,0),"")</f>
        <v/>
      </c>
      <c r="T35" s="20" t="str">
        <f>IFERROR(VLOOKUP($A35&amp;"_"&amp;T$5,Database!$A:$F,6,0),"")</f>
        <v/>
      </c>
      <c r="U35" s="20" t="str">
        <f>IFERROR(VLOOKUP($A35&amp;"_"&amp;U$5,Database!$A:$F,6,0),"")</f>
        <v/>
      </c>
      <c r="V35" s="20" t="str">
        <f>IFERROR(VLOOKUP($A35&amp;"_"&amp;V$5,Database!$A:$F,6,0),"")</f>
        <v/>
      </c>
      <c r="W35" s="20" t="str">
        <f>IFERROR(VLOOKUP($A35&amp;"_"&amp;W$5,Database!$A:$F,6,0),"")</f>
        <v/>
      </c>
      <c r="X35" s="20" t="str">
        <f>IFERROR(VLOOKUP($A35&amp;"_"&amp;X$5,Database!$A:$F,6,0),"")</f>
        <v/>
      </c>
      <c r="Y35" s="20" t="str">
        <f>IFERROR(VLOOKUP($A35&amp;"_"&amp;Y$5,Database!$A:$F,6,0),"")</f>
        <v/>
      </c>
      <c r="Z35" s="20" t="str">
        <f>IFERROR(VLOOKUP($A35&amp;"_"&amp;Z$5,Database!$A:$F,6,0),"")</f>
        <v/>
      </c>
      <c r="AA35" s="20" t="str">
        <f>IFERROR(VLOOKUP($A35&amp;"_"&amp;AA$5,Database!$A:$F,6,0),"")</f>
        <v/>
      </c>
      <c r="AB35" s="20" t="str">
        <f>IFERROR(VLOOKUP($A35&amp;"_"&amp;AB$5,Database!$A:$F,6,0),"")</f>
        <v/>
      </c>
      <c r="AC35" s="20" t="str">
        <f>IFERROR(VLOOKUP($A35&amp;"_"&amp;AC$5,Database!$A:$F,6,0),"")</f>
        <v/>
      </c>
      <c r="AD35" s="20" t="str">
        <f>IFERROR(VLOOKUP($A35&amp;"_"&amp;AD$5,Database!$A:$F,6,0),"")</f>
        <v/>
      </c>
      <c r="AE35" s="20" t="str">
        <f>IFERROR(VLOOKUP($A35&amp;"_"&amp;AE$5,Database!$A:$F,6,0),"")</f>
        <v/>
      </c>
      <c r="AF35" s="20" t="str">
        <f>IFERROR(VLOOKUP($A35&amp;"_"&amp;AF$5,Database!$A:$F,6,0),"")</f>
        <v/>
      </c>
      <c r="AG35" s="20" t="str">
        <f>IFERROR(VLOOKUP($A35&amp;"_"&amp;AG$5,Database!$A:$F,6,0),"")</f>
        <v/>
      </c>
      <c r="AH35" s="20" t="str">
        <f>IFERROR(VLOOKUP($A35&amp;"_"&amp;AH$5,Database!$A:$F,6,0),"")</f>
        <v/>
      </c>
      <c r="AI35" s="20" t="str">
        <f>IFERROR(VLOOKUP($A35&amp;"_"&amp;AI$5,Database!$A:$F,6,0),"")</f>
        <v/>
      </c>
      <c r="AJ35" s="20" t="str">
        <f>IFERROR(VLOOKUP($A35&amp;"_"&amp;AJ$5,Database!$A:$F,6,0),"")</f>
        <v/>
      </c>
      <c r="AK35" s="20" t="str">
        <f>IFERROR(VLOOKUP($A35&amp;"_"&amp;AK$5,Database!$A:$F,6,0),"")</f>
        <v/>
      </c>
    </row>
    <row r="36" spans="1:37" x14ac:dyDescent="0.2">
      <c r="A36" s="17">
        <f>IF('Employee Master'!A32="","",'Employee Master'!A32)</f>
        <v>10099</v>
      </c>
      <c r="B36" s="18" t="str">
        <f>IF('Employee Master'!B32="","",'Employee Master'!B32)</f>
        <v>ghislain.indama</v>
      </c>
      <c r="C36" s="18" t="str">
        <f>IF('Employee Master'!C32="","",'Employee Master'!C32)</f>
        <v>wave-33</v>
      </c>
      <c r="D36" s="19">
        <f t="shared" si="6"/>
        <v>0</v>
      </c>
      <c r="E36" s="19">
        <f t="shared" si="7"/>
        <v>0</v>
      </c>
      <c r="F36" s="19">
        <f t="shared" si="3"/>
        <v>0</v>
      </c>
      <c r="G36" s="20" t="str">
        <f>IFERROR(VLOOKUP($A36&amp;"_"&amp;G$5,Database!$A:$F,6,0),"")</f>
        <v/>
      </c>
      <c r="H36" s="20" t="str">
        <f>IFERROR(VLOOKUP($A36&amp;"_"&amp;H$5,Database!$A:$F,6,0),"")</f>
        <v/>
      </c>
      <c r="I36" s="20" t="str">
        <f>IFERROR(VLOOKUP($A36&amp;"_"&amp;I$5,Database!$A:$F,6,0),"")</f>
        <v/>
      </c>
      <c r="J36" s="20" t="str">
        <f>IFERROR(VLOOKUP($A36&amp;"_"&amp;J$5,Database!$A:$F,6,0),"")</f>
        <v/>
      </c>
      <c r="K36" s="20" t="str">
        <f>IFERROR(VLOOKUP($A36&amp;"_"&amp;K$5,Database!$A:$F,6,0),"")</f>
        <v/>
      </c>
      <c r="L36" s="20" t="str">
        <f>IFERROR(VLOOKUP($A36&amp;"_"&amp;L$5,Database!$A:$F,6,0),"")</f>
        <v/>
      </c>
      <c r="M36" s="20" t="str">
        <f>IFERROR(VLOOKUP($A36&amp;"_"&amp;M$5,Database!$A:$F,6,0),"")</f>
        <v/>
      </c>
      <c r="N36" s="20" t="str">
        <f>IFERROR(VLOOKUP($A36&amp;"_"&amp;N$5,Database!$A:$F,6,0),"")</f>
        <v/>
      </c>
      <c r="O36" s="20" t="str">
        <f>IFERROR(VLOOKUP($A36&amp;"_"&amp;O$5,Database!$A:$F,6,0),"")</f>
        <v/>
      </c>
      <c r="P36" s="20" t="str">
        <f>IFERROR(VLOOKUP($A36&amp;"_"&amp;P$5,Database!$A:$F,6,0),"")</f>
        <v/>
      </c>
      <c r="Q36" s="20" t="str">
        <f>IFERROR(VLOOKUP($A36&amp;"_"&amp;Q$5,Database!$A:$F,6,0),"")</f>
        <v/>
      </c>
      <c r="R36" s="20" t="str">
        <f>IFERROR(VLOOKUP($A36&amp;"_"&amp;R$5,Database!$A:$F,6,0),"")</f>
        <v/>
      </c>
      <c r="S36" s="20" t="str">
        <f>IFERROR(VLOOKUP($A36&amp;"_"&amp;S$5,Database!$A:$F,6,0),"")</f>
        <v/>
      </c>
      <c r="T36" s="20" t="str">
        <f>IFERROR(VLOOKUP($A36&amp;"_"&amp;T$5,Database!$A:$F,6,0),"")</f>
        <v/>
      </c>
      <c r="U36" s="20" t="str">
        <f>IFERROR(VLOOKUP($A36&amp;"_"&amp;U$5,Database!$A:$F,6,0),"")</f>
        <v/>
      </c>
      <c r="V36" s="20" t="str">
        <f>IFERROR(VLOOKUP($A36&amp;"_"&amp;V$5,Database!$A:$F,6,0),"")</f>
        <v/>
      </c>
      <c r="W36" s="20" t="str">
        <f>IFERROR(VLOOKUP($A36&amp;"_"&amp;W$5,Database!$A:$F,6,0),"")</f>
        <v/>
      </c>
      <c r="X36" s="20" t="str">
        <f>IFERROR(VLOOKUP($A36&amp;"_"&amp;X$5,Database!$A:$F,6,0),"")</f>
        <v/>
      </c>
      <c r="Y36" s="20" t="str">
        <f>IFERROR(VLOOKUP($A36&amp;"_"&amp;Y$5,Database!$A:$F,6,0),"")</f>
        <v/>
      </c>
      <c r="Z36" s="20" t="str">
        <f>IFERROR(VLOOKUP($A36&amp;"_"&amp;Z$5,Database!$A:$F,6,0),"")</f>
        <v/>
      </c>
      <c r="AA36" s="20" t="str">
        <f>IFERROR(VLOOKUP($A36&amp;"_"&amp;AA$5,Database!$A:$F,6,0),"")</f>
        <v/>
      </c>
      <c r="AB36" s="20" t="str">
        <f>IFERROR(VLOOKUP($A36&amp;"_"&amp;AB$5,Database!$A:$F,6,0),"")</f>
        <v/>
      </c>
      <c r="AC36" s="20" t="str">
        <f>IFERROR(VLOOKUP($A36&amp;"_"&amp;AC$5,Database!$A:$F,6,0),"")</f>
        <v/>
      </c>
      <c r="AD36" s="20" t="str">
        <f>IFERROR(VLOOKUP($A36&amp;"_"&amp;AD$5,Database!$A:$F,6,0),"")</f>
        <v/>
      </c>
      <c r="AE36" s="20" t="str">
        <f>IFERROR(VLOOKUP($A36&amp;"_"&amp;AE$5,Database!$A:$F,6,0),"")</f>
        <v/>
      </c>
      <c r="AF36" s="20" t="str">
        <f>IFERROR(VLOOKUP($A36&amp;"_"&amp;AF$5,Database!$A:$F,6,0),"")</f>
        <v/>
      </c>
      <c r="AG36" s="20" t="str">
        <f>IFERROR(VLOOKUP($A36&amp;"_"&amp;AG$5,Database!$A:$F,6,0),"")</f>
        <v/>
      </c>
      <c r="AH36" s="20" t="str">
        <f>IFERROR(VLOOKUP($A36&amp;"_"&amp;AH$5,Database!$A:$F,6,0),"")</f>
        <v/>
      </c>
      <c r="AI36" s="20" t="str">
        <f>IFERROR(VLOOKUP($A36&amp;"_"&amp;AI$5,Database!$A:$F,6,0),"")</f>
        <v/>
      </c>
      <c r="AJ36" s="20" t="str">
        <f>IFERROR(VLOOKUP($A36&amp;"_"&amp;AJ$5,Database!$A:$F,6,0),"")</f>
        <v/>
      </c>
      <c r="AK36" s="20" t="str">
        <f>IFERROR(VLOOKUP($A36&amp;"_"&amp;AK$5,Database!$A:$F,6,0),"")</f>
        <v/>
      </c>
    </row>
    <row r="37" spans="1:37" x14ac:dyDescent="0.2">
      <c r="A37" s="17">
        <f>IF('Employee Master'!A33="","",'Employee Master'!A33)</f>
        <v>1023</v>
      </c>
      <c r="B37" s="18" t="str">
        <f>IF('Employee Master'!B33="","",'Employee Master'!B33)</f>
        <v>tama.agggag</v>
      </c>
      <c r="C37" s="18" t="str">
        <f>IF('Employee Master'!C33="","",'Employee Master'!C33)</f>
        <v>wave-45</v>
      </c>
      <c r="D37" s="19">
        <f t="shared" si="6"/>
        <v>0</v>
      </c>
      <c r="E37" s="19">
        <f t="shared" si="7"/>
        <v>0</v>
      </c>
      <c r="F37" s="19">
        <f t="shared" ref="F37:F97" si="8">COUNTIF(G37:AK37,"PTO")</f>
        <v>0</v>
      </c>
      <c r="G37" s="20" t="str">
        <f>IFERROR(VLOOKUP($A37&amp;"_"&amp;G$5,Database!$A:$F,6,0),"")</f>
        <v/>
      </c>
      <c r="H37" s="20" t="str">
        <f>IFERROR(VLOOKUP($A37&amp;"_"&amp;H$5,Database!$A:$F,6,0),"")</f>
        <v/>
      </c>
      <c r="I37" s="20" t="str">
        <f>IFERROR(VLOOKUP($A37&amp;"_"&amp;I$5,Database!$A:$F,6,0),"")</f>
        <v/>
      </c>
      <c r="J37" s="20" t="str">
        <f>IFERROR(VLOOKUP($A37&amp;"_"&amp;J$5,Database!$A:$F,6,0),"")</f>
        <v/>
      </c>
      <c r="K37" s="20" t="str">
        <f>IFERROR(VLOOKUP($A37&amp;"_"&amp;K$5,Database!$A:$F,6,0),"")</f>
        <v/>
      </c>
      <c r="L37" s="20" t="str">
        <f>IFERROR(VLOOKUP($A37&amp;"_"&amp;L$5,Database!$A:$F,6,0),"")</f>
        <v/>
      </c>
      <c r="M37" s="20" t="str">
        <f>IFERROR(VLOOKUP($A37&amp;"_"&amp;M$5,Database!$A:$F,6,0),"")</f>
        <v/>
      </c>
      <c r="N37" s="20" t="str">
        <f>IFERROR(VLOOKUP($A37&amp;"_"&amp;N$5,Database!$A:$F,6,0),"")</f>
        <v/>
      </c>
      <c r="O37" s="20" t="str">
        <f>IFERROR(VLOOKUP($A37&amp;"_"&amp;O$5,Database!$A:$F,6,0),"")</f>
        <v/>
      </c>
      <c r="P37" s="20" t="str">
        <f>IFERROR(VLOOKUP($A37&amp;"_"&amp;P$5,Database!$A:$F,6,0),"")</f>
        <v/>
      </c>
      <c r="Q37" s="20" t="str">
        <f>IFERROR(VLOOKUP($A37&amp;"_"&amp;Q$5,Database!$A:$F,6,0),"")</f>
        <v/>
      </c>
      <c r="R37" s="20" t="str">
        <f>IFERROR(VLOOKUP($A37&amp;"_"&amp;R$5,Database!$A:$F,6,0),"")</f>
        <v/>
      </c>
      <c r="S37" s="20" t="str">
        <f>IFERROR(VLOOKUP($A37&amp;"_"&amp;S$5,Database!$A:$F,6,0),"")</f>
        <v/>
      </c>
      <c r="T37" s="20" t="str">
        <f>IFERROR(VLOOKUP($A37&amp;"_"&amp;T$5,Database!$A:$F,6,0),"")</f>
        <v/>
      </c>
      <c r="U37" s="20" t="str">
        <f>IFERROR(VLOOKUP($A37&amp;"_"&amp;U$5,Database!$A:$F,6,0),"")</f>
        <v/>
      </c>
      <c r="V37" s="20" t="str">
        <f>IFERROR(VLOOKUP($A37&amp;"_"&amp;V$5,Database!$A:$F,6,0),"")</f>
        <v/>
      </c>
      <c r="W37" s="20" t="str">
        <f>IFERROR(VLOOKUP($A37&amp;"_"&amp;W$5,Database!$A:$F,6,0),"")</f>
        <v/>
      </c>
      <c r="X37" s="20" t="str">
        <f>IFERROR(VLOOKUP($A37&amp;"_"&amp;X$5,Database!$A:$F,6,0),"")</f>
        <v/>
      </c>
      <c r="Y37" s="20" t="str">
        <f>IFERROR(VLOOKUP($A37&amp;"_"&amp;Y$5,Database!$A:$F,6,0),"")</f>
        <v/>
      </c>
      <c r="Z37" s="20" t="str">
        <f>IFERROR(VLOOKUP($A37&amp;"_"&amp;Z$5,Database!$A:$F,6,0),"")</f>
        <v/>
      </c>
      <c r="AA37" s="20" t="str">
        <f>IFERROR(VLOOKUP($A37&amp;"_"&amp;AA$5,Database!$A:$F,6,0),"")</f>
        <v/>
      </c>
      <c r="AB37" s="20" t="str">
        <f>IFERROR(VLOOKUP($A37&amp;"_"&amp;AB$5,Database!$A:$F,6,0),"")</f>
        <v/>
      </c>
      <c r="AC37" s="20" t="str">
        <f>IFERROR(VLOOKUP($A37&amp;"_"&amp;AC$5,Database!$A:$F,6,0),"")</f>
        <v/>
      </c>
      <c r="AD37" s="20" t="str">
        <f>IFERROR(VLOOKUP($A37&amp;"_"&amp;AD$5,Database!$A:$F,6,0),"")</f>
        <v/>
      </c>
      <c r="AE37" s="20" t="str">
        <f>IFERROR(VLOOKUP($A37&amp;"_"&amp;AE$5,Database!$A:$F,6,0),"")</f>
        <v/>
      </c>
      <c r="AF37" s="20" t="str">
        <f>IFERROR(VLOOKUP($A37&amp;"_"&amp;AF$5,Database!$A:$F,6,0),"")</f>
        <v/>
      </c>
      <c r="AG37" s="20" t="str">
        <f>IFERROR(VLOOKUP($A37&amp;"_"&amp;AG$5,Database!$A:$F,6,0),"")</f>
        <v/>
      </c>
      <c r="AH37" s="20" t="str">
        <f>IFERROR(VLOOKUP($A37&amp;"_"&amp;AH$5,Database!$A:$F,6,0),"")</f>
        <v/>
      </c>
      <c r="AI37" s="20" t="str">
        <f>IFERROR(VLOOKUP($A37&amp;"_"&amp;AI$5,Database!$A:$F,6,0),"")</f>
        <v/>
      </c>
      <c r="AJ37" s="20" t="str">
        <f>IFERROR(VLOOKUP($A37&amp;"_"&amp;AJ$5,Database!$A:$F,6,0),"")</f>
        <v/>
      </c>
      <c r="AK37" s="20" t="str">
        <f>IFERROR(VLOOKUP($A37&amp;"_"&amp;AK$5,Database!$A:$F,6,0),"")</f>
        <v/>
      </c>
    </row>
    <row r="38" spans="1:37" x14ac:dyDescent="0.2">
      <c r="A38" s="17">
        <f>IF('Employee Master'!A34="","",'Employee Master'!A34)</f>
        <v>34344</v>
      </c>
      <c r="B38" s="18" t="str">
        <f>IF('Employee Master'!B34="","",'Employee Master'!B34)</f>
        <v>TROPCOMP</v>
      </c>
      <c r="C38" s="18" t="str">
        <f>IF('Employee Master'!C34="","",'Employee Master'!C34)</f>
        <v>wave-35</v>
      </c>
      <c r="D38" s="19">
        <f t="shared" si="6"/>
        <v>0</v>
      </c>
      <c r="E38" s="19">
        <f t="shared" si="7"/>
        <v>0</v>
      </c>
      <c r="F38" s="19">
        <f t="shared" si="8"/>
        <v>0</v>
      </c>
      <c r="G38" s="20" t="str">
        <f>IFERROR(VLOOKUP($A38&amp;"_"&amp;G$5,Database!$A:$F,6,0),"")</f>
        <v/>
      </c>
      <c r="H38" s="20" t="str">
        <f>IFERROR(VLOOKUP($A38&amp;"_"&amp;H$5,Database!$A:$F,6,0),"")</f>
        <v/>
      </c>
      <c r="I38" s="20" t="str">
        <f>IFERROR(VLOOKUP($A38&amp;"_"&amp;I$5,Database!$A:$F,6,0),"")</f>
        <v/>
      </c>
      <c r="J38" s="20" t="str">
        <f>IFERROR(VLOOKUP($A38&amp;"_"&amp;J$5,Database!$A:$F,6,0),"")</f>
        <v/>
      </c>
      <c r="K38" s="20" t="str">
        <f>IFERROR(VLOOKUP($A38&amp;"_"&amp;K$5,Database!$A:$F,6,0),"")</f>
        <v/>
      </c>
      <c r="L38" s="20" t="str">
        <f>IFERROR(VLOOKUP($A38&amp;"_"&amp;L$5,Database!$A:$F,6,0),"")</f>
        <v/>
      </c>
      <c r="M38" s="20" t="str">
        <f>IFERROR(VLOOKUP($A38&amp;"_"&amp;M$5,Database!$A:$F,6,0),"")</f>
        <v/>
      </c>
      <c r="N38" s="20" t="str">
        <f>IFERROR(VLOOKUP($A38&amp;"_"&amp;N$5,Database!$A:$F,6,0),"")</f>
        <v/>
      </c>
      <c r="O38" s="20" t="str">
        <f>IFERROR(VLOOKUP($A38&amp;"_"&amp;O$5,Database!$A:$F,6,0),"")</f>
        <v/>
      </c>
      <c r="P38" s="20" t="str">
        <f>IFERROR(VLOOKUP($A38&amp;"_"&amp;P$5,Database!$A:$F,6,0),"")</f>
        <v/>
      </c>
      <c r="Q38" s="20" t="str">
        <f>IFERROR(VLOOKUP($A38&amp;"_"&amp;Q$5,Database!$A:$F,6,0),"")</f>
        <v/>
      </c>
      <c r="R38" s="20" t="str">
        <f>IFERROR(VLOOKUP($A38&amp;"_"&amp;R$5,Database!$A:$F,6,0),"")</f>
        <v/>
      </c>
      <c r="S38" s="20" t="str">
        <f>IFERROR(VLOOKUP($A38&amp;"_"&amp;S$5,Database!$A:$F,6,0),"")</f>
        <v/>
      </c>
      <c r="T38" s="20" t="str">
        <f>IFERROR(VLOOKUP($A38&amp;"_"&amp;T$5,Database!$A:$F,6,0),"")</f>
        <v/>
      </c>
      <c r="U38" s="20" t="str">
        <f>IFERROR(VLOOKUP($A38&amp;"_"&amp;U$5,Database!$A:$F,6,0),"")</f>
        <v/>
      </c>
      <c r="V38" s="20" t="str">
        <f>IFERROR(VLOOKUP($A38&amp;"_"&amp;V$5,Database!$A:$F,6,0),"")</f>
        <v/>
      </c>
      <c r="W38" s="20" t="str">
        <f>IFERROR(VLOOKUP($A38&amp;"_"&amp;W$5,Database!$A:$F,6,0),"")</f>
        <v/>
      </c>
      <c r="X38" s="20" t="str">
        <f>IFERROR(VLOOKUP($A38&amp;"_"&amp;X$5,Database!$A:$F,6,0),"")</f>
        <v/>
      </c>
      <c r="Y38" s="20" t="str">
        <f>IFERROR(VLOOKUP($A38&amp;"_"&amp;Y$5,Database!$A:$F,6,0),"")</f>
        <v/>
      </c>
      <c r="Z38" s="20" t="str">
        <f>IFERROR(VLOOKUP($A38&amp;"_"&amp;Z$5,Database!$A:$F,6,0),"")</f>
        <v/>
      </c>
      <c r="AA38" s="20" t="str">
        <f>IFERROR(VLOOKUP($A38&amp;"_"&amp;AA$5,Database!$A:$F,6,0),"")</f>
        <v/>
      </c>
      <c r="AB38" s="20" t="str">
        <f>IFERROR(VLOOKUP($A38&amp;"_"&amp;AB$5,Database!$A:$F,6,0),"")</f>
        <v/>
      </c>
      <c r="AC38" s="20" t="str">
        <f>IFERROR(VLOOKUP($A38&amp;"_"&amp;AC$5,Database!$A:$F,6,0),"")</f>
        <v/>
      </c>
      <c r="AD38" s="20" t="str">
        <f>IFERROR(VLOOKUP($A38&amp;"_"&amp;AD$5,Database!$A:$F,6,0),"")</f>
        <v/>
      </c>
      <c r="AE38" s="20" t="str">
        <f>IFERROR(VLOOKUP($A38&amp;"_"&amp;AE$5,Database!$A:$F,6,0),"")</f>
        <v/>
      </c>
      <c r="AF38" s="20" t="str">
        <f>IFERROR(VLOOKUP($A38&amp;"_"&amp;AF$5,Database!$A:$F,6,0),"")</f>
        <v/>
      </c>
      <c r="AG38" s="20" t="str">
        <f>IFERROR(VLOOKUP($A38&amp;"_"&amp;AG$5,Database!$A:$F,6,0),"")</f>
        <v/>
      </c>
      <c r="AH38" s="20" t="str">
        <f>IFERROR(VLOOKUP($A38&amp;"_"&amp;AH$5,Database!$A:$F,6,0),"")</f>
        <v/>
      </c>
      <c r="AI38" s="20" t="str">
        <f>IFERROR(VLOOKUP($A38&amp;"_"&amp;AI$5,Database!$A:$F,6,0),"")</f>
        <v/>
      </c>
      <c r="AJ38" s="20" t="str">
        <f>IFERROR(VLOOKUP($A38&amp;"_"&amp;AJ$5,Database!$A:$F,6,0),"")</f>
        <v/>
      </c>
      <c r="AK38" s="20" t="str">
        <f>IFERROR(VLOOKUP($A38&amp;"_"&amp;AK$5,Database!$A:$F,6,0),"")</f>
        <v/>
      </c>
    </row>
    <row r="39" spans="1:37" x14ac:dyDescent="0.2">
      <c r="A39" s="17">
        <f>IF('Employee Master'!A35="","",'Employee Master'!A35)</f>
        <v>12300</v>
      </c>
      <c r="B39" s="18" t="str">
        <f>IF('Employee Master'!B35="","",'Employee Master'!B35)</f>
        <v>tamam.shaiva</v>
      </c>
      <c r="C39" s="18" t="str">
        <f>IF('Employee Master'!C35="","",'Employee Master'!C35)</f>
        <v>wave-34</v>
      </c>
      <c r="D39" s="19">
        <f t="shared" si="6"/>
        <v>0</v>
      </c>
      <c r="E39" s="19">
        <f t="shared" si="7"/>
        <v>0</v>
      </c>
      <c r="F39" s="19">
        <f t="shared" si="8"/>
        <v>0</v>
      </c>
      <c r="G39" s="20" t="str">
        <f>IFERROR(VLOOKUP($A39&amp;"_"&amp;G$5,Database!$A:$F,6,0),"")</f>
        <v/>
      </c>
      <c r="H39" s="20" t="str">
        <f>IFERROR(VLOOKUP($A39&amp;"_"&amp;H$5,Database!$A:$F,6,0),"")</f>
        <v/>
      </c>
      <c r="I39" s="20" t="str">
        <f>IFERROR(VLOOKUP($A39&amp;"_"&amp;I$5,Database!$A:$F,6,0),"")</f>
        <v/>
      </c>
      <c r="J39" s="20" t="str">
        <f>IFERROR(VLOOKUP($A39&amp;"_"&amp;J$5,Database!$A:$F,6,0),"")</f>
        <v/>
      </c>
      <c r="K39" s="20" t="str">
        <f>IFERROR(VLOOKUP($A39&amp;"_"&amp;K$5,Database!$A:$F,6,0),"")</f>
        <v/>
      </c>
      <c r="L39" s="20" t="str">
        <f>IFERROR(VLOOKUP($A39&amp;"_"&amp;L$5,Database!$A:$F,6,0),"")</f>
        <v/>
      </c>
      <c r="M39" s="20" t="str">
        <f>IFERROR(VLOOKUP($A39&amp;"_"&amp;M$5,Database!$A:$F,6,0),"")</f>
        <v/>
      </c>
      <c r="N39" s="20" t="str">
        <f>IFERROR(VLOOKUP($A39&amp;"_"&amp;N$5,Database!$A:$F,6,0),"")</f>
        <v/>
      </c>
      <c r="O39" s="20" t="str">
        <f>IFERROR(VLOOKUP($A39&amp;"_"&amp;O$5,Database!$A:$F,6,0),"")</f>
        <v/>
      </c>
      <c r="P39" s="20" t="str">
        <f>IFERROR(VLOOKUP($A39&amp;"_"&amp;P$5,Database!$A:$F,6,0),"")</f>
        <v/>
      </c>
      <c r="Q39" s="20" t="str">
        <f>IFERROR(VLOOKUP($A39&amp;"_"&amp;Q$5,Database!$A:$F,6,0),"")</f>
        <v/>
      </c>
      <c r="R39" s="20" t="str">
        <f>IFERROR(VLOOKUP($A39&amp;"_"&amp;R$5,Database!$A:$F,6,0),"")</f>
        <v/>
      </c>
      <c r="S39" s="20" t="str">
        <f>IFERROR(VLOOKUP($A39&amp;"_"&amp;S$5,Database!$A:$F,6,0),"")</f>
        <v/>
      </c>
      <c r="T39" s="20" t="str">
        <f>IFERROR(VLOOKUP($A39&amp;"_"&amp;T$5,Database!$A:$F,6,0),"")</f>
        <v/>
      </c>
      <c r="U39" s="20" t="str">
        <f>IFERROR(VLOOKUP($A39&amp;"_"&amp;U$5,Database!$A:$F,6,0),"")</f>
        <v/>
      </c>
      <c r="V39" s="20" t="str">
        <f>IFERROR(VLOOKUP($A39&amp;"_"&amp;V$5,Database!$A:$F,6,0),"")</f>
        <v/>
      </c>
      <c r="W39" s="20" t="str">
        <f>IFERROR(VLOOKUP($A39&amp;"_"&amp;W$5,Database!$A:$F,6,0),"")</f>
        <v/>
      </c>
      <c r="X39" s="20" t="str">
        <f>IFERROR(VLOOKUP($A39&amp;"_"&amp;X$5,Database!$A:$F,6,0),"")</f>
        <v/>
      </c>
      <c r="Y39" s="20" t="str">
        <f>IFERROR(VLOOKUP($A39&amp;"_"&amp;Y$5,Database!$A:$F,6,0),"")</f>
        <v/>
      </c>
      <c r="Z39" s="20" t="str">
        <f>IFERROR(VLOOKUP($A39&amp;"_"&amp;Z$5,Database!$A:$F,6,0),"")</f>
        <v/>
      </c>
      <c r="AA39" s="20" t="str">
        <f>IFERROR(VLOOKUP($A39&amp;"_"&amp;AA$5,Database!$A:$F,6,0),"")</f>
        <v/>
      </c>
      <c r="AB39" s="20" t="str">
        <f>IFERROR(VLOOKUP($A39&amp;"_"&amp;AB$5,Database!$A:$F,6,0),"")</f>
        <v/>
      </c>
      <c r="AC39" s="20" t="str">
        <f>IFERROR(VLOOKUP($A39&amp;"_"&amp;AC$5,Database!$A:$F,6,0),"")</f>
        <v/>
      </c>
      <c r="AD39" s="20" t="str">
        <f>IFERROR(VLOOKUP($A39&amp;"_"&amp;AD$5,Database!$A:$F,6,0),"")</f>
        <v/>
      </c>
      <c r="AE39" s="20" t="str">
        <f>IFERROR(VLOOKUP($A39&amp;"_"&amp;AE$5,Database!$A:$F,6,0),"")</f>
        <v/>
      </c>
      <c r="AF39" s="20" t="str">
        <f>IFERROR(VLOOKUP($A39&amp;"_"&amp;AF$5,Database!$A:$F,6,0),"")</f>
        <v/>
      </c>
      <c r="AG39" s="20" t="str">
        <f>IFERROR(VLOOKUP($A39&amp;"_"&amp;AG$5,Database!$A:$F,6,0),"")</f>
        <v/>
      </c>
      <c r="AH39" s="20" t="str">
        <f>IFERROR(VLOOKUP($A39&amp;"_"&amp;AH$5,Database!$A:$F,6,0),"")</f>
        <v/>
      </c>
      <c r="AI39" s="20" t="str">
        <f>IFERROR(VLOOKUP($A39&amp;"_"&amp;AI$5,Database!$A:$F,6,0),"")</f>
        <v/>
      </c>
      <c r="AJ39" s="20" t="str">
        <f>IFERROR(VLOOKUP($A39&amp;"_"&amp;AJ$5,Database!$A:$F,6,0),"")</f>
        <v/>
      </c>
      <c r="AK39" s="20" t="str">
        <f>IFERROR(VLOOKUP($A39&amp;"_"&amp;AK$5,Database!$A:$F,6,0),"")</f>
        <v/>
      </c>
    </row>
    <row r="40" spans="1:37" x14ac:dyDescent="0.2">
      <c r="A40" s="17" t="str">
        <f>IF('Employee Master'!A36="","",'Employee Master'!A36)</f>
        <v/>
      </c>
      <c r="B40" s="18" t="str">
        <f>IF('Employee Master'!B36="","",'Employee Master'!B36)</f>
        <v/>
      </c>
      <c r="C40" s="18" t="str">
        <f>IF('Employee Master'!C36="","",'Employee Master'!C36)</f>
        <v/>
      </c>
      <c r="D40" s="19">
        <f t="shared" si="6"/>
        <v>0</v>
      </c>
      <c r="E40" s="19">
        <f t="shared" si="7"/>
        <v>0</v>
      </c>
      <c r="F40" s="19">
        <f t="shared" si="8"/>
        <v>0</v>
      </c>
      <c r="G40" s="20" t="str">
        <f>IFERROR(VLOOKUP($A40&amp;"_"&amp;G$5,Database!$A:$F,6,0),"")</f>
        <v/>
      </c>
      <c r="H40" s="20" t="str">
        <f>IFERROR(VLOOKUP($A40&amp;"_"&amp;H$5,Database!$A:$F,6,0),"")</f>
        <v/>
      </c>
      <c r="I40" s="20" t="str">
        <f>IFERROR(VLOOKUP($A40&amp;"_"&amp;I$5,Database!$A:$F,6,0),"")</f>
        <v/>
      </c>
      <c r="J40" s="20" t="str">
        <f>IFERROR(VLOOKUP($A40&amp;"_"&amp;J$5,Database!$A:$F,6,0),"")</f>
        <v/>
      </c>
      <c r="K40" s="20" t="str">
        <f>IFERROR(VLOOKUP($A40&amp;"_"&amp;K$5,Database!$A:$F,6,0),"")</f>
        <v/>
      </c>
      <c r="L40" s="20" t="str">
        <f>IFERROR(VLOOKUP($A40&amp;"_"&amp;L$5,Database!$A:$F,6,0),"")</f>
        <v/>
      </c>
      <c r="M40" s="20" t="str">
        <f>IFERROR(VLOOKUP($A40&amp;"_"&amp;M$5,Database!$A:$F,6,0),"")</f>
        <v/>
      </c>
      <c r="N40" s="20" t="str">
        <f>IFERROR(VLOOKUP($A40&amp;"_"&amp;N$5,Database!$A:$F,6,0),"")</f>
        <v/>
      </c>
      <c r="O40" s="20" t="str">
        <f>IFERROR(VLOOKUP($A40&amp;"_"&amp;O$5,Database!$A:$F,6,0),"")</f>
        <v/>
      </c>
      <c r="P40" s="20" t="str">
        <f>IFERROR(VLOOKUP($A40&amp;"_"&amp;P$5,Database!$A:$F,6,0),"")</f>
        <v/>
      </c>
      <c r="Q40" s="20" t="str">
        <f>IFERROR(VLOOKUP($A40&amp;"_"&amp;Q$5,Database!$A:$F,6,0),"")</f>
        <v/>
      </c>
      <c r="R40" s="20" t="str">
        <f>IFERROR(VLOOKUP($A40&amp;"_"&amp;R$5,Database!$A:$F,6,0),"")</f>
        <v/>
      </c>
      <c r="S40" s="20" t="str">
        <f>IFERROR(VLOOKUP($A40&amp;"_"&amp;S$5,Database!$A:$F,6,0),"")</f>
        <v/>
      </c>
      <c r="T40" s="20" t="str">
        <f>IFERROR(VLOOKUP($A40&amp;"_"&amp;T$5,Database!$A:$F,6,0),"")</f>
        <v/>
      </c>
      <c r="U40" s="20" t="str">
        <f>IFERROR(VLOOKUP($A40&amp;"_"&amp;U$5,Database!$A:$F,6,0),"")</f>
        <v/>
      </c>
      <c r="V40" s="20" t="str">
        <f>IFERROR(VLOOKUP($A40&amp;"_"&amp;V$5,Database!$A:$F,6,0),"")</f>
        <v/>
      </c>
      <c r="W40" s="20" t="str">
        <f>IFERROR(VLOOKUP($A40&amp;"_"&amp;W$5,Database!$A:$F,6,0),"")</f>
        <v/>
      </c>
      <c r="X40" s="20" t="str">
        <f>IFERROR(VLOOKUP($A40&amp;"_"&amp;X$5,Database!$A:$F,6,0),"")</f>
        <v/>
      </c>
      <c r="Y40" s="20" t="str">
        <f>IFERROR(VLOOKUP($A40&amp;"_"&amp;Y$5,Database!$A:$F,6,0),"")</f>
        <v/>
      </c>
      <c r="Z40" s="20" t="str">
        <f>IFERROR(VLOOKUP($A40&amp;"_"&amp;Z$5,Database!$A:$F,6,0),"")</f>
        <v/>
      </c>
      <c r="AA40" s="20" t="str">
        <f>IFERROR(VLOOKUP($A40&amp;"_"&amp;AA$5,Database!$A:$F,6,0),"")</f>
        <v/>
      </c>
      <c r="AB40" s="20" t="str">
        <f>IFERROR(VLOOKUP($A40&amp;"_"&amp;AB$5,Database!$A:$F,6,0),"")</f>
        <v/>
      </c>
      <c r="AC40" s="20" t="str">
        <f>IFERROR(VLOOKUP($A40&amp;"_"&amp;AC$5,Database!$A:$F,6,0),"")</f>
        <v/>
      </c>
      <c r="AD40" s="20" t="str">
        <f>IFERROR(VLOOKUP($A40&amp;"_"&amp;AD$5,Database!$A:$F,6,0),"")</f>
        <v/>
      </c>
      <c r="AE40" s="20" t="str">
        <f>IFERROR(VLOOKUP($A40&amp;"_"&amp;AE$5,Database!$A:$F,6,0),"")</f>
        <v/>
      </c>
      <c r="AF40" s="20" t="str">
        <f>IFERROR(VLOOKUP($A40&amp;"_"&amp;AF$5,Database!$A:$F,6,0),"")</f>
        <v/>
      </c>
      <c r="AG40" s="20" t="str">
        <f>IFERROR(VLOOKUP($A40&amp;"_"&amp;AG$5,Database!$A:$F,6,0),"")</f>
        <v/>
      </c>
      <c r="AH40" s="20" t="str">
        <f>IFERROR(VLOOKUP($A40&amp;"_"&amp;AH$5,Database!$A:$F,6,0),"")</f>
        <v/>
      </c>
      <c r="AI40" s="20" t="str">
        <f>IFERROR(VLOOKUP($A40&amp;"_"&amp;AI$5,Database!$A:$F,6,0),"")</f>
        <v/>
      </c>
      <c r="AJ40" s="20" t="str">
        <f>IFERROR(VLOOKUP($A40&amp;"_"&amp;AJ$5,Database!$A:$F,6,0),"")</f>
        <v/>
      </c>
      <c r="AK40" s="20" t="str">
        <f>IFERROR(VLOOKUP($A40&amp;"_"&amp;AK$5,Database!$A:$F,6,0),"")</f>
        <v/>
      </c>
    </row>
    <row r="41" spans="1:37" x14ac:dyDescent="0.2">
      <c r="A41" s="17" t="str">
        <f>IF('Employee Master'!A37="","",'Employee Master'!A37)</f>
        <v/>
      </c>
      <c r="B41" s="18" t="str">
        <f>IF('Employee Master'!B37="","",'Employee Master'!B37)</f>
        <v/>
      </c>
      <c r="C41" s="18" t="str">
        <f>IF('Employee Master'!C37="","",'Employee Master'!C37)</f>
        <v/>
      </c>
      <c r="D41" s="19">
        <f t="shared" si="6"/>
        <v>0</v>
      </c>
      <c r="E41" s="19">
        <f t="shared" si="7"/>
        <v>0</v>
      </c>
      <c r="F41" s="19">
        <f t="shared" si="8"/>
        <v>0</v>
      </c>
      <c r="G41" s="20" t="str">
        <f>IFERROR(VLOOKUP($A41&amp;"_"&amp;G$5,Database!$A:$F,6,0),"")</f>
        <v/>
      </c>
      <c r="H41" s="20" t="str">
        <f>IFERROR(VLOOKUP($A41&amp;"_"&amp;H$5,Database!$A:$F,6,0),"")</f>
        <v/>
      </c>
      <c r="I41" s="20" t="str">
        <f>IFERROR(VLOOKUP($A41&amp;"_"&amp;I$5,Database!$A:$F,6,0),"")</f>
        <v/>
      </c>
      <c r="J41" s="20" t="str">
        <f>IFERROR(VLOOKUP($A41&amp;"_"&amp;J$5,Database!$A:$F,6,0),"")</f>
        <v/>
      </c>
      <c r="K41" s="20" t="str">
        <f>IFERROR(VLOOKUP($A41&amp;"_"&amp;K$5,Database!$A:$F,6,0),"")</f>
        <v/>
      </c>
      <c r="L41" s="20" t="str">
        <f>IFERROR(VLOOKUP($A41&amp;"_"&amp;L$5,Database!$A:$F,6,0),"")</f>
        <v/>
      </c>
      <c r="M41" s="20" t="str">
        <f>IFERROR(VLOOKUP($A41&amp;"_"&amp;M$5,Database!$A:$F,6,0),"")</f>
        <v/>
      </c>
      <c r="N41" s="20" t="str">
        <f>IFERROR(VLOOKUP($A41&amp;"_"&amp;N$5,Database!$A:$F,6,0),"")</f>
        <v/>
      </c>
      <c r="O41" s="20" t="str">
        <f>IFERROR(VLOOKUP($A41&amp;"_"&amp;O$5,Database!$A:$F,6,0),"")</f>
        <v/>
      </c>
      <c r="P41" s="20" t="str">
        <f>IFERROR(VLOOKUP($A41&amp;"_"&amp;P$5,Database!$A:$F,6,0),"")</f>
        <v/>
      </c>
      <c r="Q41" s="20" t="str">
        <f>IFERROR(VLOOKUP($A41&amp;"_"&amp;Q$5,Database!$A:$F,6,0),"")</f>
        <v/>
      </c>
      <c r="R41" s="20" t="str">
        <f>IFERROR(VLOOKUP($A41&amp;"_"&amp;R$5,Database!$A:$F,6,0),"")</f>
        <v/>
      </c>
      <c r="S41" s="20" t="str">
        <f>IFERROR(VLOOKUP($A41&amp;"_"&amp;S$5,Database!$A:$F,6,0),"")</f>
        <v/>
      </c>
      <c r="T41" s="20" t="str">
        <f>IFERROR(VLOOKUP($A41&amp;"_"&amp;T$5,Database!$A:$F,6,0),"")</f>
        <v/>
      </c>
      <c r="U41" s="20" t="str">
        <f>IFERROR(VLOOKUP($A41&amp;"_"&amp;U$5,Database!$A:$F,6,0),"")</f>
        <v/>
      </c>
      <c r="V41" s="20" t="str">
        <f>IFERROR(VLOOKUP($A41&amp;"_"&amp;V$5,Database!$A:$F,6,0),"")</f>
        <v/>
      </c>
      <c r="W41" s="20" t="str">
        <f>IFERROR(VLOOKUP($A41&amp;"_"&amp;W$5,Database!$A:$F,6,0),"")</f>
        <v/>
      </c>
      <c r="X41" s="20" t="str">
        <f>IFERROR(VLOOKUP($A41&amp;"_"&amp;X$5,Database!$A:$F,6,0),"")</f>
        <v/>
      </c>
      <c r="Y41" s="20" t="str">
        <f>IFERROR(VLOOKUP($A41&amp;"_"&amp;Y$5,Database!$A:$F,6,0),"")</f>
        <v/>
      </c>
      <c r="Z41" s="20" t="str">
        <f>IFERROR(VLOOKUP($A41&amp;"_"&amp;Z$5,Database!$A:$F,6,0),"")</f>
        <v/>
      </c>
      <c r="AA41" s="20" t="str">
        <f>IFERROR(VLOOKUP($A41&amp;"_"&amp;AA$5,Database!$A:$F,6,0),"")</f>
        <v/>
      </c>
      <c r="AB41" s="20" t="str">
        <f>IFERROR(VLOOKUP($A41&amp;"_"&amp;AB$5,Database!$A:$F,6,0),"")</f>
        <v/>
      </c>
      <c r="AC41" s="20" t="str">
        <f>IFERROR(VLOOKUP($A41&amp;"_"&amp;AC$5,Database!$A:$F,6,0),"")</f>
        <v/>
      </c>
      <c r="AD41" s="20" t="str">
        <f>IFERROR(VLOOKUP($A41&amp;"_"&amp;AD$5,Database!$A:$F,6,0),"")</f>
        <v/>
      </c>
      <c r="AE41" s="20" t="str">
        <f>IFERROR(VLOOKUP($A41&amp;"_"&amp;AE$5,Database!$A:$F,6,0),"")</f>
        <v/>
      </c>
      <c r="AF41" s="20" t="str">
        <f>IFERROR(VLOOKUP($A41&amp;"_"&amp;AF$5,Database!$A:$F,6,0),"")</f>
        <v/>
      </c>
      <c r="AG41" s="20" t="str">
        <f>IFERROR(VLOOKUP($A41&amp;"_"&amp;AG$5,Database!$A:$F,6,0),"")</f>
        <v/>
      </c>
      <c r="AH41" s="20" t="str">
        <f>IFERROR(VLOOKUP($A41&amp;"_"&amp;AH$5,Database!$A:$F,6,0),"")</f>
        <v/>
      </c>
      <c r="AI41" s="20" t="str">
        <f>IFERROR(VLOOKUP($A41&amp;"_"&amp;AI$5,Database!$A:$F,6,0),"")</f>
        <v/>
      </c>
      <c r="AJ41" s="20" t="str">
        <f>IFERROR(VLOOKUP($A41&amp;"_"&amp;AJ$5,Database!$A:$F,6,0),"")</f>
        <v/>
      </c>
      <c r="AK41" s="20" t="str">
        <f>IFERROR(VLOOKUP($A41&amp;"_"&amp;AK$5,Database!$A:$F,6,0),"")</f>
        <v/>
      </c>
    </row>
    <row r="42" spans="1:37" x14ac:dyDescent="0.2">
      <c r="A42" s="17" t="str">
        <f>IF('Employee Master'!A38="","",'Employee Master'!A38)</f>
        <v/>
      </c>
      <c r="B42" s="18" t="str">
        <f>IF('Employee Master'!B38="","",'Employee Master'!B38)</f>
        <v/>
      </c>
      <c r="C42" s="18" t="str">
        <f>IF('Employee Master'!C38="","",'Employee Master'!C38)</f>
        <v/>
      </c>
      <c r="D42" s="19">
        <f t="shared" si="6"/>
        <v>0</v>
      </c>
      <c r="E42" s="19">
        <f t="shared" si="7"/>
        <v>0</v>
      </c>
      <c r="F42" s="19">
        <f t="shared" si="8"/>
        <v>0</v>
      </c>
      <c r="G42" s="20" t="str">
        <f>IFERROR(VLOOKUP($A42&amp;"_"&amp;G$5,Database!$A:$F,6,0),"")</f>
        <v/>
      </c>
      <c r="H42" s="20" t="str">
        <f>IFERROR(VLOOKUP($A42&amp;"_"&amp;H$5,Database!$A:$F,6,0),"")</f>
        <v/>
      </c>
      <c r="I42" s="20" t="str">
        <f>IFERROR(VLOOKUP($A42&amp;"_"&amp;I$5,Database!$A:$F,6,0),"")</f>
        <v/>
      </c>
      <c r="J42" s="20" t="str">
        <f>IFERROR(VLOOKUP($A42&amp;"_"&amp;J$5,Database!$A:$F,6,0),"")</f>
        <v/>
      </c>
      <c r="K42" s="20" t="str">
        <f>IFERROR(VLOOKUP($A42&amp;"_"&amp;K$5,Database!$A:$F,6,0),"")</f>
        <v/>
      </c>
      <c r="L42" s="20" t="str">
        <f>IFERROR(VLOOKUP($A42&amp;"_"&amp;L$5,Database!$A:$F,6,0),"")</f>
        <v/>
      </c>
      <c r="M42" s="20" t="str">
        <f>IFERROR(VLOOKUP($A42&amp;"_"&amp;M$5,Database!$A:$F,6,0),"")</f>
        <v/>
      </c>
      <c r="N42" s="20" t="str">
        <f>IFERROR(VLOOKUP($A42&amp;"_"&amp;N$5,Database!$A:$F,6,0),"")</f>
        <v/>
      </c>
      <c r="O42" s="20" t="str">
        <f>IFERROR(VLOOKUP($A42&amp;"_"&amp;O$5,Database!$A:$F,6,0),"")</f>
        <v/>
      </c>
      <c r="P42" s="20" t="str">
        <f>IFERROR(VLOOKUP($A42&amp;"_"&amp;P$5,Database!$A:$F,6,0),"")</f>
        <v/>
      </c>
      <c r="Q42" s="20" t="str">
        <f>IFERROR(VLOOKUP($A42&amp;"_"&amp;Q$5,Database!$A:$F,6,0),"")</f>
        <v/>
      </c>
      <c r="R42" s="20" t="str">
        <f>IFERROR(VLOOKUP($A42&amp;"_"&amp;R$5,Database!$A:$F,6,0),"")</f>
        <v/>
      </c>
      <c r="S42" s="20" t="str">
        <f>IFERROR(VLOOKUP($A42&amp;"_"&amp;S$5,Database!$A:$F,6,0),"")</f>
        <v/>
      </c>
      <c r="T42" s="20" t="str">
        <f>IFERROR(VLOOKUP($A42&amp;"_"&amp;T$5,Database!$A:$F,6,0),"")</f>
        <v/>
      </c>
      <c r="U42" s="20" t="str">
        <f>IFERROR(VLOOKUP($A42&amp;"_"&amp;U$5,Database!$A:$F,6,0),"")</f>
        <v/>
      </c>
      <c r="V42" s="20" t="str">
        <f>IFERROR(VLOOKUP($A42&amp;"_"&amp;V$5,Database!$A:$F,6,0),"")</f>
        <v/>
      </c>
      <c r="W42" s="20" t="str">
        <f>IFERROR(VLOOKUP($A42&amp;"_"&amp;W$5,Database!$A:$F,6,0),"")</f>
        <v/>
      </c>
      <c r="X42" s="20" t="str">
        <f>IFERROR(VLOOKUP($A42&amp;"_"&amp;X$5,Database!$A:$F,6,0),"")</f>
        <v/>
      </c>
      <c r="Y42" s="20" t="str">
        <f>IFERROR(VLOOKUP($A42&amp;"_"&amp;Y$5,Database!$A:$F,6,0),"")</f>
        <v/>
      </c>
      <c r="Z42" s="20" t="str">
        <f>IFERROR(VLOOKUP($A42&amp;"_"&amp;Z$5,Database!$A:$F,6,0),"")</f>
        <v/>
      </c>
      <c r="AA42" s="20" t="str">
        <f>IFERROR(VLOOKUP($A42&amp;"_"&amp;AA$5,Database!$A:$F,6,0),"")</f>
        <v/>
      </c>
      <c r="AB42" s="20" t="str">
        <f>IFERROR(VLOOKUP($A42&amp;"_"&amp;AB$5,Database!$A:$F,6,0),"")</f>
        <v/>
      </c>
      <c r="AC42" s="20" t="str">
        <f>IFERROR(VLOOKUP($A42&amp;"_"&amp;AC$5,Database!$A:$F,6,0),"")</f>
        <v/>
      </c>
      <c r="AD42" s="20" t="str">
        <f>IFERROR(VLOOKUP($A42&amp;"_"&amp;AD$5,Database!$A:$F,6,0),"")</f>
        <v/>
      </c>
      <c r="AE42" s="20" t="str">
        <f>IFERROR(VLOOKUP($A42&amp;"_"&amp;AE$5,Database!$A:$F,6,0),"")</f>
        <v/>
      </c>
      <c r="AF42" s="20" t="str">
        <f>IFERROR(VLOOKUP($A42&amp;"_"&amp;AF$5,Database!$A:$F,6,0),"")</f>
        <v/>
      </c>
      <c r="AG42" s="20" t="str">
        <f>IFERROR(VLOOKUP($A42&amp;"_"&amp;AG$5,Database!$A:$F,6,0),"")</f>
        <v/>
      </c>
      <c r="AH42" s="20" t="str">
        <f>IFERROR(VLOOKUP($A42&amp;"_"&amp;AH$5,Database!$A:$F,6,0),"")</f>
        <v/>
      </c>
      <c r="AI42" s="20" t="str">
        <f>IFERROR(VLOOKUP($A42&amp;"_"&amp;AI$5,Database!$A:$F,6,0),"")</f>
        <v/>
      </c>
      <c r="AJ42" s="20" t="str">
        <f>IFERROR(VLOOKUP($A42&amp;"_"&amp;AJ$5,Database!$A:$F,6,0),"")</f>
        <v/>
      </c>
      <c r="AK42" s="20" t="str">
        <f>IFERROR(VLOOKUP($A42&amp;"_"&amp;AK$5,Database!$A:$F,6,0),"")</f>
        <v/>
      </c>
    </row>
    <row r="43" spans="1:37" x14ac:dyDescent="0.2">
      <c r="A43" s="17" t="str">
        <f>IF('Employee Master'!A39="","",'Employee Master'!A39)</f>
        <v/>
      </c>
      <c r="B43" s="18" t="str">
        <f>IF('Employee Master'!B39="","",'Employee Master'!B39)</f>
        <v/>
      </c>
      <c r="C43" s="18" t="str">
        <f>IF('Employee Master'!C39="","",'Employee Master'!C39)</f>
        <v/>
      </c>
      <c r="D43" s="19">
        <f t="shared" si="6"/>
        <v>0</v>
      </c>
      <c r="E43" s="19">
        <f t="shared" si="7"/>
        <v>0</v>
      </c>
      <c r="F43" s="19">
        <f t="shared" si="8"/>
        <v>0</v>
      </c>
      <c r="G43" s="20" t="str">
        <f>IFERROR(VLOOKUP($A43&amp;"_"&amp;G$5,Database!$A:$F,6,0),"")</f>
        <v/>
      </c>
      <c r="H43" s="20" t="str">
        <f>IFERROR(VLOOKUP($A43&amp;"_"&amp;H$5,Database!$A:$F,6,0),"")</f>
        <v/>
      </c>
      <c r="I43" s="20" t="str">
        <f>IFERROR(VLOOKUP($A43&amp;"_"&amp;I$5,Database!$A:$F,6,0),"")</f>
        <v/>
      </c>
      <c r="J43" s="20" t="str">
        <f>IFERROR(VLOOKUP($A43&amp;"_"&amp;J$5,Database!$A:$F,6,0),"")</f>
        <v/>
      </c>
      <c r="K43" s="20" t="str">
        <f>IFERROR(VLOOKUP($A43&amp;"_"&amp;K$5,Database!$A:$F,6,0),"")</f>
        <v/>
      </c>
      <c r="L43" s="20" t="str">
        <f>IFERROR(VLOOKUP($A43&amp;"_"&amp;L$5,Database!$A:$F,6,0),"")</f>
        <v/>
      </c>
      <c r="M43" s="20" t="str">
        <f>IFERROR(VLOOKUP($A43&amp;"_"&amp;M$5,Database!$A:$F,6,0),"")</f>
        <v/>
      </c>
      <c r="N43" s="20" t="str">
        <f>IFERROR(VLOOKUP($A43&amp;"_"&amp;N$5,Database!$A:$F,6,0),"")</f>
        <v/>
      </c>
      <c r="O43" s="20" t="str">
        <f>IFERROR(VLOOKUP($A43&amp;"_"&amp;O$5,Database!$A:$F,6,0),"")</f>
        <v/>
      </c>
      <c r="P43" s="20" t="str">
        <f>IFERROR(VLOOKUP($A43&amp;"_"&amp;P$5,Database!$A:$F,6,0),"")</f>
        <v/>
      </c>
      <c r="Q43" s="20" t="str">
        <f>IFERROR(VLOOKUP($A43&amp;"_"&amp;Q$5,Database!$A:$F,6,0),"")</f>
        <v/>
      </c>
      <c r="R43" s="20" t="str">
        <f>IFERROR(VLOOKUP($A43&amp;"_"&amp;R$5,Database!$A:$F,6,0),"")</f>
        <v/>
      </c>
      <c r="S43" s="20" t="str">
        <f>IFERROR(VLOOKUP($A43&amp;"_"&amp;S$5,Database!$A:$F,6,0),"")</f>
        <v/>
      </c>
      <c r="T43" s="20" t="str">
        <f>IFERROR(VLOOKUP($A43&amp;"_"&amp;T$5,Database!$A:$F,6,0),"")</f>
        <v/>
      </c>
      <c r="U43" s="20" t="str">
        <f>IFERROR(VLOOKUP($A43&amp;"_"&amp;U$5,Database!$A:$F,6,0),"")</f>
        <v/>
      </c>
      <c r="V43" s="20" t="str">
        <f>IFERROR(VLOOKUP($A43&amp;"_"&amp;V$5,Database!$A:$F,6,0),"")</f>
        <v/>
      </c>
      <c r="W43" s="20" t="str">
        <f>IFERROR(VLOOKUP($A43&amp;"_"&amp;W$5,Database!$A:$F,6,0),"")</f>
        <v/>
      </c>
      <c r="X43" s="20" t="str">
        <f>IFERROR(VLOOKUP($A43&amp;"_"&amp;X$5,Database!$A:$F,6,0),"")</f>
        <v/>
      </c>
      <c r="Y43" s="20" t="str">
        <f>IFERROR(VLOOKUP($A43&amp;"_"&amp;Y$5,Database!$A:$F,6,0),"")</f>
        <v/>
      </c>
      <c r="Z43" s="20" t="str">
        <f>IFERROR(VLOOKUP($A43&amp;"_"&amp;Z$5,Database!$A:$F,6,0),"")</f>
        <v/>
      </c>
      <c r="AA43" s="20" t="str">
        <f>IFERROR(VLOOKUP($A43&amp;"_"&amp;AA$5,Database!$A:$F,6,0),"")</f>
        <v/>
      </c>
      <c r="AB43" s="20" t="str">
        <f>IFERROR(VLOOKUP($A43&amp;"_"&amp;AB$5,Database!$A:$F,6,0),"")</f>
        <v/>
      </c>
      <c r="AC43" s="20" t="str">
        <f>IFERROR(VLOOKUP($A43&amp;"_"&amp;AC$5,Database!$A:$F,6,0),"")</f>
        <v/>
      </c>
      <c r="AD43" s="20" t="str">
        <f>IFERROR(VLOOKUP($A43&amp;"_"&amp;AD$5,Database!$A:$F,6,0),"")</f>
        <v/>
      </c>
      <c r="AE43" s="20" t="str">
        <f>IFERROR(VLOOKUP($A43&amp;"_"&amp;AE$5,Database!$A:$F,6,0),"")</f>
        <v/>
      </c>
      <c r="AF43" s="20" t="str">
        <f>IFERROR(VLOOKUP($A43&amp;"_"&amp;AF$5,Database!$A:$F,6,0),"")</f>
        <v/>
      </c>
      <c r="AG43" s="20" t="str">
        <f>IFERROR(VLOOKUP($A43&amp;"_"&amp;AG$5,Database!$A:$F,6,0),"")</f>
        <v/>
      </c>
      <c r="AH43" s="20" t="str">
        <f>IFERROR(VLOOKUP($A43&amp;"_"&amp;AH$5,Database!$A:$F,6,0),"")</f>
        <v/>
      </c>
      <c r="AI43" s="20" t="str">
        <f>IFERROR(VLOOKUP($A43&amp;"_"&amp;AI$5,Database!$A:$F,6,0),"")</f>
        <v/>
      </c>
      <c r="AJ43" s="20" t="str">
        <f>IFERROR(VLOOKUP($A43&amp;"_"&amp;AJ$5,Database!$A:$F,6,0),"")</f>
        <v/>
      </c>
      <c r="AK43" s="20" t="str">
        <f>IFERROR(VLOOKUP($A43&amp;"_"&amp;AK$5,Database!$A:$F,6,0),"")</f>
        <v/>
      </c>
    </row>
    <row r="44" spans="1:37" x14ac:dyDescent="0.2">
      <c r="A44" s="17" t="str">
        <f>IF('Employee Master'!A40="","",'Employee Master'!A40)</f>
        <v/>
      </c>
      <c r="B44" s="18" t="str">
        <f>IF('Employee Master'!B40="","",'Employee Master'!B40)</f>
        <v/>
      </c>
      <c r="C44" s="18" t="str">
        <f>IF('Employee Master'!C40="","",'Employee Master'!C40)</f>
        <v/>
      </c>
      <c r="D44" s="19">
        <f t="shared" si="6"/>
        <v>0</v>
      </c>
      <c r="E44" s="19">
        <f t="shared" si="7"/>
        <v>0</v>
      </c>
      <c r="F44" s="19">
        <f t="shared" si="8"/>
        <v>0</v>
      </c>
      <c r="G44" s="20" t="str">
        <f>IFERROR(VLOOKUP($A44&amp;"_"&amp;G$5,Database!$A:$F,6,0),"")</f>
        <v/>
      </c>
      <c r="H44" s="20" t="str">
        <f>IFERROR(VLOOKUP($A44&amp;"_"&amp;H$5,Database!$A:$F,6,0),"")</f>
        <v/>
      </c>
      <c r="I44" s="20" t="str">
        <f>IFERROR(VLOOKUP($A44&amp;"_"&amp;I$5,Database!$A:$F,6,0),"")</f>
        <v/>
      </c>
      <c r="J44" s="20" t="str">
        <f>IFERROR(VLOOKUP($A44&amp;"_"&amp;J$5,Database!$A:$F,6,0),"")</f>
        <v/>
      </c>
      <c r="K44" s="20" t="str">
        <f>IFERROR(VLOOKUP($A44&amp;"_"&amp;K$5,Database!$A:$F,6,0),"")</f>
        <v/>
      </c>
      <c r="L44" s="20" t="str">
        <f>IFERROR(VLOOKUP($A44&amp;"_"&amp;L$5,Database!$A:$F,6,0),"")</f>
        <v/>
      </c>
      <c r="M44" s="20" t="str">
        <f>IFERROR(VLOOKUP($A44&amp;"_"&amp;M$5,Database!$A:$F,6,0),"")</f>
        <v/>
      </c>
      <c r="N44" s="20" t="str">
        <f>IFERROR(VLOOKUP($A44&amp;"_"&amp;N$5,Database!$A:$F,6,0),"")</f>
        <v/>
      </c>
      <c r="O44" s="20" t="str">
        <f>IFERROR(VLOOKUP($A44&amp;"_"&amp;O$5,Database!$A:$F,6,0),"")</f>
        <v/>
      </c>
      <c r="P44" s="20" t="str">
        <f>IFERROR(VLOOKUP($A44&amp;"_"&amp;P$5,Database!$A:$F,6,0),"")</f>
        <v/>
      </c>
      <c r="Q44" s="20" t="str">
        <f>IFERROR(VLOOKUP($A44&amp;"_"&amp;Q$5,Database!$A:$F,6,0),"")</f>
        <v/>
      </c>
      <c r="R44" s="20" t="str">
        <f>IFERROR(VLOOKUP($A44&amp;"_"&amp;R$5,Database!$A:$F,6,0),"")</f>
        <v/>
      </c>
      <c r="S44" s="20" t="str">
        <f>IFERROR(VLOOKUP($A44&amp;"_"&amp;S$5,Database!$A:$F,6,0),"")</f>
        <v/>
      </c>
      <c r="T44" s="20" t="str">
        <f>IFERROR(VLOOKUP($A44&amp;"_"&amp;T$5,Database!$A:$F,6,0),"")</f>
        <v/>
      </c>
      <c r="U44" s="20" t="str">
        <f>IFERROR(VLOOKUP($A44&amp;"_"&amp;U$5,Database!$A:$F,6,0),"")</f>
        <v/>
      </c>
      <c r="V44" s="20" t="str">
        <f>IFERROR(VLOOKUP($A44&amp;"_"&amp;V$5,Database!$A:$F,6,0),"")</f>
        <v/>
      </c>
      <c r="W44" s="20" t="str">
        <f>IFERROR(VLOOKUP($A44&amp;"_"&amp;W$5,Database!$A:$F,6,0),"")</f>
        <v/>
      </c>
      <c r="X44" s="20" t="str">
        <f>IFERROR(VLOOKUP($A44&amp;"_"&amp;X$5,Database!$A:$F,6,0),"")</f>
        <v/>
      </c>
      <c r="Y44" s="20" t="str">
        <f>IFERROR(VLOOKUP($A44&amp;"_"&amp;Y$5,Database!$A:$F,6,0),"")</f>
        <v/>
      </c>
      <c r="Z44" s="20" t="str">
        <f>IFERROR(VLOOKUP($A44&amp;"_"&amp;Z$5,Database!$A:$F,6,0),"")</f>
        <v/>
      </c>
      <c r="AA44" s="20" t="str">
        <f>IFERROR(VLOOKUP($A44&amp;"_"&amp;AA$5,Database!$A:$F,6,0),"")</f>
        <v/>
      </c>
      <c r="AB44" s="20" t="str">
        <f>IFERROR(VLOOKUP($A44&amp;"_"&amp;AB$5,Database!$A:$F,6,0),"")</f>
        <v/>
      </c>
      <c r="AC44" s="20" t="str">
        <f>IFERROR(VLOOKUP($A44&amp;"_"&amp;AC$5,Database!$A:$F,6,0),"")</f>
        <v/>
      </c>
      <c r="AD44" s="20" t="str">
        <f>IFERROR(VLOOKUP($A44&amp;"_"&amp;AD$5,Database!$A:$F,6,0),"")</f>
        <v/>
      </c>
      <c r="AE44" s="20" t="str">
        <f>IFERROR(VLOOKUP($A44&amp;"_"&amp;AE$5,Database!$A:$F,6,0),"")</f>
        <v/>
      </c>
      <c r="AF44" s="20" t="str">
        <f>IFERROR(VLOOKUP($A44&amp;"_"&amp;AF$5,Database!$A:$F,6,0),"")</f>
        <v/>
      </c>
      <c r="AG44" s="20" t="str">
        <f>IFERROR(VLOOKUP($A44&amp;"_"&amp;AG$5,Database!$A:$F,6,0),"")</f>
        <v/>
      </c>
      <c r="AH44" s="20" t="str">
        <f>IFERROR(VLOOKUP($A44&amp;"_"&amp;AH$5,Database!$A:$F,6,0),"")</f>
        <v/>
      </c>
      <c r="AI44" s="20" t="str">
        <f>IFERROR(VLOOKUP($A44&amp;"_"&amp;AI$5,Database!$A:$F,6,0),"")</f>
        <v/>
      </c>
      <c r="AJ44" s="20" t="str">
        <f>IFERROR(VLOOKUP($A44&amp;"_"&amp;AJ$5,Database!$A:$F,6,0),"")</f>
        <v/>
      </c>
      <c r="AK44" s="20" t="str">
        <f>IFERROR(VLOOKUP($A44&amp;"_"&amp;AK$5,Database!$A:$F,6,0),"")</f>
        <v/>
      </c>
    </row>
    <row r="45" spans="1:37" x14ac:dyDescent="0.2">
      <c r="A45" s="17" t="str">
        <f>IF('Employee Master'!A41="","",'Employee Master'!A41)</f>
        <v/>
      </c>
      <c r="B45" s="18" t="str">
        <f>IF('Employee Master'!B41="","",'Employee Master'!B41)</f>
        <v/>
      </c>
      <c r="C45" s="18" t="str">
        <f>IF('Employee Master'!C41="","",'Employee Master'!C41)</f>
        <v/>
      </c>
      <c r="D45" s="19">
        <f t="shared" si="6"/>
        <v>0</v>
      </c>
      <c r="E45" s="19">
        <f t="shared" si="7"/>
        <v>0</v>
      </c>
      <c r="F45" s="19">
        <f t="shared" si="8"/>
        <v>0</v>
      </c>
      <c r="G45" s="20" t="str">
        <f>IFERROR(VLOOKUP($A45&amp;"_"&amp;G$5,Database!$A:$F,6,0),"")</f>
        <v/>
      </c>
      <c r="H45" s="20" t="str">
        <f>IFERROR(VLOOKUP($A45&amp;"_"&amp;H$5,Database!$A:$F,6,0),"")</f>
        <v/>
      </c>
      <c r="I45" s="20" t="str">
        <f>IFERROR(VLOOKUP($A45&amp;"_"&amp;I$5,Database!$A:$F,6,0),"")</f>
        <v/>
      </c>
      <c r="J45" s="20" t="str">
        <f>IFERROR(VLOOKUP($A45&amp;"_"&amp;J$5,Database!$A:$F,6,0),"")</f>
        <v/>
      </c>
      <c r="K45" s="20" t="str">
        <f>IFERROR(VLOOKUP($A45&amp;"_"&amp;K$5,Database!$A:$F,6,0),"")</f>
        <v/>
      </c>
      <c r="L45" s="20" t="str">
        <f>IFERROR(VLOOKUP($A45&amp;"_"&amp;L$5,Database!$A:$F,6,0),"")</f>
        <v/>
      </c>
      <c r="M45" s="20" t="str">
        <f>IFERROR(VLOOKUP($A45&amp;"_"&amp;M$5,Database!$A:$F,6,0),"")</f>
        <v/>
      </c>
      <c r="N45" s="20" t="str">
        <f>IFERROR(VLOOKUP($A45&amp;"_"&amp;N$5,Database!$A:$F,6,0),"")</f>
        <v/>
      </c>
      <c r="O45" s="20" t="str">
        <f>IFERROR(VLOOKUP($A45&amp;"_"&amp;O$5,Database!$A:$F,6,0),"")</f>
        <v/>
      </c>
      <c r="P45" s="20" t="str">
        <f>IFERROR(VLOOKUP($A45&amp;"_"&amp;P$5,Database!$A:$F,6,0),"")</f>
        <v/>
      </c>
      <c r="Q45" s="20" t="str">
        <f>IFERROR(VLOOKUP($A45&amp;"_"&amp;Q$5,Database!$A:$F,6,0),"")</f>
        <v/>
      </c>
      <c r="R45" s="20" t="str">
        <f>IFERROR(VLOOKUP($A45&amp;"_"&amp;R$5,Database!$A:$F,6,0),"")</f>
        <v/>
      </c>
      <c r="S45" s="20" t="str">
        <f>IFERROR(VLOOKUP($A45&amp;"_"&amp;S$5,Database!$A:$F,6,0),"")</f>
        <v/>
      </c>
      <c r="T45" s="20" t="str">
        <f>IFERROR(VLOOKUP($A45&amp;"_"&amp;T$5,Database!$A:$F,6,0),"")</f>
        <v/>
      </c>
      <c r="U45" s="20" t="str">
        <f>IFERROR(VLOOKUP($A45&amp;"_"&amp;U$5,Database!$A:$F,6,0),"")</f>
        <v/>
      </c>
      <c r="V45" s="20" t="str">
        <f>IFERROR(VLOOKUP($A45&amp;"_"&amp;V$5,Database!$A:$F,6,0),"")</f>
        <v/>
      </c>
      <c r="W45" s="20" t="str">
        <f>IFERROR(VLOOKUP($A45&amp;"_"&amp;W$5,Database!$A:$F,6,0),"")</f>
        <v/>
      </c>
      <c r="X45" s="20" t="str">
        <f>IFERROR(VLOOKUP($A45&amp;"_"&amp;X$5,Database!$A:$F,6,0),"")</f>
        <v/>
      </c>
      <c r="Y45" s="20" t="str">
        <f>IFERROR(VLOOKUP($A45&amp;"_"&amp;Y$5,Database!$A:$F,6,0),"")</f>
        <v/>
      </c>
      <c r="Z45" s="20" t="str">
        <f>IFERROR(VLOOKUP($A45&amp;"_"&amp;Z$5,Database!$A:$F,6,0),"")</f>
        <v/>
      </c>
      <c r="AA45" s="20" t="str">
        <f>IFERROR(VLOOKUP($A45&amp;"_"&amp;AA$5,Database!$A:$F,6,0),"")</f>
        <v/>
      </c>
      <c r="AB45" s="20" t="str">
        <f>IFERROR(VLOOKUP($A45&amp;"_"&amp;AB$5,Database!$A:$F,6,0),"")</f>
        <v/>
      </c>
      <c r="AC45" s="20" t="str">
        <f>IFERROR(VLOOKUP($A45&amp;"_"&amp;AC$5,Database!$A:$F,6,0),"")</f>
        <v/>
      </c>
      <c r="AD45" s="20" t="str">
        <f>IFERROR(VLOOKUP($A45&amp;"_"&amp;AD$5,Database!$A:$F,6,0),"")</f>
        <v/>
      </c>
      <c r="AE45" s="20" t="str">
        <f>IFERROR(VLOOKUP($A45&amp;"_"&amp;AE$5,Database!$A:$F,6,0),"")</f>
        <v/>
      </c>
      <c r="AF45" s="20" t="str">
        <f>IFERROR(VLOOKUP($A45&amp;"_"&amp;AF$5,Database!$A:$F,6,0),"")</f>
        <v/>
      </c>
      <c r="AG45" s="20" t="str">
        <f>IFERROR(VLOOKUP($A45&amp;"_"&amp;AG$5,Database!$A:$F,6,0),"")</f>
        <v/>
      </c>
      <c r="AH45" s="20" t="str">
        <f>IFERROR(VLOOKUP($A45&amp;"_"&amp;AH$5,Database!$A:$F,6,0),"")</f>
        <v/>
      </c>
      <c r="AI45" s="20" t="str">
        <f>IFERROR(VLOOKUP($A45&amp;"_"&amp;AI$5,Database!$A:$F,6,0),"")</f>
        <v/>
      </c>
      <c r="AJ45" s="20" t="str">
        <f>IFERROR(VLOOKUP($A45&amp;"_"&amp;AJ$5,Database!$A:$F,6,0),"")</f>
        <v/>
      </c>
      <c r="AK45" s="20" t="str">
        <f>IFERROR(VLOOKUP($A45&amp;"_"&amp;AK$5,Database!$A:$F,6,0),"")</f>
        <v/>
      </c>
    </row>
    <row r="46" spans="1:37" x14ac:dyDescent="0.2">
      <c r="A46" s="17" t="str">
        <f>IF('Employee Master'!A42="","",'Employee Master'!A42)</f>
        <v/>
      </c>
      <c r="B46" s="18" t="str">
        <f>IF('Employee Master'!B42="","",'Employee Master'!B42)</f>
        <v/>
      </c>
      <c r="C46" s="18" t="str">
        <f>IF('Employee Master'!C42="","",'Employee Master'!C42)</f>
        <v/>
      </c>
      <c r="D46" s="19">
        <f t="shared" si="6"/>
        <v>0</v>
      </c>
      <c r="E46" s="19">
        <f t="shared" si="7"/>
        <v>0</v>
      </c>
      <c r="F46" s="19">
        <f t="shared" si="8"/>
        <v>0</v>
      </c>
      <c r="G46" s="20" t="str">
        <f>IFERROR(VLOOKUP($A46&amp;"_"&amp;G$5,Database!$A:$F,6,0),"")</f>
        <v/>
      </c>
      <c r="H46" s="20" t="str">
        <f>IFERROR(VLOOKUP($A46&amp;"_"&amp;H$5,Database!$A:$F,6,0),"")</f>
        <v/>
      </c>
      <c r="I46" s="20" t="str">
        <f>IFERROR(VLOOKUP($A46&amp;"_"&amp;I$5,Database!$A:$F,6,0),"")</f>
        <v/>
      </c>
      <c r="J46" s="20" t="str">
        <f>IFERROR(VLOOKUP($A46&amp;"_"&amp;J$5,Database!$A:$F,6,0),"")</f>
        <v/>
      </c>
      <c r="K46" s="20" t="str">
        <f>IFERROR(VLOOKUP($A46&amp;"_"&amp;K$5,Database!$A:$F,6,0),"")</f>
        <v/>
      </c>
      <c r="L46" s="20" t="str">
        <f>IFERROR(VLOOKUP($A46&amp;"_"&amp;L$5,Database!$A:$F,6,0),"")</f>
        <v/>
      </c>
      <c r="M46" s="20" t="str">
        <f>IFERROR(VLOOKUP($A46&amp;"_"&amp;M$5,Database!$A:$F,6,0),"")</f>
        <v/>
      </c>
      <c r="N46" s="20" t="str">
        <f>IFERROR(VLOOKUP($A46&amp;"_"&amp;N$5,Database!$A:$F,6,0),"")</f>
        <v/>
      </c>
      <c r="O46" s="20" t="str">
        <f>IFERROR(VLOOKUP($A46&amp;"_"&amp;O$5,Database!$A:$F,6,0),"")</f>
        <v/>
      </c>
      <c r="P46" s="20" t="str">
        <f>IFERROR(VLOOKUP($A46&amp;"_"&amp;P$5,Database!$A:$F,6,0),"")</f>
        <v/>
      </c>
      <c r="Q46" s="20" t="str">
        <f>IFERROR(VLOOKUP($A46&amp;"_"&amp;Q$5,Database!$A:$F,6,0),"")</f>
        <v/>
      </c>
      <c r="R46" s="20" t="str">
        <f>IFERROR(VLOOKUP($A46&amp;"_"&amp;R$5,Database!$A:$F,6,0),"")</f>
        <v/>
      </c>
      <c r="S46" s="20" t="str">
        <f>IFERROR(VLOOKUP($A46&amp;"_"&amp;S$5,Database!$A:$F,6,0),"")</f>
        <v/>
      </c>
      <c r="T46" s="20" t="str">
        <f>IFERROR(VLOOKUP($A46&amp;"_"&amp;T$5,Database!$A:$F,6,0),"")</f>
        <v/>
      </c>
      <c r="U46" s="20" t="str">
        <f>IFERROR(VLOOKUP($A46&amp;"_"&amp;U$5,Database!$A:$F,6,0),"")</f>
        <v/>
      </c>
      <c r="V46" s="20" t="str">
        <f>IFERROR(VLOOKUP($A46&amp;"_"&amp;V$5,Database!$A:$F,6,0),"")</f>
        <v/>
      </c>
      <c r="W46" s="20" t="str">
        <f>IFERROR(VLOOKUP($A46&amp;"_"&amp;W$5,Database!$A:$F,6,0),"")</f>
        <v/>
      </c>
      <c r="X46" s="20" t="str">
        <f>IFERROR(VLOOKUP($A46&amp;"_"&amp;X$5,Database!$A:$F,6,0),"")</f>
        <v/>
      </c>
      <c r="Y46" s="20" t="str">
        <f>IFERROR(VLOOKUP($A46&amp;"_"&amp;Y$5,Database!$A:$F,6,0),"")</f>
        <v/>
      </c>
      <c r="Z46" s="20" t="str">
        <f>IFERROR(VLOOKUP($A46&amp;"_"&amp;Z$5,Database!$A:$F,6,0),"")</f>
        <v/>
      </c>
      <c r="AA46" s="20" t="str">
        <f>IFERROR(VLOOKUP($A46&amp;"_"&amp;AA$5,Database!$A:$F,6,0),"")</f>
        <v/>
      </c>
      <c r="AB46" s="20" t="str">
        <f>IFERROR(VLOOKUP($A46&amp;"_"&amp;AB$5,Database!$A:$F,6,0),"")</f>
        <v/>
      </c>
      <c r="AC46" s="20" t="str">
        <f>IFERROR(VLOOKUP($A46&amp;"_"&amp;AC$5,Database!$A:$F,6,0),"")</f>
        <v/>
      </c>
      <c r="AD46" s="20" t="str">
        <f>IFERROR(VLOOKUP($A46&amp;"_"&amp;AD$5,Database!$A:$F,6,0),"")</f>
        <v/>
      </c>
      <c r="AE46" s="20" t="str">
        <f>IFERROR(VLOOKUP($A46&amp;"_"&amp;AE$5,Database!$A:$F,6,0),"")</f>
        <v/>
      </c>
      <c r="AF46" s="20" t="str">
        <f>IFERROR(VLOOKUP($A46&amp;"_"&amp;AF$5,Database!$A:$F,6,0),"")</f>
        <v/>
      </c>
      <c r="AG46" s="20" t="str">
        <f>IFERROR(VLOOKUP($A46&amp;"_"&amp;AG$5,Database!$A:$F,6,0),"")</f>
        <v/>
      </c>
      <c r="AH46" s="20" t="str">
        <f>IFERROR(VLOOKUP($A46&amp;"_"&amp;AH$5,Database!$A:$F,6,0),"")</f>
        <v/>
      </c>
      <c r="AI46" s="20" t="str">
        <f>IFERROR(VLOOKUP($A46&amp;"_"&amp;AI$5,Database!$A:$F,6,0),"")</f>
        <v/>
      </c>
      <c r="AJ46" s="20" t="str">
        <f>IFERROR(VLOOKUP($A46&amp;"_"&amp;AJ$5,Database!$A:$F,6,0),"")</f>
        <v/>
      </c>
      <c r="AK46" s="20" t="str">
        <f>IFERROR(VLOOKUP($A46&amp;"_"&amp;AK$5,Database!$A:$F,6,0),"")</f>
        <v/>
      </c>
    </row>
    <row r="47" spans="1:37" x14ac:dyDescent="0.2">
      <c r="A47" s="17" t="str">
        <f>IF('Employee Master'!A43="","",'Employee Master'!A43)</f>
        <v/>
      </c>
      <c r="B47" s="18" t="str">
        <f>IF('Employee Master'!B43="","",'Employee Master'!B43)</f>
        <v/>
      </c>
      <c r="C47" s="18" t="str">
        <f>IF('Employee Master'!C43="","",'Employee Master'!C43)</f>
        <v/>
      </c>
      <c r="D47" s="19">
        <f t="shared" si="6"/>
        <v>0</v>
      </c>
      <c r="E47" s="19">
        <f t="shared" si="7"/>
        <v>0</v>
      </c>
      <c r="F47" s="19">
        <f t="shared" si="8"/>
        <v>0</v>
      </c>
      <c r="G47" s="20" t="str">
        <f>IFERROR(VLOOKUP($A47&amp;"_"&amp;G$5,Database!$A:$F,6,0),"")</f>
        <v/>
      </c>
      <c r="H47" s="20" t="str">
        <f>IFERROR(VLOOKUP($A47&amp;"_"&amp;H$5,Database!$A:$F,6,0),"")</f>
        <v/>
      </c>
      <c r="I47" s="20" t="str">
        <f>IFERROR(VLOOKUP($A47&amp;"_"&amp;I$5,Database!$A:$F,6,0),"")</f>
        <v/>
      </c>
      <c r="J47" s="20" t="str">
        <f>IFERROR(VLOOKUP($A47&amp;"_"&amp;J$5,Database!$A:$F,6,0),"")</f>
        <v/>
      </c>
      <c r="K47" s="20" t="str">
        <f>IFERROR(VLOOKUP($A47&amp;"_"&amp;K$5,Database!$A:$F,6,0),"")</f>
        <v/>
      </c>
      <c r="L47" s="20" t="str">
        <f>IFERROR(VLOOKUP($A47&amp;"_"&amp;L$5,Database!$A:$F,6,0),"")</f>
        <v/>
      </c>
      <c r="M47" s="20" t="str">
        <f>IFERROR(VLOOKUP($A47&amp;"_"&amp;M$5,Database!$A:$F,6,0),"")</f>
        <v/>
      </c>
      <c r="N47" s="20" t="str">
        <f>IFERROR(VLOOKUP($A47&amp;"_"&amp;N$5,Database!$A:$F,6,0),"")</f>
        <v/>
      </c>
      <c r="O47" s="20" t="str">
        <f>IFERROR(VLOOKUP($A47&amp;"_"&amp;O$5,Database!$A:$F,6,0),"")</f>
        <v/>
      </c>
      <c r="P47" s="20" t="str">
        <f>IFERROR(VLOOKUP($A47&amp;"_"&amp;P$5,Database!$A:$F,6,0),"")</f>
        <v/>
      </c>
      <c r="Q47" s="20" t="str">
        <f>IFERROR(VLOOKUP($A47&amp;"_"&amp;Q$5,Database!$A:$F,6,0),"")</f>
        <v/>
      </c>
      <c r="R47" s="20" t="str">
        <f>IFERROR(VLOOKUP($A47&amp;"_"&amp;R$5,Database!$A:$F,6,0),"")</f>
        <v/>
      </c>
      <c r="S47" s="20" t="str">
        <f>IFERROR(VLOOKUP($A47&amp;"_"&amp;S$5,Database!$A:$F,6,0),"")</f>
        <v/>
      </c>
      <c r="T47" s="20" t="str">
        <f>IFERROR(VLOOKUP($A47&amp;"_"&amp;T$5,Database!$A:$F,6,0),"")</f>
        <v/>
      </c>
      <c r="U47" s="20" t="str">
        <f>IFERROR(VLOOKUP($A47&amp;"_"&amp;U$5,Database!$A:$F,6,0),"")</f>
        <v/>
      </c>
      <c r="V47" s="20" t="str">
        <f>IFERROR(VLOOKUP($A47&amp;"_"&amp;V$5,Database!$A:$F,6,0),"")</f>
        <v/>
      </c>
      <c r="W47" s="20" t="str">
        <f>IFERROR(VLOOKUP($A47&amp;"_"&amp;W$5,Database!$A:$F,6,0),"")</f>
        <v/>
      </c>
      <c r="X47" s="20" t="str">
        <f>IFERROR(VLOOKUP($A47&amp;"_"&amp;X$5,Database!$A:$F,6,0),"")</f>
        <v/>
      </c>
      <c r="Y47" s="20" t="str">
        <f>IFERROR(VLOOKUP($A47&amp;"_"&amp;Y$5,Database!$A:$F,6,0),"")</f>
        <v/>
      </c>
      <c r="Z47" s="20" t="str">
        <f>IFERROR(VLOOKUP($A47&amp;"_"&amp;Z$5,Database!$A:$F,6,0),"")</f>
        <v/>
      </c>
      <c r="AA47" s="20" t="str">
        <f>IFERROR(VLOOKUP($A47&amp;"_"&amp;AA$5,Database!$A:$F,6,0),"")</f>
        <v/>
      </c>
      <c r="AB47" s="20" t="str">
        <f>IFERROR(VLOOKUP($A47&amp;"_"&amp;AB$5,Database!$A:$F,6,0),"")</f>
        <v/>
      </c>
      <c r="AC47" s="20" t="str">
        <f>IFERROR(VLOOKUP($A47&amp;"_"&amp;AC$5,Database!$A:$F,6,0),"")</f>
        <v/>
      </c>
      <c r="AD47" s="20" t="str">
        <f>IFERROR(VLOOKUP($A47&amp;"_"&amp;AD$5,Database!$A:$F,6,0),"")</f>
        <v/>
      </c>
      <c r="AE47" s="20" t="str">
        <f>IFERROR(VLOOKUP($A47&amp;"_"&amp;AE$5,Database!$A:$F,6,0),"")</f>
        <v/>
      </c>
      <c r="AF47" s="20" t="str">
        <f>IFERROR(VLOOKUP($A47&amp;"_"&amp;AF$5,Database!$A:$F,6,0),"")</f>
        <v/>
      </c>
      <c r="AG47" s="20" t="str">
        <f>IFERROR(VLOOKUP($A47&amp;"_"&amp;AG$5,Database!$A:$F,6,0),"")</f>
        <v/>
      </c>
      <c r="AH47" s="20" t="str">
        <f>IFERROR(VLOOKUP($A47&amp;"_"&amp;AH$5,Database!$A:$F,6,0),"")</f>
        <v/>
      </c>
      <c r="AI47" s="20" t="str">
        <f>IFERROR(VLOOKUP($A47&amp;"_"&amp;AI$5,Database!$A:$F,6,0),"")</f>
        <v/>
      </c>
      <c r="AJ47" s="20" t="str">
        <f>IFERROR(VLOOKUP($A47&amp;"_"&amp;AJ$5,Database!$A:$F,6,0),"")</f>
        <v/>
      </c>
      <c r="AK47" s="20" t="str">
        <f>IFERROR(VLOOKUP($A47&amp;"_"&amp;AK$5,Database!$A:$F,6,0),"")</f>
        <v/>
      </c>
    </row>
    <row r="48" spans="1:37" x14ac:dyDescent="0.2">
      <c r="A48" s="17" t="str">
        <f>IF('Employee Master'!A44="","",'Employee Master'!A44)</f>
        <v/>
      </c>
      <c r="B48" s="18" t="str">
        <f>IF('Employee Master'!B44="","",'Employee Master'!B44)</f>
        <v/>
      </c>
      <c r="C48" s="18" t="str">
        <f>IF('Employee Master'!C44="","",'Employee Master'!C44)</f>
        <v/>
      </c>
      <c r="D48" s="19">
        <f t="shared" si="6"/>
        <v>0</v>
      </c>
      <c r="E48" s="19">
        <f t="shared" si="7"/>
        <v>0</v>
      </c>
      <c r="F48" s="19">
        <f t="shared" si="8"/>
        <v>0</v>
      </c>
      <c r="G48" s="20" t="str">
        <f>IFERROR(VLOOKUP($A48&amp;"_"&amp;G$5,Database!$A:$F,6,0),"")</f>
        <v/>
      </c>
      <c r="H48" s="20" t="str">
        <f>IFERROR(VLOOKUP($A48&amp;"_"&amp;H$5,Database!$A:$F,6,0),"")</f>
        <v/>
      </c>
      <c r="I48" s="20" t="str">
        <f>IFERROR(VLOOKUP($A48&amp;"_"&amp;I$5,Database!$A:$F,6,0),"")</f>
        <v/>
      </c>
      <c r="J48" s="20" t="str">
        <f>IFERROR(VLOOKUP($A48&amp;"_"&amp;J$5,Database!$A:$F,6,0),"")</f>
        <v/>
      </c>
      <c r="K48" s="20" t="str">
        <f>IFERROR(VLOOKUP($A48&amp;"_"&amp;K$5,Database!$A:$F,6,0),"")</f>
        <v/>
      </c>
      <c r="L48" s="20" t="str">
        <f>IFERROR(VLOOKUP($A48&amp;"_"&amp;L$5,Database!$A:$F,6,0),"")</f>
        <v/>
      </c>
      <c r="M48" s="20" t="str">
        <f>IFERROR(VLOOKUP($A48&amp;"_"&amp;M$5,Database!$A:$F,6,0),"")</f>
        <v/>
      </c>
      <c r="N48" s="20" t="str">
        <f>IFERROR(VLOOKUP($A48&amp;"_"&amp;N$5,Database!$A:$F,6,0),"")</f>
        <v/>
      </c>
      <c r="O48" s="20" t="str">
        <f>IFERROR(VLOOKUP($A48&amp;"_"&amp;O$5,Database!$A:$F,6,0),"")</f>
        <v/>
      </c>
      <c r="P48" s="20" t="str">
        <f>IFERROR(VLOOKUP($A48&amp;"_"&amp;P$5,Database!$A:$F,6,0),"")</f>
        <v/>
      </c>
      <c r="Q48" s="20" t="str">
        <f>IFERROR(VLOOKUP($A48&amp;"_"&amp;Q$5,Database!$A:$F,6,0),"")</f>
        <v/>
      </c>
      <c r="R48" s="20" t="str">
        <f>IFERROR(VLOOKUP($A48&amp;"_"&amp;R$5,Database!$A:$F,6,0),"")</f>
        <v/>
      </c>
      <c r="S48" s="20" t="str">
        <f>IFERROR(VLOOKUP($A48&amp;"_"&amp;S$5,Database!$A:$F,6,0),"")</f>
        <v/>
      </c>
      <c r="T48" s="20" t="str">
        <f>IFERROR(VLOOKUP($A48&amp;"_"&amp;T$5,Database!$A:$F,6,0),"")</f>
        <v/>
      </c>
      <c r="U48" s="20" t="str">
        <f>IFERROR(VLOOKUP($A48&amp;"_"&amp;U$5,Database!$A:$F,6,0),"")</f>
        <v/>
      </c>
      <c r="V48" s="20" t="str">
        <f>IFERROR(VLOOKUP($A48&amp;"_"&amp;V$5,Database!$A:$F,6,0),"")</f>
        <v/>
      </c>
      <c r="W48" s="20" t="str">
        <f>IFERROR(VLOOKUP($A48&amp;"_"&amp;W$5,Database!$A:$F,6,0),"")</f>
        <v/>
      </c>
      <c r="X48" s="20" t="str">
        <f>IFERROR(VLOOKUP($A48&amp;"_"&amp;X$5,Database!$A:$F,6,0),"")</f>
        <v/>
      </c>
      <c r="Y48" s="20" t="str">
        <f>IFERROR(VLOOKUP($A48&amp;"_"&amp;Y$5,Database!$A:$F,6,0),"")</f>
        <v/>
      </c>
      <c r="Z48" s="20" t="str">
        <f>IFERROR(VLOOKUP($A48&amp;"_"&amp;Z$5,Database!$A:$F,6,0),"")</f>
        <v/>
      </c>
      <c r="AA48" s="20" t="str">
        <f>IFERROR(VLOOKUP($A48&amp;"_"&amp;AA$5,Database!$A:$F,6,0),"")</f>
        <v/>
      </c>
      <c r="AB48" s="20" t="str">
        <f>IFERROR(VLOOKUP($A48&amp;"_"&amp;AB$5,Database!$A:$F,6,0),"")</f>
        <v/>
      </c>
      <c r="AC48" s="20" t="str">
        <f>IFERROR(VLOOKUP($A48&amp;"_"&amp;AC$5,Database!$A:$F,6,0),"")</f>
        <v/>
      </c>
      <c r="AD48" s="20" t="str">
        <f>IFERROR(VLOOKUP($A48&amp;"_"&amp;AD$5,Database!$A:$F,6,0),"")</f>
        <v/>
      </c>
      <c r="AE48" s="20" t="str">
        <f>IFERROR(VLOOKUP($A48&amp;"_"&amp;AE$5,Database!$A:$F,6,0),"")</f>
        <v/>
      </c>
      <c r="AF48" s="20" t="str">
        <f>IFERROR(VLOOKUP($A48&amp;"_"&amp;AF$5,Database!$A:$F,6,0),"")</f>
        <v/>
      </c>
      <c r="AG48" s="20" t="str">
        <f>IFERROR(VLOOKUP($A48&amp;"_"&amp;AG$5,Database!$A:$F,6,0),"")</f>
        <v/>
      </c>
      <c r="AH48" s="20" t="str">
        <f>IFERROR(VLOOKUP($A48&amp;"_"&amp;AH$5,Database!$A:$F,6,0),"")</f>
        <v/>
      </c>
      <c r="AI48" s="20" t="str">
        <f>IFERROR(VLOOKUP($A48&amp;"_"&amp;AI$5,Database!$A:$F,6,0),"")</f>
        <v/>
      </c>
      <c r="AJ48" s="20" t="str">
        <f>IFERROR(VLOOKUP($A48&amp;"_"&amp;AJ$5,Database!$A:$F,6,0),"")</f>
        <v/>
      </c>
      <c r="AK48" s="20" t="str">
        <f>IFERROR(VLOOKUP($A48&amp;"_"&amp;AK$5,Database!$A:$F,6,0),"")</f>
        <v/>
      </c>
    </row>
    <row r="49" spans="1:37" x14ac:dyDescent="0.2">
      <c r="A49" s="17" t="str">
        <f>IF('Employee Master'!A45="","",'Employee Master'!A45)</f>
        <v/>
      </c>
      <c r="B49" s="18" t="str">
        <f>IF('Employee Master'!B45="","",'Employee Master'!B45)</f>
        <v/>
      </c>
      <c r="C49" s="18" t="str">
        <f>IF('Employee Master'!C45="","",'Employee Master'!C45)</f>
        <v/>
      </c>
      <c r="D49" s="19">
        <f t="shared" si="6"/>
        <v>0</v>
      </c>
      <c r="E49" s="19">
        <f t="shared" si="7"/>
        <v>0</v>
      </c>
      <c r="F49" s="19">
        <f t="shared" si="8"/>
        <v>0</v>
      </c>
      <c r="G49" s="20" t="str">
        <f>IFERROR(VLOOKUP($A49&amp;"_"&amp;G$5,Database!$A:$F,6,0),"")</f>
        <v/>
      </c>
      <c r="H49" s="20" t="str">
        <f>IFERROR(VLOOKUP($A49&amp;"_"&amp;H$5,Database!$A:$F,6,0),"")</f>
        <v/>
      </c>
      <c r="I49" s="20" t="str">
        <f>IFERROR(VLOOKUP($A49&amp;"_"&amp;I$5,Database!$A:$F,6,0),"")</f>
        <v/>
      </c>
      <c r="J49" s="20" t="str">
        <f>IFERROR(VLOOKUP($A49&amp;"_"&amp;J$5,Database!$A:$F,6,0),"")</f>
        <v/>
      </c>
      <c r="K49" s="20" t="str">
        <f>IFERROR(VLOOKUP($A49&amp;"_"&amp;K$5,Database!$A:$F,6,0),"")</f>
        <v/>
      </c>
      <c r="L49" s="20" t="str">
        <f>IFERROR(VLOOKUP($A49&amp;"_"&amp;L$5,Database!$A:$F,6,0),"")</f>
        <v/>
      </c>
      <c r="M49" s="20" t="str">
        <f>IFERROR(VLOOKUP($A49&amp;"_"&amp;M$5,Database!$A:$F,6,0),"")</f>
        <v/>
      </c>
      <c r="N49" s="20" t="str">
        <f>IFERROR(VLOOKUP($A49&amp;"_"&amp;N$5,Database!$A:$F,6,0),"")</f>
        <v/>
      </c>
      <c r="O49" s="20" t="str">
        <f>IFERROR(VLOOKUP($A49&amp;"_"&amp;O$5,Database!$A:$F,6,0),"")</f>
        <v/>
      </c>
      <c r="P49" s="20" t="str">
        <f>IFERROR(VLOOKUP($A49&amp;"_"&amp;P$5,Database!$A:$F,6,0),"")</f>
        <v/>
      </c>
      <c r="Q49" s="20" t="str">
        <f>IFERROR(VLOOKUP($A49&amp;"_"&amp;Q$5,Database!$A:$F,6,0),"")</f>
        <v/>
      </c>
      <c r="R49" s="20" t="str">
        <f>IFERROR(VLOOKUP($A49&amp;"_"&amp;R$5,Database!$A:$F,6,0),"")</f>
        <v/>
      </c>
      <c r="S49" s="20" t="str">
        <f>IFERROR(VLOOKUP($A49&amp;"_"&amp;S$5,Database!$A:$F,6,0),"")</f>
        <v/>
      </c>
      <c r="T49" s="20" t="str">
        <f>IFERROR(VLOOKUP($A49&amp;"_"&amp;T$5,Database!$A:$F,6,0),"")</f>
        <v/>
      </c>
      <c r="U49" s="20" t="str">
        <f>IFERROR(VLOOKUP($A49&amp;"_"&amp;U$5,Database!$A:$F,6,0),"")</f>
        <v/>
      </c>
      <c r="V49" s="20" t="str">
        <f>IFERROR(VLOOKUP($A49&amp;"_"&amp;V$5,Database!$A:$F,6,0),"")</f>
        <v/>
      </c>
      <c r="W49" s="20" t="str">
        <f>IFERROR(VLOOKUP($A49&amp;"_"&amp;W$5,Database!$A:$F,6,0),"")</f>
        <v/>
      </c>
      <c r="X49" s="20" t="str">
        <f>IFERROR(VLOOKUP($A49&amp;"_"&amp;X$5,Database!$A:$F,6,0),"")</f>
        <v/>
      </c>
      <c r="Y49" s="20" t="str">
        <f>IFERROR(VLOOKUP($A49&amp;"_"&amp;Y$5,Database!$A:$F,6,0),"")</f>
        <v/>
      </c>
      <c r="Z49" s="20" t="str">
        <f>IFERROR(VLOOKUP($A49&amp;"_"&amp;Z$5,Database!$A:$F,6,0),"")</f>
        <v/>
      </c>
      <c r="AA49" s="20" t="str">
        <f>IFERROR(VLOOKUP($A49&amp;"_"&amp;AA$5,Database!$A:$F,6,0),"")</f>
        <v/>
      </c>
      <c r="AB49" s="20" t="str">
        <f>IFERROR(VLOOKUP($A49&amp;"_"&amp;AB$5,Database!$A:$F,6,0),"")</f>
        <v/>
      </c>
      <c r="AC49" s="20" t="str">
        <f>IFERROR(VLOOKUP($A49&amp;"_"&amp;AC$5,Database!$A:$F,6,0),"")</f>
        <v/>
      </c>
      <c r="AD49" s="20" t="str">
        <f>IFERROR(VLOOKUP($A49&amp;"_"&amp;AD$5,Database!$A:$F,6,0),"")</f>
        <v/>
      </c>
      <c r="AE49" s="20" t="str">
        <f>IFERROR(VLOOKUP($A49&amp;"_"&amp;AE$5,Database!$A:$F,6,0),"")</f>
        <v/>
      </c>
      <c r="AF49" s="20" t="str">
        <f>IFERROR(VLOOKUP($A49&amp;"_"&amp;AF$5,Database!$A:$F,6,0),"")</f>
        <v/>
      </c>
      <c r="AG49" s="20" t="str">
        <f>IFERROR(VLOOKUP($A49&amp;"_"&amp;AG$5,Database!$A:$F,6,0),"")</f>
        <v/>
      </c>
      <c r="AH49" s="20" t="str">
        <f>IFERROR(VLOOKUP($A49&amp;"_"&amp;AH$5,Database!$A:$F,6,0),"")</f>
        <v/>
      </c>
      <c r="AI49" s="20" t="str">
        <f>IFERROR(VLOOKUP($A49&amp;"_"&amp;AI$5,Database!$A:$F,6,0),"")</f>
        <v/>
      </c>
      <c r="AJ49" s="20" t="str">
        <f>IFERROR(VLOOKUP($A49&amp;"_"&amp;AJ$5,Database!$A:$F,6,0),"")</f>
        <v/>
      </c>
      <c r="AK49" s="20" t="str">
        <f>IFERROR(VLOOKUP($A49&amp;"_"&amp;AK$5,Database!$A:$F,6,0),"")</f>
        <v/>
      </c>
    </row>
    <row r="50" spans="1:37" x14ac:dyDescent="0.2">
      <c r="A50" s="17" t="str">
        <f>IF('Employee Master'!A46="","",'Employee Master'!A46)</f>
        <v/>
      </c>
      <c r="B50" s="18" t="str">
        <f>IF('Employee Master'!B46="","",'Employee Master'!B46)</f>
        <v/>
      </c>
      <c r="C50" s="18" t="str">
        <f>IF('Employee Master'!C46="","",'Employee Master'!C46)</f>
        <v/>
      </c>
      <c r="D50" s="19">
        <f t="shared" si="6"/>
        <v>0</v>
      </c>
      <c r="E50" s="19">
        <f t="shared" si="7"/>
        <v>0</v>
      </c>
      <c r="F50" s="19">
        <f t="shared" si="8"/>
        <v>0</v>
      </c>
      <c r="G50" s="20" t="str">
        <f>IFERROR(VLOOKUP($A50&amp;"_"&amp;G$5,Database!$A:$F,6,0),"")</f>
        <v/>
      </c>
      <c r="H50" s="20" t="str">
        <f>IFERROR(VLOOKUP($A50&amp;"_"&amp;H$5,Database!$A:$F,6,0),"")</f>
        <v/>
      </c>
      <c r="I50" s="20" t="str">
        <f>IFERROR(VLOOKUP($A50&amp;"_"&amp;I$5,Database!$A:$F,6,0),"")</f>
        <v/>
      </c>
      <c r="J50" s="20" t="str">
        <f>IFERROR(VLOOKUP($A50&amp;"_"&amp;J$5,Database!$A:$F,6,0),"")</f>
        <v/>
      </c>
      <c r="K50" s="20" t="str">
        <f>IFERROR(VLOOKUP($A50&amp;"_"&amp;K$5,Database!$A:$F,6,0),"")</f>
        <v/>
      </c>
      <c r="L50" s="20" t="str">
        <f>IFERROR(VLOOKUP($A50&amp;"_"&amp;L$5,Database!$A:$F,6,0),"")</f>
        <v/>
      </c>
      <c r="M50" s="20" t="str">
        <f>IFERROR(VLOOKUP($A50&amp;"_"&amp;M$5,Database!$A:$F,6,0),"")</f>
        <v/>
      </c>
      <c r="N50" s="20" t="str">
        <f>IFERROR(VLOOKUP($A50&amp;"_"&amp;N$5,Database!$A:$F,6,0),"")</f>
        <v/>
      </c>
      <c r="O50" s="20" t="str">
        <f>IFERROR(VLOOKUP($A50&amp;"_"&amp;O$5,Database!$A:$F,6,0),"")</f>
        <v/>
      </c>
      <c r="P50" s="20" t="str">
        <f>IFERROR(VLOOKUP($A50&amp;"_"&amp;P$5,Database!$A:$F,6,0),"")</f>
        <v/>
      </c>
      <c r="Q50" s="20" t="str">
        <f>IFERROR(VLOOKUP($A50&amp;"_"&amp;Q$5,Database!$A:$F,6,0),"")</f>
        <v/>
      </c>
      <c r="R50" s="20" t="str">
        <f>IFERROR(VLOOKUP($A50&amp;"_"&amp;R$5,Database!$A:$F,6,0),"")</f>
        <v/>
      </c>
      <c r="S50" s="20" t="str">
        <f>IFERROR(VLOOKUP($A50&amp;"_"&amp;S$5,Database!$A:$F,6,0),"")</f>
        <v/>
      </c>
      <c r="T50" s="20" t="str">
        <f>IFERROR(VLOOKUP($A50&amp;"_"&amp;T$5,Database!$A:$F,6,0),"")</f>
        <v/>
      </c>
      <c r="U50" s="20" t="str">
        <f>IFERROR(VLOOKUP($A50&amp;"_"&amp;U$5,Database!$A:$F,6,0),"")</f>
        <v/>
      </c>
      <c r="V50" s="20" t="str">
        <f>IFERROR(VLOOKUP($A50&amp;"_"&amp;V$5,Database!$A:$F,6,0),"")</f>
        <v/>
      </c>
      <c r="W50" s="20" t="str">
        <f>IFERROR(VLOOKUP($A50&amp;"_"&amp;W$5,Database!$A:$F,6,0),"")</f>
        <v/>
      </c>
      <c r="X50" s="20" t="str">
        <f>IFERROR(VLOOKUP($A50&amp;"_"&amp;X$5,Database!$A:$F,6,0),"")</f>
        <v/>
      </c>
      <c r="Y50" s="20" t="str">
        <f>IFERROR(VLOOKUP($A50&amp;"_"&amp;Y$5,Database!$A:$F,6,0),"")</f>
        <v/>
      </c>
      <c r="Z50" s="20" t="str">
        <f>IFERROR(VLOOKUP($A50&amp;"_"&amp;Z$5,Database!$A:$F,6,0),"")</f>
        <v/>
      </c>
      <c r="AA50" s="20" t="str">
        <f>IFERROR(VLOOKUP($A50&amp;"_"&amp;AA$5,Database!$A:$F,6,0),"")</f>
        <v/>
      </c>
      <c r="AB50" s="20" t="str">
        <f>IFERROR(VLOOKUP($A50&amp;"_"&amp;AB$5,Database!$A:$F,6,0),"")</f>
        <v/>
      </c>
      <c r="AC50" s="20" t="str">
        <f>IFERROR(VLOOKUP($A50&amp;"_"&amp;AC$5,Database!$A:$F,6,0),"")</f>
        <v/>
      </c>
      <c r="AD50" s="20" t="str">
        <f>IFERROR(VLOOKUP($A50&amp;"_"&amp;AD$5,Database!$A:$F,6,0),"")</f>
        <v/>
      </c>
      <c r="AE50" s="20" t="str">
        <f>IFERROR(VLOOKUP($A50&amp;"_"&amp;AE$5,Database!$A:$F,6,0),"")</f>
        <v/>
      </c>
      <c r="AF50" s="20" t="str">
        <f>IFERROR(VLOOKUP($A50&amp;"_"&amp;AF$5,Database!$A:$F,6,0),"")</f>
        <v/>
      </c>
      <c r="AG50" s="20" t="str">
        <f>IFERROR(VLOOKUP($A50&amp;"_"&amp;AG$5,Database!$A:$F,6,0),"")</f>
        <v/>
      </c>
      <c r="AH50" s="20" t="str">
        <f>IFERROR(VLOOKUP($A50&amp;"_"&amp;AH$5,Database!$A:$F,6,0),"")</f>
        <v/>
      </c>
      <c r="AI50" s="20" t="str">
        <f>IFERROR(VLOOKUP($A50&amp;"_"&amp;AI$5,Database!$A:$F,6,0),"")</f>
        <v/>
      </c>
      <c r="AJ50" s="20" t="str">
        <f>IFERROR(VLOOKUP($A50&amp;"_"&amp;AJ$5,Database!$A:$F,6,0),"")</f>
        <v/>
      </c>
      <c r="AK50" s="20" t="str">
        <f>IFERROR(VLOOKUP($A50&amp;"_"&amp;AK$5,Database!$A:$F,6,0),"")</f>
        <v/>
      </c>
    </row>
    <row r="51" spans="1:37" x14ac:dyDescent="0.2">
      <c r="A51" s="17" t="str">
        <f>IF('Employee Master'!A47="","",'Employee Master'!A47)</f>
        <v/>
      </c>
      <c r="B51" s="18" t="str">
        <f>IF('Employee Master'!B47="","",'Employee Master'!B47)</f>
        <v/>
      </c>
      <c r="C51" s="18" t="str">
        <f>IF('Employee Master'!C47="","",'Employee Master'!C47)</f>
        <v/>
      </c>
      <c r="D51" s="19">
        <f t="shared" si="6"/>
        <v>0</v>
      </c>
      <c r="E51" s="19">
        <f t="shared" si="7"/>
        <v>0</v>
      </c>
      <c r="F51" s="19">
        <f t="shared" si="8"/>
        <v>0</v>
      </c>
      <c r="G51" s="20" t="str">
        <f>IFERROR(VLOOKUP($A51&amp;"_"&amp;G$5,Database!$A:$F,6,0),"")</f>
        <v/>
      </c>
      <c r="H51" s="20" t="str">
        <f>IFERROR(VLOOKUP($A51&amp;"_"&amp;H$5,Database!$A:$F,6,0),"")</f>
        <v/>
      </c>
      <c r="I51" s="20" t="str">
        <f>IFERROR(VLOOKUP($A51&amp;"_"&amp;I$5,Database!$A:$F,6,0),"")</f>
        <v/>
      </c>
      <c r="J51" s="20" t="str">
        <f>IFERROR(VLOOKUP($A51&amp;"_"&amp;J$5,Database!$A:$F,6,0),"")</f>
        <v/>
      </c>
      <c r="K51" s="20" t="str">
        <f>IFERROR(VLOOKUP($A51&amp;"_"&amp;K$5,Database!$A:$F,6,0),"")</f>
        <v/>
      </c>
      <c r="L51" s="20" t="str">
        <f>IFERROR(VLOOKUP($A51&amp;"_"&amp;L$5,Database!$A:$F,6,0),"")</f>
        <v/>
      </c>
      <c r="M51" s="20" t="str">
        <f>IFERROR(VLOOKUP($A51&amp;"_"&amp;M$5,Database!$A:$F,6,0),"")</f>
        <v/>
      </c>
      <c r="N51" s="20" t="str">
        <f>IFERROR(VLOOKUP($A51&amp;"_"&amp;N$5,Database!$A:$F,6,0),"")</f>
        <v/>
      </c>
      <c r="O51" s="20" t="str">
        <f>IFERROR(VLOOKUP($A51&amp;"_"&amp;O$5,Database!$A:$F,6,0),"")</f>
        <v/>
      </c>
      <c r="P51" s="20" t="str">
        <f>IFERROR(VLOOKUP($A51&amp;"_"&amp;P$5,Database!$A:$F,6,0),"")</f>
        <v/>
      </c>
      <c r="Q51" s="20" t="str">
        <f>IFERROR(VLOOKUP($A51&amp;"_"&amp;Q$5,Database!$A:$F,6,0),"")</f>
        <v/>
      </c>
      <c r="R51" s="20" t="str">
        <f>IFERROR(VLOOKUP($A51&amp;"_"&amp;R$5,Database!$A:$F,6,0),"")</f>
        <v/>
      </c>
      <c r="S51" s="20" t="str">
        <f>IFERROR(VLOOKUP($A51&amp;"_"&amp;S$5,Database!$A:$F,6,0),"")</f>
        <v/>
      </c>
      <c r="T51" s="20" t="str">
        <f>IFERROR(VLOOKUP($A51&amp;"_"&amp;T$5,Database!$A:$F,6,0),"")</f>
        <v/>
      </c>
      <c r="U51" s="20" t="str">
        <f>IFERROR(VLOOKUP($A51&amp;"_"&amp;U$5,Database!$A:$F,6,0),"")</f>
        <v/>
      </c>
      <c r="V51" s="20" t="str">
        <f>IFERROR(VLOOKUP($A51&amp;"_"&amp;V$5,Database!$A:$F,6,0),"")</f>
        <v/>
      </c>
      <c r="W51" s="20" t="str">
        <f>IFERROR(VLOOKUP($A51&amp;"_"&amp;W$5,Database!$A:$F,6,0),"")</f>
        <v/>
      </c>
      <c r="X51" s="20" t="str">
        <f>IFERROR(VLOOKUP($A51&amp;"_"&amp;X$5,Database!$A:$F,6,0),"")</f>
        <v/>
      </c>
      <c r="Y51" s="20" t="str">
        <f>IFERROR(VLOOKUP($A51&amp;"_"&amp;Y$5,Database!$A:$F,6,0),"")</f>
        <v/>
      </c>
      <c r="Z51" s="20" t="str">
        <f>IFERROR(VLOOKUP($A51&amp;"_"&amp;Z$5,Database!$A:$F,6,0),"")</f>
        <v/>
      </c>
      <c r="AA51" s="20" t="str">
        <f>IFERROR(VLOOKUP($A51&amp;"_"&amp;AA$5,Database!$A:$F,6,0),"")</f>
        <v/>
      </c>
      <c r="AB51" s="20" t="str">
        <f>IFERROR(VLOOKUP($A51&amp;"_"&amp;AB$5,Database!$A:$F,6,0),"")</f>
        <v/>
      </c>
      <c r="AC51" s="20" t="str">
        <f>IFERROR(VLOOKUP($A51&amp;"_"&amp;AC$5,Database!$A:$F,6,0),"")</f>
        <v/>
      </c>
      <c r="AD51" s="20" t="str">
        <f>IFERROR(VLOOKUP($A51&amp;"_"&amp;AD$5,Database!$A:$F,6,0),"")</f>
        <v/>
      </c>
      <c r="AE51" s="20" t="str">
        <f>IFERROR(VLOOKUP($A51&amp;"_"&amp;AE$5,Database!$A:$F,6,0),"")</f>
        <v/>
      </c>
      <c r="AF51" s="20" t="str">
        <f>IFERROR(VLOOKUP($A51&amp;"_"&amp;AF$5,Database!$A:$F,6,0),"")</f>
        <v/>
      </c>
      <c r="AG51" s="20" t="str">
        <f>IFERROR(VLOOKUP($A51&amp;"_"&amp;AG$5,Database!$A:$F,6,0),"")</f>
        <v/>
      </c>
      <c r="AH51" s="20" t="str">
        <f>IFERROR(VLOOKUP($A51&amp;"_"&amp;AH$5,Database!$A:$F,6,0),"")</f>
        <v/>
      </c>
      <c r="AI51" s="20" t="str">
        <f>IFERROR(VLOOKUP($A51&amp;"_"&amp;AI$5,Database!$A:$F,6,0),"")</f>
        <v/>
      </c>
      <c r="AJ51" s="20" t="str">
        <f>IFERROR(VLOOKUP($A51&amp;"_"&amp;AJ$5,Database!$A:$F,6,0),"")</f>
        <v/>
      </c>
      <c r="AK51" s="20" t="str">
        <f>IFERROR(VLOOKUP($A51&amp;"_"&amp;AK$5,Database!$A:$F,6,0),"")</f>
        <v/>
      </c>
    </row>
    <row r="52" spans="1:37" x14ac:dyDescent="0.2">
      <c r="A52" s="17" t="str">
        <f>IF('Employee Master'!A48="","",'Employee Master'!A48)</f>
        <v/>
      </c>
      <c r="B52" s="18" t="str">
        <f>IF('Employee Master'!B48="","",'Employee Master'!B48)</f>
        <v/>
      </c>
      <c r="C52" s="18" t="str">
        <f>IF('Employee Master'!C48="","",'Employee Master'!C48)</f>
        <v/>
      </c>
      <c r="D52" s="19">
        <f t="shared" si="6"/>
        <v>0</v>
      </c>
      <c r="E52" s="19">
        <f t="shared" si="7"/>
        <v>0</v>
      </c>
      <c r="F52" s="19">
        <f t="shared" si="8"/>
        <v>0</v>
      </c>
      <c r="G52" s="20" t="str">
        <f>IFERROR(VLOOKUP($A52&amp;"_"&amp;G$5,Database!$A:$F,6,0),"")</f>
        <v/>
      </c>
      <c r="H52" s="20" t="str">
        <f>IFERROR(VLOOKUP($A52&amp;"_"&amp;H$5,Database!$A:$F,6,0),"")</f>
        <v/>
      </c>
      <c r="I52" s="20" t="str">
        <f>IFERROR(VLOOKUP($A52&amp;"_"&amp;I$5,Database!$A:$F,6,0),"")</f>
        <v/>
      </c>
      <c r="J52" s="20" t="str">
        <f>IFERROR(VLOOKUP($A52&amp;"_"&amp;J$5,Database!$A:$F,6,0),"")</f>
        <v/>
      </c>
      <c r="K52" s="20" t="str">
        <f>IFERROR(VLOOKUP($A52&amp;"_"&amp;K$5,Database!$A:$F,6,0),"")</f>
        <v/>
      </c>
      <c r="L52" s="20" t="str">
        <f>IFERROR(VLOOKUP($A52&amp;"_"&amp;L$5,Database!$A:$F,6,0),"")</f>
        <v/>
      </c>
      <c r="M52" s="20" t="str">
        <f>IFERROR(VLOOKUP($A52&amp;"_"&amp;M$5,Database!$A:$F,6,0),"")</f>
        <v/>
      </c>
      <c r="N52" s="20" t="str">
        <f>IFERROR(VLOOKUP($A52&amp;"_"&amp;N$5,Database!$A:$F,6,0),"")</f>
        <v/>
      </c>
      <c r="O52" s="20" t="str">
        <f>IFERROR(VLOOKUP($A52&amp;"_"&amp;O$5,Database!$A:$F,6,0),"")</f>
        <v/>
      </c>
      <c r="P52" s="20" t="str">
        <f>IFERROR(VLOOKUP($A52&amp;"_"&amp;P$5,Database!$A:$F,6,0),"")</f>
        <v/>
      </c>
      <c r="Q52" s="20" t="str">
        <f>IFERROR(VLOOKUP($A52&amp;"_"&amp;Q$5,Database!$A:$F,6,0),"")</f>
        <v/>
      </c>
      <c r="R52" s="20" t="str">
        <f>IFERROR(VLOOKUP($A52&amp;"_"&amp;R$5,Database!$A:$F,6,0),"")</f>
        <v/>
      </c>
      <c r="S52" s="20" t="str">
        <f>IFERROR(VLOOKUP($A52&amp;"_"&amp;S$5,Database!$A:$F,6,0),"")</f>
        <v/>
      </c>
      <c r="T52" s="20" t="str">
        <f>IFERROR(VLOOKUP($A52&amp;"_"&amp;T$5,Database!$A:$F,6,0),"")</f>
        <v/>
      </c>
      <c r="U52" s="20" t="str">
        <f>IFERROR(VLOOKUP($A52&amp;"_"&amp;U$5,Database!$A:$F,6,0),"")</f>
        <v/>
      </c>
      <c r="V52" s="20" t="str">
        <f>IFERROR(VLOOKUP($A52&amp;"_"&amp;V$5,Database!$A:$F,6,0),"")</f>
        <v/>
      </c>
      <c r="W52" s="20" t="str">
        <f>IFERROR(VLOOKUP($A52&amp;"_"&amp;W$5,Database!$A:$F,6,0),"")</f>
        <v/>
      </c>
      <c r="X52" s="20" t="str">
        <f>IFERROR(VLOOKUP($A52&amp;"_"&amp;X$5,Database!$A:$F,6,0),"")</f>
        <v/>
      </c>
      <c r="Y52" s="20" t="str">
        <f>IFERROR(VLOOKUP($A52&amp;"_"&amp;Y$5,Database!$A:$F,6,0),"")</f>
        <v/>
      </c>
      <c r="Z52" s="20" t="str">
        <f>IFERROR(VLOOKUP($A52&amp;"_"&amp;Z$5,Database!$A:$F,6,0),"")</f>
        <v/>
      </c>
      <c r="AA52" s="20" t="str">
        <f>IFERROR(VLOOKUP($A52&amp;"_"&amp;AA$5,Database!$A:$F,6,0),"")</f>
        <v/>
      </c>
      <c r="AB52" s="20" t="str">
        <f>IFERROR(VLOOKUP($A52&amp;"_"&amp;AB$5,Database!$A:$F,6,0),"")</f>
        <v/>
      </c>
      <c r="AC52" s="20" t="str">
        <f>IFERROR(VLOOKUP($A52&amp;"_"&amp;AC$5,Database!$A:$F,6,0),"")</f>
        <v/>
      </c>
      <c r="AD52" s="20" t="str">
        <f>IFERROR(VLOOKUP($A52&amp;"_"&amp;AD$5,Database!$A:$F,6,0),"")</f>
        <v/>
      </c>
      <c r="AE52" s="20" t="str">
        <f>IFERROR(VLOOKUP($A52&amp;"_"&amp;AE$5,Database!$A:$F,6,0),"")</f>
        <v/>
      </c>
      <c r="AF52" s="20" t="str">
        <f>IFERROR(VLOOKUP($A52&amp;"_"&amp;AF$5,Database!$A:$F,6,0),"")</f>
        <v/>
      </c>
      <c r="AG52" s="20" t="str">
        <f>IFERROR(VLOOKUP($A52&amp;"_"&amp;AG$5,Database!$A:$F,6,0),"")</f>
        <v/>
      </c>
      <c r="AH52" s="20" t="str">
        <f>IFERROR(VLOOKUP($A52&amp;"_"&amp;AH$5,Database!$A:$F,6,0),"")</f>
        <v/>
      </c>
      <c r="AI52" s="20" t="str">
        <f>IFERROR(VLOOKUP($A52&amp;"_"&amp;AI$5,Database!$A:$F,6,0),"")</f>
        <v/>
      </c>
      <c r="AJ52" s="20" t="str">
        <f>IFERROR(VLOOKUP($A52&amp;"_"&amp;AJ$5,Database!$A:$F,6,0),"")</f>
        <v/>
      </c>
      <c r="AK52" s="20" t="str">
        <f>IFERROR(VLOOKUP($A52&amp;"_"&amp;AK$5,Database!$A:$F,6,0),"")</f>
        <v/>
      </c>
    </row>
    <row r="53" spans="1:37" x14ac:dyDescent="0.2">
      <c r="A53" s="17" t="str">
        <f>IF('Employee Master'!A49="","",'Employee Master'!A49)</f>
        <v/>
      </c>
      <c r="B53" s="18" t="str">
        <f>IF('Employee Master'!B49="","",'Employee Master'!B49)</f>
        <v/>
      </c>
      <c r="C53" s="18" t="str">
        <f>IF('Employee Master'!C49="","",'Employee Master'!C49)</f>
        <v/>
      </c>
      <c r="D53" s="19">
        <f t="shared" si="6"/>
        <v>0</v>
      </c>
      <c r="E53" s="19">
        <f t="shared" si="7"/>
        <v>0</v>
      </c>
      <c r="F53" s="19">
        <f t="shared" si="8"/>
        <v>0</v>
      </c>
      <c r="G53" s="20" t="str">
        <f>IFERROR(VLOOKUP($A53&amp;"_"&amp;G$5,Database!$A:$F,6,0),"")</f>
        <v/>
      </c>
      <c r="H53" s="20" t="str">
        <f>IFERROR(VLOOKUP($A53&amp;"_"&amp;H$5,Database!$A:$F,6,0),"")</f>
        <v/>
      </c>
      <c r="I53" s="20" t="str">
        <f>IFERROR(VLOOKUP($A53&amp;"_"&amp;I$5,Database!$A:$F,6,0),"")</f>
        <v/>
      </c>
      <c r="J53" s="20" t="str">
        <f>IFERROR(VLOOKUP($A53&amp;"_"&amp;J$5,Database!$A:$F,6,0),"")</f>
        <v/>
      </c>
      <c r="K53" s="20" t="str">
        <f>IFERROR(VLOOKUP($A53&amp;"_"&amp;K$5,Database!$A:$F,6,0),"")</f>
        <v/>
      </c>
      <c r="L53" s="20" t="str">
        <f>IFERROR(VLOOKUP($A53&amp;"_"&amp;L$5,Database!$A:$F,6,0),"")</f>
        <v/>
      </c>
      <c r="M53" s="20" t="str">
        <f>IFERROR(VLOOKUP($A53&amp;"_"&amp;M$5,Database!$A:$F,6,0),"")</f>
        <v/>
      </c>
      <c r="N53" s="20" t="str">
        <f>IFERROR(VLOOKUP($A53&amp;"_"&amp;N$5,Database!$A:$F,6,0),"")</f>
        <v/>
      </c>
      <c r="O53" s="20" t="str">
        <f>IFERROR(VLOOKUP($A53&amp;"_"&amp;O$5,Database!$A:$F,6,0),"")</f>
        <v/>
      </c>
      <c r="P53" s="20" t="str">
        <f>IFERROR(VLOOKUP($A53&amp;"_"&amp;P$5,Database!$A:$F,6,0),"")</f>
        <v/>
      </c>
      <c r="Q53" s="20" t="str">
        <f>IFERROR(VLOOKUP($A53&amp;"_"&amp;Q$5,Database!$A:$F,6,0),"")</f>
        <v/>
      </c>
      <c r="R53" s="20" t="str">
        <f>IFERROR(VLOOKUP($A53&amp;"_"&amp;R$5,Database!$A:$F,6,0),"")</f>
        <v/>
      </c>
      <c r="S53" s="20" t="str">
        <f>IFERROR(VLOOKUP($A53&amp;"_"&amp;S$5,Database!$A:$F,6,0),"")</f>
        <v/>
      </c>
      <c r="T53" s="20" t="str">
        <f>IFERROR(VLOOKUP($A53&amp;"_"&amp;T$5,Database!$A:$F,6,0),"")</f>
        <v/>
      </c>
      <c r="U53" s="20" t="str">
        <f>IFERROR(VLOOKUP($A53&amp;"_"&amp;U$5,Database!$A:$F,6,0),"")</f>
        <v/>
      </c>
      <c r="V53" s="20" t="str">
        <f>IFERROR(VLOOKUP($A53&amp;"_"&amp;V$5,Database!$A:$F,6,0),"")</f>
        <v/>
      </c>
      <c r="W53" s="20" t="str">
        <f>IFERROR(VLOOKUP($A53&amp;"_"&amp;W$5,Database!$A:$F,6,0),"")</f>
        <v/>
      </c>
      <c r="X53" s="20" t="str">
        <f>IFERROR(VLOOKUP($A53&amp;"_"&amp;X$5,Database!$A:$F,6,0),"")</f>
        <v/>
      </c>
      <c r="Y53" s="20" t="str">
        <f>IFERROR(VLOOKUP($A53&amp;"_"&amp;Y$5,Database!$A:$F,6,0),"")</f>
        <v/>
      </c>
      <c r="Z53" s="20" t="str">
        <f>IFERROR(VLOOKUP($A53&amp;"_"&amp;Z$5,Database!$A:$F,6,0),"")</f>
        <v/>
      </c>
      <c r="AA53" s="20" t="str">
        <f>IFERROR(VLOOKUP($A53&amp;"_"&amp;AA$5,Database!$A:$F,6,0),"")</f>
        <v/>
      </c>
      <c r="AB53" s="20" t="str">
        <f>IFERROR(VLOOKUP($A53&amp;"_"&amp;AB$5,Database!$A:$F,6,0),"")</f>
        <v/>
      </c>
      <c r="AC53" s="20" t="str">
        <f>IFERROR(VLOOKUP($A53&amp;"_"&amp;AC$5,Database!$A:$F,6,0),"")</f>
        <v/>
      </c>
      <c r="AD53" s="20" t="str">
        <f>IFERROR(VLOOKUP($A53&amp;"_"&amp;AD$5,Database!$A:$F,6,0),"")</f>
        <v/>
      </c>
      <c r="AE53" s="20" t="str">
        <f>IFERROR(VLOOKUP($A53&amp;"_"&amp;AE$5,Database!$A:$F,6,0),"")</f>
        <v/>
      </c>
      <c r="AF53" s="20" t="str">
        <f>IFERROR(VLOOKUP($A53&amp;"_"&amp;AF$5,Database!$A:$F,6,0),"")</f>
        <v/>
      </c>
      <c r="AG53" s="20" t="str">
        <f>IFERROR(VLOOKUP($A53&amp;"_"&amp;AG$5,Database!$A:$F,6,0),"")</f>
        <v/>
      </c>
      <c r="AH53" s="20" t="str">
        <f>IFERROR(VLOOKUP($A53&amp;"_"&amp;AH$5,Database!$A:$F,6,0),"")</f>
        <v/>
      </c>
      <c r="AI53" s="20" t="str">
        <f>IFERROR(VLOOKUP($A53&amp;"_"&amp;AI$5,Database!$A:$F,6,0),"")</f>
        <v/>
      </c>
      <c r="AJ53" s="20" t="str">
        <f>IFERROR(VLOOKUP($A53&amp;"_"&amp;AJ$5,Database!$A:$F,6,0),"")</f>
        <v/>
      </c>
      <c r="AK53" s="20" t="str">
        <f>IFERROR(VLOOKUP($A53&amp;"_"&amp;AK$5,Database!$A:$F,6,0),"")</f>
        <v/>
      </c>
    </row>
    <row r="54" spans="1:37" x14ac:dyDescent="0.2">
      <c r="A54" s="17" t="str">
        <f>IF('Employee Master'!A50="","",'Employee Master'!A50)</f>
        <v/>
      </c>
      <c r="B54" s="18" t="str">
        <f>IF('Employee Master'!B50="","",'Employee Master'!B50)</f>
        <v/>
      </c>
      <c r="C54" s="18" t="str">
        <f>IF('Employee Master'!C50="","",'Employee Master'!C50)</f>
        <v/>
      </c>
      <c r="D54" s="19">
        <f t="shared" si="6"/>
        <v>0</v>
      </c>
      <c r="E54" s="19">
        <f t="shared" si="7"/>
        <v>0</v>
      </c>
      <c r="F54" s="19">
        <f t="shared" si="8"/>
        <v>0</v>
      </c>
      <c r="G54" s="20" t="str">
        <f>IFERROR(VLOOKUP($A54&amp;"_"&amp;G$5,Database!$A:$F,6,0),"")</f>
        <v/>
      </c>
      <c r="H54" s="20" t="str">
        <f>IFERROR(VLOOKUP($A54&amp;"_"&amp;H$5,Database!$A:$F,6,0),"")</f>
        <v/>
      </c>
      <c r="I54" s="20" t="str">
        <f>IFERROR(VLOOKUP($A54&amp;"_"&amp;I$5,Database!$A:$F,6,0),"")</f>
        <v/>
      </c>
      <c r="J54" s="20" t="str">
        <f>IFERROR(VLOOKUP($A54&amp;"_"&amp;J$5,Database!$A:$F,6,0),"")</f>
        <v/>
      </c>
      <c r="K54" s="20" t="str">
        <f>IFERROR(VLOOKUP($A54&amp;"_"&amp;K$5,Database!$A:$F,6,0),"")</f>
        <v/>
      </c>
      <c r="L54" s="20" t="str">
        <f>IFERROR(VLOOKUP($A54&amp;"_"&amp;L$5,Database!$A:$F,6,0),"")</f>
        <v/>
      </c>
      <c r="M54" s="20" t="str">
        <f>IFERROR(VLOOKUP($A54&amp;"_"&amp;M$5,Database!$A:$F,6,0),"")</f>
        <v/>
      </c>
      <c r="N54" s="20" t="str">
        <f>IFERROR(VLOOKUP($A54&amp;"_"&amp;N$5,Database!$A:$F,6,0),"")</f>
        <v/>
      </c>
      <c r="O54" s="20" t="str">
        <f>IFERROR(VLOOKUP($A54&amp;"_"&amp;O$5,Database!$A:$F,6,0),"")</f>
        <v/>
      </c>
      <c r="P54" s="20" t="str">
        <f>IFERROR(VLOOKUP($A54&amp;"_"&amp;P$5,Database!$A:$F,6,0),"")</f>
        <v/>
      </c>
      <c r="Q54" s="20" t="str">
        <f>IFERROR(VLOOKUP($A54&amp;"_"&amp;Q$5,Database!$A:$F,6,0),"")</f>
        <v/>
      </c>
      <c r="R54" s="20" t="str">
        <f>IFERROR(VLOOKUP($A54&amp;"_"&amp;R$5,Database!$A:$F,6,0),"")</f>
        <v/>
      </c>
      <c r="S54" s="20" t="str">
        <f>IFERROR(VLOOKUP($A54&amp;"_"&amp;S$5,Database!$A:$F,6,0),"")</f>
        <v/>
      </c>
      <c r="T54" s="20" t="str">
        <f>IFERROR(VLOOKUP($A54&amp;"_"&amp;T$5,Database!$A:$F,6,0),"")</f>
        <v/>
      </c>
      <c r="U54" s="20" t="str">
        <f>IFERROR(VLOOKUP($A54&amp;"_"&amp;U$5,Database!$A:$F,6,0),"")</f>
        <v/>
      </c>
      <c r="V54" s="20" t="str">
        <f>IFERROR(VLOOKUP($A54&amp;"_"&amp;V$5,Database!$A:$F,6,0),"")</f>
        <v/>
      </c>
      <c r="W54" s="20" t="str">
        <f>IFERROR(VLOOKUP($A54&amp;"_"&amp;W$5,Database!$A:$F,6,0),"")</f>
        <v/>
      </c>
      <c r="X54" s="20" t="str">
        <f>IFERROR(VLOOKUP($A54&amp;"_"&amp;X$5,Database!$A:$F,6,0),"")</f>
        <v/>
      </c>
      <c r="Y54" s="20" t="str">
        <f>IFERROR(VLOOKUP($A54&amp;"_"&amp;Y$5,Database!$A:$F,6,0),"")</f>
        <v/>
      </c>
      <c r="Z54" s="20" t="str">
        <f>IFERROR(VLOOKUP($A54&amp;"_"&amp;Z$5,Database!$A:$F,6,0),"")</f>
        <v/>
      </c>
      <c r="AA54" s="20" t="str">
        <f>IFERROR(VLOOKUP($A54&amp;"_"&amp;AA$5,Database!$A:$F,6,0),"")</f>
        <v/>
      </c>
      <c r="AB54" s="20" t="str">
        <f>IFERROR(VLOOKUP($A54&amp;"_"&amp;AB$5,Database!$A:$F,6,0),"")</f>
        <v/>
      </c>
      <c r="AC54" s="20" t="str">
        <f>IFERROR(VLOOKUP($A54&amp;"_"&amp;AC$5,Database!$A:$F,6,0),"")</f>
        <v/>
      </c>
      <c r="AD54" s="20" t="str">
        <f>IFERROR(VLOOKUP($A54&amp;"_"&amp;AD$5,Database!$A:$F,6,0),"")</f>
        <v/>
      </c>
      <c r="AE54" s="20" t="str">
        <f>IFERROR(VLOOKUP($A54&amp;"_"&amp;AE$5,Database!$A:$F,6,0),"")</f>
        <v/>
      </c>
      <c r="AF54" s="20" t="str">
        <f>IFERROR(VLOOKUP($A54&amp;"_"&amp;AF$5,Database!$A:$F,6,0),"")</f>
        <v/>
      </c>
      <c r="AG54" s="20" t="str">
        <f>IFERROR(VLOOKUP($A54&amp;"_"&amp;AG$5,Database!$A:$F,6,0),"")</f>
        <v/>
      </c>
      <c r="AH54" s="20" t="str">
        <f>IFERROR(VLOOKUP($A54&amp;"_"&amp;AH$5,Database!$A:$F,6,0),"")</f>
        <v/>
      </c>
      <c r="AI54" s="20" t="str">
        <f>IFERROR(VLOOKUP($A54&amp;"_"&amp;AI$5,Database!$A:$F,6,0),"")</f>
        <v/>
      </c>
      <c r="AJ54" s="20" t="str">
        <f>IFERROR(VLOOKUP($A54&amp;"_"&amp;AJ$5,Database!$A:$F,6,0),"")</f>
        <v/>
      </c>
      <c r="AK54" s="20" t="str">
        <f>IFERROR(VLOOKUP($A54&amp;"_"&amp;AK$5,Database!$A:$F,6,0),"")</f>
        <v/>
      </c>
    </row>
    <row r="55" spans="1:37" x14ac:dyDescent="0.2">
      <c r="A55" s="17" t="str">
        <f>IF('Employee Master'!A51="","",'Employee Master'!A51)</f>
        <v/>
      </c>
      <c r="B55" s="18" t="str">
        <f>IF('Employee Master'!B51="","",'Employee Master'!B51)</f>
        <v/>
      </c>
      <c r="C55" s="18" t="str">
        <f>IF('Employee Master'!C51="","",'Employee Master'!C51)</f>
        <v/>
      </c>
      <c r="D55" s="19">
        <f t="shared" si="6"/>
        <v>0</v>
      </c>
      <c r="E55" s="19">
        <f t="shared" si="7"/>
        <v>0</v>
      </c>
      <c r="F55" s="19">
        <f t="shared" si="8"/>
        <v>0</v>
      </c>
      <c r="G55" s="20" t="str">
        <f>IFERROR(VLOOKUP($A55&amp;"_"&amp;G$5,Database!$A:$F,6,0),"")</f>
        <v/>
      </c>
      <c r="H55" s="20" t="str">
        <f>IFERROR(VLOOKUP($A55&amp;"_"&amp;H$5,Database!$A:$F,6,0),"")</f>
        <v/>
      </c>
      <c r="I55" s="20" t="str">
        <f>IFERROR(VLOOKUP($A55&amp;"_"&amp;I$5,Database!$A:$F,6,0),"")</f>
        <v/>
      </c>
      <c r="J55" s="20" t="str">
        <f>IFERROR(VLOOKUP($A55&amp;"_"&amp;J$5,Database!$A:$F,6,0),"")</f>
        <v/>
      </c>
      <c r="K55" s="20" t="str">
        <f>IFERROR(VLOOKUP($A55&amp;"_"&amp;K$5,Database!$A:$F,6,0),"")</f>
        <v/>
      </c>
      <c r="L55" s="20" t="str">
        <f>IFERROR(VLOOKUP($A55&amp;"_"&amp;L$5,Database!$A:$F,6,0),"")</f>
        <v/>
      </c>
      <c r="M55" s="20" t="str">
        <f>IFERROR(VLOOKUP($A55&amp;"_"&amp;M$5,Database!$A:$F,6,0),"")</f>
        <v/>
      </c>
      <c r="N55" s="20" t="str">
        <f>IFERROR(VLOOKUP($A55&amp;"_"&amp;N$5,Database!$A:$F,6,0),"")</f>
        <v/>
      </c>
      <c r="O55" s="20" t="str">
        <f>IFERROR(VLOOKUP($A55&amp;"_"&amp;O$5,Database!$A:$F,6,0),"")</f>
        <v/>
      </c>
      <c r="P55" s="20" t="str">
        <f>IFERROR(VLOOKUP($A55&amp;"_"&amp;P$5,Database!$A:$F,6,0),"")</f>
        <v/>
      </c>
      <c r="Q55" s="20" t="str">
        <f>IFERROR(VLOOKUP($A55&amp;"_"&amp;Q$5,Database!$A:$F,6,0),"")</f>
        <v/>
      </c>
      <c r="R55" s="20" t="str">
        <f>IFERROR(VLOOKUP($A55&amp;"_"&amp;R$5,Database!$A:$F,6,0),"")</f>
        <v/>
      </c>
      <c r="S55" s="20" t="str">
        <f>IFERROR(VLOOKUP($A55&amp;"_"&amp;S$5,Database!$A:$F,6,0),"")</f>
        <v/>
      </c>
      <c r="T55" s="20" t="str">
        <f>IFERROR(VLOOKUP($A55&amp;"_"&amp;T$5,Database!$A:$F,6,0),"")</f>
        <v/>
      </c>
      <c r="U55" s="20" t="str">
        <f>IFERROR(VLOOKUP($A55&amp;"_"&amp;U$5,Database!$A:$F,6,0),"")</f>
        <v/>
      </c>
      <c r="V55" s="20" t="str">
        <f>IFERROR(VLOOKUP($A55&amp;"_"&amp;V$5,Database!$A:$F,6,0),"")</f>
        <v/>
      </c>
      <c r="W55" s="20" t="str">
        <f>IFERROR(VLOOKUP($A55&amp;"_"&amp;W$5,Database!$A:$F,6,0),"")</f>
        <v/>
      </c>
      <c r="X55" s="20" t="str">
        <f>IFERROR(VLOOKUP($A55&amp;"_"&amp;X$5,Database!$A:$F,6,0),"")</f>
        <v/>
      </c>
      <c r="Y55" s="20" t="str">
        <f>IFERROR(VLOOKUP($A55&amp;"_"&amp;Y$5,Database!$A:$F,6,0),"")</f>
        <v/>
      </c>
      <c r="Z55" s="20" t="str">
        <f>IFERROR(VLOOKUP($A55&amp;"_"&amp;Z$5,Database!$A:$F,6,0),"")</f>
        <v/>
      </c>
      <c r="AA55" s="20" t="str">
        <f>IFERROR(VLOOKUP($A55&amp;"_"&amp;AA$5,Database!$A:$F,6,0),"")</f>
        <v/>
      </c>
      <c r="AB55" s="20" t="str">
        <f>IFERROR(VLOOKUP($A55&amp;"_"&amp;AB$5,Database!$A:$F,6,0),"")</f>
        <v/>
      </c>
      <c r="AC55" s="20" t="str">
        <f>IFERROR(VLOOKUP($A55&amp;"_"&amp;AC$5,Database!$A:$F,6,0),"")</f>
        <v/>
      </c>
      <c r="AD55" s="20" t="str">
        <f>IFERROR(VLOOKUP($A55&amp;"_"&amp;AD$5,Database!$A:$F,6,0),"")</f>
        <v/>
      </c>
      <c r="AE55" s="20" t="str">
        <f>IFERROR(VLOOKUP($A55&amp;"_"&amp;AE$5,Database!$A:$F,6,0),"")</f>
        <v/>
      </c>
      <c r="AF55" s="20" t="str">
        <f>IFERROR(VLOOKUP($A55&amp;"_"&amp;AF$5,Database!$A:$F,6,0),"")</f>
        <v/>
      </c>
      <c r="AG55" s="20" t="str">
        <f>IFERROR(VLOOKUP($A55&amp;"_"&amp;AG$5,Database!$A:$F,6,0),"")</f>
        <v/>
      </c>
      <c r="AH55" s="20" t="str">
        <f>IFERROR(VLOOKUP($A55&amp;"_"&amp;AH$5,Database!$A:$F,6,0),"")</f>
        <v/>
      </c>
      <c r="AI55" s="20" t="str">
        <f>IFERROR(VLOOKUP($A55&amp;"_"&amp;AI$5,Database!$A:$F,6,0),"")</f>
        <v/>
      </c>
      <c r="AJ55" s="20" t="str">
        <f>IFERROR(VLOOKUP($A55&amp;"_"&amp;AJ$5,Database!$A:$F,6,0),"")</f>
        <v/>
      </c>
      <c r="AK55" s="20" t="str">
        <f>IFERROR(VLOOKUP($A55&amp;"_"&amp;AK$5,Database!$A:$F,6,0),"")</f>
        <v/>
      </c>
    </row>
    <row r="56" spans="1:37" x14ac:dyDescent="0.2">
      <c r="A56" s="17" t="str">
        <f>IF('Employee Master'!A52="","",'Employee Master'!A52)</f>
        <v/>
      </c>
      <c r="B56" s="18" t="str">
        <f>IF('Employee Master'!B52="","",'Employee Master'!B52)</f>
        <v/>
      </c>
      <c r="C56" s="18" t="str">
        <f>IF('Employee Master'!C52="","",'Employee Master'!C52)</f>
        <v/>
      </c>
      <c r="D56" s="19">
        <f t="shared" si="6"/>
        <v>0</v>
      </c>
      <c r="E56" s="19">
        <f t="shared" si="7"/>
        <v>0</v>
      </c>
      <c r="F56" s="19">
        <f t="shared" si="8"/>
        <v>0</v>
      </c>
      <c r="G56" s="20" t="str">
        <f>IFERROR(VLOOKUP($A56&amp;"_"&amp;G$5,Database!$A:$F,6,0),"")</f>
        <v/>
      </c>
      <c r="H56" s="20" t="str">
        <f>IFERROR(VLOOKUP($A56&amp;"_"&amp;H$5,Database!$A:$F,6,0),"")</f>
        <v/>
      </c>
      <c r="I56" s="20" t="str">
        <f>IFERROR(VLOOKUP($A56&amp;"_"&amp;I$5,Database!$A:$F,6,0),"")</f>
        <v/>
      </c>
      <c r="J56" s="20" t="str">
        <f>IFERROR(VLOOKUP($A56&amp;"_"&amp;J$5,Database!$A:$F,6,0),"")</f>
        <v/>
      </c>
      <c r="K56" s="20" t="str">
        <f>IFERROR(VLOOKUP($A56&amp;"_"&amp;K$5,Database!$A:$F,6,0),"")</f>
        <v/>
      </c>
      <c r="L56" s="20" t="str">
        <f>IFERROR(VLOOKUP($A56&amp;"_"&amp;L$5,Database!$A:$F,6,0),"")</f>
        <v/>
      </c>
      <c r="M56" s="20" t="str">
        <f>IFERROR(VLOOKUP($A56&amp;"_"&amp;M$5,Database!$A:$F,6,0),"")</f>
        <v/>
      </c>
      <c r="N56" s="20" t="str">
        <f>IFERROR(VLOOKUP($A56&amp;"_"&amp;N$5,Database!$A:$F,6,0),"")</f>
        <v/>
      </c>
      <c r="O56" s="20" t="str">
        <f>IFERROR(VLOOKUP($A56&amp;"_"&amp;O$5,Database!$A:$F,6,0),"")</f>
        <v/>
      </c>
      <c r="P56" s="20" t="str">
        <f>IFERROR(VLOOKUP($A56&amp;"_"&amp;P$5,Database!$A:$F,6,0),"")</f>
        <v/>
      </c>
      <c r="Q56" s="20" t="str">
        <f>IFERROR(VLOOKUP($A56&amp;"_"&amp;Q$5,Database!$A:$F,6,0),"")</f>
        <v/>
      </c>
      <c r="R56" s="20" t="str">
        <f>IFERROR(VLOOKUP($A56&amp;"_"&amp;R$5,Database!$A:$F,6,0),"")</f>
        <v/>
      </c>
      <c r="S56" s="20" t="str">
        <f>IFERROR(VLOOKUP($A56&amp;"_"&amp;S$5,Database!$A:$F,6,0),"")</f>
        <v/>
      </c>
      <c r="T56" s="20" t="str">
        <f>IFERROR(VLOOKUP($A56&amp;"_"&amp;T$5,Database!$A:$F,6,0),"")</f>
        <v/>
      </c>
      <c r="U56" s="20" t="str">
        <f>IFERROR(VLOOKUP($A56&amp;"_"&amp;U$5,Database!$A:$F,6,0),"")</f>
        <v/>
      </c>
      <c r="V56" s="20" t="str">
        <f>IFERROR(VLOOKUP($A56&amp;"_"&amp;V$5,Database!$A:$F,6,0),"")</f>
        <v/>
      </c>
      <c r="W56" s="20" t="str">
        <f>IFERROR(VLOOKUP($A56&amp;"_"&amp;W$5,Database!$A:$F,6,0),"")</f>
        <v/>
      </c>
      <c r="X56" s="20" t="str">
        <f>IFERROR(VLOOKUP($A56&amp;"_"&amp;X$5,Database!$A:$F,6,0),"")</f>
        <v/>
      </c>
      <c r="Y56" s="20" t="str">
        <f>IFERROR(VLOOKUP($A56&amp;"_"&amp;Y$5,Database!$A:$F,6,0),"")</f>
        <v/>
      </c>
      <c r="Z56" s="20" t="str">
        <f>IFERROR(VLOOKUP($A56&amp;"_"&amp;Z$5,Database!$A:$F,6,0),"")</f>
        <v/>
      </c>
      <c r="AA56" s="20" t="str">
        <f>IFERROR(VLOOKUP($A56&amp;"_"&amp;AA$5,Database!$A:$F,6,0),"")</f>
        <v/>
      </c>
      <c r="AB56" s="20" t="str">
        <f>IFERROR(VLOOKUP($A56&amp;"_"&amp;AB$5,Database!$A:$F,6,0),"")</f>
        <v/>
      </c>
      <c r="AC56" s="20" t="str">
        <f>IFERROR(VLOOKUP($A56&amp;"_"&amp;AC$5,Database!$A:$F,6,0),"")</f>
        <v/>
      </c>
      <c r="AD56" s="20" t="str">
        <f>IFERROR(VLOOKUP($A56&amp;"_"&amp;AD$5,Database!$A:$F,6,0),"")</f>
        <v/>
      </c>
      <c r="AE56" s="20" t="str">
        <f>IFERROR(VLOOKUP($A56&amp;"_"&amp;AE$5,Database!$A:$F,6,0),"")</f>
        <v/>
      </c>
      <c r="AF56" s="20" t="str">
        <f>IFERROR(VLOOKUP($A56&amp;"_"&amp;AF$5,Database!$A:$F,6,0),"")</f>
        <v/>
      </c>
      <c r="AG56" s="20" t="str">
        <f>IFERROR(VLOOKUP($A56&amp;"_"&amp;AG$5,Database!$A:$F,6,0),"")</f>
        <v/>
      </c>
      <c r="AH56" s="20" t="str">
        <f>IFERROR(VLOOKUP($A56&amp;"_"&amp;AH$5,Database!$A:$F,6,0),"")</f>
        <v/>
      </c>
      <c r="AI56" s="20" t="str">
        <f>IFERROR(VLOOKUP($A56&amp;"_"&amp;AI$5,Database!$A:$F,6,0),"")</f>
        <v/>
      </c>
      <c r="AJ56" s="20" t="str">
        <f>IFERROR(VLOOKUP($A56&amp;"_"&amp;AJ$5,Database!$A:$F,6,0),"")</f>
        <v/>
      </c>
      <c r="AK56" s="20" t="str">
        <f>IFERROR(VLOOKUP($A56&amp;"_"&amp;AK$5,Database!$A:$F,6,0),"")</f>
        <v/>
      </c>
    </row>
    <row r="57" spans="1:37" x14ac:dyDescent="0.2">
      <c r="A57" s="17" t="str">
        <f>IF('Employee Master'!A53="","",'Employee Master'!A53)</f>
        <v/>
      </c>
      <c r="B57" s="18" t="str">
        <f>IF('Employee Master'!B53="","",'Employee Master'!B53)</f>
        <v/>
      </c>
      <c r="C57" s="18" t="str">
        <f>IF('Employee Master'!C53="","",'Employee Master'!C53)</f>
        <v/>
      </c>
      <c r="D57" s="19">
        <f t="shared" si="6"/>
        <v>0</v>
      </c>
      <c r="E57" s="19">
        <f t="shared" si="7"/>
        <v>0</v>
      </c>
      <c r="F57" s="19">
        <f t="shared" si="8"/>
        <v>0</v>
      </c>
      <c r="G57" s="20" t="str">
        <f>IFERROR(VLOOKUP($A57&amp;"_"&amp;G$5,Database!$A:$F,6,0),"")</f>
        <v/>
      </c>
      <c r="H57" s="20" t="str">
        <f>IFERROR(VLOOKUP($A57&amp;"_"&amp;H$5,Database!$A:$F,6,0),"")</f>
        <v/>
      </c>
      <c r="I57" s="20" t="str">
        <f>IFERROR(VLOOKUP($A57&amp;"_"&amp;I$5,Database!$A:$F,6,0),"")</f>
        <v/>
      </c>
      <c r="J57" s="20" t="str">
        <f>IFERROR(VLOOKUP($A57&amp;"_"&amp;J$5,Database!$A:$F,6,0),"")</f>
        <v/>
      </c>
      <c r="K57" s="20" t="str">
        <f>IFERROR(VLOOKUP($A57&amp;"_"&amp;K$5,Database!$A:$F,6,0),"")</f>
        <v/>
      </c>
      <c r="L57" s="20" t="str">
        <f>IFERROR(VLOOKUP($A57&amp;"_"&amp;L$5,Database!$A:$F,6,0),"")</f>
        <v/>
      </c>
      <c r="M57" s="20" t="str">
        <f>IFERROR(VLOOKUP($A57&amp;"_"&amp;M$5,Database!$A:$F,6,0),"")</f>
        <v/>
      </c>
      <c r="N57" s="20" t="str">
        <f>IFERROR(VLOOKUP($A57&amp;"_"&amp;N$5,Database!$A:$F,6,0),"")</f>
        <v/>
      </c>
      <c r="O57" s="20" t="str">
        <f>IFERROR(VLOOKUP($A57&amp;"_"&amp;O$5,Database!$A:$F,6,0),"")</f>
        <v/>
      </c>
      <c r="P57" s="20" t="str">
        <f>IFERROR(VLOOKUP($A57&amp;"_"&amp;P$5,Database!$A:$F,6,0),"")</f>
        <v/>
      </c>
      <c r="Q57" s="20" t="str">
        <f>IFERROR(VLOOKUP($A57&amp;"_"&amp;Q$5,Database!$A:$F,6,0),"")</f>
        <v/>
      </c>
      <c r="R57" s="20" t="str">
        <f>IFERROR(VLOOKUP($A57&amp;"_"&amp;R$5,Database!$A:$F,6,0),"")</f>
        <v/>
      </c>
      <c r="S57" s="20" t="str">
        <f>IFERROR(VLOOKUP($A57&amp;"_"&amp;S$5,Database!$A:$F,6,0),"")</f>
        <v/>
      </c>
      <c r="T57" s="20" t="str">
        <f>IFERROR(VLOOKUP($A57&amp;"_"&amp;T$5,Database!$A:$F,6,0),"")</f>
        <v/>
      </c>
      <c r="U57" s="20" t="str">
        <f>IFERROR(VLOOKUP($A57&amp;"_"&amp;U$5,Database!$A:$F,6,0),"")</f>
        <v/>
      </c>
      <c r="V57" s="20" t="str">
        <f>IFERROR(VLOOKUP($A57&amp;"_"&amp;V$5,Database!$A:$F,6,0),"")</f>
        <v/>
      </c>
      <c r="W57" s="20" t="str">
        <f>IFERROR(VLOOKUP($A57&amp;"_"&amp;W$5,Database!$A:$F,6,0),"")</f>
        <v/>
      </c>
      <c r="X57" s="20" t="str">
        <f>IFERROR(VLOOKUP($A57&amp;"_"&amp;X$5,Database!$A:$F,6,0),"")</f>
        <v/>
      </c>
      <c r="Y57" s="20" t="str">
        <f>IFERROR(VLOOKUP($A57&amp;"_"&amp;Y$5,Database!$A:$F,6,0),"")</f>
        <v/>
      </c>
      <c r="Z57" s="20" t="str">
        <f>IFERROR(VLOOKUP($A57&amp;"_"&amp;Z$5,Database!$A:$F,6,0),"")</f>
        <v/>
      </c>
      <c r="AA57" s="20" t="str">
        <f>IFERROR(VLOOKUP($A57&amp;"_"&amp;AA$5,Database!$A:$F,6,0),"")</f>
        <v/>
      </c>
      <c r="AB57" s="20" t="str">
        <f>IFERROR(VLOOKUP($A57&amp;"_"&amp;AB$5,Database!$A:$F,6,0),"")</f>
        <v/>
      </c>
      <c r="AC57" s="20" t="str">
        <f>IFERROR(VLOOKUP($A57&amp;"_"&amp;AC$5,Database!$A:$F,6,0),"")</f>
        <v/>
      </c>
      <c r="AD57" s="20" t="str">
        <f>IFERROR(VLOOKUP($A57&amp;"_"&amp;AD$5,Database!$A:$F,6,0),"")</f>
        <v/>
      </c>
      <c r="AE57" s="20" t="str">
        <f>IFERROR(VLOOKUP($A57&amp;"_"&amp;AE$5,Database!$A:$F,6,0),"")</f>
        <v/>
      </c>
      <c r="AF57" s="20" t="str">
        <f>IFERROR(VLOOKUP($A57&amp;"_"&amp;AF$5,Database!$A:$F,6,0),"")</f>
        <v/>
      </c>
      <c r="AG57" s="20" t="str">
        <f>IFERROR(VLOOKUP($A57&amp;"_"&amp;AG$5,Database!$A:$F,6,0),"")</f>
        <v/>
      </c>
      <c r="AH57" s="20" t="str">
        <f>IFERROR(VLOOKUP($A57&amp;"_"&amp;AH$5,Database!$A:$F,6,0),"")</f>
        <v/>
      </c>
      <c r="AI57" s="20" t="str">
        <f>IFERROR(VLOOKUP($A57&amp;"_"&amp;AI$5,Database!$A:$F,6,0),"")</f>
        <v/>
      </c>
      <c r="AJ57" s="20" t="str">
        <f>IFERROR(VLOOKUP($A57&amp;"_"&amp;AJ$5,Database!$A:$F,6,0),"")</f>
        <v/>
      </c>
      <c r="AK57" s="20" t="str">
        <f>IFERROR(VLOOKUP($A57&amp;"_"&amp;AK$5,Database!$A:$F,6,0),"")</f>
        <v/>
      </c>
    </row>
    <row r="58" spans="1:37" x14ac:dyDescent="0.2">
      <c r="A58" s="17" t="str">
        <f>IF('Employee Master'!A54="","",'Employee Master'!A54)</f>
        <v/>
      </c>
      <c r="B58" s="18" t="str">
        <f>IF('Employee Master'!B54="","",'Employee Master'!B54)</f>
        <v/>
      </c>
      <c r="C58" s="18" t="str">
        <f>IF('Employee Master'!C54="","",'Employee Master'!C54)</f>
        <v/>
      </c>
      <c r="D58" s="19">
        <f t="shared" si="6"/>
        <v>0</v>
      </c>
      <c r="E58" s="19">
        <f t="shared" si="7"/>
        <v>0</v>
      </c>
      <c r="F58" s="19">
        <f t="shared" si="8"/>
        <v>0</v>
      </c>
      <c r="G58" s="20" t="str">
        <f>IFERROR(VLOOKUP($A58&amp;"_"&amp;G$5,Database!$A:$F,6,0),"")</f>
        <v/>
      </c>
      <c r="H58" s="20" t="str">
        <f>IFERROR(VLOOKUP($A58&amp;"_"&amp;H$5,Database!$A:$F,6,0),"")</f>
        <v/>
      </c>
      <c r="I58" s="20" t="str">
        <f>IFERROR(VLOOKUP($A58&amp;"_"&amp;I$5,Database!$A:$F,6,0),"")</f>
        <v/>
      </c>
      <c r="J58" s="20" t="str">
        <f>IFERROR(VLOOKUP($A58&amp;"_"&amp;J$5,Database!$A:$F,6,0),"")</f>
        <v/>
      </c>
      <c r="K58" s="20" t="str">
        <f>IFERROR(VLOOKUP($A58&amp;"_"&amp;K$5,Database!$A:$F,6,0),"")</f>
        <v/>
      </c>
      <c r="L58" s="20" t="str">
        <f>IFERROR(VLOOKUP($A58&amp;"_"&amp;L$5,Database!$A:$F,6,0),"")</f>
        <v/>
      </c>
      <c r="M58" s="20" t="str">
        <f>IFERROR(VLOOKUP($A58&amp;"_"&amp;M$5,Database!$A:$F,6,0),"")</f>
        <v/>
      </c>
      <c r="N58" s="20" t="str">
        <f>IFERROR(VLOOKUP($A58&amp;"_"&amp;N$5,Database!$A:$F,6,0),"")</f>
        <v/>
      </c>
      <c r="O58" s="20" t="str">
        <f>IFERROR(VLOOKUP($A58&amp;"_"&amp;O$5,Database!$A:$F,6,0),"")</f>
        <v/>
      </c>
      <c r="P58" s="20" t="str">
        <f>IFERROR(VLOOKUP($A58&amp;"_"&amp;P$5,Database!$A:$F,6,0),"")</f>
        <v/>
      </c>
      <c r="Q58" s="20" t="str">
        <f>IFERROR(VLOOKUP($A58&amp;"_"&amp;Q$5,Database!$A:$F,6,0),"")</f>
        <v/>
      </c>
      <c r="R58" s="20" t="str">
        <f>IFERROR(VLOOKUP($A58&amp;"_"&amp;R$5,Database!$A:$F,6,0),"")</f>
        <v/>
      </c>
      <c r="S58" s="20" t="str">
        <f>IFERROR(VLOOKUP($A58&amp;"_"&amp;S$5,Database!$A:$F,6,0),"")</f>
        <v/>
      </c>
      <c r="T58" s="20" t="str">
        <f>IFERROR(VLOOKUP($A58&amp;"_"&amp;T$5,Database!$A:$F,6,0),"")</f>
        <v/>
      </c>
      <c r="U58" s="20" t="str">
        <f>IFERROR(VLOOKUP($A58&amp;"_"&amp;U$5,Database!$A:$F,6,0),"")</f>
        <v/>
      </c>
      <c r="V58" s="20" t="str">
        <f>IFERROR(VLOOKUP($A58&amp;"_"&amp;V$5,Database!$A:$F,6,0),"")</f>
        <v/>
      </c>
      <c r="W58" s="20" t="str">
        <f>IFERROR(VLOOKUP($A58&amp;"_"&amp;W$5,Database!$A:$F,6,0),"")</f>
        <v/>
      </c>
      <c r="X58" s="20" t="str">
        <f>IFERROR(VLOOKUP($A58&amp;"_"&amp;X$5,Database!$A:$F,6,0),"")</f>
        <v/>
      </c>
      <c r="Y58" s="20" t="str">
        <f>IFERROR(VLOOKUP($A58&amp;"_"&amp;Y$5,Database!$A:$F,6,0),"")</f>
        <v/>
      </c>
      <c r="Z58" s="20" t="str">
        <f>IFERROR(VLOOKUP($A58&amp;"_"&amp;Z$5,Database!$A:$F,6,0),"")</f>
        <v/>
      </c>
      <c r="AA58" s="20" t="str">
        <f>IFERROR(VLOOKUP($A58&amp;"_"&amp;AA$5,Database!$A:$F,6,0),"")</f>
        <v/>
      </c>
      <c r="AB58" s="20" t="str">
        <f>IFERROR(VLOOKUP($A58&amp;"_"&amp;AB$5,Database!$A:$F,6,0),"")</f>
        <v/>
      </c>
      <c r="AC58" s="20" t="str">
        <f>IFERROR(VLOOKUP($A58&amp;"_"&amp;AC$5,Database!$A:$F,6,0),"")</f>
        <v/>
      </c>
      <c r="AD58" s="20" t="str">
        <f>IFERROR(VLOOKUP($A58&amp;"_"&amp;AD$5,Database!$A:$F,6,0),"")</f>
        <v/>
      </c>
      <c r="AE58" s="20" t="str">
        <f>IFERROR(VLOOKUP($A58&amp;"_"&amp;AE$5,Database!$A:$F,6,0),"")</f>
        <v/>
      </c>
      <c r="AF58" s="20" t="str">
        <f>IFERROR(VLOOKUP($A58&amp;"_"&amp;AF$5,Database!$A:$F,6,0),"")</f>
        <v/>
      </c>
      <c r="AG58" s="20" t="str">
        <f>IFERROR(VLOOKUP($A58&amp;"_"&amp;AG$5,Database!$A:$F,6,0),"")</f>
        <v/>
      </c>
      <c r="AH58" s="20" t="str">
        <f>IFERROR(VLOOKUP($A58&amp;"_"&amp;AH$5,Database!$A:$F,6,0),"")</f>
        <v/>
      </c>
      <c r="AI58" s="20" t="str">
        <f>IFERROR(VLOOKUP($A58&amp;"_"&amp;AI$5,Database!$A:$F,6,0),"")</f>
        <v/>
      </c>
      <c r="AJ58" s="20" t="str">
        <f>IFERROR(VLOOKUP($A58&amp;"_"&amp;AJ$5,Database!$A:$F,6,0),"")</f>
        <v/>
      </c>
      <c r="AK58" s="20" t="str">
        <f>IFERROR(VLOOKUP($A58&amp;"_"&amp;AK$5,Database!$A:$F,6,0),"")</f>
        <v/>
      </c>
    </row>
    <row r="59" spans="1:37" x14ac:dyDescent="0.2">
      <c r="A59" s="17" t="str">
        <f>IF('Employee Master'!A55="","",'Employee Master'!A55)</f>
        <v/>
      </c>
      <c r="B59" s="18" t="str">
        <f>IF('Employee Master'!B55="","",'Employee Master'!B55)</f>
        <v/>
      </c>
      <c r="C59" s="18" t="str">
        <f>IF('Employee Master'!C55="","",'Employee Master'!C55)</f>
        <v/>
      </c>
      <c r="D59" s="19">
        <f t="shared" si="6"/>
        <v>0</v>
      </c>
      <c r="E59" s="19">
        <f t="shared" si="7"/>
        <v>0</v>
      </c>
      <c r="F59" s="19">
        <f t="shared" si="8"/>
        <v>0</v>
      </c>
      <c r="G59" s="20" t="str">
        <f>IFERROR(VLOOKUP($A59&amp;"_"&amp;G$5,Database!$A:$F,6,0),"")</f>
        <v/>
      </c>
      <c r="H59" s="20" t="str">
        <f>IFERROR(VLOOKUP($A59&amp;"_"&amp;H$5,Database!$A:$F,6,0),"")</f>
        <v/>
      </c>
      <c r="I59" s="20" t="str">
        <f>IFERROR(VLOOKUP($A59&amp;"_"&amp;I$5,Database!$A:$F,6,0),"")</f>
        <v/>
      </c>
      <c r="J59" s="20" t="str">
        <f>IFERROR(VLOOKUP($A59&amp;"_"&amp;J$5,Database!$A:$F,6,0),"")</f>
        <v/>
      </c>
      <c r="K59" s="20" t="str">
        <f>IFERROR(VLOOKUP($A59&amp;"_"&amp;K$5,Database!$A:$F,6,0),"")</f>
        <v/>
      </c>
      <c r="L59" s="20" t="str">
        <f>IFERROR(VLOOKUP($A59&amp;"_"&amp;L$5,Database!$A:$F,6,0),"")</f>
        <v/>
      </c>
      <c r="M59" s="20" t="str">
        <f>IFERROR(VLOOKUP($A59&amp;"_"&amp;M$5,Database!$A:$F,6,0),"")</f>
        <v/>
      </c>
      <c r="N59" s="20" t="str">
        <f>IFERROR(VLOOKUP($A59&amp;"_"&amp;N$5,Database!$A:$F,6,0),"")</f>
        <v/>
      </c>
      <c r="O59" s="20" t="str">
        <f>IFERROR(VLOOKUP($A59&amp;"_"&amp;O$5,Database!$A:$F,6,0),"")</f>
        <v/>
      </c>
      <c r="P59" s="20" t="str">
        <f>IFERROR(VLOOKUP($A59&amp;"_"&amp;P$5,Database!$A:$F,6,0),"")</f>
        <v/>
      </c>
      <c r="Q59" s="20" t="str">
        <f>IFERROR(VLOOKUP($A59&amp;"_"&amp;Q$5,Database!$A:$F,6,0),"")</f>
        <v/>
      </c>
      <c r="R59" s="20" t="str">
        <f>IFERROR(VLOOKUP($A59&amp;"_"&amp;R$5,Database!$A:$F,6,0),"")</f>
        <v/>
      </c>
      <c r="S59" s="20" t="str">
        <f>IFERROR(VLOOKUP($A59&amp;"_"&amp;S$5,Database!$A:$F,6,0),"")</f>
        <v/>
      </c>
      <c r="T59" s="20" t="str">
        <f>IFERROR(VLOOKUP($A59&amp;"_"&amp;T$5,Database!$A:$F,6,0),"")</f>
        <v/>
      </c>
      <c r="U59" s="20" t="str">
        <f>IFERROR(VLOOKUP($A59&amp;"_"&amp;U$5,Database!$A:$F,6,0),"")</f>
        <v/>
      </c>
      <c r="V59" s="20" t="str">
        <f>IFERROR(VLOOKUP($A59&amp;"_"&amp;V$5,Database!$A:$F,6,0),"")</f>
        <v/>
      </c>
      <c r="W59" s="20" t="str">
        <f>IFERROR(VLOOKUP($A59&amp;"_"&amp;W$5,Database!$A:$F,6,0),"")</f>
        <v/>
      </c>
      <c r="X59" s="20" t="str">
        <f>IFERROR(VLOOKUP($A59&amp;"_"&amp;X$5,Database!$A:$F,6,0),"")</f>
        <v/>
      </c>
      <c r="Y59" s="20" t="str">
        <f>IFERROR(VLOOKUP($A59&amp;"_"&amp;Y$5,Database!$A:$F,6,0),"")</f>
        <v/>
      </c>
      <c r="Z59" s="20" t="str">
        <f>IFERROR(VLOOKUP($A59&amp;"_"&amp;Z$5,Database!$A:$F,6,0),"")</f>
        <v/>
      </c>
      <c r="AA59" s="20" t="str">
        <f>IFERROR(VLOOKUP($A59&amp;"_"&amp;AA$5,Database!$A:$F,6,0),"")</f>
        <v/>
      </c>
      <c r="AB59" s="20" t="str">
        <f>IFERROR(VLOOKUP($A59&amp;"_"&amp;AB$5,Database!$A:$F,6,0),"")</f>
        <v/>
      </c>
      <c r="AC59" s="20" t="str">
        <f>IFERROR(VLOOKUP($A59&amp;"_"&amp;AC$5,Database!$A:$F,6,0),"")</f>
        <v/>
      </c>
      <c r="AD59" s="20" t="str">
        <f>IFERROR(VLOOKUP($A59&amp;"_"&amp;AD$5,Database!$A:$F,6,0),"")</f>
        <v/>
      </c>
      <c r="AE59" s="20" t="str">
        <f>IFERROR(VLOOKUP($A59&amp;"_"&amp;AE$5,Database!$A:$F,6,0),"")</f>
        <v/>
      </c>
      <c r="AF59" s="20" t="str">
        <f>IFERROR(VLOOKUP($A59&amp;"_"&amp;AF$5,Database!$A:$F,6,0),"")</f>
        <v/>
      </c>
      <c r="AG59" s="20" t="str">
        <f>IFERROR(VLOOKUP($A59&amp;"_"&amp;AG$5,Database!$A:$F,6,0),"")</f>
        <v/>
      </c>
      <c r="AH59" s="20" t="str">
        <f>IFERROR(VLOOKUP($A59&amp;"_"&amp;AH$5,Database!$A:$F,6,0),"")</f>
        <v/>
      </c>
      <c r="AI59" s="20" t="str">
        <f>IFERROR(VLOOKUP($A59&amp;"_"&amp;AI$5,Database!$A:$F,6,0),"")</f>
        <v/>
      </c>
      <c r="AJ59" s="20" t="str">
        <f>IFERROR(VLOOKUP($A59&amp;"_"&amp;AJ$5,Database!$A:$F,6,0),"")</f>
        <v/>
      </c>
      <c r="AK59" s="20" t="str">
        <f>IFERROR(VLOOKUP($A59&amp;"_"&amp;AK$5,Database!$A:$F,6,0),"")</f>
        <v/>
      </c>
    </row>
    <row r="60" spans="1:37" x14ac:dyDescent="0.2">
      <c r="A60" s="17" t="str">
        <f>IF('Employee Master'!A56="","",'Employee Master'!A56)</f>
        <v/>
      </c>
      <c r="B60" s="18" t="str">
        <f>IF('Employee Master'!B56="","",'Employee Master'!B56)</f>
        <v/>
      </c>
      <c r="C60" s="18" t="str">
        <f>IF('Employee Master'!C56="","",'Employee Master'!C56)</f>
        <v/>
      </c>
      <c r="D60" s="19">
        <f t="shared" si="6"/>
        <v>0</v>
      </c>
      <c r="E60" s="19">
        <f t="shared" si="7"/>
        <v>0</v>
      </c>
      <c r="F60" s="19">
        <f t="shared" si="8"/>
        <v>0</v>
      </c>
      <c r="G60" s="20" t="str">
        <f>IFERROR(VLOOKUP($A60&amp;"_"&amp;G$5,Database!$A:$F,6,0),"")</f>
        <v/>
      </c>
      <c r="H60" s="20" t="str">
        <f>IFERROR(VLOOKUP($A60&amp;"_"&amp;H$5,Database!$A:$F,6,0),"")</f>
        <v/>
      </c>
      <c r="I60" s="20" t="str">
        <f>IFERROR(VLOOKUP($A60&amp;"_"&amp;I$5,Database!$A:$F,6,0),"")</f>
        <v/>
      </c>
      <c r="J60" s="20" t="str">
        <f>IFERROR(VLOOKUP($A60&amp;"_"&amp;J$5,Database!$A:$F,6,0),"")</f>
        <v/>
      </c>
      <c r="K60" s="20" t="str">
        <f>IFERROR(VLOOKUP($A60&amp;"_"&amp;K$5,Database!$A:$F,6,0),"")</f>
        <v/>
      </c>
      <c r="L60" s="20" t="str">
        <f>IFERROR(VLOOKUP($A60&amp;"_"&amp;L$5,Database!$A:$F,6,0),"")</f>
        <v/>
      </c>
      <c r="M60" s="20" t="str">
        <f>IFERROR(VLOOKUP($A60&amp;"_"&amp;M$5,Database!$A:$F,6,0),"")</f>
        <v/>
      </c>
      <c r="N60" s="20" t="str">
        <f>IFERROR(VLOOKUP($A60&amp;"_"&amp;N$5,Database!$A:$F,6,0),"")</f>
        <v/>
      </c>
      <c r="O60" s="20" t="str">
        <f>IFERROR(VLOOKUP($A60&amp;"_"&amp;O$5,Database!$A:$F,6,0),"")</f>
        <v/>
      </c>
      <c r="P60" s="20" t="str">
        <f>IFERROR(VLOOKUP($A60&amp;"_"&amp;P$5,Database!$A:$F,6,0),"")</f>
        <v/>
      </c>
      <c r="Q60" s="20" t="str">
        <f>IFERROR(VLOOKUP($A60&amp;"_"&amp;Q$5,Database!$A:$F,6,0),"")</f>
        <v/>
      </c>
      <c r="R60" s="20" t="str">
        <f>IFERROR(VLOOKUP($A60&amp;"_"&amp;R$5,Database!$A:$F,6,0),"")</f>
        <v/>
      </c>
      <c r="S60" s="20" t="str">
        <f>IFERROR(VLOOKUP($A60&amp;"_"&amp;S$5,Database!$A:$F,6,0),"")</f>
        <v/>
      </c>
      <c r="T60" s="20" t="str">
        <f>IFERROR(VLOOKUP($A60&amp;"_"&amp;T$5,Database!$A:$F,6,0),"")</f>
        <v/>
      </c>
      <c r="U60" s="20" t="str">
        <f>IFERROR(VLOOKUP($A60&amp;"_"&amp;U$5,Database!$A:$F,6,0),"")</f>
        <v/>
      </c>
      <c r="V60" s="20" t="str">
        <f>IFERROR(VLOOKUP($A60&amp;"_"&amp;V$5,Database!$A:$F,6,0),"")</f>
        <v/>
      </c>
      <c r="W60" s="20" t="str">
        <f>IFERROR(VLOOKUP($A60&amp;"_"&amp;W$5,Database!$A:$F,6,0),"")</f>
        <v/>
      </c>
      <c r="X60" s="20" t="str">
        <f>IFERROR(VLOOKUP($A60&amp;"_"&amp;X$5,Database!$A:$F,6,0),"")</f>
        <v/>
      </c>
      <c r="Y60" s="20" t="str">
        <f>IFERROR(VLOOKUP($A60&amp;"_"&amp;Y$5,Database!$A:$F,6,0),"")</f>
        <v/>
      </c>
      <c r="Z60" s="20" t="str">
        <f>IFERROR(VLOOKUP($A60&amp;"_"&amp;Z$5,Database!$A:$F,6,0),"")</f>
        <v/>
      </c>
      <c r="AA60" s="20" t="str">
        <f>IFERROR(VLOOKUP($A60&amp;"_"&amp;AA$5,Database!$A:$F,6,0),"")</f>
        <v/>
      </c>
      <c r="AB60" s="20" t="str">
        <f>IFERROR(VLOOKUP($A60&amp;"_"&amp;AB$5,Database!$A:$F,6,0),"")</f>
        <v/>
      </c>
      <c r="AC60" s="20" t="str">
        <f>IFERROR(VLOOKUP($A60&amp;"_"&amp;AC$5,Database!$A:$F,6,0),"")</f>
        <v/>
      </c>
      <c r="AD60" s="20" t="str">
        <f>IFERROR(VLOOKUP($A60&amp;"_"&amp;AD$5,Database!$A:$F,6,0),"")</f>
        <v/>
      </c>
      <c r="AE60" s="20" t="str">
        <f>IFERROR(VLOOKUP($A60&amp;"_"&amp;AE$5,Database!$A:$F,6,0),"")</f>
        <v/>
      </c>
      <c r="AF60" s="20" t="str">
        <f>IFERROR(VLOOKUP($A60&amp;"_"&amp;AF$5,Database!$A:$F,6,0),"")</f>
        <v/>
      </c>
      <c r="AG60" s="20" t="str">
        <f>IFERROR(VLOOKUP($A60&amp;"_"&amp;AG$5,Database!$A:$F,6,0),"")</f>
        <v/>
      </c>
      <c r="AH60" s="20" t="str">
        <f>IFERROR(VLOOKUP($A60&amp;"_"&amp;AH$5,Database!$A:$F,6,0),"")</f>
        <v/>
      </c>
      <c r="AI60" s="20" t="str">
        <f>IFERROR(VLOOKUP($A60&amp;"_"&amp;AI$5,Database!$A:$F,6,0),"")</f>
        <v/>
      </c>
      <c r="AJ60" s="20" t="str">
        <f>IFERROR(VLOOKUP($A60&amp;"_"&amp;AJ$5,Database!$A:$F,6,0),"")</f>
        <v/>
      </c>
      <c r="AK60" s="20" t="str">
        <f>IFERROR(VLOOKUP($A60&amp;"_"&amp;AK$5,Database!$A:$F,6,0),"")</f>
        <v/>
      </c>
    </row>
    <row r="61" spans="1:37" x14ac:dyDescent="0.2">
      <c r="A61" s="17" t="str">
        <f>IF('Employee Master'!A57="","",'Employee Master'!A57)</f>
        <v/>
      </c>
      <c r="B61" s="18" t="str">
        <f>IF('Employee Master'!B57="","",'Employee Master'!B57)</f>
        <v/>
      </c>
      <c r="C61" s="18" t="str">
        <f>IF('Employee Master'!C57="","",'Employee Master'!C57)</f>
        <v/>
      </c>
      <c r="D61" s="19">
        <f t="shared" si="6"/>
        <v>0</v>
      </c>
      <c r="E61" s="19">
        <f t="shared" si="7"/>
        <v>0</v>
      </c>
      <c r="F61" s="19">
        <f t="shared" si="8"/>
        <v>0</v>
      </c>
      <c r="G61" s="20" t="str">
        <f>IFERROR(VLOOKUP($A61&amp;"_"&amp;G$5,Database!$A:$F,6,0),"")</f>
        <v/>
      </c>
      <c r="H61" s="20" t="str">
        <f>IFERROR(VLOOKUP($A61&amp;"_"&amp;H$5,Database!$A:$F,6,0),"")</f>
        <v/>
      </c>
      <c r="I61" s="20" t="str">
        <f>IFERROR(VLOOKUP($A61&amp;"_"&amp;I$5,Database!$A:$F,6,0),"")</f>
        <v/>
      </c>
      <c r="J61" s="20" t="str">
        <f>IFERROR(VLOOKUP($A61&amp;"_"&amp;J$5,Database!$A:$F,6,0),"")</f>
        <v/>
      </c>
      <c r="K61" s="20" t="str">
        <f>IFERROR(VLOOKUP($A61&amp;"_"&amp;K$5,Database!$A:$F,6,0),"")</f>
        <v/>
      </c>
      <c r="L61" s="20" t="str">
        <f>IFERROR(VLOOKUP($A61&amp;"_"&amp;L$5,Database!$A:$F,6,0),"")</f>
        <v/>
      </c>
      <c r="M61" s="20" t="str">
        <f>IFERROR(VLOOKUP($A61&amp;"_"&amp;M$5,Database!$A:$F,6,0),"")</f>
        <v/>
      </c>
      <c r="N61" s="20" t="str">
        <f>IFERROR(VLOOKUP($A61&amp;"_"&amp;N$5,Database!$A:$F,6,0),"")</f>
        <v/>
      </c>
      <c r="O61" s="20" t="str">
        <f>IFERROR(VLOOKUP($A61&amp;"_"&amp;O$5,Database!$A:$F,6,0),"")</f>
        <v/>
      </c>
      <c r="P61" s="20" t="str">
        <f>IFERROR(VLOOKUP($A61&amp;"_"&amp;P$5,Database!$A:$F,6,0),"")</f>
        <v/>
      </c>
      <c r="Q61" s="20" t="str">
        <f>IFERROR(VLOOKUP($A61&amp;"_"&amp;Q$5,Database!$A:$F,6,0),"")</f>
        <v/>
      </c>
      <c r="R61" s="20" t="str">
        <f>IFERROR(VLOOKUP($A61&amp;"_"&amp;R$5,Database!$A:$F,6,0),"")</f>
        <v/>
      </c>
      <c r="S61" s="20" t="str">
        <f>IFERROR(VLOOKUP($A61&amp;"_"&amp;S$5,Database!$A:$F,6,0),"")</f>
        <v/>
      </c>
      <c r="T61" s="20" t="str">
        <f>IFERROR(VLOOKUP($A61&amp;"_"&amp;T$5,Database!$A:$F,6,0),"")</f>
        <v/>
      </c>
      <c r="U61" s="20" t="str">
        <f>IFERROR(VLOOKUP($A61&amp;"_"&amp;U$5,Database!$A:$F,6,0),"")</f>
        <v/>
      </c>
      <c r="V61" s="20" t="str">
        <f>IFERROR(VLOOKUP($A61&amp;"_"&amp;V$5,Database!$A:$F,6,0),"")</f>
        <v/>
      </c>
      <c r="W61" s="20" t="str">
        <f>IFERROR(VLOOKUP($A61&amp;"_"&amp;W$5,Database!$A:$F,6,0),"")</f>
        <v/>
      </c>
      <c r="X61" s="20" t="str">
        <f>IFERROR(VLOOKUP($A61&amp;"_"&amp;X$5,Database!$A:$F,6,0),"")</f>
        <v/>
      </c>
      <c r="Y61" s="20" t="str">
        <f>IFERROR(VLOOKUP($A61&amp;"_"&amp;Y$5,Database!$A:$F,6,0),"")</f>
        <v/>
      </c>
      <c r="Z61" s="20" t="str">
        <f>IFERROR(VLOOKUP($A61&amp;"_"&amp;Z$5,Database!$A:$F,6,0),"")</f>
        <v/>
      </c>
      <c r="AA61" s="20" t="str">
        <f>IFERROR(VLOOKUP($A61&amp;"_"&amp;AA$5,Database!$A:$F,6,0),"")</f>
        <v/>
      </c>
      <c r="AB61" s="20" t="str">
        <f>IFERROR(VLOOKUP($A61&amp;"_"&amp;AB$5,Database!$A:$F,6,0),"")</f>
        <v/>
      </c>
      <c r="AC61" s="20" t="str">
        <f>IFERROR(VLOOKUP($A61&amp;"_"&amp;AC$5,Database!$A:$F,6,0),"")</f>
        <v/>
      </c>
      <c r="AD61" s="20" t="str">
        <f>IFERROR(VLOOKUP($A61&amp;"_"&amp;AD$5,Database!$A:$F,6,0),"")</f>
        <v/>
      </c>
      <c r="AE61" s="20" t="str">
        <f>IFERROR(VLOOKUP($A61&amp;"_"&amp;AE$5,Database!$A:$F,6,0),"")</f>
        <v/>
      </c>
      <c r="AF61" s="20" t="str">
        <f>IFERROR(VLOOKUP($A61&amp;"_"&amp;AF$5,Database!$A:$F,6,0),"")</f>
        <v/>
      </c>
      <c r="AG61" s="20" t="str">
        <f>IFERROR(VLOOKUP($A61&amp;"_"&amp;AG$5,Database!$A:$F,6,0),"")</f>
        <v/>
      </c>
      <c r="AH61" s="20" t="str">
        <f>IFERROR(VLOOKUP($A61&amp;"_"&amp;AH$5,Database!$A:$F,6,0),"")</f>
        <v/>
      </c>
      <c r="AI61" s="20" t="str">
        <f>IFERROR(VLOOKUP($A61&amp;"_"&amp;AI$5,Database!$A:$F,6,0),"")</f>
        <v/>
      </c>
      <c r="AJ61" s="20" t="str">
        <f>IFERROR(VLOOKUP($A61&amp;"_"&amp;AJ$5,Database!$A:$F,6,0),"")</f>
        <v/>
      </c>
      <c r="AK61" s="20" t="str">
        <f>IFERROR(VLOOKUP($A61&amp;"_"&amp;AK$5,Database!$A:$F,6,0),"")</f>
        <v/>
      </c>
    </row>
    <row r="62" spans="1:37" x14ac:dyDescent="0.2">
      <c r="A62" s="17" t="str">
        <f>IF('Employee Master'!A58="","",'Employee Master'!A58)</f>
        <v/>
      </c>
      <c r="B62" s="18" t="str">
        <f>IF('Employee Master'!B58="","",'Employee Master'!B58)</f>
        <v/>
      </c>
      <c r="C62" s="18" t="str">
        <f>IF('Employee Master'!C58="","",'Employee Master'!C58)</f>
        <v/>
      </c>
      <c r="D62" s="19">
        <f t="shared" si="6"/>
        <v>0</v>
      </c>
      <c r="E62" s="19">
        <f t="shared" si="7"/>
        <v>0</v>
      </c>
      <c r="F62" s="19">
        <f t="shared" si="8"/>
        <v>0</v>
      </c>
      <c r="G62" s="20" t="str">
        <f>IFERROR(VLOOKUP($A62&amp;"_"&amp;G$5,Database!$A:$F,6,0),"")</f>
        <v/>
      </c>
      <c r="H62" s="20" t="str">
        <f>IFERROR(VLOOKUP($A62&amp;"_"&amp;H$5,Database!$A:$F,6,0),"")</f>
        <v/>
      </c>
      <c r="I62" s="20" t="str">
        <f>IFERROR(VLOOKUP($A62&amp;"_"&amp;I$5,Database!$A:$F,6,0),"")</f>
        <v/>
      </c>
      <c r="J62" s="20" t="str">
        <f>IFERROR(VLOOKUP($A62&amp;"_"&amp;J$5,Database!$A:$F,6,0),"")</f>
        <v/>
      </c>
      <c r="K62" s="20" t="str">
        <f>IFERROR(VLOOKUP($A62&amp;"_"&amp;K$5,Database!$A:$F,6,0),"")</f>
        <v/>
      </c>
      <c r="L62" s="20" t="str">
        <f>IFERROR(VLOOKUP($A62&amp;"_"&amp;L$5,Database!$A:$F,6,0),"")</f>
        <v/>
      </c>
      <c r="M62" s="20" t="str">
        <f>IFERROR(VLOOKUP($A62&amp;"_"&amp;M$5,Database!$A:$F,6,0),"")</f>
        <v/>
      </c>
      <c r="N62" s="20" t="str">
        <f>IFERROR(VLOOKUP($A62&amp;"_"&amp;N$5,Database!$A:$F,6,0),"")</f>
        <v/>
      </c>
      <c r="O62" s="20" t="str">
        <f>IFERROR(VLOOKUP($A62&amp;"_"&amp;O$5,Database!$A:$F,6,0),"")</f>
        <v/>
      </c>
      <c r="P62" s="20" t="str">
        <f>IFERROR(VLOOKUP($A62&amp;"_"&amp;P$5,Database!$A:$F,6,0),"")</f>
        <v/>
      </c>
      <c r="Q62" s="20" t="str">
        <f>IFERROR(VLOOKUP($A62&amp;"_"&amp;Q$5,Database!$A:$F,6,0),"")</f>
        <v/>
      </c>
      <c r="R62" s="20" t="str">
        <f>IFERROR(VLOOKUP($A62&amp;"_"&amp;R$5,Database!$A:$F,6,0),"")</f>
        <v/>
      </c>
      <c r="S62" s="20" t="str">
        <f>IFERROR(VLOOKUP($A62&amp;"_"&amp;S$5,Database!$A:$F,6,0),"")</f>
        <v/>
      </c>
      <c r="T62" s="20" t="str">
        <f>IFERROR(VLOOKUP($A62&amp;"_"&amp;T$5,Database!$A:$F,6,0),"")</f>
        <v/>
      </c>
      <c r="U62" s="20" t="str">
        <f>IFERROR(VLOOKUP($A62&amp;"_"&amp;U$5,Database!$A:$F,6,0),"")</f>
        <v/>
      </c>
      <c r="V62" s="20" t="str">
        <f>IFERROR(VLOOKUP($A62&amp;"_"&amp;V$5,Database!$A:$F,6,0),"")</f>
        <v/>
      </c>
      <c r="W62" s="20" t="str">
        <f>IFERROR(VLOOKUP($A62&amp;"_"&amp;W$5,Database!$A:$F,6,0),"")</f>
        <v/>
      </c>
      <c r="X62" s="20" t="str">
        <f>IFERROR(VLOOKUP($A62&amp;"_"&amp;X$5,Database!$A:$F,6,0),"")</f>
        <v/>
      </c>
      <c r="Y62" s="20" t="str">
        <f>IFERROR(VLOOKUP($A62&amp;"_"&amp;Y$5,Database!$A:$F,6,0),"")</f>
        <v/>
      </c>
      <c r="Z62" s="20" t="str">
        <f>IFERROR(VLOOKUP($A62&amp;"_"&amp;Z$5,Database!$A:$F,6,0),"")</f>
        <v/>
      </c>
      <c r="AA62" s="20" t="str">
        <f>IFERROR(VLOOKUP($A62&amp;"_"&amp;AA$5,Database!$A:$F,6,0),"")</f>
        <v/>
      </c>
      <c r="AB62" s="20" t="str">
        <f>IFERROR(VLOOKUP($A62&amp;"_"&amp;AB$5,Database!$A:$F,6,0),"")</f>
        <v/>
      </c>
      <c r="AC62" s="20" t="str">
        <f>IFERROR(VLOOKUP($A62&amp;"_"&amp;AC$5,Database!$A:$F,6,0),"")</f>
        <v/>
      </c>
      <c r="AD62" s="20" t="str">
        <f>IFERROR(VLOOKUP($A62&amp;"_"&amp;AD$5,Database!$A:$F,6,0),"")</f>
        <v/>
      </c>
      <c r="AE62" s="20" t="str">
        <f>IFERROR(VLOOKUP($A62&amp;"_"&amp;AE$5,Database!$A:$F,6,0),"")</f>
        <v/>
      </c>
      <c r="AF62" s="20" t="str">
        <f>IFERROR(VLOOKUP($A62&amp;"_"&amp;AF$5,Database!$A:$F,6,0),"")</f>
        <v/>
      </c>
      <c r="AG62" s="20" t="str">
        <f>IFERROR(VLOOKUP($A62&amp;"_"&amp;AG$5,Database!$A:$F,6,0),"")</f>
        <v/>
      </c>
      <c r="AH62" s="20" t="str">
        <f>IFERROR(VLOOKUP($A62&amp;"_"&amp;AH$5,Database!$A:$F,6,0),"")</f>
        <v/>
      </c>
      <c r="AI62" s="20" t="str">
        <f>IFERROR(VLOOKUP($A62&amp;"_"&amp;AI$5,Database!$A:$F,6,0),"")</f>
        <v/>
      </c>
      <c r="AJ62" s="20" t="str">
        <f>IFERROR(VLOOKUP($A62&amp;"_"&amp;AJ$5,Database!$A:$F,6,0),"")</f>
        <v/>
      </c>
      <c r="AK62" s="20" t="str">
        <f>IFERROR(VLOOKUP($A62&amp;"_"&amp;AK$5,Database!$A:$F,6,0),"")</f>
        <v/>
      </c>
    </row>
    <row r="63" spans="1:37" x14ac:dyDescent="0.2">
      <c r="A63" s="17" t="str">
        <f>IF('Employee Master'!A59="","",'Employee Master'!A59)</f>
        <v/>
      </c>
      <c r="B63" s="18" t="str">
        <f>IF('Employee Master'!B59="","",'Employee Master'!B59)</f>
        <v/>
      </c>
      <c r="C63" s="18" t="str">
        <f>IF('Employee Master'!C59="","",'Employee Master'!C59)</f>
        <v/>
      </c>
      <c r="D63" s="19">
        <f t="shared" si="6"/>
        <v>0</v>
      </c>
      <c r="E63" s="19">
        <f t="shared" si="7"/>
        <v>0</v>
      </c>
      <c r="F63" s="19">
        <f t="shared" si="8"/>
        <v>0</v>
      </c>
      <c r="G63" s="20" t="str">
        <f>IFERROR(VLOOKUP($A63&amp;"_"&amp;G$5,Database!$A:$F,6,0),"")</f>
        <v/>
      </c>
      <c r="H63" s="20" t="str">
        <f>IFERROR(VLOOKUP($A63&amp;"_"&amp;H$5,Database!$A:$F,6,0),"")</f>
        <v/>
      </c>
      <c r="I63" s="20" t="str">
        <f>IFERROR(VLOOKUP($A63&amp;"_"&amp;I$5,Database!$A:$F,6,0),"")</f>
        <v/>
      </c>
      <c r="J63" s="20" t="str">
        <f>IFERROR(VLOOKUP($A63&amp;"_"&amp;J$5,Database!$A:$F,6,0),"")</f>
        <v/>
      </c>
      <c r="K63" s="20" t="str">
        <f>IFERROR(VLOOKUP($A63&amp;"_"&amp;K$5,Database!$A:$F,6,0),"")</f>
        <v/>
      </c>
      <c r="L63" s="20" t="str">
        <f>IFERROR(VLOOKUP($A63&amp;"_"&amp;L$5,Database!$A:$F,6,0),"")</f>
        <v/>
      </c>
      <c r="M63" s="20" t="str">
        <f>IFERROR(VLOOKUP($A63&amp;"_"&amp;M$5,Database!$A:$F,6,0),"")</f>
        <v/>
      </c>
      <c r="N63" s="20" t="str">
        <f>IFERROR(VLOOKUP($A63&amp;"_"&amp;N$5,Database!$A:$F,6,0),"")</f>
        <v/>
      </c>
      <c r="O63" s="20" t="str">
        <f>IFERROR(VLOOKUP($A63&amp;"_"&amp;O$5,Database!$A:$F,6,0),"")</f>
        <v/>
      </c>
      <c r="P63" s="20" t="str">
        <f>IFERROR(VLOOKUP($A63&amp;"_"&amp;P$5,Database!$A:$F,6,0),"")</f>
        <v/>
      </c>
      <c r="Q63" s="20" t="str">
        <f>IFERROR(VLOOKUP($A63&amp;"_"&amp;Q$5,Database!$A:$F,6,0),"")</f>
        <v/>
      </c>
      <c r="R63" s="20" t="str">
        <f>IFERROR(VLOOKUP($A63&amp;"_"&amp;R$5,Database!$A:$F,6,0),"")</f>
        <v/>
      </c>
      <c r="S63" s="20" t="str">
        <f>IFERROR(VLOOKUP($A63&amp;"_"&amp;S$5,Database!$A:$F,6,0),"")</f>
        <v/>
      </c>
      <c r="T63" s="20" t="str">
        <f>IFERROR(VLOOKUP($A63&amp;"_"&amp;T$5,Database!$A:$F,6,0),"")</f>
        <v/>
      </c>
      <c r="U63" s="20" t="str">
        <f>IFERROR(VLOOKUP($A63&amp;"_"&amp;U$5,Database!$A:$F,6,0),"")</f>
        <v/>
      </c>
      <c r="V63" s="20" t="str">
        <f>IFERROR(VLOOKUP($A63&amp;"_"&amp;V$5,Database!$A:$F,6,0),"")</f>
        <v/>
      </c>
      <c r="W63" s="20" t="str">
        <f>IFERROR(VLOOKUP($A63&amp;"_"&amp;W$5,Database!$A:$F,6,0),"")</f>
        <v/>
      </c>
      <c r="X63" s="20" t="str">
        <f>IFERROR(VLOOKUP($A63&amp;"_"&amp;X$5,Database!$A:$F,6,0),"")</f>
        <v/>
      </c>
      <c r="Y63" s="20" t="str">
        <f>IFERROR(VLOOKUP($A63&amp;"_"&amp;Y$5,Database!$A:$F,6,0),"")</f>
        <v/>
      </c>
      <c r="Z63" s="20" t="str">
        <f>IFERROR(VLOOKUP($A63&amp;"_"&amp;Z$5,Database!$A:$F,6,0),"")</f>
        <v/>
      </c>
      <c r="AA63" s="20" t="str">
        <f>IFERROR(VLOOKUP($A63&amp;"_"&amp;AA$5,Database!$A:$F,6,0),"")</f>
        <v/>
      </c>
      <c r="AB63" s="20" t="str">
        <f>IFERROR(VLOOKUP($A63&amp;"_"&amp;AB$5,Database!$A:$F,6,0),"")</f>
        <v/>
      </c>
      <c r="AC63" s="20" t="str">
        <f>IFERROR(VLOOKUP($A63&amp;"_"&amp;AC$5,Database!$A:$F,6,0),"")</f>
        <v/>
      </c>
      <c r="AD63" s="20" t="str">
        <f>IFERROR(VLOOKUP($A63&amp;"_"&amp;AD$5,Database!$A:$F,6,0),"")</f>
        <v/>
      </c>
      <c r="AE63" s="20" t="str">
        <f>IFERROR(VLOOKUP($A63&amp;"_"&amp;AE$5,Database!$A:$F,6,0),"")</f>
        <v/>
      </c>
      <c r="AF63" s="20" t="str">
        <f>IFERROR(VLOOKUP($A63&amp;"_"&amp;AF$5,Database!$A:$F,6,0),"")</f>
        <v/>
      </c>
      <c r="AG63" s="20" t="str">
        <f>IFERROR(VLOOKUP($A63&amp;"_"&amp;AG$5,Database!$A:$F,6,0),"")</f>
        <v/>
      </c>
      <c r="AH63" s="20" t="str">
        <f>IFERROR(VLOOKUP($A63&amp;"_"&amp;AH$5,Database!$A:$F,6,0),"")</f>
        <v/>
      </c>
      <c r="AI63" s="20" t="str">
        <f>IFERROR(VLOOKUP($A63&amp;"_"&amp;AI$5,Database!$A:$F,6,0),"")</f>
        <v/>
      </c>
      <c r="AJ63" s="20" t="str">
        <f>IFERROR(VLOOKUP($A63&amp;"_"&amp;AJ$5,Database!$A:$F,6,0),"")</f>
        <v/>
      </c>
      <c r="AK63" s="20" t="str">
        <f>IFERROR(VLOOKUP($A63&amp;"_"&amp;AK$5,Database!$A:$F,6,0),"")</f>
        <v/>
      </c>
    </row>
    <row r="64" spans="1:37" x14ac:dyDescent="0.2">
      <c r="A64" s="17" t="str">
        <f>IF('Employee Master'!A60="","",'Employee Master'!A60)</f>
        <v/>
      </c>
      <c r="B64" s="18" t="str">
        <f>IF('Employee Master'!B60="","",'Employee Master'!B60)</f>
        <v/>
      </c>
      <c r="C64" s="18" t="str">
        <f>IF('Employee Master'!C60="","",'Employee Master'!C60)</f>
        <v/>
      </c>
      <c r="D64" s="19">
        <f t="shared" si="6"/>
        <v>0</v>
      </c>
      <c r="E64" s="19">
        <f t="shared" si="7"/>
        <v>0</v>
      </c>
      <c r="F64" s="19">
        <f t="shared" si="8"/>
        <v>0</v>
      </c>
      <c r="G64" s="20" t="str">
        <f>IFERROR(VLOOKUP($A64&amp;"_"&amp;G$5,Database!$A:$F,6,0),"")</f>
        <v/>
      </c>
      <c r="H64" s="20" t="str">
        <f>IFERROR(VLOOKUP($A64&amp;"_"&amp;H$5,Database!$A:$F,6,0),"")</f>
        <v/>
      </c>
      <c r="I64" s="20" t="str">
        <f>IFERROR(VLOOKUP($A64&amp;"_"&amp;I$5,Database!$A:$F,6,0),"")</f>
        <v/>
      </c>
      <c r="J64" s="20" t="str">
        <f>IFERROR(VLOOKUP($A64&amp;"_"&amp;J$5,Database!$A:$F,6,0),"")</f>
        <v/>
      </c>
      <c r="K64" s="20" t="str">
        <f>IFERROR(VLOOKUP($A64&amp;"_"&amp;K$5,Database!$A:$F,6,0),"")</f>
        <v/>
      </c>
      <c r="L64" s="20" t="str">
        <f>IFERROR(VLOOKUP($A64&amp;"_"&amp;L$5,Database!$A:$F,6,0),"")</f>
        <v/>
      </c>
      <c r="M64" s="20" t="str">
        <f>IFERROR(VLOOKUP($A64&amp;"_"&amp;M$5,Database!$A:$F,6,0),"")</f>
        <v/>
      </c>
      <c r="N64" s="20" t="str">
        <f>IFERROR(VLOOKUP($A64&amp;"_"&amp;N$5,Database!$A:$F,6,0),"")</f>
        <v/>
      </c>
      <c r="O64" s="20" t="str">
        <f>IFERROR(VLOOKUP($A64&amp;"_"&amp;O$5,Database!$A:$F,6,0),"")</f>
        <v/>
      </c>
      <c r="P64" s="20" t="str">
        <f>IFERROR(VLOOKUP($A64&amp;"_"&amp;P$5,Database!$A:$F,6,0),"")</f>
        <v/>
      </c>
      <c r="Q64" s="20" t="str">
        <f>IFERROR(VLOOKUP($A64&amp;"_"&amp;Q$5,Database!$A:$F,6,0),"")</f>
        <v/>
      </c>
      <c r="R64" s="20" t="str">
        <f>IFERROR(VLOOKUP($A64&amp;"_"&amp;R$5,Database!$A:$F,6,0),"")</f>
        <v/>
      </c>
      <c r="S64" s="20" t="str">
        <f>IFERROR(VLOOKUP($A64&amp;"_"&amp;S$5,Database!$A:$F,6,0),"")</f>
        <v/>
      </c>
      <c r="T64" s="20" t="str">
        <f>IFERROR(VLOOKUP($A64&amp;"_"&amp;T$5,Database!$A:$F,6,0),"")</f>
        <v/>
      </c>
      <c r="U64" s="20" t="str">
        <f>IFERROR(VLOOKUP($A64&amp;"_"&amp;U$5,Database!$A:$F,6,0),"")</f>
        <v/>
      </c>
      <c r="V64" s="20" t="str">
        <f>IFERROR(VLOOKUP($A64&amp;"_"&amp;V$5,Database!$A:$F,6,0),"")</f>
        <v/>
      </c>
      <c r="W64" s="20" t="str">
        <f>IFERROR(VLOOKUP($A64&amp;"_"&amp;W$5,Database!$A:$F,6,0),"")</f>
        <v/>
      </c>
      <c r="X64" s="20" t="str">
        <f>IFERROR(VLOOKUP($A64&amp;"_"&amp;X$5,Database!$A:$F,6,0),"")</f>
        <v/>
      </c>
      <c r="Y64" s="20" t="str">
        <f>IFERROR(VLOOKUP($A64&amp;"_"&amp;Y$5,Database!$A:$F,6,0),"")</f>
        <v/>
      </c>
      <c r="Z64" s="20" t="str">
        <f>IFERROR(VLOOKUP($A64&amp;"_"&amp;Z$5,Database!$A:$F,6,0),"")</f>
        <v/>
      </c>
      <c r="AA64" s="20" t="str">
        <f>IFERROR(VLOOKUP($A64&amp;"_"&amp;AA$5,Database!$A:$F,6,0),"")</f>
        <v/>
      </c>
      <c r="AB64" s="20" t="str">
        <f>IFERROR(VLOOKUP($A64&amp;"_"&amp;AB$5,Database!$A:$F,6,0),"")</f>
        <v/>
      </c>
      <c r="AC64" s="20" t="str">
        <f>IFERROR(VLOOKUP($A64&amp;"_"&amp;AC$5,Database!$A:$F,6,0),"")</f>
        <v/>
      </c>
      <c r="AD64" s="20" t="str">
        <f>IFERROR(VLOOKUP($A64&amp;"_"&amp;AD$5,Database!$A:$F,6,0),"")</f>
        <v/>
      </c>
      <c r="AE64" s="20" t="str">
        <f>IFERROR(VLOOKUP($A64&amp;"_"&amp;AE$5,Database!$A:$F,6,0),"")</f>
        <v/>
      </c>
      <c r="AF64" s="20" t="str">
        <f>IFERROR(VLOOKUP($A64&amp;"_"&amp;AF$5,Database!$A:$F,6,0),"")</f>
        <v/>
      </c>
      <c r="AG64" s="20" t="str">
        <f>IFERROR(VLOOKUP($A64&amp;"_"&amp;AG$5,Database!$A:$F,6,0),"")</f>
        <v/>
      </c>
      <c r="AH64" s="20" t="str">
        <f>IFERROR(VLOOKUP($A64&amp;"_"&amp;AH$5,Database!$A:$F,6,0),"")</f>
        <v/>
      </c>
      <c r="AI64" s="20" t="str">
        <f>IFERROR(VLOOKUP($A64&amp;"_"&amp;AI$5,Database!$A:$F,6,0),"")</f>
        <v/>
      </c>
      <c r="AJ64" s="20" t="str">
        <f>IFERROR(VLOOKUP($A64&amp;"_"&amp;AJ$5,Database!$A:$F,6,0),"")</f>
        <v/>
      </c>
      <c r="AK64" s="20" t="str">
        <f>IFERROR(VLOOKUP($A64&amp;"_"&amp;AK$5,Database!$A:$F,6,0),"")</f>
        <v/>
      </c>
    </row>
    <row r="65" spans="1:37" x14ac:dyDescent="0.2">
      <c r="A65" s="17" t="str">
        <f>IF('Employee Master'!A61="","",'Employee Master'!A61)</f>
        <v/>
      </c>
      <c r="B65" s="18" t="str">
        <f>IF('Employee Master'!B61="","",'Employee Master'!B61)</f>
        <v/>
      </c>
      <c r="C65" s="18" t="str">
        <f>IF('Employee Master'!C61="","",'Employee Master'!C61)</f>
        <v/>
      </c>
      <c r="D65" s="19">
        <f t="shared" si="6"/>
        <v>0</v>
      </c>
      <c r="E65" s="19">
        <f t="shared" si="7"/>
        <v>0</v>
      </c>
      <c r="F65" s="19">
        <f t="shared" si="8"/>
        <v>0</v>
      </c>
      <c r="G65" s="20" t="str">
        <f>IFERROR(VLOOKUP($A65&amp;"_"&amp;G$5,Database!$A:$F,6,0),"")</f>
        <v/>
      </c>
      <c r="H65" s="20" t="str">
        <f>IFERROR(VLOOKUP($A65&amp;"_"&amp;H$5,Database!$A:$F,6,0),"")</f>
        <v/>
      </c>
      <c r="I65" s="20" t="str">
        <f>IFERROR(VLOOKUP($A65&amp;"_"&amp;I$5,Database!$A:$F,6,0),"")</f>
        <v/>
      </c>
      <c r="J65" s="20" t="str">
        <f>IFERROR(VLOOKUP($A65&amp;"_"&amp;J$5,Database!$A:$F,6,0),"")</f>
        <v/>
      </c>
      <c r="K65" s="20" t="str">
        <f>IFERROR(VLOOKUP($A65&amp;"_"&amp;K$5,Database!$A:$F,6,0),"")</f>
        <v/>
      </c>
      <c r="L65" s="20" t="str">
        <f>IFERROR(VLOOKUP($A65&amp;"_"&amp;L$5,Database!$A:$F,6,0),"")</f>
        <v/>
      </c>
      <c r="M65" s="20" t="str">
        <f>IFERROR(VLOOKUP($A65&amp;"_"&amp;M$5,Database!$A:$F,6,0),"")</f>
        <v/>
      </c>
      <c r="N65" s="20" t="str">
        <f>IFERROR(VLOOKUP($A65&amp;"_"&amp;N$5,Database!$A:$F,6,0),"")</f>
        <v/>
      </c>
      <c r="O65" s="20" t="str">
        <f>IFERROR(VLOOKUP($A65&amp;"_"&amp;O$5,Database!$A:$F,6,0),"")</f>
        <v/>
      </c>
      <c r="P65" s="20" t="str">
        <f>IFERROR(VLOOKUP($A65&amp;"_"&amp;P$5,Database!$A:$F,6,0),"")</f>
        <v/>
      </c>
      <c r="Q65" s="20" t="str">
        <f>IFERROR(VLOOKUP($A65&amp;"_"&amp;Q$5,Database!$A:$F,6,0),"")</f>
        <v/>
      </c>
      <c r="R65" s="20" t="str">
        <f>IFERROR(VLOOKUP($A65&amp;"_"&amp;R$5,Database!$A:$F,6,0),"")</f>
        <v/>
      </c>
      <c r="S65" s="20" t="str">
        <f>IFERROR(VLOOKUP($A65&amp;"_"&amp;S$5,Database!$A:$F,6,0),"")</f>
        <v/>
      </c>
      <c r="T65" s="20" t="str">
        <f>IFERROR(VLOOKUP($A65&amp;"_"&amp;T$5,Database!$A:$F,6,0),"")</f>
        <v/>
      </c>
      <c r="U65" s="20" t="str">
        <f>IFERROR(VLOOKUP($A65&amp;"_"&amp;U$5,Database!$A:$F,6,0),"")</f>
        <v/>
      </c>
      <c r="V65" s="20" t="str">
        <f>IFERROR(VLOOKUP($A65&amp;"_"&amp;V$5,Database!$A:$F,6,0),"")</f>
        <v/>
      </c>
      <c r="W65" s="20" t="str">
        <f>IFERROR(VLOOKUP($A65&amp;"_"&amp;W$5,Database!$A:$F,6,0),"")</f>
        <v/>
      </c>
      <c r="X65" s="20" t="str">
        <f>IFERROR(VLOOKUP($A65&amp;"_"&amp;X$5,Database!$A:$F,6,0),"")</f>
        <v/>
      </c>
      <c r="Y65" s="20" t="str">
        <f>IFERROR(VLOOKUP($A65&amp;"_"&amp;Y$5,Database!$A:$F,6,0),"")</f>
        <v/>
      </c>
      <c r="Z65" s="20" t="str">
        <f>IFERROR(VLOOKUP($A65&amp;"_"&amp;Z$5,Database!$A:$F,6,0),"")</f>
        <v/>
      </c>
      <c r="AA65" s="20" t="str">
        <f>IFERROR(VLOOKUP($A65&amp;"_"&amp;AA$5,Database!$A:$F,6,0),"")</f>
        <v/>
      </c>
      <c r="AB65" s="20" t="str">
        <f>IFERROR(VLOOKUP($A65&amp;"_"&amp;AB$5,Database!$A:$F,6,0),"")</f>
        <v/>
      </c>
      <c r="AC65" s="20" t="str">
        <f>IFERROR(VLOOKUP($A65&amp;"_"&amp;AC$5,Database!$A:$F,6,0),"")</f>
        <v/>
      </c>
      <c r="AD65" s="20" t="str">
        <f>IFERROR(VLOOKUP($A65&amp;"_"&amp;AD$5,Database!$A:$F,6,0),"")</f>
        <v/>
      </c>
      <c r="AE65" s="20" t="str">
        <f>IFERROR(VLOOKUP($A65&amp;"_"&amp;AE$5,Database!$A:$F,6,0),"")</f>
        <v/>
      </c>
      <c r="AF65" s="20" t="str">
        <f>IFERROR(VLOOKUP($A65&amp;"_"&amp;AF$5,Database!$A:$F,6,0),"")</f>
        <v/>
      </c>
      <c r="AG65" s="20" t="str">
        <f>IFERROR(VLOOKUP($A65&amp;"_"&amp;AG$5,Database!$A:$F,6,0),"")</f>
        <v/>
      </c>
      <c r="AH65" s="20" t="str">
        <f>IFERROR(VLOOKUP($A65&amp;"_"&amp;AH$5,Database!$A:$F,6,0),"")</f>
        <v/>
      </c>
      <c r="AI65" s="20" t="str">
        <f>IFERROR(VLOOKUP($A65&amp;"_"&amp;AI$5,Database!$A:$F,6,0),"")</f>
        <v/>
      </c>
      <c r="AJ65" s="20" t="str">
        <f>IFERROR(VLOOKUP($A65&amp;"_"&amp;AJ$5,Database!$A:$F,6,0),"")</f>
        <v/>
      </c>
      <c r="AK65" s="20" t="str">
        <f>IFERROR(VLOOKUP($A65&amp;"_"&amp;AK$5,Database!$A:$F,6,0),"")</f>
        <v/>
      </c>
    </row>
    <row r="66" spans="1:37" x14ac:dyDescent="0.2">
      <c r="A66" s="17" t="str">
        <f>IF('Employee Master'!A62="","",'Employee Master'!A62)</f>
        <v/>
      </c>
      <c r="B66" s="18" t="str">
        <f>IF('Employee Master'!B62="","",'Employee Master'!B62)</f>
        <v/>
      </c>
      <c r="C66" s="18" t="str">
        <f>IF('Employee Master'!C62="","",'Employee Master'!C62)</f>
        <v/>
      </c>
      <c r="D66" s="19">
        <f t="shared" si="6"/>
        <v>0</v>
      </c>
      <c r="E66" s="19">
        <f t="shared" si="7"/>
        <v>0</v>
      </c>
      <c r="F66" s="19">
        <f t="shared" si="8"/>
        <v>0</v>
      </c>
      <c r="G66" s="20" t="str">
        <f>IFERROR(VLOOKUP($A66&amp;"_"&amp;G$5,Database!$A:$F,6,0),"")</f>
        <v/>
      </c>
      <c r="H66" s="20" t="str">
        <f>IFERROR(VLOOKUP($A66&amp;"_"&amp;H$5,Database!$A:$F,6,0),"")</f>
        <v/>
      </c>
      <c r="I66" s="20" t="str">
        <f>IFERROR(VLOOKUP($A66&amp;"_"&amp;I$5,Database!$A:$F,6,0),"")</f>
        <v/>
      </c>
      <c r="J66" s="20" t="str">
        <f>IFERROR(VLOOKUP($A66&amp;"_"&amp;J$5,Database!$A:$F,6,0),"")</f>
        <v/>
      </c>
      <c r="K66" s="20" t="str">
        <f>IFERROR(VLOOKUP($A66&amp;"_"&amp;K$5,Database!$A:$F,6,0),"")</f>
        <v/>
      </c>
      <c r="L66" s="20" t="str">
        <f>IFERROR(VLOOKUP($A66&amp;"_"&amp;L$5,Database!$A:$F,6,0),"")</f>
        <v/>
      </c>
      <c r="M66" s="20" t="str">
        <f>IFERROR(VLOOKUP($A66&amp;"_"&amp;M$5,Database!$A:$F,6,0),"")</f>
        <v/>
      </c>
      <c r="N66" s="20" t="str">
        <f>IFERROR(VLOOKUP($A66&amp;"_"&amp;N$5,Database!$A:$F,6,0),"")</f>
        <v/>
      </c>
      <c r="O66" s="20" t="str">
        <f>IFERROR(VLOOKUP($A66&amp;"_"&amp;O$5,Database!$A:$F,6,0),"")</f>
        <v/>
      </c>
      <c r="P66" s="20" t="str">
        <f>IFERROR(VLOOKUP($A66&amp;"_"&amp;P$5,Database!$A:$F,6,0),"")</f>
        <v/>
      </c>
      <c r="Q66" s="20" t="str">
        <f>IFERROR(VLOOKUP($A66&amp;"_"&amp;Q$5,Database!$A:$F,6,0),"")</f>
        <v/>
      </c>
      <c r="R66" s="20" t="str">
        <f>IFERROR(VLOOKUP($A66&amp;"_"&amp;R$5,Database!$A:$F,6,0),"")</f>
        <v/>
      </c>
      <c r="S66" s="20" t="str">
        <f>IFERROR(VLOOKUP($A66&amp;"_"&amp;S$5,Database!$A:$F,6,0),"")</f>
        <v/>
      </c>
      <c r="T66" s="20" t="str">
        <f>IFERROR(VLOOKUP($A66&amp;"_"&amp;T$5,Database!$A:$F,6,0),"")</f>
        <v/>
      </c>
      <c r="U66" s="20" t="str">
        <f>IFERROR(VLOOKUP($A66&amp;"_"&amp;U$5,Database!$A:$F,6,0),"")</f>
        <v/>
      </c>
      <c r="V66" s="20" t="str">
        <f>IFERROR(VLOOKUP($A66&amp;"_"&amp;V$5,Database!$A:$F,6,0),"")</f>
        <v/>
      </c>
      <c r="W66" s="20" t="str">
        <f>IFERROR(VLOOKUP($A66&amp;"_"&amp;W$5,Database!$A:$F,6,0),"")</f>
        <v/>
      </c>
      <c r="X66" s="20" t="str">
        <f>IFERROR(VLOOKUP($A66&amp;"_"&amp;X$5,Database!$A:$F,6,0),"")</f>
        <v/>
      </c>
      <c r="Y66" s="20" t="str">
        <f>IFERROR(VLOOKUP($A66&amp;"_"&amp;Y$5,Database!$A:$F,6,0),"")</f>
        <v/>
      </c>
      <c r="Z66" s="20" t="str">
        <f>IFERROR(VLOOKUP($A66&amp;"_"&amp;Z$5,Database!$A:$F,6,0),"")</f>
        <v/>
      </c>
      <c r="AA66" s="20" t="str">
        <f>IFERROR(VLOOKUP($A66&amp;"_"&amp;AA$5,Database!$A:$F,6,0),"")</f>
        <v/>
      </c>
      <c r="AB66" s="20" t="str">
        <f>IFERROR(VLOOKUP($A66&amp;"_"&amp;AB$5,Database!$A:$F,6,0),"")</f>
        <v/>
      </c>
      <c r="AC66" s="20" t="str">
        <f>IFERROR(VLOOKUP($A66&amp;"_"&amp;AC$5,Database!$A:$F,6,0),"")</f>
        <v/>
      </c>
      <c r="AD66" s="20" t="str">
        <f>IFERROR(VLOOKUP($A66&amp;"_"&amp;AD$5,Database!$A:$F,6,0),"")</f>
        <v/>
      </c>
      <c r="AE66" s="20" t="str">
        <f>IFERROR(VLOOKUP($A66&amp;"_"&amp;AE$5,Database!$A:$F,6,0),"")</f>
        <v/>
      </c>
      <c r="AF66" s="20" t="str">
        <f>IFERROR(VLOOKUP($A66&amp;"_"&amp;AF$5,Database!$A:$F,6,0),"")</f>
        <v/>
      </c>
      <c r="AG66" s="20" t="str">
        <f>IFERROR(VLOOKUP($A66&amp;"_"&amp;AG$5,Database!$A:$F,6,0),"")</f>
        <v/>
      </c>
      <c r="AH66" s="20" t="str">
        <f>IFERROR(VLOOKUP($A66&amp;"_"&amp;AH$5,Database!$A:$F,6,0),"")</f>
        <v/>
      </c>
      <c r="AI66" s="20" t="str">
        <f>IFERROR(VLOOKUP($A66&amp;"_"&amp;AI$5,Database!$A:$F,6,0),"")</f>
        <v/>
      </c>
      <c r="AJ66" s="20" t="str">
        <f>IFERROR(VLOOKUP($A66&amp;"_"&amp;AJ$5,Database!$A:$F,6,0),"")</f>
        <v/>
      </c>
      <c r="AK66" s="20" t="str">
        <f>IFERROR(VLOOKUP($A66&amp;"_"&amp;AK$5,Database!$A:$F,6,0),"")</f>
        <v/>
      </c>
    </row>
    <row r="67" spans="1:37" x14ac:dyDescent="0.2">
      <c r="A67" s="17" t="str">
        <f>IF('Employee Master'!A63="","",'Employee Master'!A63)</f>
        <v/>
      </c>
      <c r="B67" s="18" t="str">
        <f>IF('Employee Master'!B63="","",'Employee Master'!B63)</f>
        <v/>
      </c>
      <c r="C67" s="18" t="str">
        <f>IF('Employee Master'!C63="","",'Employee Master'!C63)</f>
        <v/>
      </c>
      <c r="D67" s="19">
        <f t="shared" si="6"/>
        <v>0</v>
      </c>
      <c r="E67" s="19">
        <f t="shared" si="7"/>
        <v>0</v>
      </c>
      <c r="F67" s="19">
        <f t="shared" si="8"/>
        <v>0</v>
      </c>
      <c r="G67" s="20" t="str">
        <f>IFERROR(VLOOKUP($A67&amp;"_"&amp;G$5,Database!$A:$F,6,0),"")</f>
        <v/>
      </c>
      <c r="H67" s="20" t="str">
        <f>IFERROR(VLOOKUP($A67&amp;"_"&amp;H$5,Database!$A:$F,6,0),"")</f>
        <v/>
      </c>
      <c r="I67" s="20" t="str">
        <f>IFERROR(VLOOKUP($A67&amp;"_"&amp;I$5,Database!$A:$F,6,0),"")</f>
        <v/>
      </c>
      <c r="J67" s="20" t="str">
        <f>IFERROR(VLOOKUP($A67&amp;"_"&amp;J$5,Database!$A:$F,6,0),"")</f>
        <v/>
      </c>
      <c r="K67" s="20" t="str">
        <f>IFERROR(VLOOKUP($A67&amp;"_"&amp;K$5,Database!$A:$F,6,0),"")</f>
        <v/>
      </c>
      <c r="L67" s="20" t="str">
        <f>IFERROR(VLOOKUP($A67&amp;"_"&amp;L$5,Database!$A:$F,6,0),"")</f>
        <v/>
      </c>
      <c r="M67" s="20" t="str">
        <f>IFERROR(VLOOKUP($A67&amp;"_"&amp;M$5,Database!$A:$F,6,0),"")</f>
        <v/>
      </c>
      <c r="N67" s="20" t="str">
        <f>IFERROR(VLOOKUP($A67&amp;"_"&amp;N$5,Database!$A:$F,6,0),"")</f>
        <v/>
      </c>
      <c r="O67" s="20" t="str">
        <f>IFERROR(VLOOKUP($A67&amp;"_"&amp;O$5,Database!$A:$F,6,0),"")</f>
        <v/>
      </c>
      <c r="P67" s="20" t="str">
        <f>IFERROR(VLOOKUP($A67&amp;"_"&amp;P$5,Database!$A:$F,6,0),"")</f>
        <v/>
      </c>
      <c r="Q67" s="20" t="str">
        <f>IFERROR(VLOOKUP($A67&amp;"_"&amp;Q$5,Database!$A:$F,6,0),"")</f>
        <v/>
      </c>
      <c r="R67" s="20" t="str">
        <f>IFERROR(VLOOKUP($A67&amp;"_"&amp;R$5,Database!$A:$F,6,0),"")</f>
        <v/>
      </c>
      <c r="S67" s="20" t="str">
        <f>IFERROR(VLOOKUP($A67&amp;"_"&amp;S$5,Database!$A:$F,6,0),"")</f>
        <v/>
      </c>
      <c r="T67" s="20" t="str">
        <f>IFERROR(VLOOKUP($A67&amp;"_"&amp;T$5,Database!$A:$F,6,0),"")</f>
        <v/>
      </c>
      <c r="U67" s="20" t="str">
        <f>IFERROR(VLOOKUP($A67&amp;"_"&amp;U$5,Database!$A:$F,6,0),"")</f>
        <v/>
      </c>
      <c r="V67" s="20" t="str">
        <f>IFERROR(VLOOKUP($A67&amp;"_"&amp;V$5,Database!$A:$F,6,0),"")</f>
        <v/>
      </c>
      <c r="W67" s="20" t="str">
        <f>IFERROR(VLOOKUP($A67&amp;"_"&amp;W$5,Database!$A:$F,6,0),"")</f>
        <v/>
      </c>
      <c r="X67" s="20" t="str">
        <f>IFERROR(VLOOKUP($A67&amp;"_"&amp;X$5,Database!$A:$F,6,0),"")</f>
        <v/>
      </c>
      <c r="Y67" s="20" t="str">
        <f>IFERROR(VLOOKUP($A67&amp;"_"&amp;Y$5,Database!$A:$F,6,0),"")</f>
        <v/>
      </c>
      <c r="Z67" s="20" t="str">
        <f>IFERROR(VLOOKUP($A67&amp;"_"&amp;Z$5,Database!$A:$F,6,0),"")</f>
        <v/>
      </c>
      <c r="AA67" s="20" t="str">
        <f>IFERROR(VLOOKUP($A67&amp;"_"&amp;AA$5,Database!$A:$F,6,0),"")</f>
        <v/>
      </c>
      <c r="AB67" s="20" t="str">
        <f>IFERROR(VLOOKUP($A67&amp;"_"&amp;AB$5,Database!$A:$F,6,0),"")</f>
        <v/>
      </c>
      <c r="AC67" s="20" t="str">
        <f>IFERROR(VLOOKUP($A67&amp;"_"&amp;AC$5,Database!$A:$F,6,0),"")</f>
        <v/>
      </c>
      <c r="AD67" s="20" t="str">
        <f>IFERROR(VLOOKUP($A67&amp;"_"&amp;AD$5,Database!$A:$F,6,0),"")</f>
        <v/>
      </c>
      <c r="AE67" s="20" t="str">
        <f>IFERROR(VLOOKUP($A67&amp;"_"&amp;AE$5,Database!$A:$F,6,0),"")</f>
        <v/>
      </c>
      <c r="AF67" s="20" t="str">
        <f>IFERROR(VLOOKUP($A67&amp;"_"&amp;AF$5,Database!$A:$F,6,0),"")</f>
        <v/>
      </c>
      <c r="AG67" s="20" t="str">
        <f>IFERROR(VLOOKUP($A67&amp;"_"&amp;AG$5,Database!$A:$F,6,0),"")</f>
        <v/>
      </c>
      <c r="AH67" s="20" t="str">
        <f>IFERROR(VLOOKUP($A67&amp;"_"&amp;AH$5,Database!$A:$F,6,0),"")</f>
        <v/>
      </c>
      <c r="AI67" s="20" t="str">
        <f>IFERROR(VLOOKUP($A67&amp;"_"&amp;AI$5,Database!$A:$F,6,0),"")</f>
        <v/>
      </c>
      <c r="AJ67" s="20" t="str">
        <f>IFERROR(VLOOKUP($A67&amp;"_"&amp;AJ$5,Database!$A:$F,6,0),"")</f>
        <v/>
      </c>
      <c r="AK67" s="20" t="str">
        <f>IFERROR(VLOOKUP($A67&amp;"_"&amp;AK$5,Database!$A:$F,6,0),"")</f>
        <v/>
      </c>
    </row>
    <row r="68" spans="1:37" x14ac:dyDescent="0.2">
      <c r="A68" s="17" t="str">
        <f>IF('Employee Master'!A64="","",'Employee Master'!A64)</f>
        <v/>
      </c>
      <c r="B68" s="18" t="str">
        <f>IF('Employee Master'!B64="","",'Employee Master'!B64)</f>
        <v/>
      </c>
      <c r="C68" s="18" t="str">
        <f>IF('Employee Master'!C64="","",'Employee Master'!C64)</f>
        <v/>
      </c>
      <c r="D68" s="19">
        <f t="shared" si="6"/>
        <v>0</v>
      </c>
      <c r="E68" s="19">
        <f t="shared" si="7"/>
        <v>0</v>
      </c>
      <c r="F68" s="19">
        <f t="shared" si="8"/>
        <v>0</v>
      </c>
      <c r="G68" s="20" t="str">
        <f>IFERROR(VLOOKUP($A68&amp;"_"&amp;G$5,Database!$A:$F,6,0),"")</f>
        <v/>
      </c>
      <c r="H68" s="20" t="str">
        <f>IFERROR(VLOOKUP($A68&amp;"_"&amp;H$5,Database!$A:$F,6,0),"")</f>
        <v/>
      </c>
      <c r="I68" s="20" t="str">
        <f>IFERROR(VLOOKUP($A68&amp;"_"&amp;I$5,Database!$A:$F,6,0),"")</f>
        <v/>
      </c>
      <c r="J68" s="20" t="str">
        <f>IFERROR(VLOOKUP($A68&amp;"_"&amp;J$5,Database!$A:$F,6,0),"")</f>
        <v/>
      </c>
      <c r="K68" s="20" t="str">
        <f>IFERROR(VLOOKUP($A68&amp;"_"&amp;K$5,Database!$A:$F,6,0),"")</f>
        <v/>
      </c>
      <c r="L68" s="20" t="str">
        <f>IFERROR(VLOOKUP($A68&amp;"_"&amp;L$5,Database!$A:$F,6,0),"")</f>
        <v/>
      </c>
      <c r="M68" s="20" t="str">
        <f>IFERROR(VLOOKUP($A68&amp;"_"&amp;M$5,Database!$A:$F,6,0),"")</f>
        <v/>
      </c>
      <c r="N68" s="20" t="str">
        <f>IFERROR(VLOOKUP($A68&amp;"_"&amp;N$5,Database!$A:$F,6,0),"")</f>
        <v/>
      </c>
      <c r="O68" s="20" t="str">
        <f>IFERROR(VLOOKUP($A68&amp;"_"&amp;O$5,Database!$A:$F,6,0),"")</f>
        <v/>
      </c>
      <c r="P68" s="20" t="str">
        <f>IFERROR(VLOOKUP($A68&amp;"_"&amp;P$5,Database!$A:$F,6,0),"")</f>
        <v/>
      </c>
      <c r="Q68" s="20" t="str">
        <f>IFERROR(VLOOKUP($A68&amp;"_"&amp;Q$5,Database!$A:$F,6,0),"")</f>
        <v/>
      </c>
      <c r="R68" s="20" t="str">
        <f>IFERROR(VLOOKUP($A68&amp;"_"&amp;R$5,Database!$A:$F,6,0),"")</f>
        <v/>
      </c>
      <c r="S68" s="20" t="str">
        <f>IFERROR(VLOOKUP($A68&amp;"_"&amp;S$5,Database!$A:$F,6,0),"")</f>
        <v/>
      </c>
      <c r="T68" s="20" t="str">
        <f>IFERROR(VLOOKUP($A68&amp;"_"&amp;T$5,Database!$A:$F,6,0),"")</f>
        <v/>
      </c>
      <c r="U68" s="20" t="str">
        <f>IFERROR(VLOOKUP($A68&amp;"_"&amp;U$5,Database!$A:$F,6,0),"")</f>
        <v/>
      </c>
      <c r="V68" s="20" t="str">
        <f>IFERROR(VLOOKUP($A68&amp;"_"&amp;V$5,Database!$A:$F,6,0),"")</f>
        <v/>
      </c>
      <c r="W68" s="20" t="str">
        <f>IFERROR(VLOOKUP($A68&amp;"_"&amp;W$5,Database!$A:$F,6,0),"")</f>
        <v/>
      </c>
      <c r="X68" s="20" t="str">
        <f>IFERROR(VLOOKUP($A68&amp;"_"&amp;X$5,Database!$A:$F,6,0),"")</f>
        <v/>
      </c>
      <c r="Y68" s="20" t="str">
        <f>IFERROR(VLOOKUP($A68&amp;"_"&amp;Y$5,Database!$A:$F,6,0),"")</f>
        <v/>
      </c>
      <c r="Z68" s="20" t="str">
        <f>IFERROR(VLOOKUP($A68&amp;"_"&amp;Z$5,Database!$A:$F,6,0),"")</f>
        <v/>
      </c>
      <c r="AA68" s="20" t="str">
        <f>IFERROR(VLOOKUP($A68&amp;"_"&amp;AA$5,Database!$A:$F,6,0),"")</f>
        <v/>
      </c>
      <c r="AB68" s="20" t="str">
        <f>IFERROR(VLOOKUP($A68&amp;"_"&amp;AB$5,Database!$A:$F,6,0),"")</f>
        <v/>
      </c>
      <c r="AC68" s="20" t="str">
        <f>IFERROR(VLOOKUP($A68&amp;"_"&amp;AC$5,Database!$A:$F,6,0),"")</f>
        <v/>
      </c>
      <c r="AD68" s="20" t="str">
        <f>IFERROR(VLOOKUP($A68&amp;"_"&amp;AD$5,Database!$A:$F,6,0),"")</f>
        <v/>
      </c>
      <c r="AE68" s="20" t="str">
        <f>IFERROR(VLOOKUP($A68&amp;"_"&amp;AE$5,Database!$A:$F,6,0),"")</f>
        <v/>
      </c>
      <c r="AF68" s="20" t="str">
        <f>IFERROR(VLOOKUP($A68&amp;"_"&amp;AF$5,Database!$A:$F,6,0),"")</f>
        <v/>
      </c>
      <c r="AG68" s="20" t="str">
        <f>IFERROR(VLOOKUP($A68&amp;"_"&amp;AG$5,Database!$A:$F,6,0),"")</f>
        <v/>
      </c>
      <c r="AH68" s="20" t="str">
        <f>IFERROR(VLOOKUP($A68&amp;"_"&amp;AH$5,Database!$A:$F,6,0),"")</f>
        <v/>
      </c>
      <c r="AI68" s="20" t="str">
        <f>IFERROR(VLOOKUP($A68&amp;"_"&amp;AI$5,Database!$A:$F,6,0),"")</f>
        <v/>
      </c>
      <c r="AJ68" s="20" t="str">
        <f>IFERROR(VLOOKUP($A68&amp;"_"&amp;AJ$5,Database!$A:$F,6,0),"")</f>
        <v/>
      </c>
      <c r="AK68" s="20" t="str">
        <f>IFERROR(VLOOKUP($A68&amp;"_"&amp;AK$5,Database!$A:$F,6,0),"")</f>
        <v/>
      </c>
    </row>
    <row r="69" spans="1:37" x14ac:dyDescent="0.2">
      <c r="A69" s="17" t="str">
        <f>IF('Employee Master'!A65="","",'Employee Master'!A65)</f>
        <v/>
      </c>
      <c r="B69" s="18" t="str">
        <f>IF('Employee Master'!B65="","",'Employee Master'!B65)</f>
        <v/>
      </c>
      <c r="C69" s="18" t="str">
        <f>IF('Employee Master'!C65="","",'Employee Master'!C65)</f>
        <v/>
      </c>
      <c r="D69" s="19">
        <f t="shared" si="6"/>
        <v>0</v>
      </c>
      <c r="E69" s="19">
        <f t="shared" si="7"/>
        <v>0</v>
      </c>
      <c r="F69" s="19">
        <f t="shared" si="8"/>
        <v>0</v>
      </c>
      <c r="G69" s="20" t="str">
        <f>IFERROR(VLOOKUP($A69&amp;"_"&amp;G$5,Database!$A:$F,6,0),"")</f>
        <v/>
      </c>
      <c r="H69" s="20" t="str">
        <f>IFERROR(VLOOKUP($A69&amp;"_"&amp;H$5,Database!$A:$F,6,0),"")</f>
        <v/>
      </c>
      <c r="I69" s="20" t="str">
        <f>IFERROR(VLOOKUP($A69&amp;"_"&amp;I$5,Database!$A:$F,6,0),"")</f>
        <v/>
      </c>
      <c r="J69" s="20" t="str">
        <f>IFERROR(VLOOKUP($A69&amp;"_"&amp;J$5,Database!$A:$F,6,0),"")</f>
        <v/>
      </c>
      <c r="K69" s="20" t="str">
        <f>IFERROR(VLOOKUP($A69&amp;"_"&amp;K$5,Database!$A:$F,6,0),"")</f>
        <v/>
      </c>
      <c r="L69" s="20" t="str">
        <f>IFERROR(VLOOKUP($A69&amp;"_"&amp;L$5,Database!$A:$F,6,0),"")</f>
        <v/>
      </c>
      <c r="M69" s="20" t="str">
        <f>IFERROR(VLOOKUP($A69&amp;"_"&amp;M$5,Database!$A:$F,6,0),"")</f>
        <v/>
      </c>
      <c r="N69" s="20" t="str">
        <f>IFERROR(VLOOKUP($A69&amp;"_"&amp;N$5,Database!$A:$F,6,0),"")</f>
        <v/>
      </c>
      <c r="O69" s="20" t="str">
        <f>IFERROR(VLOOKUP($A69&amp;"_"&amp;O$5,Database!$A:$F,6,0),"")</f>
        <v/>
      </c>
      <c r="P69" s="20" t="str">
        <f>IFERROR(VLOOKUP($A69&amp;"_"&amp;P$5,Database!$A:$F,6,0),"")</f>
        <v/>
      </c>
      <c r="Q69" s="20" t="str">
        <f>IFERROR(VLOOKUP($A69&amp;"_"&amp;Q$5,Database!$A:$F,6,0),"")</f>
        <v/>
      </c>
      <c r="R69" s="20" t="str">
        <f>IFERROR(VLOOKUP($A69&amp;"_"&amp;R$5,Database!$A:$F,6,0),"")</f>
        <v/>
      </c>
      <c r="S69" s="20" t="str">
        <f>IFERROR(VLOOKUP($A69&amp;"_"&amp;S$5,Database!$A:$F,6,0),"")</f>
        <v/>
      </c>
      <c r="T69" s="20" t="str">
        <f>IFERROR(VLOOKUP($A69&amp;"_"&amp;T$5,Database!$A:$F,6,0),"")</f>
        <v/>
      </c>
      <c r="U69" s="20" t="str">
        <f>IFERROR(VLOOKUP($A69&amp;"_"&amp;U$5,Database!$A:$F,6,0),"")</f>
        <v/>
      </c>
      <c r="V69" s="20" t="str">
        <f>IFERROR(VLOOKUP($A69&amp;"_"&amp;V$5,Database!$A:$F,6,0),"")</f>
        <v/>
      </c>
      <c r="W69" s="20" t="str">
        <f>IFERROR(VLOOKUP($A69&amp;"_"&amp;W$5,Database!$A:$F,6,0),"")</f>
        <v/>
      </c>
      <c r="X69" s="20" t="str">
        <f>IFERROR(VLOOKUP($A69&amp;"_"&amp;X$5,Database!$A:$F,6,0),"")</f>
        <v/>
      </c>
      <c r="Y69" s="20" t="str">
        <f>IFERROR(VLOOKUP($A69&amp;"_"&amp;Y$5,Database!$A:$F,6,0),"")</f>
        <v/>
      </c>
      <c r="Z69" s="20" t="str">
        <f>IFERROR(VLOOKUP($A69&amp;"_"&amp;Z$5,Database!$A:$F,6,0),"")</f>
        <v/>
      </c>
      <c r="AA69" s="20" t="str">
        <f>IFERROR(VLOOKUP($A69&amp;"_"&amp;AA$5,Database!$A:$F,6,0),"")</f>
        <v/>
      </c>
      <c r="AB69" s="20" t="str">
        <f>IFERROR(VLOOKUP($A69&amp;"_"&amp;AB$5,Database!$A:$F,6,0),"")</f>
        <v/>
      </c>
      <c r="AC69" s="20" t="str">
        <f>IFERROR(VLOOKUP($A69&amp;"_"&amp;AC$5,Database!$A:$F,6,0),"")</f>
        <v/>
      </c>
      <c r="AD69" s="20" t="str">
        <f>IFERROR(VLOOKUP($A69&amp;"_"&amp;AD$5,Database!$A:$F,6,0),"")</f>
        <v/>
      </c>
      <c r="AE69" s="20" t="str">
        <f>IFERROR(VLOOKUP($A69&amp;"_"&amp;AE$5,Database!$A:$F,6,0),"")</f>
        <v/>
      </c>
      <c r="AF69" s="20" t="str">
        <f>IFERROR(VLOOKUP($A69&amp;"_"&amp;AF$5,Database!$A:$F,6,0),"")</f>
        <v/>
      </c>
      <c r="AG69" s="20" t="str">
        <f>IFERROR(VLOOKUP($A69&amp;"_"&amp;AG$5,Database!$A:$F,6,0),"")</f>
        <v/>
      </c>
      <c r="AH69" s="20" t="str">
        <f>IFERROR(VLOOKUP($A69&amp;"_"&amp;AH$5,Database!$A:$F,6,0),"")</f>
        <v/>
      </c>
      <c r="AI69" s="20" t="str">
        <f>IFERROR(VLOOKUP($A69&amp;"_"&amp;AI$5,Database!$A:$F,6,0),"")</f>
        <v/>
      </c>
      <c r="AJ69" s="20" t="str">
        <f>IFERROR(VLOOKUP($A69&amp;"_"&amp;AJ$5,Database!$A:$F,6,0),"")</f>
        <v/>
      </c>
      <c r="AK69" s="20" t="str">
        <f>IFERROR(VLOOKUP($A69&amp;"_"&amp;AK$5,Database!$A:$F,6,0),"")</f>
        <v/>
      </c>
    </row>
    <row r="70" spans="1:37" x14ac:dyDescent="0.2">
      <c r="A70" s="17" t="str">
        <f>IF('Employee Master'!A66="","",'Employee Master'!A66)</f>
        <v/>
      </c>
      <c r="B70" s="18" t="str">
        <f>IF('Employee Master'!B66="","",'Employee Master'!B66)</f>
        <v/>
      </c>
      <c r="C70" s="18" t="str">
        <f>IF('Employee Master'!C66="","",'Employee Master'!C66)</f>
        <v/>
      </c>
      <c r="D70" s="19">
        <f t="shared" si="6"/>
        <v>0</v>
      </c>
      <c r="E70" s="19">
        <f t="shared" si="7"/>
        <v>0</v>
      </c>
      <c r="F70" s="19">
        <f t="shared" si="8"/>
        <v>0</v>
      </c>
      <c r="G70" s="20" t="str">
        <f>IFERROR(VLOOKUP($A70&amp;"_"&amp;G$5,Database!$A:$F,6,0),"")</f>
        <v/>
      </c>
      <c r="H70" s="20" t="str">
        <f>IFERROR(VLOOKUP($A70&amp;"_"&amp;H$5,Database!$A:$F,6,0),"")</f>
        <v/>
      </c>
      <c r="I70" s="20" t="str">
        <f>IFERROR(VLOOKUP($A70&amp;"_"&amp;I$5,Database!$A:$F,6,0),"")</f>
        <v/>
      </c>
      <c r="J70" s="20" t="str">
        <f>IFERROR(VLOOKUP($A70&amp;"_"&amp;J$5,Database!$A:$F,6,0),"")</f>
        <v/>
      </c>
      <c r="K70" s="20" t="str">
        <f>IFERROR(VLOOKUP($A70&amp;"_"&amp;K$5,Database!$A:$F,6,0),"")</f>
        <v/>
      </c>
      <c r="L70" s="20" t="str">
        <f>IFERROR(VLOOKUP($A70&amp;"_"&amp;L$5,Database!$A:$F,6,0),"")</f>
        <v/>
      </c>
      <c r="M70" s="20" t="str">
        <f>IFERROR(VLOOKUP($A70&amp;"_"&amp;M$5,Database!$A:$F,6,0),"")</f>
        <v/>
      </c>
      <c r="N70" s="20" t="str">
        <f>IFERROR(VLOOKUP($A70&amp;"_"&amp;N$5,Database!$A:$F,6,0),"")</f>
        <v/>
      </c>
      <c r="O70" s="20" t="str">
        <f>IFERROR(VLOOKUP($A70&amp;"_"&amp;O$5,Database!$A:$F,6,0),"")</f>
        <v/>
      </c>
      <c r="P70" s="20" t="str">
        <f>IFERROR(VLOOKUP($A70&amp;"_"&amp;P$5,Database!$A:$F,6,0),"")</f>
        <v/>
      </c>
      <c r="Q70" s="20" t="str">
        <f>IFERROR(VLOOKUP($A70&amp;"_"&amp;Q$5,Database!$A:$F,6,0),"")</f>
        <v/>
      </c>
      <c r="R70" s="20" t="str">
        <f>IFERROR(VLOOKUP($A70&amp;"_"&amp;R$5,Database!$A:$F,6,0),"")</f>
        <v/>
      </c>
      <c r="S70" s="20" t="str">
        <f>IFERROR(VLOOKUP($A70&amp;"_"&amp;S$5,Database!$A:$F,6,0),"")</f>
        <v/>
      </c>
      <c r="T70" s="20" t="str">
        <f>IFERROR(VLOOKUP($A70&amp;"_"&amp;T$5,Database!$A:$F,6,0),"")</f>
        <v/>
      </c>
      <c r="U70" s="20" t="str">
        <f>IFERROR(VLOOKUP($A70&amp;"_"&amp;U$5,Database!$A:$F,6,0),"")</f>
        <v/>
      </c>
      <c r="V70" s="20" t="str">
        <f>IFERROR(VLOOKUP($A70&amp;"_"&amp;V$5,Database!$A:$F,6,0),"")</f>
        <v/>
      </c>
      <c r="W70" s="20" t="str">
        <f>IFERROR(VLOOKUP($A70&amp;"_"&amp;W$5,Database!$A:$F,6,0),"")</f>
        <v/>
      </c>
      <c r="X70" s="20" t="str">
        <f>IFERROR(VLOOKUP($A70&amp;"_"&amp;X$5,Database!$A:$F,6,0),"")</f>
        <v/>
      </c>
      <c r="Y70" s="20" t="str">
        <f>IFERROR(VLOOKUP($A70&amp;"_"&amp;Y$5,Database!$A:$F,6,0),"")</f>
        <v/>
      </c>
      <c r="Z70" s="20" t="str">
        <f>IFERROR(VLOOKUP($A70&amp;"_"&amp;Z$5,Database!$A:$F,6,0),"")</f>
        <v/>
      </c>
      <c r="AA70" s="20" t="str">
        <f>IFERROR(VLOOKUP($A70&amp;"_"&amp;AA$5,Database!$A:$F,6,0),"")</f>
        <v/>
      </c>
      <c r="AB70" s="20" t="str">
        <f>IFERROR(VLOOKUP($A70&amp;"_"&amp;AB$5,Database!$A:$F,6,0),"")</f>
        <v/>
      </c>
      <c r="AC70" s="20" t="str">
        <f>IFERROR(VLOOKUP($A70&amp;"_"&amp;AC$5,Database!$A:$F,6,0),"")</f>
        <v/>
      </c>
      <c r="AD70" s="20" t="str">
        <f>IFERROR(VLOOKUP($A70&amp;"_"&amp;AD$5,Database!$A:$F,6,0),"")</f>
        <v/>
      </c>
      <c r="AE70" s="20" t="str">
        <f>IFERROR(VLOOKUP($A70&amp;"_"&amp;AE$5,Database!$A:$F,6,0),"")</f>
        <v/>
      </c>
      <c r="AF70" s="20" t="str">
        <f>IFERROR(VLOOKUP($A70&amp;"_"&amp;AF$5,Database!$A:$F,6,0),"")</f>
        <v/>
      </c>
      <c r="AG70" s="20" t="str">
        <f>IFERROR(VLOOKUP($A70&amp;"_"&amp;AG$5,Database!$A:$F,6,0),"")</f>
        <v/>
      </c>
      <c r="AH70" s="20" t="str">
        <f>IFERROR(VLOOKUP($A70&amp;"_"&amp;AH$5,Database!$A:$F,6,0),"")</f>
        <v/>
      </c>
      <c r="AI70" s="20" t="str">
        <f>IFERROR(VLOOKUP($A70&amp;"_"&amp;AI$5,Database!$A:$F,6,0),"")</f>
        <v/>
      </c>
      <c r="AJ70" s="20" t="str">
        <f>IFERROR(VLOOKUP($A70&amp;"_"&amp;AJ$5,Database!$A:$F,6,0),"")</f>
        <v/>
      </c>
      <c r="AK70" s="20" t="str">
        <f>IFERROR(VLOOKUP($A70&amp;"_"&amp;AK$5,Database!$A:$F,6,0),"")</f>
        <v/>
      </c>
    </row>
    <row r="71" spans="1:37" x14ac:dyDescent="0.2">
      <c r="A71" s="17" t="str">
        <f>IF('Employee Master'!A67="","",'Employee Master'!A67)</f>
        <v/>
      </c>
      <c r="B71" s="18" t="str">
        <f>IF('Employee Master'!B67="","",'Employee Master'!B67)</f>
        <v/>
      </c>
      <c r="C71" s="18" t="str">
        <f>IF('Employee Master'!C67="","",'Employee Master'!C67)</f>
        <v/>
      </c>
      <c r="D71" s="19">
        <f t="shared" si="6"/>
        <v>0</v>
      </c>
      <c r="E71" s="19">
        <f t="shared" si="7"/>
        <v>0</v>
      </c>
      <c r="F71" s="19">
        <f t="shared" si="8"/>
        <v>0</v>
      </c>
      <c r="G71" s="20" t="str">
        <f>IFERROR(VLOOKUP($A71&amp;"_"&amp;G$5,Database!$A:$F,6,0),"")</f>
        <v/>
      </c>
      <c r="H71" s="20" t="str">
        <f>IFERROR(VLOOKUP($A71&amp;"_"&amp;H$5,Database!$A:$F,6,0),"")</f>
        <v/>
      </c>
      <c r="I71" s="20" t="str">
        <f>IFERROR(VLOOKUP($A71&amp;"_"&amp;I$5,Database!$A:$F,6,0),"")</f>
        <v/>
      </c>
      <c r="J71" s="20" t="str">
        <f>IFERROR(VLOOKUP($A71&amp;"_"&amp;J$5,Database!$A:$F,6,0),"")</f>
        <v/>
      </c>
      <c r="K71" s="20" t="str">
        <f>IFERROR(VLOOKUP($A71&amp;"_"&amp;K$5,Database!$A:$F,6,0),"")</f>
        <v/>
      </c>
      <c r="L71" s="20" t="str">
        <f>IFERROR(VLOOKUP($A71&amp;"_"&amp;L$5,Database!$A:$F,6,0),"")</f>
        <v/>
      </c>
      <c r="M71" s="20" t="str">
        <f>IFERROR(VLOOKUP($A71&amp;"_"&amp;M$5,Database!$A:$F,6,0),"")</f>
        <v/>
      </c>
      <c r="N71" s="20" t="str">
        <f>IFERROR(VLOOKUP($A71&amp;"_"&amp;N$5,Database!$A:$F,6,0),"")</f>
        <v/>
      </c>
      <c r="O71" s="20" t="str">
        <f>IFERROR(VLOOKUP($A71&amp;"_"&amp;O$5,Database!$A:$F,6,0),"")</f>
        <v/>
      </c>
      <c r="P71" s="20" t="str">
        <f>IFERROR(VLOOKUP($A71&amp;"_"&amp;P$5,Database!$A:$F,6,0),"")</f>
        <v/>
      </c>
      <c r="Q71" s="20" t="str">
        <f>IFERROR(VLOOKUP($A71&amp;"_"&amp;Q$5,Database!$A:$F,6,0),"")</f>
        <v/>
      </c>
      <c r="R71" s="20" t="str">
        <f>IFERROR(VLOOKUP($A71&amp;"_"&amp;R$5,Database!$A:$F,6,0),"")</f>
        <v/>
      </c>
      <c r="S71" s="20" t="str">
        <f>IFERROR(VLOOKUP($A71&amp;"_"&amp;S$5,Database!$A:$F,6,0),"")</f>
        <v/>
      </c>
      <c r="T71" s="20" t="str">
        <f>IFERROR(VLOOKUP($A71&amp;"_"&amp;T$5,Database!$A:$F,6,0),"")</f>
        <v/>
      </c>
      <c r="U71" s="20" t="str">
        <f>IFERROR(VLOOKUP($A71&amp;"_"&amp;U$5,Database!$A:$F,6,0),"")</f>
        <v/>
      </c>
      <c r="V71" s="20" t="str">
        <f>IFERROR(VLOOKUP($A71&amp;"_"&amp;V$5,Database!$A:$F,6,0),"")</f>
        <v/>
      </c>
      <c r="W71" s="20" t="str">
        <f>IFERROR(VLOOKUP($A71&amp;"_"&amp;W$5,Database!$A:$F,6,0),"")</f>
        <v/>
      </c>
      <c r="X71" s="20" t="str">
        <f>IFERROR(VLOOKUP($A71&amp;"_"&amp;X$5,Database!$A:$F,6,0),"")</f>
        <v/>
      </c>
      <c r="Y71" s="20" t="str">
        <f>IFERROR(VLOOKUP($A71&amp;"_"&amp;Y$5,Database!$A:$F,6,0),"")</f>
        <v/>
      </c>
      <c r="Z71" s="20" t="str">
        <f>IFERROR(VLOOKUP($A71&amp;"_"&amp;Z$5,Database!$A:$F,6,0),"")</f>
        <v/>
      </c>
      <c r="AA71" s="20" t="str">
        <f>IFERROR(VLOOKUP($A71&amp;"_"&amp;AA$5,Database!$A:$F,6,0),"")</f>
        <v/>
      </c>
      <c r="AB71" s="20" t="str">
        <f>IFERROR(VLOOKUP($A71&amp;"_"&amp;AB$5,Database!$A:$F,6,0),"")</f>
        <v/>
      </c>
      <c r="AC71" s="20" t="str">
        <f>IFERROR(VLOOKUP($A71&amp;"_"&amp;AC$5,Database!$A:$F,6,0),"")</f>
        <v/>
      </c>
      <c r="AD71" s="20" t="str">
        <f>IFERROR(VLOOKUP($A71&amp;"_"&amp;AD$5,Database!$A:$F,6,0),"")</f>
        <v/>
      </c>
      <c r="AE71" s="20" t="str">
        <f>IFERROR(VLOOKUP($A71&amp;"_"&amp;AE$5,Database!$A:$F,6,0),"")</f>
        <v/>
      </c>
      <c r="AF71" s="20" t="str">
        <f>IFERROR(VLOOKUP($A71&amp;"_"&amp;AF$5,Database!$A:$F,6,0),"")</f>
        <v/>
      </c>
      <c r="AG71" s="20" t="str">
        <f>IFERROR(VLOOKUP($A71&amp;"_"&amp;AG$5,Database!$A:$F,6,0),"")</f>
        <v/>
      </c>
      <c r="AH71" s="20" t="str">
        <f>IFERROR(VLOOKUP($A71&amp;"_"&amp;AH$5,Database!$A:$F,6,0),"")</f>
        <v/>
      </c>
      <c r="AI71" s="20" t="str">
        <f>IFERROR(VLOOKUP($A71&amp;"_"&amp;AI$5,Database!$A:$F,6,0),"")</f>
        <v/>
      </c>
      <c r="AJ71" s="20" t="str">
        <f>IFERROR(VLOOKUP($A71&amp;"_"&amp;AJ$5,Database!$A:$F,6,0),"")</f>
        <v/>
      </c>
      <c r="AK71" s="20" t="str">
        <f>IFERROR(VLOOKUP($A71&amp;"_"&amp;AK$5,Database!$A:$F,6,0),"")</f>
        <v/>
      </c>
    </row>
    <row r="72" spans="1:37" x14ac:dyDescent="0.2">
      <c r="A72" s="17" t="str">
        <f>IF('Employee Master'!A68="","",'Employee Master'!A68)</f>
        <v/>
      </c>
      <c r="B72" s="18" t="str">
        <f>IF('Employee Master'!B68="","",'Employee Master'!B68)</f>
        <v/>
      </c>
      <c r="C72" s="18" t="str">
        <f>IF('Employee Master'!C68="","",'Employee Master'!C68)</f>
        <v/>
      </c>
      <c r="D72" s="19">
        <f t="shared" si="6"/>
        <v>0</v>
      </c>
      <c r="E72" s="19">
        <f t="shared" si="7"/>
        <v>0</v>
      </c>
      <c r="F72" s="19">
        <f t="shared" si="8"/>
        <v>0</v>
      </c>
      <c r="G72" s="20" t="str">
        <f>IFERROR(VLOOKUP($A72&amp;"_"&amp;G$5,Database!$A:$F,6,0),"")</f>
        <v/>
      </c>
      <c r="H72" s="20" t="str">
        <f>IFERROR(VLOOKUP($A72&amp;"_"&amp;H$5,Database!$A:$F,6,0),"")</f>
        <v/>
      </c>
      <c r="I72" s="20" t="str">
        <f>IFERROR(VLOOKUP($A72&amp;"_"&amp;I$5,Database!$A:$F,6,0),"")</f>
        <v/>
      </c>
      <c r="J72" s="20" t="str">
        <f>IFERROR(VLOOKUP($A72&amp;"_"&amp;J$5,Database!$A:$F,6,0),"")</f>
        <v/>
      </c>
      <c r="K72" s="20" t="str">
        <f>IFERROR(VLOOKUP($A72&amp;"_"&amp;K$5,Database!$A:$F,6,0),"")</f>
        <v/>
      </c>
      <c r="L72" s="20" t="str">
        <f>IFERROR(VLOOKUP($A72&amp;"_"&amp;L$5,Database!$A:$F,6,0),"")</f>
        <v/>
      </c>
      <c r="M72" s="20" t="str">
        <f>IFERROR(VLOOKUP($A72&amp;"_"&amp;M$5,Database!$A:$F,6,0),"")</f>
        <v/>
      </c>
      <c r="N72" s="20" t="str">
        <f>IFERROR(VLOOKUP($A72&amp;"_"&amp;N$5,Database!$A:$F,6,0),"")</f>
        <v/>
      </c>
      <c r="O72" s="20" t="str">
        <f>IFERROR(VLOOKUP($A72&amp;"_"&amp;O$5,Database!$A:$F,6,0),"")</f>
        <v/>
      </c>
      <c r="P72" s="20" t="str">
        <f>IFERROR(VLOOKUP($A72&amp;"_"&amp;P$5,Database!$A:$F,6,0),"")</f>
        <v/>
      </c>
      <c r="Q72" s="20" t="str">
        <f>IFERROR(VLOOKUP($A72&amp;"_"&amp;Q$5,Database!$A:$F,6,0),"")</f>
        <v/>
      </c>
      <c r="R72" s="20" t="str">
        <f>IFERROR(VLOOKUP($A72&amp;"_"&amp;R$5,Database!$A:$F,6,0),"")</f>
        <v/>
      </c>
      <c r="S72" s="20" t="str">
        <f>IFERROR(VLOOKUP($A72&amp;"_"&amp;S$5,Database!$A:$F,6,0),"")</f>
        <v/>
      </c>
      <c r="T72" s="20" t="str">
        <f>IFERROR(VLOOKUP($A72&amp;"_"&amp;T$5,Database!$A:$F,6,0),"")</f>
        <v/>
      </c>
      <c r="U72" s="20" t="str">
        <f>IFERROR(VLOOKUP($A72&amp;"_"&amp;U$5,Database!$A:$F,6,0),"")</f>
        <v/>
      </c>
      <c r="V72" s="20" t="str">
        <f>IFERROR(VLOOKUP($A72&amp;"_"&amp;V$5,Database!$A:$F,6,0),"")</f>
        <v/>
      </c>
      <c r="W72" s="20" t="str">
        <f>IFERROR(VLOOKUP($A72&amp;"_"&amp;W$5,Database!$A:$F,6,0),"")</f>
        <v/>
      </c>
      <c r="X72" s="20" t="str">
        <f>IFERROR(VLOOKUP($A72&amp;"_"&amp;X$5,Database!$A:$F,6,0),"")</f>
        <v/>
      </c>
      <c r="Y72" s="20" t="str">
        <f>IFERROR(VLOOKUP($A72&amp;"_"&amp;Y$5,Database!$A:$F,6,0),"")</f>
        <v/>
      </c>
      <c r="Z72" s="20" t="str">
        <f>IFERROR(VLOOKUP($A72&amp;"_"&amp;Z$5,Database!$A:$F,6,0),"")</f>
        <v/>
      </c>
      <c r="AA72" s="20" t="str">
        <f>IFERROR(VLOOKUP($A72&amp;"_"&amp;AA$5,Database!$A:$F,6,0),"")</f>
        <v/>
      </c>
      <c r="AB72" s="20" t="str">
        <f>IFERROR(VLOOKUP($A72&amp;"_"&amp;AB$5,Database!$A:$F,6,0),"")</f>
        <v/>
      </c>
      <c r="AC72" s="20" t="str">
        <f>IFERROR(VLOOKUP($A72&amp;"_"&amp;AC$5,Database!$A:$F,6,0),"")</f>
        <v/>
      </c>
      <c r="AD72" s="20" t="str">
        <f>IFERROR(VLOOKUP($A72&amp;"_"&amp;AD$5,Database!$A:$F,6,0),"")</f>
        <v/>
      </c>
      <c r="AE72" s="20" t="str">
        <f>IFERROR(VLOOKUP($A72&amp;"_"&amp;AE$5,Database!$A:$F,6,0),"")</f>
        <v/>
      </c>
      <c r="AF72" s="20" t="str">
        <f>IFERROR(VLOOKUP($A72&amp;"_"&amp;AF$5,Database!$A:$F,6,0),"")</f>
        <v/>
      </c>
      <c r="AG72" s="20" t="str">
        <f>IFERROR(VLOOKUP($A72&amp;"_"&amp;AG$5,Database!$A:$F,6,0),"")</f>
        <v/>
      </c>
      <c r="AH72" s="20" t="str">
        <f>IFERROR(VLOOKUP($A72&amp;"_"&amp;AH$5,Database!$A:$F,6,0),"")</f>
        <v/>
      </c>
      <c r="AI72" s="20" t="str">
        <f>IFERROR(VLOOKUP($A72&amp;"_"&amp;AI$5,Database!$A:$F,6,0),"")</f>
        <v/>
      </c>
      <c r="AJ72" s="20" t="str">
        <f>IFERROR(VLOOKUP($A72&amp;"_"&amp;AJ$5,Database!$A:$F,6,0),"")</f>
        <v/>
      </c>
      <c r="AK72" s="20" t="str">
        <f>IFERROR(VLOOKUP($A72&amp;"_"&amp;AK$5,Database!$A:$F,6,0),"")</f>
        <v/>
      </c>
    </row>
    <row r="73" spans="1:37" x14ac:dyDescent="0.2">
      <c r="A73" s="17" t="str">
        <f>IF('Employee Master'!A69="","",'Employee Master'!A69)</f>
        <v/>
      </c>
      <c r="B73" s="18" t="str">
        <f>IF('Employee Master'!B69="","",'Employee Master'!B69)</f>
        <v/>
      </c>
      <c r="C73" s="18" t="str">
        <f>IF('Employee Master'!C69="","",'Employee Master'!C69)</f>
        <v/>
      </c>
      <c r="D73" s="19">
        <f t="shared" si="6"/>
        <v>0</v>
      </c>
      <c r="E73" s="19">
        <f t="shared" si="7"/>
        <v>0</v>
      </c>
      <c r="F73" s="19">
        <f t="shared" si="8"/>
        <v>0</v>
      </c>
      <c r="G73" s="20" t="str">
        <f>IFERROR(VLOOKUP($A73&amp;"_"&amp;G$5,Database!$A:$F,6,0),"")</f>
        <v/>
      </c>
      <c r="H73" s="20" t="str">
        <f>IFERROR(VLOOKUP($A73&amp;"_"&amp;H$5,Database!$A:$F,6,0),"")</f>
        <v/>
      </c>
      <c r="I73" s="20" t="str">
        <f>IFERROR(VLOOKUP($A73&amp;"_"&amp;I$5,Database!$A:$F,6,0),"")</f>
        <v/>
      </c>
      <c r="J73" s="20" t="str">
        <f>IFERROR(VLOOKUP($A73&amp;"_"&amp;J$5,Database!$A:$F,6,0),"")</f>
        <v/>
      </c>
      <c r="K73" s="20" t="str">
        <f>IFERROR(VLOOKUP($A73&amp;"_"&amp;K$5,Database!$A:$F,6,0),"")</f>
        <v/>
      </c>
      <c r="L73" s="20" t="str">
        <f>IFERROR(VLOOKUP($A73&amp;"_"&amp;L$5,Database!$A:$F,6,0),"")</f>
        <v/>
      </c>
      <c r="M73" s="20" t="str">
        <f>IFERROR(VLOOKUP($A73&amp;"_"&amp;M$5,Database!$A:$F,6,0),"")</f>
        <v/>
      </c>
      <c r="N73" s="20" t="str">
        <f>IFERROR(VLOOKUP($A73&amp;"_"&amp;N$5,Database!$A:$F,6,0),"")</f>
        <v/>
      </c>
      <c r="O73" s="20" t="str">
        <f>IFERROR(VLOOKUP($A73&amp;"_"&amp;O$5,Database!$A:$F,6,0),"")</f>
        <v/>
      </c>
      <c r="P73" s="20" t="str">
        <f>IFERROR(VLOOKUP($A73&amp;"_"&amp;P$5,Database!$A:$F,6,0),"")</f>
        <v/>
      </c>
      <c r="Q73" s="20" t="str">
        <f>IFERROR(VLOOKUP($A73&amp;"_"&amp;Q$5,Database!$A:$F,6,0),"")</f>
        <v/>
      </c>
      <c r="R73" s="20" t="str">
        <f>IFERROR(VLOOKUP($A73&amp;"_"&amp;R$5,Database!$A:$F,6,0),"")</f>
        <v/>
      </c>
      <c r="S73" s="20" t="str">
        <f>IFERROR(VLOOKUP($A73&amp;"_"&amp;S$5,Database!$A:$F,6,0),"")</f>
        <v/>
      </c>
      <c r="T73" s="20" t="str">
        <f>IFERROR(VLOOKUP($A73&amp;"_"&amp;T$5,Database!$A:$F,6,0),"")</f>
        <v/>
      </c>
      <c r="U73" s="20" t="str">
        <f>IFERROR(VLOOKUP($A73&amp;"_"&amp;U$5,Database!$A:$F,6,0),"")</f>
        <v/>
      </c>
      <c r="V73" s="20" t="str">
        <f>IFERROR(VLOOKUP($A73&amp;"_"&amp;V$5,Database!$A:$F,6,0),"")</f>
        <v/>
      </c>
      <c r="W73" s="20" t="str">
        <f>IFERROR(VLOOKUP($A73&amp;"_"&amp;W$5,Database!$A:$F,6,0),"")</f>
        <v/>
      </c>
      <c r="X73" s="20" t="str">
        <f>IFERROR(VLOOKUP($A73&amp;"_"&amp;X$5,Database!$A:$F,6,0),"")</f>
        <v/>
      </c>
      <c r="Y73" s="20" t="str">
        <f>IFERROR(VLOOKUP($A73&amp;"_"&amp;Y$5,Database!$A:$F,6,0),"")</f>
        <v/>
      </c>
      <c r="Z73" s="20" t="str">
        <f>IFERROR(VLOOKUP($A73&amp;"_"&amp;Z$5,Database!$A:$F,6,0),"")</f>
        <v/>
      </c>
      <c r="AA73" s="20" t="str">
        <f>IFERROR(VLOOKUP($A73&amp;"_"&amp;AA$5,Database!$A:$F,6,0),"")</f>
        <v/>
      </c>
      <c r="AB73" s="20" t="str">
        <f>IFERROR(VLOOKUP($A73&amp;"_"&amp;AB$5,Database!$A:$F,6,0),"")</f>
        <v/>
      </c>
      <c r="AC73" s="20" t="str">
        <f>IFERROR(VLOOKUP($A73&amp;"_"&amp;AC$5,Database!$A:$F,6,0),"")</f>
        <v/>
      </c>
      <c r="AD73" s="20" t="str">
        <f>IFERROR(VLOOKUP($A73&amp;"_"&amp;AD$5,Database!$A:$F,6,0),"")</f>
        <v/>
      </c>
      <c r="AE73" s="20" t="str">
        <f>IFERROR(VLOOKUP($A73&amp;"_"&amp;AE$5,Database!$A:$F,6,0),"")</f>
        <v/>
      </c>
      <c r="AF73" s="20" t="str">
        <f>IFERROR(VLOOKUP($A73&amp;"_"&amp;AF$5,Database!$A:$F,6,0),"")</f>
        <v/>
      </c>
      <c r="AG73" s="20" t="str">
        <f>IFERROR(VLOOKUP($A73&amp;"_"&amp;AG$5,Database!$A:$F,6,0),"")</f>
        <v/>
      </c>
      <c r="AH73" s="20" t="str">
        <f>IFERROR(VLOOKUP($A73&amp;"_"&amp;AH$5,Database!$A:$F,6,0),"")</f>
        <v/>
      </c>
      <c r="AI73" s="20" t="str">
        <f>IFERROR(VLOOKUP($A73&amp;"_"&amp;AI$5,Database!$A:$F,6,0),"")</f>
        <v/>
      </c>
      <c r="AJ73" s="20" t="str">
        <f>IFERROR(VLOOKUP($A73&amp;"_"&amp;AJ$5,Database!$A:$F,6,0),"")</f>
        <v/>
      </c>
      <c r="AK73" s="20" t="str">
        <f>IFERROR(VLOOKUP($A73&amp;"_"&amp;AK$5,Database!$A:$F,6,0),"")</f>
        <v/>
      </c>
    </row>
    <row r="74" spans="1:37" x14ac:dyDescent="0.2">
      <c r="A74" s="17" t="str">
        <f>IF('Employee Master'!A70="","",'Employee Master'!A70)</f>
        <v/>
      </c>
      <c r="B74" s="18" t="str">
        <f>IF('Employee Master'!B70="","",'Employee Master'!B70)</f>
        <v/>
      </c>
      <c r="C74" s="18" t="str">
        <f>IF('Employee Master'!C70="","",'Employee Master'!C70)</f>
        <v/>
      </c>
      <c r="D74" s="19">
        <f t="shared" si="6"/>
        <v>0</v>
      </c>
      <c r="E74" s="19">
        <f t="shared" si="7"/>
        <v>0</v>
      </c>
      <c r="F74" s="19">
        <f t="shared" si="8"/>
        <v>0</v>
      </c>
      <c r="G74" s="20" t="str">
        <f>IFERROR(VLOOKUP($A74&amp;"_"&amp;G$5,Database!$A:$F,6,0),"")</f>
        <v/>
      </c>
      <c r="H74" s="20" t="str">
        <f>IFERROR(VLOOKUP($A74&amp;"_"&amp;H$5,Database!$A:$F,6,0),"")</f>
        <v/>
      </c>
      <c r="I74" s="20" t="str">
        <f>IFERROR(VLOOKUP($A74&amp;"_"&amp;I$5,Database!$A:$F,6,0),"")</f>
        <v/>
      </c>
      <c r="J74" s="20" t="str">
        <f>IFERROR(VLOOKUP($A74&amp;"_"&amp;J$5,Database!$A:$F,6,0),"")</f>
        <v/>
      </c>
      <c r="K74" s="20" t="str">
        <f>IFERROR(VLOOKUP($A74&amp;"_"&amp;K$5,Database!$A:$F,6,0),"")</f>
        <v/>
      </c>
      <c r="L74" s="20" t="str">
        <f>IFERROR(VLOOKUP($A74&amp;"_"&amp;L$5,Database!$A:$F,6,0),"")</f>
        <v/>
      </c>
      <c r="M74" s="20" t="str">
        <f>IFERROR(VLOOKUP($A74&amp;"_"&amp;M$5,Database!$A:$F,6,0),"")</f>
        <v/>
      </c>
      <c r="N74" s="20" t="str">
        <f>IFERROR(VLOOKUP($A74&amp;"_"&amp;N$5,Database!$A:$F,6,0),"")</f>
        <v/>
      </c>
      <c r="O74" s="20" t="str">
        <f>IFERROR(VLOOKUP($A74&amp;"_"&amp;O$5,Database!$A:$F,6,0),"")</f>
        <v/>
      </c>
      <c r="P74" s="20" t="str">
        <f>IFERROR(VLOOKUP($A74&amp;"_"&amp;P$5,Database!$A:$F,6,0),"")</f>
        <v/>
      </c>
      <c r="Q74" s="20" t="str">
        <f>IFERROR(VLOOKUP($A74&amp;"_"&amp;Q$5,Database!$A:$F,6,0),"")</f>
        <v/>
      </c>
      <c r="R74" s="20" t="str">
        <f>IFERROR(VLOOKUP($A74&amp;"_"&amp;R$5,Database!$A:$F,6,0),"")</f>
        <v/>
      </c>
      <c r="S74" s="20" t="str">
        <f>IFERROR(VLOOKUP($A74&amp;"_"&amp;S$5,Database!$A:$F,6,0),"")</f>
        <v/>
      </c>
      <c r="T74" s="20" t="str">
        <f>IFERROR(VLOOKUP($A74&amp;"_"&amp;T$5,Database!$A:$F,6,0),"")</f>
        <v/>
      </c>
      <c r="U74" s="20" t="str">
        <f>IFERROR(VLOOKUP($A74&amp;"_"&amp;U$5,Database!$A:$F,6,0),"")</f>
        <v/>
      </c>
      <c r="V74" s="20" t="str">
        <f>IFERROR(VLOOKUP($A74&amp;"_"&amp;V$5,Database!$A:$F,6,0),"")</f>
        <v/>
      </c>
      <c r="W74" s="20" t="str">
        <f>IFERROR(VLOOKUP($A74&amp;"_"&amp;W$5,Database!$A:$F,6,0),"")</f>
        <v/>
      </c>
      <c r="X74" s="20" t="str">
        <f>IFERROR(VLOOKUP($A74&amp;"_"&amp;X$5,Database!$A:$F,6,0),"")</f>
        <v/>
      </c>
      <c r="Y74" s="20" t="str">
        <f>IFERROR(VLOOKUP($A74&amp;"_"&amp;Y$5,Database!$A:$F,6,0),"")</f>
        <v/>
      </c>
      <c r="Z74" s="20" t="str">
        <f>IFERROR(VLOOKUP($A74&amp;"_"&amp;Z$5,Database!$A:$F,6,0),"")</f>
        <v/>
      </c>
      <c r="AA74" s="20" t="str">
        <f>IFERROR(VLOOKUP($A74&amp;"_"&amp;AA$5,Database!$A:$F,6,0),"")</f>
        <v/>
      </c>
      <c r="AB74" s="20" t="str">
        <f>IFERROR(VLOOKUP($A74&amp;"_"&amp;AB$5,Database!$A:$F,6,0),"")</f>
        <v/>
      </c>
      <c r="AC74" s="20" t="str">
        <f>IFERROR(VLOOKUP($A74&amp;"_"&amp;AC$5,Database!$A:$F,6,0),"")</f>
        <v/>
      </c>
      <c r="AD74" s="20" t="str">
        <f>IFERROR(VLOOKUP($A74&amp;"_"&amp;AD$5,Database!$A:$F,6,0),"")</f>
        <v/>
      </c>
      <c r="AE74" s="20" t="str">
        <f>IFERROR(VLOOKUP($A74&amp;"_"&amp;AE$5,Database!$A:$F,6,0),"")</f>
        <v/>
      </c>
      <c r="AF74" s="20" t="str">
        <f>IFERROR(VLOOKUP($A74&amp;"_"&amp;AF$5,Database!$A:$F,6,0),"")</f>
        <v/>
      </c>
      <c r="AG74" s="20" t="str">
        <f>IFERROR(VLOOKUP($A74&amp;"_"&amp;AG$5,Database!$A:$F,6,0),"")</f>
        <v/>
      </c>
      <c r="AH74" s="20" t="str">
        <f>IFERROR(VLOOKUP($A74&amp;"_"&amp;AH$5,Database!$A:$F,6,0),"")</f>
        <v/>
      </c>
      <c r="AI74" s="20" t="str">
        <f>IFERROR(VLOOKUP($A74&amp;"_"&amp;AI$5,Database!$A:$F,6,0),"")</f>
        <v/>
      </c>
      <c r="AJ74" s="20" t="str">
        <f>IFERROR(VLOOKUP($A74&amp;"_"&amp;AJ$5,Database!$A:$F,6,0),"")</f>
        <v/>
      </c>
      <c r="AK74" s="20" t="str">
        <f>IFERROR(VLOOKUP($A74&amp;"_"&amp;AK$5,Database!$A:$F,6,0),"")</f>
        <v/>
      </c>
    </row>
    <row r="75" spans="1:37" x14ac:dyDescent="0.2">
      <c r="A75" s="17" t="str">
        <f>IF('Employee Master'!A71="","",'Employee Master'!A71)</f>
        <v/>
      </c>
      <c r="B75" s="18" t="str">
        <f>IF('Employee Master'!B71="","",'Employee Master'!B71)</f>
        <v/>
      </c>
      <c r="C75" s="18" t="str">
        <f>IF('Employee Master'!C71="","",'Employee Master'!C71)</f>
        <v/>
      </c>
      <c r="D75" s="19">
        <f t="shared" si="6"/>
        <v>0</v>
      </c>
      <c r="E75" s="19">
        <f t="shared" si="7"/>
        <v>0</v>
      </c>
      <c r="F75" s="19">
        <f t="shared" si="8"/>
        <v>0</v>
      </c>
      <c r="G75" s="20" t="str">
        <f>IFERROR(VLOOKUP($A75&amp;"_"&amp;G$5,Database!$A:$F,6,0),"")</f>
        <v/>
      </c>
      <c r="H75" s="20" t="str">
        <f>IFERROR(VLOOKUP($A75&amp;"_"&amp;H$5,Database!$A:$F,6,0),"")</f>
        <v/>
      </c>
      <c r="I75" s="20" t="str">
        <f>IFERROR(VLOOKUP($A75&amp;"_"&amp;I$5,Database!$A:$F,6,0),"")</f>
        <v/>
      </c>
      <c r="J75" s="20" t="str">
        <f>IFERROR(VLOOKUP($A75&amp;"_"&amp;J$5,Database!$A:$F,6,0),"")</f>
        <v/>
      </c>
      <c r="K75" s="20" t="str">
        <f>IFERROR(VLOOKUP($A75&amp;"_"&amp;K$5,Database!$A:$F,6,0),"")</f>
        <v/>
      </c>
      <c r="L75" s="20" t="str">
        <f>IFERROR(VLOOKUP($A75&amp;"_"&amp;L$5,Database!$A:$F,6,0),"")</f>
        <v/>
      </c>
      <c r="M75" s="20" t="str">
        <f>IFERROR(VLOOKUP($A75&amp;"_"&amp;M$5,Database!$A:$F,6,0),"")</f>
        <v/>
      </c>
      <c r="N75" s="20" t="str">
        <f>IFERROR(VLOOKUP($A75&amp;"_"&amp;N$5,Database!$A:$F,6,0),"")</f>
        <v/>
      </c>
      <c r="O75" s="20" t="str">
        <f>IFERROR(VLOOKUP($A75&amp;"_"&amp;O$5,Database!$A:$F,6,0),"")</f>
        <v/>
      </c>
      <c r="P75" s="20" t="str">
        <f>IFERROR(VLOOKUP($A75&amp;"_"&amp;P$5,Database!$A:$F,6,0),"")</f>
        <v/>
      </c>
      <c r="Q75" s="20" t="str">
        <f>IFERROR(VLOOKUP($A75&amp;"_"&amp;Q$5,Database!$A:$F,6,0),"")</f>
        <v/>
      </c>
      <c r="R75" s="20" t="str">
        <f>IFERROR(VLOOKUP($A75&amp;"_"&amp;R$5,Database!$A:$F,6,0),"")</f>
        <v/>
      </c>
      <c r="S75" s="20" t="str">
        <f>IFERROR(VLOOKUP($A75&amp;"_"&amp;S$5,Database!$A:$F,6,0),"")</f>
        <v/>
      </c>
      <c r="T75" s="20" t="str">
        <f>IFERROR(VLOOKUP($A75&amp;"_"&amp;T$5,Database!$A:$F,6,0),"")</f>
        <v/>
      </c>
      <c r="U75" s="20" t="str">
        <f>IFERROR(VLOOKUP($A75&amp;"_"&amp;U$5,Database!$A:$F,6,0),"")</f>
        <v/>
      </c>
      <c r="V75" s="20" t="str">
        <f>IFERROR(VLOOKUP($A75&amp;"_"&amp;V$5,Database!$A:$F,6,0),"")</f>
        <v/>
      </c>
      <c r="W75" s="20" t="str">
        <f>IFERROR(VLOOKUP($A75&amp;"_"&amp;W$5,Database!$A:$F,6,0),"")</f>
        <v/>
      </c>
      <c r="X75" s="20" t="str">
        <f>IFERROR(VLOOKUP($A75&amp;"_"&amp;X$5,Database!$A:$F,6,0),"")</f>
        <v/>
      </c>
      <c r="Y75" s="20" t="str">
        <f>IFERROR(VLOOKUP($A75&amp;"_"&amp;Y$5,Database!$A:$F,6,0),"")</f>
        <v/>
      </c>
      <c r="Z75" s="20" t="str">
        <f>IFERROR(VLOOKUP($A75&amp;"_"&amp;Z$5,Database!$A:$F,6,0),"")</f>
        <v/>
      </c>
      <c r="AA75" s="20" t="str">
        <f>IFERROR(VLOOKUP($A75&amp;"_"&amp;AA$5,Database!$A:$F,6,0),"")</f>
        <v/>
      </c>
      <c r="AB75" s="20" t="str">
        <f>IFERROR(VLOOKUP($A75&amp;"_"&amp;AB$5,Database!$A:$F,6,0),"")</f>
        <v/>
      </c>
      <c r="AC75" s="20" t="str">
        <f>IFERROR(VLOOKUP($A75&amp;"_"&amp;AC$5,Database!$A:$F,6,0),"")</f>
        <v/>
      </c>
      <c r="AD75" s="20" t="str">
        <f>IFERROR(VLOOKUP($A75&amp;"_"&amp;AD$5,Database!$A:$F,6,0),"")</f>
        <v/>
      </c>
      <c r="AE75" s="20" t="str">
        <f>IFERROR(VLOOKUP($A75&amp;"_"&amp;AE$5,Database!$A:$F,6,0),"")</f>
        <v/>
      </c>
      <c r="AF75" s="20" t="str">
        <f>IFERROR(VLOOKUP($A75&amp;"_"&amp;AF$5,Database!$A:$F,6,0),"")</f>
        <v/>
      </c>
      <c r="AG75" s="20" t="str">
        <f>IFERROR(VLOOKUP($A75&amp;"_"&amp;AG$5,Database!$A:$F,6,0),"")</f>
        <v/>
      </c>
      <c r="AH75" s="20" t="str">
        <f>IFERROR(VLOOKUP($A75&amp;"_"&amp;AH$5,Database!$A:$F,6,0),"")</f>
        <v/>
      </c>
      <c r="AI75" s="20" t="str">
        <f>IFERROR(VLOOKUP($A75&amp;"_"&amp;AI$5,Database!$A:$F,6,0),"")</f>
        <v/>
      </c>
      <c r="AJ75" s="20" t="str">
        <f>IFERROR(VLOOKUP($A75&amp;"_"&amp;AJ$5,Database!$A:$F,6,0),"")</f>
        <v/>
      </c>
      <c r="AK75" s="20" t="str">
        <f>IFERROR(VLOOKUP($A75&amp;"_"&amp;AK$5,Database!$A:$F,6,0),"")</f>
        <v/>
      </c>
    </row>
    <row r="76" spans="1:37" x14ac:dyDescent="0.2">
      <c r="A76" s="17" t="str">
        <f>IF('Employee Master'!A72="","",'Employee Master'!A72)</f>
        <v/>
      </c>
      <c r="B76" s="18" t="str">
        <f>IF('Employee Master'!B72="","",'Employee Master'!B72)</f>
        <v/>
      </c>
      <c r="C76" s="18" t="str">
        <f>IF('Employee Master'!C72="","",'Employee Master'!C72)</f>
        <v/>
      </c>
      <c r="D76" s="19">
        <f t="shared" si="6"/>
        <v>0</v>
      </c>
      <c r="E76" s="19">
        <f t="shared" si="7"/>
        <v>0</v>
      </c>
      <c r="F76" s="19">
        <f t="shared" si="8"/>
        <v>0</v>
      </c>
      <c r="G76" s="20" t="str">
        <f>IFERROR(VLOOKUP($A76&amp;"_"&amp;G$5,Database!$A:$F,6,0),"")</f>
        <v/>
      </c>
      <c r="H76" s="20" t="str">
        <f>IFERROR(VLOOKUP($A76&amp;"_"&amp;H$5,Database!$A:$F,6,0),"")</f>
        <v/>
      </c>
      <c r="I76" s="20" t="str">
        <f>IFERROR(VLOOKUP($A76&amp;"_"&amp;I$5,Database!$A:$F,6,0),"")</f>
        <v/>
      </c>
      <c r="J76" s="20" t="str">
        <f>IFERROR(VLOOKUP($A76&amp;"_"&amp;J$5,Database!$A:$F,6,0),"")</f>
        <v/>
      </c>
      <c r="K76" s="20" t="str">
        <f>IFERROR(VLOOKUP($A76&amp;"_"&amp;K$5,Database!$A:$F,6,0),"")</f>
        <v/>
      </c>
      <c r="L76" s="20" t="str">
        <f>IFERROR(VLOOKUP($A76&amp;"_"&amp;L$5,Database!$A:$F,6,0),"")</f>
        <v/>
      </c>
      <c r="M76" s="20" t="str">
        <f>IFERROR(VLOOKUP($A76&amp;"_"&amp;M$5,Database!$A:$F,6,0),"")</f>
        <v/>
      </c>
      <c r="N76" s="20" t="str">
        <f>IFERROR(VLOOKUP($A76&amp;"_"&amp;N$5,Database!$A:$F,6,0),"")</f>
        <v/>
      </c>
      <c r="O76" s="20" t="str">
        <f>IFERROR(VLOOKUP($A76&amp;"_"&amp;O$5,Database!$A:$F,6,0),"")</f>
        <v/>
      </c>
      <c r="P76" s="20" t="str">
        <f>IFERROR(VLOOKUP($A76&amp;"_"&amp;P$5,Database!$A:$F,6,0),"")</f>
        <v/>
      </c>
      <c r="Q76" s="20" t="str">
        <f>IFERROR(VLOOKUP($A76&amp;"_"&amp;Q$5,Database!$A:$F,6,0),"")</f>
        <v/>
      </c>
      <c r="R76" s="20" t="str">
        <f>IFERROR(VLOOKUP($A76&amp;"_"&amp;R$5,Database!$A:$F,6,0),"")</f>
        <v/>
      </c>
      <c r="S76" s="20" t="str">
        <f>IFERROR(VLOOKUP($A76&amp;"_"&amp;S$5,Database!$A:$F,6,0),"")</f>
        <v/>
      </c>
      <c r="T76" s="20" t="str">
        <f>IFERROR(VLOOKUP($A76&amp;"_"&amp;T$5,Database!$A:$F,6,0),"")</f>
        <v/>
      </c>
      <c r="U76" s="20" t="str">
        <f>IFERROR(VLOOKUP($A76&amp;"_"&amp;U$5,Database!$A:$F,6,0),"")</f>
        <v/>
      </c>
      <c r="V76" s="20" t="str">
        <f>IFERROR(VLOOKUP($A76&amp;"_"&amp;V$5,Database!$A:$F,6,0),"")</f>
        <v/>
      </c>
      <c r="W76" s="20" t="str">
        <f>IFERROR(VLOOKUP($A76&amp;"_"&amp;W$5,Database!$A:$F,6,0),"")</f>
        <v/>
      </c>
      <c r="X76" s="20" t="str">
        <f>IFERROR(VLOOKUP($A76&amp;"_"&amp;X$5,Database!$A:$F,6,0),"")</f>
        <v/>
      </c>
      <c r="Y76" s="20" t="str">
        <f>IFERROR(VLOOKUP($A76&amp;"_"&amp;Y$5,Database!$A:$F,6,0),"")</f>
        <v/>
      </c>
      <c r="Z76" s="20" t="str">
        <f>IFERROR(VLOOKUP($A76&amp;"_"&amp;Z$5,Database!$A:$F,6,0),"")</f>
        <v/>
      </c>
      <c r="AA76" s="20" t="str">
        <f>IFERROR(VLOOKUP($A76&amp;"_"&amp;AA$5,Database!$A:$F,6,0),"")</f>
        <v/>
      </c>
      <c r="AB76" s="20" t="str">
        <f>IFERROR(VLOOKUP($A76&amp;"_"&amp;AB$5,Database!$A:$F,6,0),"")</f>
        <v/>
      </c>
      <c r="AC76" s="20" t="str">
        <f>IFERROR(VLOOKUP($A76&amp;"_"&amp;AC$5,Database!$A:$F,6,0),"")</f>
        <v/>
      </c>
      <c r="AD76" s="20" t="str">
        <f>IFERROR(VLOOKUP($A76&amp;"_"&amp;AD$5,Database!$A:$F,6,0),"")</f>
        <v/>
      </c>
      <c r="AE76" s="20" t="str">
        <f>IFERROR(VLOOKUP($A76&amp;"_"&amp;AE$5,Database!$A:$F,6,0),"")</f>
        <v/>
      </c>
      <c r="AF76" s="20" t="str">
        <f>IFERROR(VLOOKUP($A76&amp;"_"&amp;AF$5,Database!$A:$F,6,0),"")</f>
        <v/>
      </c>
      <c r="AG76" s="20" t="str">
        <f>IFERROR(VLOOKUP($A76&amp;"_"&amp;AG$5,Database!$A:$F,6,0),"")</f>
        <v/>
      </c>
      <c r="AH76" s="20" t="str">
        <f>IFERROR(VLOOKUP($A76&amp;"_"&amp;AH$5,Database!$A:$F,6,0),"")</f>
        <v/>
      </c>
      <c r="AI76" s="20" t="str">
        <f>IFERROR(VLOOKUP($A76&amp;"_"&amp;AI$5,Database!$A:$F,6,0),"")</f>
        <v/>
      </c>
      <c r="AJ76" s="20" t="str">
        <f>IFERROR(VLOOKUP($A76&amp;"_"&amp;AJ$5,Database!$A:$F,6,0),"")</f>
        <v/>
      </c>
      <c r="AK76" s="20" t="str">
        <f>IFERROR(VLOOKUP($A76&amp;"_"&amp;AK$5,Database!$A:$F,6,0),"")</f>
        <v/>
      </c>
    </row>
    <row r="77" spans="1:37" x14ac:dyDescent="0.2">
      <c r="A77" s="17" t="str">
        <f>IF('Employee Master'!A73="","",'Employee Master'!A73)</f>
        <v/>
      </c>
      <c r="B77" s="18" t="str">
        <f>IF('Employee Master'!B73="","",'Employee Master'!B73)</f>
        <v/>
      </c>
      <c r="C77" s="18" t="str">
        <f>IF('Employee Master'!C73="","",'Employee Master'!C73)</f>
        <v/>
      </c>
      <c r="D77" s="19">
        <f t="shared" si="6"/>
        <v>0</v>
      </c>
      <c r="E77" s="19">
        <f t="shared" si="7"/>
        <v>0</v>
      </c>
      <c r="F77" s="19">
        <f t="shared" si="8"/>
        <v>0</v>
      </c>
      <c r="G77" s="20" t="str">
        <f>IFERROR(VLOOKUP($A77&amp;"_"&amp;G$5,Database!$A:$F,6,0),"")</f>
        <v/>
      </c>
      <c r="H77" s="20" t="str">
        <f>IFERROR(VLOOKUP($A77&amp;"_"&amp;H$5,Database!$A:$F,6,0),"")</f>
        <v/>
      </c>
      <c r="I77" s="20" t="str">
        <f>IFERROR(VLOOKUP($A77&amp;"_"&amp;I$5,Database!$A:$F,6,0),"")</f>
        <v/>
      </c>
      <c r="J77" s="20" t="str">
        <f>IFERROR(VLOOKUP($A77&amp;"_"&amp;J$5,Database!$A:$F,6,0),"")</f>
        <v/>
      </c>
      <c r="K77" s="20" t="str">
        <f>IFERROR(VLOOKUP($A77&amp;"_"&amp;K$5,Database!$A:$F,6,0),"")</f>
        <v/>
      </c>
      <c r="L77" s="20" t="str">
        <f>IFERROR(VLOOKUP($A77&amp;"_"&amp;L$5,Database!$A:$F,6,0),"")</f>
        <v/>
      </c>
      <c r="M77" s="20" t="str">
        <f>IFERROR(VLOOKUP($A77&amp;"_"&amp;M$5,Database!$A:$F,6,0),"")</f>
        <v/>
      </c>
      <c r="N77" s="20" t="str">
        <f>IFERROR(VLOOKUP($A77&amp;"_"&amp;N$5,Database!$A:$F,6,0),"")</f>
        <v/>
      </c>
      <c r="O77" s="20" t="str">
        <f>IFERROR(VLOOKUP($A77&amp;"_"&amp;O$5,Database!$A:$F,6,0),"")</f>
        <v/>
      </c>
      <c r="P77" s="20" t="str">
        <f>IFERROR(VLOOKUP($A77&amp;"_"&amp;P$5,Database!$A:$F,6,0),"")</f>
        <v/>
      </c>
      <c r="Q77" s="20" t="str">
        <f>IFERROR(VLOOKUP($A77&amp;"_"&amp;Q$5,Database!$A:$F,6,0),"")</f>
        <v/>
      </c>
      <c r="R77" s="20" t="str">
        <f>IFERROR(VLOOKUP($A77&amp;"_"&amp;R$5,Database!$A:$F,6,0),"")</f>
        <v/>
      </c>
      <c r="S77" s="20" t="str">
        <f>IFERROR(VLOOKUP($A77&amp;"_"&amp;S$5,Database!$A:$F,6,0),"")</f>
        <v/>
      </c>
      <c r="T77" s="20" t="str">
        <f>IFERROR(VLOOKUP($A77&amp;"_"&amp;T$5,Database!$A:$F,6,0),"")</f>
        <v/>
      </c>
      <c r="U77" s="20" t="str">
        <f>IFERROR(VLOOKUP($A77&amp;"_"&amp;U$5,Database!$A:$F,6,0),"")</f>
        <v/>
      </c>
      <c r="V77" s="20" t="str">
        <f>IFERROR(VLOOKUP($A77&amp;"_"&amp;V$5,Database!$A:$F,6,0),"")</f>
        <v/>
      </c>
      <c r="W77" s="20" t="str">
        <f>IFERROR(VLOOKUP($A77&amp;"_"&amp;W$5,Database!$A:$F,6,0),"")</f>
        <v/>
      </c>
      <c r="X77" s="20" t="str">
        <f>IFERROR(VLOOKUP($A77&amp;"_"&amp;X$5,Database!$A:$F,6,0),"")</f>
        <v/>
      </c>
      <c r="Y77" s="20" t="str">
        <f>IFERROR(VLOOKUP($A77&amp;"_"&amp;Y$5,Database!$A:$F,6,0),"")</f>
        <v/>
      </c>
      <c r="Z77" s="20" t="str">
        <f>IFERROR(VLOOKUP($A77&amp;"_"&amp;Z$5,Database!$A:$F,6,0),"")</f>
        <v/>
      </c>
      <c r="AA77" s="20" t="str">
        <f>IFERROR(VLOOKUP($A77&amp;"_"&amp;AA$5,Database!$A:$F,6,0),"")</f>
        <v/>
      </c>
      <c r="AB77" s="20" t="str">
        <f>IFERROR(VLOOKUP($A77&amp;"_"&amp;AB$5,Database!$A:$F,6,0),"")</f>
        <v/>
      </c>
      <c r="AC77" s="20" t="str">
        <f>IFERROR(VLOOKUP($A77&amp;"_"&amp;AC$5,Database!$A:$F,6,0),"")</f>
        <v/>
      </c>
      <c r="AD77" s="20" t="str">
        <f>IFERROR(VLOOKUP($A77&amp;"_"&amp;AD$5,Database!$A:$F,6,0),"")</f>
        <v/>
      </c>
      <c r="AE77" s="20" t="str">
        <f>IFERROR(VLOOKUP($A77&amp;"_"&amp;AE$5,Database!$A:$F,6,0),"")</f>
        <v/>
      </c>
      <c r="AF77" s="20" t="str">
        <f>IFERROR(VLOOKUP($A77&amp;"_"&amp;AF$5,Database!$A:$F,6,0),"")</f>
        <v/>
      </c>
      <c r="AG77" s="20" t="str">
        <f>IFERROR(VLOOKUP($A77&amp;"_"&amp;AG$5,Database!$A:$F,6,0),"")</f>
        <v/>
      </c>
      <c r="AH77" s="20" t="str">
        <f>IFERROR(VLOOKUP($A77&amp;"_"&amp;AH$5,Database!$A:$F,6,0),"")</f>
        <v/>
      </c>
      <c r="AI77" s="20" t="str">
        <f>IFERROR(VLOOKUP($A77&amp;"_"&amp;AI$5,Database!$A:$F,6,0),"")</f>
        <v/>
      </c>
      <c r="AJ77" s="20" t="str">
        <f>IFERROR(VLOOKUP($A77&amp;"_"&amp;AJ$5,Database!$A:$F,6,0),"")</f>
        <v/>
      </c>
      <c r="AK77" s="20" t="str">
        <f>IFERROR(VLOOKUP($A77&amp;"_"&amp;AK$5,Database!$A:$F,6,0),"")</f>
        <v/>
      </c>
    </row>
    <row r="78" spans="1:37" x14ac:dyDescent="0.2">
      <c r="A78" s="17" t="str">
        <f>IF('Employee Master'!A74="","",'Employee Master'!A74)</f>
        <v/>
      </c>
      <c r="B78" s="18" t="str">
        <f>IF('Employee Master'!B74="","",'Employee Master'!B74)</f>
        <v/>
      </c>
      <c r="C78" s="18" t="str">
        <f>IF('Employee Master'!C74="","",'Employee Master'!C74)</f>
        <v/>
      </c>
      <c r="D78" s="19">
        <f t="shared" si="6"/>
        <v>0</v>
      </c>
      <c r="E78" s="19">
        <f t="shared" si="7"/>
        <v>0</v>
      </c>
      <c r="F78" s="19">
        <f t="shared" si="8"/>
        <v>0</v>
      </c>
      <c r="G78" s="20" t="str">
        <f>IFERROR(VLOOKUP($A78&amp;"_"&amp;G$5,Database!$A:$F,6,0),"")</f>
        <v/>
      </c>
      <c r="H78" s="20" t="str">
        <f>IFERROR(VLOOKUP($A78&amp;"_"&amp;H$5,Database!$A:$F,6,0),"")</f>
        <v/>
      </c>
      <c r="I78" s="20" t="str">
        <f>IFERROR(VLOOKUP($A78&amp;"_"&amp;I$5,Database!$A:$F,6,0),"")</f>
        <v/>
      </c>
      <c r="J78" s="20" t="str">
        <f>IFERROR(VLOOKUP($A78&amp;"_"&amp;J$5,Database!$A:$F,6,0),"")</f>
        <v/>
      </c>
      <c r="K78" s="20" t="str">
        <f>IFERROR(VLOOKUP($A78&amp;"_"&amp;K$5,Database!$A:$F,6,0),"")</f>
        <v/>
      </c>
      <c r="L78" s="20" t="str">
        <f>IFERROR(VLOOKUP($A78&amp;"_"&amp;L$5,Database!$A:$F,6,0),"")</f>
        <v/>
      </c>
      <c r="M78" s="20" t="str">
        <f>IFERROR(VLOOKUP($A78&amp;"_"&amp;M$5,Database!$A:$F,6,0),"")</f>
        <v/>
      </c>
      <c r="N78" s="20" t="str">
        <f>IFERROR(VLOOKUP($A78&amp;"_"&amp;N$5,Database!$A:$F,6,0),"")</f>
        <v/>
      </c>
      <c r="O78" s="20" t="str">
        <f>IFERROR(VLOOKUP($A78&amp;"_"&amp;O$5,Database!$A:$F,6,0),"")</f>
        <v/>
      </c>
      <c r="P78" s="20" t="str">
        <f>IFERROR(VLOOKUP($A78&amp;"_"&amp;P$5,Database!$A:$F,6,0),"")</f>
        <v/>
      </c>
      <c r="Q78" s="20" t="str">
        <f>IFERROR(VLOOKUP($A78&amp;"_"&amp;Q$5,Database!$A:$F,6,0),"")</f>
        <v/>
      </c>
      <c r="R78" s="20" t="str">
        <f>IFERROR(VLOOKUP($A78&amp;"_"&amp;R$5,Database!$A:$F,6,0),"")</f>
        <v/>
      </c>
      <c r="S78" s="20" t="str">
        <f>IFERROR(VLOOKUP($A78&amp;"_"&amp;S$5,Database!$A:$F,6,0),"")</f>
        <v/>
      </c>
      <c r="T78" s="20" t="str">
        <f>IFERROR(VLOOKUP($A78&amp;"_"&amp;T$5,Database!$A:$F,6,0),"")</f>
        <v/>
      </c>
      <c r="U78" s="20" t="str">
        <f>IFERROR(VLOOKUP($A78&amp;"_"&amp;U$5,Database!$A:$F,6,0),"")</f>
        <v/>
      </c>
      <c r="V78" s="20" t="str">
        <f>IFERROR(VLOOKUP($A78&amp;"_"&amp;V$5,Database!$A:$F,6,0),"")</f>
        <v/>
      </c>
      <c r="W78" s="20" t="str">
        <f>IFERROR(VLOOKUP($A78&amp;"_"&amp;W$5,Database!$A:$F,6,0),"")</f>
        <v/>
      </c>
      <c r="X78" s="20" t="str">
        <f>IFERROR(VLOOKUP($A78&amp;"_"&amp;X$5,Database!$A:$F,6,0),"")</f>
        <v/>
      </c>
      <c r="Y78" s="20" t="str">
        <f>IFERROR(VLOOKUP($A78&amp;"_"&amp;Y$5,Database!$A:$F,6,0),"")</f>
        <v/>
      </c>
      <c r="Z78" s="20" t="str">
        <f>IFERROR(VLOOKUP($A78&amp;"_"&amp;Z$5,Database!$A:$F,6,0),"")</f>
        <v/>
      </c>
      <c r="AA78" s="20" t="str">
        <f>IFERROR(VLOOKUP($A78&amp;"_"&amp;AA$5,Database!$A:$F,6,0),"")</f>
        <v/>
      </c>
      <c r="AB78" s="20" t="str">
        <f>IFERROR(VLOOKUP($A78&amp;"_"&amp;AB$5,Database!$A:$F,6,0),"")</f>
        <v/>
      </c>
      <c r="AC78" s="20" t="str">
        <f>IFERROR(VLOOKUP($A78&amp;"_"&amp;AC$5,Database!$A:$F,6,0),"")</f>
        <v/>
      </c>
      <c r="AD78" s="20" t="str">
        <f>IFERROR(VLOOKUP($A78&amp;"_"&amp;AD$5,Database!$A:$F,6,0),"")</f>
        <v/>
      </c>
      <c r="AE78" s="20" t="str">
        <f>IFERROR(VLOOKUP($A78&amp;"_"&amp;AE$5,Database!$A:$F,6,0),"")</f>
        <v/>
      </c>
      <c r="AF78" s="20" t="str">
        <f>IFERROR(VLOOKUP($A78&amp;"_"&amp;AF$5,Database!$A:$F,6,0),"")</f>
        <v/>
      </c>
      <c r="AG78" s="20" t="str">
        <f>IFERROR(VLOOKUP($A78&amp;"_"&amp;AG$5,Database!$A:$F,6,0),"")</f>
        <v/>
      </c>
      <c r="AH78" s="20" t="str">
        <f>IFERROR(VLOOKUP($A78&amp;"_"&amp;AH$5,Database!$A:$F,6,0),"")</f>
        <v/>
      </c>
      <c r="AI78" s="20" t="str">
        <f>IFERROR(VLOOKUP($A78&amp;"_"&amp;AI$5,Database!$A:$F,6,0),"")</f>
        <v/>
      </c>
      <c r="AJ78" s="20" t="str">
        <f>IFERROR(VLOOKUP($A78&amp;"_"&amp;AJ$5,Database!$A:$F,6,0),"")</f>
        <v/>
      </c>
      <c r="AK78" s="20" t="str">
        <f>IFERROR(VLOOKUP($A78&amp;"_"&amp;AK$5,Database!$A:$F,6,0),"")</f>
        <v/>
      </c>
    </row>
    <row r="79" spans="1:37" x14ac:dyDescent="0.2">
      <c r="A79" s="17" t="str">
        <f>IF('Employee Master'!A75="","",'Employee Master'!A75)</f>
        <v/>
      </c>
      <c r="B79" s="18" t="str">
        <f>IF('Employee Master'!B75="","",'Employee Master'!B75)</f>
        <v/>
      </c>
      <c r="C79" s="18" t="str">
        <f>IF('Employee Master'!C75="","",'Employee Master'!C75)</f>
        <v/>
      </c>
      <c r="D79" s="19">
        <f t="shared" si="6"/>
        <v>0</v>
      </c>
      <c r="E79" s="19">
        <f t="shared" si="7"/>
        <v>0</v>
      </c>
      <c r="F79" s="19">
        <f t="shared" si="8"/>
        <v>0</v>
      </c>
      <c r="G79" s="20" t="str">
        <f>IFERROR(VLOOKUP($A79&amp;"_"&amp;G$5,Database!$A:$F,6,0),"")</f>
        <v/>
      </c>
      <c r="H79" s="20" t="str">
        <f>IFERROR(VLOOKUP($A79&amp;"_"&amp;H$5,Database!$A:$F,6,0),"")</f>
        <v/>
      </c>
      <c r="I79" s="20" t="str">
        <f>IFERROR(VLOOKUP($A79&amp;"_"&amp;I$5,Database!$A:$F,6,0),"")</f>
        <v/>
      </c>
      <c r="J79" s="20" t="str">
        <f>IFERROR(VLOOKUP($A79&amp;"_"&amp;J$5,Database!$A:$F,6,0),"")</f>
        <v/>
      </c>
      <c r="K79" s="20" t="str">
        <f>IFERROR(VLOOKUP($A79&amp;"_"&amp;K$5,Database!$A:$F,6,0),"")</f>
        <v/>
      </c>
      <c r="L79" s="20" t="str">
        <f>IFERROR(VLOOKUP($A79&amp;"_"&amp;L$5,Database!$A:$F,6,0),"")</f>
        <v/>
      </c>
      <c r="M79" s="20" t="str">
        <f>IFERROR(VLOOKUP($A79&amp;"_"&amp;M$5,Database!$A:$F,6,0),"")</f>
        <v/>
      </c>
      <c r="N79" s="20" t="str">
        <f>IFERROR(VLOOKUP($A79&amp;"_"&amp;N$5,Database!$A:$F,6,0),"")</f>
        <v/>
      </c>
      <c r="O79" s="20" t="str">
        <f>IFERROR(VLOOKUP($A79&amp;"_"&amp;O$5,Database!$A:$F,6,0),"")</f>
        <v/>
      </c>
      <c r="P79" s="20" t="str">
        <f>IFERROR(VLOOKUP($A79&amp;"_"&amp;P$5,Database!$A:$F,6,0),"")</f>
        <v/>
      </c>
      <c r="Q79" s="20" t="str">
        <f>IFERROR(VLOOKUP($A79&amp;"_"&amp;Q$5,Database!$A:$F,6,0),"")</f>
        <v/>
      </c>
      <c r="R79" s="20" t="str">
        <f>IFERROR(VLOOKUP($A79&amp;"_"&amp;R$5,Database!$A:$F,6,0),"")</f>
        <v/>
      </c>
      <c r="S79" s="20" t="str">
        <f>IFERROR(VLOOKUP($A79&amp;"_"&amp;S$5,Database!$A:$F,6,0),"")</f>
        <v/>
      </c>
      <c r="T79" s="20" t="str">
        <f>IFERROR(VLOOKUP($A79&amp;"_"&amp;T$5,Database!$A:$F,6,0),"")</f>
        <v/>
      </c>
      <c r="U79" s="20" t="str">
        <f>IFERROR(VLOOKUP($A79&amp;"_"&amp;U$5,Database!$A:$F,6,0),"")</f>
        <v/>
      </c>
      <c r="V79" s="20" t="str">
        <f>IFERROR(VLOOKUP($A79&amp;"_"&amp;V$5,Database!$A:$F,6,0),"")</f>
        <v/>
      </c>
      <c r="W79" s="20" t="str">
        <f>IFERROR(VLOOKUP($A79&amp;"_"&amp;W$5,Database!$A:$F,6,0),"")</f>
        <v/>
      </c>
      <c r="X79" s="20" t="str">
        <f>IFERROR(VLOOKUP($A79&amp;"_"&amp;X$5,Database!$A:$F,6,0),"")</f>
        <v/>
      </c>
      <c r="Y79" s="20" t="str">
        <f>IFERROR(VLOOKUP($A79&amp;"_"&amp;Y$5,Database!$A:$F,6,0),"")</f>
        <v/>
      </c>
      <c r="Z79" s="20" t="str">
        <f>IFERROR(VLOOKUP($A79&amp;"_"&amp;Z$5,Database!$A:$F,6,0),"")</f>
        <v/>
      </c>
      <c r="AA79" s="20" t="str">
        <f>IFERROR(VLOOKUP($A79&amp;"_"&amp;AA$5,Database!$A:$F,6,0),"")</f>
        <v/>
      </c>
      <c r="AB79" s="20" t="str">
        <f>IFERROR(VLOOKUP($A79&amp;"_"&amp;AB$5,Database!$A:$F,6,0),"")</f>
        <v/>
      </c>
      <c r="AC79" s="20" t="str">
        <f>IFERROR(VLOOKUP($A79&amp;"_"&amp;AC$5,Database!$A:$F,6,0),"")</f>
        <v/>
      </c>
      <c r="AD79" s="20" t="str">
        <f>IFERROR(VLOOKUP($A79&amp;"_"&amp;AD$5,Database!$A:$F,6,0),"")</f>
        <v/>
      </c>
      <c r="AE79" s="20" t="str">
        <f>IFERROR(VLOOKUP($A79&amp;"_"&amp;AE$5,Database!$A:$F,6,0),"")</f>
        <v/>
      </c>
      <c r="AF79" s="20" t="str">
        <f>IFERROR(VLOOKUP($A79&amp;"_"&amp;AF$5,Database!$A:$F,6,0),"")</f>
        <v/>
      </c>
      <c r="AG79" s="20" t="str">
        <f>IFERROR(VLOOKUP($A79&amp;"_"&amp;AG$5,Database!$A:$F,6,0),"")</f>
        <v/>
      </c>
      <c r="AH79" s="20" t="str">
        <f>IFERROR(VLOOKUP($A79&amp;"_"&amp;AH$5,Database!$A:$F,6,0),"")</f>
        <v/>
      </c>
      <c r="AI79" s="20" t="str">
        <f>IFERROR(VLOOKUP($A79&amp;"_"&amp;AI$5,Database!$A:$F,6,0),"")</f>
        <v/>
      </c>
      <c r="AJ79" s="20" t="str">
        <f>IFERROR(VLOOKUP($A79&amp;"_"&amp;AJ$5,Database!$A:$F,6,0),"")</f>
        <v/>
      </c>
      <c r="AK79" s="20" t="str">
        <f>IFERROR(VLOOKUP($A79&amp;"_"&amp;AK$5,Database!$A:$F,6,0),"")</f>
        <v/>
      </c>
    </row>
    <row r="80" spans="1:37" x14ac:dyDescent="0.2">
      <c r="A80" s="17" t="str">
        <f>IF('Employee Master'!A76="","",'Employee Master'!A76)</f>
        <v/>
      </c>
      <c r="B80" s="18" t="str">
        <f>IF('Employee Master'!B76="","",'Employee Master'!B76)</f>
        <v/>
      </c>
      <c r="C80" s="18" t="str">
        <f>IF('Employee Master'!C76="","",'Employee Master'!C76)</f>
        <v/>
      </c>
      <c r="D80" s="19">
        <f t="shared" si="6"/>
        <v>0</v>
      </c>
      <c r="E80" s="19">
        <f t="shared" si="7"/>
        <v>0</v>
      </c>
      <c r="F80" s="19">
        <f t="shared" si="8"/>
        <v>0</v>
      </c>
      <c r="G80" s="20" t="str">
        <f>IFERROR(VLOOKUP($A80&amp;"_"&amp;G$5,Database!$A:$F,6,0),"")</f>
        <v/>
      </c>
      <c r="H80" s="20" t="str">
        <f>IFERROR(VLOOKUP($A80&amp;"_"&amp;H$5,Database!$A:$F,6,0),"")</f>
        <v/>
      </c>
      <c r="I80" s="20" t="str">
        <f>IFERROR(VLOOKUP($A80&amp;"_"&amp;I$5,Database!$A:$F,6,0),"")</f>
        <v/>
      </c>
      <c r="J80" s="20" t="str">
        <f>IFERROR(VLOOKUP($A80&amp;"_"&amp;J$5,Database!$A:$F,6,0),"")</f>
        <v/>
      </c>
      <c r="K80" s="20" t="str">
        <f>IFERROR(VLOOKUP($A80&amp;"_"&amp;K$5,Database!$A:$F,6,0),"")</f>
        <v/>
      </c>
      <c r="L80" s="20" t="str">
        <f>IFERROR(VLOOKUP($A80&amp;"_"&amp;L$5,Database!$A:$F,6,0),"")</f>
        <v/>
      </c>
      <c r="M80" s="20" t="str">
        <f>IFERROR(VLOOKUP($A80&amp;"_"&amp;M$5,Database!$A:$F,6,0),"")</f>
        <v/>
      </c>
      <c r="N80" s="20" t="str">
        <f>IFERROR(VLOOKUP($A80&amp;"_"&amp;N$5,Database!$A:$F,6,0),"")</f>
        <v/>
      </c>
      <c r="O80" s="20" t="str">
        <f>IFERROR(VLOOKUP($A80&amp;"_"&amp;O$5,Database!$A:$F,6,0),"")</f>
        <v/>
      </c>
      <c r="P80" s="20" t="str">
        <f>IFERROR(VLOOKUP($A80&amp;"_"&amp;P$5,Database!$A:$F,6,0),"")</f>
        <v/>
      </c>
      <c r="Q80" s="20" t="str">
        <f>IFERROR(VLOOKUP($A80&amp;"_"&amp;Q$5,Database!$A:$F,6,0),"")</f>
        <v/>
      </c>
      <c r="R80" s="20" t="str">
        <f>IFERROR(VLOOKUP($A80&amp;"_"&amp;R$5,Database!$A:$F,6,0),"")</f>
        <v/>
      </c>
      <c r="S80" s="20" t="str">
        <f>IFERROR(VLOOKUP($A80&amp;"_"&amp;S$5,Database!$A:$F,6,0),"")</f>
        <v/>
      </c>
      <c r="T80" s="20" t="str">
        <f>IFERROR(VLOOKUP($A80&amp;"_"&amp;T$5,Database!$A:$F,6,0),"")</f>
        <v/>
      </c>
      <c r="U80" s="20" t="str">
        <f>IFERROR(VLOOKUP($A80&amp;"_"&amp;U$5,Database!$A:$F,6,0),"")</f>
        <v/>
      </c>
      <c r="V80" s="20" t="str">
        <f>IFERROR(VLOOKUP($A80&amp;"_"&amp;V$5,Database!$A:$F,6,0),"")</f>
        <v/>
      </c>
      <c r="W80" s="20" t="str">
        <f>IFERROR(VLOOKUP($A80&amp;"_"&amp;W$5,Database!$A:$F,6,0),"")</f>
        <v/>
      </c>
      <c r="X80" s="20" t="str">
        <f>IFERROR(VLOOKUP($A80&amp;"_"&amp;X$5,Database!$A:$F,6,0),"")</f>
        <v/>
      </c>
      <c r="Y80" s="20" t="str">
        <f>IFERROR(VLOOKUP($A80&amp;"_"&amp;Y$5,Database!$A:$F,6,0),"")</f>
        <v/>
      </c>
      <c r="Z80" s="20" t="str">
        <f>IFERROR(VLOOKUP($A80&amp;"_"&amp;Z$5,Database!$A:$F,6,0),"")</f>
        <v/>
      </c>
      <c r="AA80" s="20" t="str">
        <f>IFERROR(VLOOKUP($A80&amp;"_"&amp;AA$5,Database!$A:$F,6,0),"")</f>
        <v/>
      </c>
      <c r="AB80" s="20" t="str">
        <f>IFERROR(VLOOKUP($A80&amp;"_"&amp;AB$5,Database!$A:$F,6,0),"")</f>
        <v/>
      </c>
      <c r="AC80" s="20" t="str">
        <f>IFERROR(VLOOKUP($A80&amp;"_"&amp;AC$5,Database!$A:$F,6,0),"")</f>
        <v/>
      </c>
      <c r="AD80" s="20" t="str">
        <f>IFERROR(VLOOKUP($A80&amp;"_"&amp;AD$5,Database!$A:$F,6,0),"")</f>
        <v/>
      </c>
      <c r="AE80" s="20" t="str">
        <f>IFERROR(VLOOKUP($A80&amp;"_"&amp;AE$5,Database!$A:$F,6,0),"")</f>
        <v/>
      </c>
      <c r="AF80" s="20" t="str">
        <f>IFERROR(VLOOKUP($A80&amp;"_"&amp;AF$5,Database!$A:$F,6,0),"")</f>
        <v/>
      </c>
      <c r="AG80" s="20" t="str">
        <f>IFERROR(VLOOKUP($A80&amp;"_"&amp;AG$5,Database!$A:$F,6,0),"")</f>
        <v/>
      </c>
      <c r="AH80" s="20" t="str">
        <f>IFERROR(VLOOKUP($A80&amp;"_"&amp;AH$5,Database!$A:$F,6,0),"")</f>
        <v/>
      </c>
      <c r="AI80" s="20" t="str">
        <f>IFERROR(VLOOKUP($A80&amp;"_"&amp;AI$5,Database!$A:$F,6,0),"")</f>
        <v/>
      </c>
      <c r="AJ80" s="20" t="str">
        <f>IFERROR(VLOOKUP($A80&amp;"_"&amp;AJ$5,Database!$A:$F,6,0),"")</f>
        <v/>
      </c>
      <c r="AK80" s="20" t="str">
        <f>IFERROR(VLOOKUP($A80&amp;"_"&amp;AK$5,Database!$A:$F,6,0),"")</f>
        <v/>
      </c>
    </row>
    <row r="81" spans="1:37" x14ac:dyDescent="0.2">
      <c r="A81" s="17" t="str">
        <f>IF('Employee Master'!A77="","",'Employee Master'!A77)</f>
        <v/>
      </c>
      <c r="B81" s="18" t="str">
        <f>IF('Employee Master'!B77="","",'Employee Master'!B77)</f>
        <v/>
      </c>
      <c r="C81" s="18" t="str">
        <f>IF('Employee Master'!C77="","",'Employee Master'!C77)</f>
        <v/>
      </c>
      <c r="D81" s="19">
        <f t="shared" si="6"/>
        <v>0</v>
      </c>
      <c r="E81" s="19">
        <f t="shared" si="7"/>
        <v>0</v>
      </c>
      <c r="F81" s="19">
        <f t="shared" si="8"/>
        <v>0</v>
      </c>
      <c r="G81" s="20" t="str">
        <f>IFERROR(VLOOKUP($A81&amp;"_"&amp;G$5,Database!$A:$F,6,0),"")</f>
        <v/>
      </c>
      <c r="H81" s="20" t="str">
        <f>IFERROR(VLOOKUP($A81&amp;"_"&amp;H$5,Database!$A:$F,6,0),"")</f>
        <v/>
      </c>
      <c r="I81" s="20" t="str">
        <f>IFERROR(VLOOKUP($A81&amp;"_"&amp;I$5,Database!$A:$F,6,0),"")</f>
        <v/>
      </c>
      <c r="J81" s="20" t="str">
        <f>IFERROR(VLOOKUP($A81&amp;"_"&amp;J$5,Database!$A:$F,6,0),"")</f>
        <v/>
      </c>
      <c r="K81" s="20" t="str">
        <f>IFERROR(VLOOKUP($A81&amp;"_"&amp;K$5,Database!$A:$F,6,0),"")</f>
        <v/>
      </c>
      <c r="L81" s="20" t="str">
        <f>IFERROR(VLOOKUP($A81&amp;"_"&amp;L$5,Database!$A:$F,6,0),"")</f>
        <v/>
      </c>
      <c r="M81" s="20" t="str">
        <f>IFERROR(VLOOKUP($A81&amp;"_"&amp;M$5,Database!$A:$F,6,0),"")</f>
        <v/>
      </c>
      <c r="N81" s="20" t="str">
        <f>IFERROR(VLOOKUP($A81&amp;"_"&amp;N$5,Database!$A:$F,6,0),"")</f>
        <v/>
      </c>
      <c r="O81" s="20" t="str">
        <f>IFERROR(VLOOKUP($A81&amp;"_"&amp;O$5,Database!$A:$F,6,0),"")</f>
        <v/>
      </c>
      <c r="P81" s="20" t="str">
        <f>IFERROR(VLOOKUP($A81&amp;"_"&amp;P$5,Database!$A:$F,6,0),"")</f>
        <v/>
      </c>
      <c r="Q81" s="20" t="str">
        <f>IFERROR(VLOOKUP($A81&amp;"_"&amp;Q$5,Database!$A:$F,6,0),"")</f>
        <v/>
      </c>
      <c r="R81" s="20" t="str">
        <f>IFERROR(VLOOKUP($A81&amp;"_"&amp;R$5,Database!$A:$F,6,0),"")</f>
        <v/>
      </c>
      <c r="S81" s="20" t="str">
        <f>IFERROR(VLOOKUP($A81&amp;"_"&amp;S$5,Database!$A:$F,6,0),"")</f>
        <v/>
      </c>
      <c r="T81" s="20" t="str">
        <f>IFERROR(VLOOKUP($A81&amp;"_"&amp;T$5,Database!$A:$F,6,0),"")</f>
        <v/>
      </c>
      <c r="U81" s="20" t="str">
        <f>IFERROR(VLOOKUP($A81&amp;"_"&amp;U$5,Database!$A:$F,6,0),"")</f>
        <v/>
      </c>
      <c r="V81" s="20" t="str">
        <f>IFERROR(VLOOKUP($A81&amp;"_"&amp;V$5,Database!$A:$F,6,0),"")</f>
        <v/>
      </c>
      <c r="W81" s="20" t="str">
        <f>IFERROR(VLOOKUP($A81&amp;"_"&amp;W$5,Database!$A:$F,6,0),"")</f>
        <v/>
      </c>
      <c r="X81" s="20" t="str">
        <f>IFERROR(VLOOKUP($A81&amp;"_"&amp;X$5,Database!$A:$F,6,0),"")</f>
        <v/>
      </c>
      <c r="Y81" s="20" t="str">
        <f>IFERROR(VLOOKUP($A81&amp;"_"&amp;Y$5,Database!$A:$F,6,0),"")</f>
        <v/>
      </c>
      <c r="Z81" s="20" t="str">
        <f>IFERROR(VLOOKUP($A81&amp;"_"&amp;Z$5,Database!$A:$F,6,0),"")</f>
        <v/>
      </c>
      <c r="AA81" s="20" t="str">
        <f>IFERROR(VLOOKUP($A81&amp;"_"&amp;AA$5,Database!$A:$F,6,0),"")</f>
        <v/>
      </c>
      <c r="AB81" s="20" t="str">
        <f>IFERROR(VLOOKUP($A81&amp;"_"&amp;AB$5,Database!$A:$F,6,0),"")</f>
        <v/>
      </c>
      <c r="AC81" s="20" t="str">
        <f>IFERROR(VLOOKUP($A81&amp;"_"&amp;AC$5,Database!$A:$F,6,0),"")</f>
        <v/>
      </c>
      <c r="AD81" s="20" t="str">
        <f>IFERROR(VLOOKUP($A81&amp;"_"&amp;AD$5,Database!$A:$F,6,0),"")</f>
        <v/>
      </c>
      <c r="AE81" s="20" t="str">
        <f>IFERROR(VLOOKUP($A81&amp;"_"&amp;AE$5,Database!$A:$F,6,0),"")</f>
        <v/>
      </c>
      <c r="AF81" s="20" t="str">
        <f>IFERROR(VLOOKUP($A81&amp;"_"&amp;AF$5,Database!$A:$F,6,0),"")</f>
        <v/>
      </c>
      <c r="AG81" s="20" t="str">
        <f>IFERROR(VLOOKUP($A81&amp;"_"&amp;AG$5,Database!$A:$F,6,0),"")</f>
        <v/>
      </c>
      <c r="AH81" s="20" t="str">
        <f>IFERROR(VLOOKUP($A81&amp;"_"&amp;AH$5,Database!$A:$F,6,0),"")</f>
        <v/>
      </c>
      <c r="AI81" s="20" t="str">
        <f>IFERROR(VLOOKUP($A81&amp;"_"&amp;AI$5,Database!$A:$F,6,0),"")</f>
        <v/>
      </c>
      <c r="AJ81" s="20" t="str">
        <f>IFERROR(VLOOKUP($A81&amp;"_"&amp;AJ$5,Database!$A:$F,6,0),"")</f>
        <v/>
      </c>
      <c r="AK81" s="20" t="str">
        <f>IFERROR(VLOOKUP($A81&amp;"_"&amp;AK$5,Database!$A:$F,6,0),"")</f>
        <v/>
      </c>
    </row>
    <row r="82" spans="1:37" x14ac:dyDescent="0.2">
      <c r="A82" s="17" t="str">
        <f>IF('Employee Master'!A78="","",'Employee Master'!A78)</f>
        <v/>
      </c>
      <c r="B82" s="18" t="str">
        <f>IF('Employee Master'!B78="","",'Employee Master'!B78)</f>
        <v/>
      </c>
      <c r="C82" s="18" t="str">
        <f>IF('Employee Master'!C78="","",'Employee Master'!C78)</f>
        <v/>
      </c>
      <c r="D82" s="19">
        <f t="shared" si="6"/>
        <v>0</v>
      </c>
      <c r="E82" s="19">
        <f t="shared" si="7"/>
        <v>0</v>
      </c>
      <c r="F82" s="19">
        <f t="shared" si="8"/>
        <v>0</v>
      </c>
      <c r="G82" s="20" t="str">
        <f>IFERROR(VLOOKUP($A82&amp;"_"&amp;G$5,Database!$A:$F,6,0),"")</f>
        <v/>
      </c>
      <c r="H82" s="20" t="str">
        <f>IFERROR(VLOOKUP($A82&amp;"_"&amp;H$5,Database!$A:$F,6,0),"")</f>
        <v/>
      </c>
      <c r="I82" s="20" t="str">
        <f>IFERROR(VLOOKUP($A82&amp;"_"&amp;I$5,Database!$A:$F,6,0),"")</f>
        <v/>
      </c>
      <c r="J82" s="20" t="str">
        <f>IFERROR(VLOOKUP($A82&amp;"_"&amp;J$5,Database!$A:$F,6,0),"")</f>
        <v/>
      </c>
      <c r="K82" s="20" t="str">
        <f>IFERROR(VLOOKUP($A82&amp;"_"&amp;K$5,Database!$A:$F,6,0),"")</f>
        <v/>
      </c>
      <c r="L82" s="20" t="str">
        <f>IFERROR(VLOOKUP($A82&amp;"_"&amp;L$5,Database!$A:$F,6,0),"")</f>
        <v/>
      </c>
      <c r="M82" s="20" t="str">
        <f>IFERROR(VLOOKUP($A82&amp;"_"&amp;M$5,Database!$A:$F,6,0),"")</f>
        <v/>
      </c>
      <c r="N82" s="20" t="str">
        <f>IFERROR(VLOOKUP($A82&amp;"_"&amp;N$5,Database!$A:$F,6,0),"")</f>
        <v/>
      </c>
      <c r="O82" s="20" t="str">
        <f>IFERROR(VLOOKUP($A82&amp;"_"&amp;O$5,Database!$A:$F,6,0),"")</f>
        <v/>
      </c>
      <c r="P82" s="20" t="str">
        <f>IFERROR(VLOOKUP($A82&amp;"_"&amp;P$5,Database!$A:$F,6,0),"")</f>
        <v/>
      </c>
      <c r="Q82" s="20" t="str">
        <f>IFERROR(VLOOKUP($A82&amp;"_"&amp;Q$5,Database!$A:$F,6,0),"")</f>
        <v/>
      </c>
      <c r="R82" s="20" t="str">
        <f>IFERROR(VLOOKUP($A82&amp;"_"&amp;R$5,Database!$A:$F,6,0),"")</f>
        <v/>
      </c>
      <c r="S82" s="20" t="str">
        <f>IFERROR(VLOOKUP($A82&amp;"_"&amp;S$5,Database!$A:$F,6,0),"")</f>
        <v/>
      </c>
      <c r="T82" s="20" t="str">
        <f>IFERROR(VLOOKUP($A82&amp;"_"&amp;T$5,Database!$A:$F,6,0),"")</f>
        <v/>
      </c>
      <c r="U82" s="20" t="str">
        <f>IFERROR(VLOOKUP($A82&amp;"_"&amp;U$5,Database!$A:$F,6,0),"")</f>
        <v/>
      </c>
      <c r="V82" s="20" t="str">
        <f>IFERROR(VLOOKUP($A82&amp;"_"&amp;V$5,Database!$A:$F,6,0),"")</f>
        <v/>
      </c>
      <c r="W82" s="20" t="str">
        <f>IFERROR(VLOOKUP($A82&amp;"_"&amp;W$5,Database!$A:$F,6,0),"")</f>
        <v/>
      </c>
      <c r="X82" s="20" t="str">
        <f>IFERROR(VLOOKUP($A82&amp;"_"&amp;X$5,Database!$A:$F,6,0),"")</f>
        <v/>
      </c>
      <c r="Y82" s="20" t="str">
        <f>IFERROR(VLOOKUP($A82&amp;"_"&amp;Y$5,Database!$A:$F,6,0),"")</f>
        <v/>
      </c>
      <c r="Z82" s="20" t="str">
        <f>IFERROR(VLOOKUP($A82&amp;"_"&amp;Z$5,Database!$A:$F,6,0),"")</f>
        <v/>
      </c>
      <c r="AA82" s="20" t="str">
        <f>IFERROR(VLOOKUP($A82&amp;"_"&amp;AA$5,Database!$A:$F,6,0),"")</f>
        <v/>
      </c>
      <c r="AB82" s="20" t="str">
        <f>IFERROR(VLOOKUP($A82&amp;"_"&amp;AB$5,Database!$A:$F,6,0),"")</f>
        <v/>
      </c>
      <c r="AC82" s="20" t="str">
        <f>IFERROR(VLOOKUP($A82&amp;"_"&amp;AC$5,Database!$A:$F,6,0),"")</f>
        <v/>
      </c>
      <c r="AD82" s="20" t="str">
        <f>IFERROR(VLOOKUP($A82&amp;"_"&amp;AD$5,Database!$A:$F,6,0),"")</f>
        <v/>
      </c>
      <c r="AE82" s="20" t="str">
        <f>IFERROR(VLOOKUP($A82&amp;"_"&amp;AE$5,Database!$A:$F,6,0),"")</f>
        <v/>
      </c>
      <c r="AF82" s="20" t="str">
        <f>IFERROR(VLOOKUP($A82&amp;"_"&amp;AF$5,Database!$A:$F,6,0),"")</f>
        <v/>
      </c>
      <c r="AG82" s="20" t="str">
        <f>IFERROR(VLOOKUP($A82&amp;"_"&amp;AG$5,Database!$A:$F,6,0),"")</f>
        <v/>
      </c>
      <c r="AH82" s="20" t="str">
        <f>IFERROR(VLOOKUP($A82&amp;"_"&amp;AH$5,Database!$A:$F,6,0),"")</f>
        <v/>
      </c>
      <c r="AI82" s="20" t="str">
        <f>IFERROR(VLOOKUP($A82&amp;"_"&amp;AI$5,Database!$A:$F,6,0),"")</f>
        <v/>
      </c>
      <c r="AJ82" s="20" t="str">
        <f>IFERROR(VLOOKUP($A82&amp;"_"&amp;AJ$5,Database!$A:$F,6,0),"")</f>
        <v/>
      </c>
      <c r="AK82" s="20" t="str">
        <f>IFERROR(VLOOKUP($A82&amp;"_"&amp;AK$5,Database!$A:$F,6,0),"")</f>
        <v/>
      </c>
    </row>
    <row r="83" spans="1:37" x14ac:dyDescent="0.2">
      <c r="A83" s="17" t="str">
        <f>IF('Employee Master'!A79="","",'Employee Master'!A79)</f>
        <v/>
      </c>
      <c r="B83" s="18" t="str">
        <f>IF('Employee Master'!B79="","",'Employee Master'!B79)</f>
        <v/>
      </c>
      <c r="C83" s="18" t="str">
        <f>IF('Employee Master'!C79="","",'Employee Master'!C79)</f>
        <v/>
      </c>
      <c r="D83" s="19">
        <f t="shared" si="6"/>
        <v>0</v>
      </c>
      <c r="E83" s="19">
        <f t="shared" si="7"/>
        <v>0</v>
      </c>
      <c r="F83" s="19">
        <f t="shared" si="8"/>
        <v>0</v>
      </c>
      <c r="G83" s="20" t="str">
        <f>IFERROR(VLOOKUP($A83&amp;"_"&amp;G$5,Database!$A:$F,6,0),"")</f>
        <v/>
      </c>
      <c r="H83" s="20" t="str">
        <f>IFERROR(VLOOKUP($A83&amp;"_"&amp;H$5,Database!$A:$F,6,0),"")</f>
        <v/>
      </c>
      <c r="I83" s="20" t="str">
        <f>IFERROR(VLOOKUP($A83&amp;"_"&amp;I$5,Database!$A:$F,6,0),"")</f>
        <v/>
      </c>
      <c r="J83" s="20" t="str">
        <f>IFERROR(VLOOKUP($A83&amp;"_"&amp;J$5,Database!$A:$F,6,0),"")</f>
        <v/>
      </c>
      <c r="K83" s="20" t="str">
        <f>IFERROR(VLOOKUP($A83&amp;"_"&amp;K$5,Database!$A:$F,6,0),"")</f>
        <v/>
      </c>
      <c r="L83" s="20" t="str">
        <f>IFERROR(VLOOKUP($A83&amp;"_"&amp;L$5,Database!$A:$F,6,0),"")</f>
        <v/>
      </c>
      <c r="M83" s="20" t="str">
        <f>IFERROR(VLOOKUP($A83&amp;"_"&amp;M$5,Database!$A:$F,6,0),"")</f>
        <v/>
      </c>
      <c r="N83" s="20" t="str">
        <f>IFERROR(VLOOKUP($A83&amp;"_"&amp;N$5,Database!$A:$F,6,0),"")</f>
        <v/>
      </c>
      <c r="O83" s="20" t="str">
        <f>IFERROR(VLOOKUP($A83&amp;"_"&amp;O$5,Database!$A:$F,6,0),"")</f>
        <v/>
      </c>
      <c r="P83" s="20" t="str">
        <f>IFERROR(VLOOKUP($A83&amp;"_"&amp;P$5,Database!$A:$F,6,0),"")</f>
        <v/>
      </c>
      <c r="Q83" s="20" t="str">
        <f>IFERROR(VLOOKUP($A83&amp;"_"&amp;Q$5,Database!$A:$F,6,0),"")</f>
        <v/>
      </c>
      <c r="R83" s="20" t="str">
        <f>IFERROR(VLOOKUP($A83&amp;"_"&amp;R$5,Database!$A:$F,6,0),"")</f>
        <v/>
      </c>
      <c r="S83" s="20" t="str">
        <f>IFERROR(VLOOKUP($A83&amp;"_"&amp;S$5,Database!$A:$F,6,0),"")</f>
        <v/>
      </c>
      <c r="T83" s="20" t="str">
        <f>IFERROR(VLOOKUP($A83&amp;"_"&amp;T$5,Database!$A:$F,6,0),"")</f>
        <v/>
      </c>
      <c r="U83" s="20" t="str">
        <f>IFERROR(VLOOKUP($A83&amp;"_"&amp;U$5,Database!$A:$F,6,0),"")</f>
        <v/>
      </c>
      <c r="V83" s="20" t="str">
        <f>IFERROR(VLOOKUP($A83&amp;"_"&amp;V$5,Database!$A:$F,6,0),"")</f>
        <v/>
      </c>
      <c r="W83" s="20" t="str">
        <f>IFERROR(VLOOKUP($A83&amp;"_"&amp;W$5,Database!$A:$F,6,0),"")</f>
        <v/>
      </c>
      <c r="X83" s="20" t="str">
        <f>IFERROR(VLOOKUP($A83&amp;"_"&amp;X$5,Database!$A:$F,6,0),"")</f>
        <v/>
      </c>
      <c r="Y83" s="20" t="str">
        <f>IFERROR(VLOOKUP($A83&amp;"_"&amp;Y$5,Database!$A:$F,6,0),"")</f>
        <v/>
      </c>
      <c r="Z83" s="20" t="str">
        <f>IFERROR(VLOOKUP($A83&amp;"_"&amp;Z$5,Database!$A:$F,6,0),"")</f>
        <v/>
      </c>
      <c r="AA83" s="20" t="str">
        <f>IFERROR(VLOOKUP($A83&amp;"_"&amp;AA$5,Database!$A:$F,6,0),"")</f>
        <v/>
      </c>
      <c r="AB83" s="20" t="str">
        <f>IFERROR(VLOOKUP($A83&amp;"_"&amp;AB$5,Database!$A:$F,6,0),"")</f>
        <v/>
      </c>
      <c r="AC83" s="20" t="str">
        <f>IFERROR(VLOOKUP($A83&amp;"_"&amp;AC$5,Database!$A:$F,6,0),"")</f>
        <v/>
      </c>
      <c r="AD83" s="20" t="str">
        <f>IFERROR(VLOOKUP($A83&amp;"_"&amp;AD$5,Database!$A:$F,6,0),"")</f>
        <v/>
      </c>
      <c r="AE83" s="20" t="str">
        <f>IFERROR(VLOOKUP($A83&amp;"_"&amp;AE$5,Database!$A:$F,6,0),"")</f>
        <v/>
      </c>
      <c r="AF83" s="20" t="str">
        <f>IFERROR(VLOOKUP($A83&amp;"_"&amp;AF$5,Database!$A:$F,6,0),"")</f>
        <v/>
      </c>
      <c r="AG83" s="20" t="str">
        <f>IFERROR(VLOOKUP($A83&amp;"_"&amp;AG$5,Database!$A:$F,6,0),"")</f>
        <v/>
      </c>
      <c r="AH83" s="20" t="str">
        <f>IFERROR(VLOOKUP($A83&amp;"_"&amp;AH$5,Database!$A:$F,6,0),"")</f>
        <v/>
      </c>
      <c r="AI83" s="20" t="str">
        <f>IFERROR(VLOOKUP($A83&amp;"_"&amp;AI$5,Database!$A:$F,6,0),"")</f>
        <v/>
      </c>
      <c r="AJ83" s="20" t="str">
        <f>IFERROR(VLOOKUP($A83&amp;"_"&amp;AJ$5,Database!$A:$F,6,0),"")</f>
        <v/>
      </c>
      <c r="AK83" s="20" t="str">
        <f>IFERROR(VLOOKUP($A83&amp;"_"&amp;AK$5,Database!$A:$F,6,0),"")</f>
        <v/>
      </c>
    </row>
    <row r="84" spans="1:37" x14ac:dyDescent="0.2">
      <c r="A84" s="17" t="str">
        <f>IF('Employee Master'!A80="","",'Employee Master'!A80)</f>
        <v/>
      </c>
      <c r="B84" s="18" t="str">
        <f>IF('Employee Master'!B80="","",'Employee Master'!B80)</f>
        <v/>
      </c>
      <c r="C84" s="18" t="str">
        <f>IF('Employee Master'!C80="","",'Employee Master'!C80)</f>
        <v/>
      </c>
      <c r="D84" s="19">
        <f t="shared" si="6"/>
        <v>0</v>
      </c>
      <c r="E84" s="19">
        <f t="shared" si="7"/>
        <v>0</v>
      </c>
      <c r="F84" s="19">
        <f t="shared" si="8"/>
        <v>0</v>
      </c>
      <c r="G84" s="20" t="str">
        <f>IFERROR(VLOOKUP($A84&amp;"_"&amp;G$5,Database!$A:$F,6,0),"")</f>
        <v/>
      </c>
      <c r="H84" s="20" t="str">
        <f>IFERROR(VLOOKUP($A84&amp;"_"&amp;H$5,Database!$A:$F,6,0),"")</f>
        <v/>
      </c>
      <c r="I84" s="20" t="str">
        <f>IFERROR(VLOOKUP($A84&amp;"_"&amp;I$5,Database!$A:$F,6,0),"")</f>
        <v/>
      </c>
      <c r="J84" s="20" t="str">
        <f>IFERROR(VLOOKUP($A84&amp;"_"&amp;J$5,Database!$A:$F,6,0),"")</f>
        <v/>
      </c>
      <c r="K84" s="20" t="str">
        <f>IFERROR(VLOOKUP($A84&amp;"_"&amp;K$5,Database!$A:$F,6,0),"")</f>
        <v/>
      </c>
      <c r="L84" s="20" t="str">
        <f>IFERROR(VLOOKUP($A84&amp;"_"&amp;L$5,Database!$A:$F,6,0),"")</f>
        <v/>
      </c>
      <c r="M84" s="20" t="str">
        <f>IFERROR(VLOOKUP($A84&amp;"_"&amp;M$5,Database!$A:$F,6,0),"")</f>
        <v/>
      </c>
      <c r="N84" s="20" t="str">
        <f>IFERROR(VLOOKUP($A84&amp;"_"&amp;N$5,Database!$A:$F,6,0),"")</f>
        <v/>
      </c>
      <c r="O84" s="20" t="str">
        <f>IFERROR(VLOOKUP($A84&amp;"_"&amp;O$5,Database!$A:$F,6,0),"")</f>
        <v/>
      </c>
      <c r="P84" s="20" t="str">
        <f>IFERROR(VLOOKUP($A84&amp;"_"&amp;P$5,Database!$A:$F,6,0),"")</f>
        <v/>
      </c>
      <c r="Q84" s="20" t="str">
        <f>IFERROR(VLOOKUP($A84&amp;"_"&amp;Q$5,Database!$A:$F,6,0),"")</f>
        <v/>
      </c>
      <c r="R84" s="20" t="str">
        <f>IFERROR(VLOOKUP($A84&amp;"_"&amp;R$5,Database!$A:$F,6,0),"")</f>
        <v/>
      </c>
      <c r="S84" s="20" t="str">
        <f>IFERROR(VLOOKUP($A84&amp;"_"&amp;S$5,Database!$A:$F,6,0),"")</f>
        <v/>
      </c>
      <c r="T84" s="20" t="str">
        <f>IFERROR(VLOOKUP($A84&amp;"_"&amp;T$5,Database!$A:$F,6,0),"")</f>
        <v/>
      </c>
      <c r="U84" s="20" t="str">
        <f>IFERROR(VLOOKUP($A84&amp;"_"&amp;U$5,Database!$A:$F,6,0),"")</f>
        <v/>
      </c>
      <c r="V84" s="20" t="str">
        <f>IFERROR(VLOOKUP($A84&amp;"_"&amp;V$5,Database!$A:$F,6,0),"")</f>
        <v/>
      </c>
      <c r="W84" s="20" t="str">
        <f>IFERROR(VLOOKUP($A84&amp;"_"&amp;W$5,Database!$A:$F,6,0),"")</f>
        <v/>
      </c>
      <c r="X84" s="20" t="str">
        <f>IFERROR(VLOOKUP($A84&amp;"_"&amp;X$5,Database!$A:$F,6,0),"")</f>
        <v/>
      </c>
      <c r="Y84" s="20" t="str">
        <f>IFERROR(VLOOKUP($A84&amp;"_"&amp;Y$5,Database!$A:$F,6,0),"")</f>
        <v/>
      </c>
      <c r="Z84" s="20" t="str">
        <f>IFERROR(VLOOKUP($A84&amp;"_"&amp;Z$5,Database!$A:$F,6,0),"")</f>
        <v/>
      </c>
      <c r="AA84" s="20" t="str">
        <f>IFERROR(VLOOKUP($A84&amp;"_"&amp;AA$5,Database!$A:$F,6,0),"")</f>
        <v/>
      </c>
      <c r="AB84" s="20" t="str">
        <f>IFERROR(VLOOKUP($A84&amp;"_"&amp;AB$5,Database!$A:$F,6,0),"")</f>
        <v/>
      </c>
      <c r="AC84" s="20" t="str">
        <f>IFERROR(VLOOKUP($A84&amp;"_"&amp;AC$5,Database!$A:$F,6,0),"")</f>
        <v/>
      </c>
      <c r="AD84" s="20" t="str">
        <f>IFERROR(VLOOKUP($A84&amp;"_"&amp;AD$5,Database!$A:$F,6,0),"")</f>
        <v/>
      </c>
      <c r="AE84" s="20" t="str">
        <f>IFERROR(VLOOKUP($A84&amp;"_"&amp;AE$5,Database!$A:$F,6,0),"")</f>
        <v/>
      </c>
      <c r="AF84" s="20" t="str">
        <f>IFERROR(VLOOKUP($A84&amp;"_"&amp;AF$5,Database!$A:$F,6,0),"")</f>
        <v/>
      </c>
      <c r="AG84" s="20" t="str">
        <f>IFERROR(VLOOKUP($A84&amp;"_"&amp;AG$5,Database!$A:$F,6,0),"")</f>
        <v/>
      </c>
      <c r="AH84" s="20" t="str">
        <f>IFERROR(VLOOKUP($A84&amp;"_"&amp;AH$5,Database!$A:$F,6,0),"")</f>
        <v/>
      </c>
      <c r="AI84" s="20" t="str">
        <f>IFERROR(VLOOKUP($A84&amp;"_"&amp;AI$5,Database!$A:$F,6,0),"")</f>
        <v/>
      </c>
      <c r="AJ84" s="20" t="str">
        <f>IFERROR(VLOOKUP($A84&amp;"_"&amp;AJ$5,Database!$A:$F,6,0),"")</f>
        <v/>
      </c>
      <c r="AK84" s="20" t="str">
        <f>IFERROR(VLOOKUP($A84&amp;"_"&amp;AK$5,Database!$A:$F,6,0),"")</f>
        <v/>
      </c>
    </row>
    <row r="85" spans="1:37" x14ac:dyDescent="0.2">
      <c r="A85" s="17" t="str">
        <f>IF('Employee Master'!A81="","",'Employee Master'!A81)</f>
        <v/>
      </c>
      <c r="B85" s="18" t="str">
        <f>IF('Employee Master'!B81="","",'Employee Master'!B81)</f>
        <v/>
      </c>
      <c r="C85" s="18" t="str">
        <f>IF('Employee Master'!C81="","",'Employee Master'!C81)</f>
        <v/>
      </c>
      <c r="D85" s="19">
        <f t="shared" si="6"/>
        <v>0</v>
      </c>
      <c r="E85" s="19">
        <f t="shared" si="7"/>
        <v>0</v>
      </c>
      <c r="F85" s="19">
        <f t="shared" si="8"/>
        <v>0</v>
      </c>
      <c r="G85" s="20" t="str">
        <f>IFERROR(VLOOKUP($A85&amp;"_"&amp;G$5,Database!$A:$F,6,0),"")</f>
        <v/>
      </c>
      <c r="H85" s="20" t="str">
        <f>IFERROR(VLOOKUP($A85&amp;"_"&amp;H$5,Database!$A:$F,6,0),"")</f>
        <v/>
      </c>
      <c r="I85" s="20" t="str">
        <f>IFERROR(VLOOKUP($A85&amp;"_"&amp;I$5,Database!$A:$F,6,0),"")</f>
        <v/>
      </c>
      <c r="J85" s="20" t="str">
        <f>IFERROR(VLOOKUP($A85&amp;"_"&amp;J$5,Database!$A:$F,6,0),"")</f>
        <v/>
      </c>
      <c r="K85" s="20" t="str">
        <f>IFERROR(VLOOKUP($A85&amp;"_"&amp;K$5,Database!$A:$F,6,0),"")</f>
        <v/>
      </c>
      <c r="L85" s="20" t="str">
        <f>IFERROR(VLOOKUP($A85&amp;"_"&amp;L$5,Database!$A:$F,6,0),"")</f>
        <v/>
      </c>
      <c r="M85" s="20" t="str">
        <f>IFERROR(VLOOKUP($A85&amp;"_"&amp;M$5,Database!$A:$F,6,0),"")</f>
        <v/>
      </c>
      <c r="N85" s="20" t="str">
        <f>IFERROR(VLOOKUP($A85&amp;"_"&amp;N$5,Database!$A:$F,6,0),"")</f>
        <v/>
      </c>
      <c r="O85" s="20" t="str">
        <f>IFERROR(VLOOKUP($A85&amp;"_"&amp;O$5,Database!$A:$F,6,0),"")</f>
        <v/>
      </c>
      <c r="P85" s="20" t="str">
        <f>IFERROR(VLOOKUP($A85&amp;"_"&amp;P$5,Database!$A:$F,6,0),"")</f>
        <v/>
      </c>
      <c r="Q85" s="20" t="str">
        <f>IFERROR(VLOOKUP($A85&amp;"_"&amp;Q$5,Database!$A:$F,6,0),"")</f>
        <v/>
      </c>
      <c r="R85" s="20" t="str">
        <f>IFERROR(VLOOKUP($A85&amp;"_"&amp;R$5,Database!$A:$F,6,0),"")</f>
        <v/>
      </c>
      <c r="S85" s="20" t="str">
        <f>IFERROR(VLOOKUP($A85&amp;"_"&amp;S$5,Database!$A:$F,6,0),"")</f>
        <v/>
      </c>
      <c r="T85" s="20" t="str">
        <f>IFERROR(VLOOKUP($A85&amp;"_"&amp;T$5,Database!$A:$F,6,0),"")</f>
        <v/>
      </c>
      <c r="U85" s="20" t="str">
        <f>IFERROR(VLOOKUP($A85&amp;"_"&amp;U$5,Database!$A:$F,6,0),"")</f>
        <v/>
      </c>
      <c r="V85" s="20" t="str">
        <f>IFERROR(VLOOKUP($A85&amp;"_"&amp;V$5,Database!$A:$F,6,0),"")</f>
        <v/>
      </c>
      <c r="W85" s="20" t="str">
        <f>IFERROR(VLOOKUP($A85&amp;"_"&amp;W$5,Database!$A:$F,6,0),"")</f>
        <v/>
      </c>
      <c r="X85" s="20" t="str">
        <f>IFERROR(VLOOKUP($A85&amp;"_"&amp;X$5,Database!$A:$F,6,0),"")</f>
        <v/>
      </c>
      <c r="Y85" s="20" t="str">
        <f>IFERROR(VLOOKUP($A85&amp;"_"&amp;Y$5,Database!$A:$F,6,0),"")</f>
        <v/>
      </c>
      <c r="Z85" s="20" t="str">
        <f>IFERROR(VLOOKUP($A85&amp;"_"&amp;Z$5,Database!$A:$F,6,0),"")</f>
        <v/>
      </c>
      <c r="AA85" s="20" t="str">
        <f>IFERROR(VLOOKUP($A85&amp;"_"&amp;AA$5,Database!$A:$F,6,0),"")</f>
        <v/>
      </c>
      <c r="AB85" s="20" t="str">
        <f>IFERROR(VLOOKUP($A85&amp;"_"&amp;AB$5,Database!$A:$F,6,0),"")</f>
        <v/>
      </c>
      <c r="AC85" s="20" t="str">
        <f>IFERROR(VLOOKUP($A85&amp;"_"&amp;AC$5,Database!$A:$F,6,0),"")</f>
        <v/>
      </c>
      <c r="AD85" s="20" t="str">
        <f>IFERROR(VLOOKUP($A85&amp;"_"&amp;AD$5,Database!$A:$F,6,0),"")</f>
        <v/>
      </c>
      <c r="AE85" s="20" t="str">
        <f>IFERROR(VLOOKUP($A85&amp;"_"&amp;AE$5,Database!$A:$F,6,0),"")</f>
        <v/>
      </c>
      <c r="AF85" s="20" t="str">
        <f>IFERROR(VLOOKUP($A85&amp;"_"&amp;AF$5,Database!$A:$F,6,0),"")</f>
        <v/>
      </c>
      <c r="AG85" s="20" t="str">
        <f>IFERROR(VLOOKUP($A85&amp;"_"&amp;AG$5,Database!$A:$F,6,0),"")</f>
        <v/>
      </c>
      <c r="AH85" s="20" t="str">
        <f>IFERROR(VLOOKUP($A85&amp;"_"&amp;AH$5,Database!$A:$F,6,0),"")</f>
        <v/>
      </c>
      <c r="AI85" s="20" t="str">
        <f>IFERROR(VLOOKUP($A85&amp;"_"&amp;AI$5,Database!$A:$F,6,0),"")</f>
        <v/>
      </c>
      <c r="AJ85" s="20" t="str">
        <f>IFERROR(VLOOKUP($A85&amp;"_"&amp;AJ$5,Database!$A:$F,6,0),"")</f>
        <v/>
      </c>
      <c r="AK85" s="20" t="str">
        <f>IFERROR(VLOOKUP($A85&amp;"_"&amp;AK$5,Database!$A:$F,6,0),"")</f>
        <v/>
      </c>
    </row>
    <row r="86" spans="1:37" x14ac:dyDescent="0.2">
      <c r="A86" s="17" t="str">
        <f>IF('Employee Master'!A82="","",'Employee Master'!A82)</f>
        <v/>
      </c>
      <c r="B86" s="18" t="str">
        <f>IF('Employee Master'!B82="","",'Employee Master'!B82)</f>
        <v/>
      </c>
      <c r="C86" s="18" t="str">
        <f>IF('Employee Master'!C82="","",'Employee Master'!C82)</f>
        <v/>
      </c>
      <c r="D86" s="19">
        <f t="shared" si="6"/>
        <v>0</v>
      </c>
      <c r="E86" s="19">
        <f t="shared" si="7"/>
        <v>0</v>
      </c>
      <c r="F86" s="19">
        <f t="shared" si="8"/>
        <v>0</v>
      </c>
      <c r="G86" s="20" t="str">
        <f>IFERROR(VLOOKUP($A86&amp;"_"&amp;G$5,Database!$A:$F,6,0),"")</f>
        <v/>
      </c>
      <c r="H86" s="20" t="str">
        <f>IFERROR(VLOOKUP($A86&amp;"_"&amp;H$5,Database!$A:$F,6,0),"")</f>
        <v/>
      </c>
      <c r="I86" s="20" t="str">
        <f>IFERROR(VLOOKUP($A86&amp;"_"&amp;I$5,Database!$A:$F,6,0),"")</f>
        <v/>
      </c>
      <c r="J86" s="20" t="str">
        <f>IFERROR(VLOOKUP($A86&amp;"_"&amp;J$5,Database!$A:$F,6,0),"")</f>
        <v/>
      </c>
      <c r="K86" s="20" t="str">
        <f>IFERROR(VLOOKUP($A86&amp;"_"&amp;K$5,Database!$A:$F,6,0),"")</f>
        <v/>
      </c>
      <c r="L86" s="20" t="str">
        <f>IFERROR(VLOOKUP($A86&amp;"_"&amp;L$5,Database!$A:$F,6,0),"")</f>
        <v/>
      </c>
      <c r="M86" s="20" t="str">
        <f>IFERROR(VLOOKUP($A86&amp;"_"&amp;M$5,Database!$A:$F,6,0),"")</f>
        <v/>
      </c>
      <c r="N86" s="20" t="str">
        <f>IFERROR(VLOOKUP($A86&amp;"_"&amp;N$5,Database!$A:$F,6,0),"")</f>
        <v/>
      </c>
      <c r="O86" s="20" t="str">
        <f>IFERROR(VLOOKUP($A86&amp;"_"&amp;O$5,Database!$A:$F,6,0),"")</f>
        <v/>
      </c>
      <c r="P86" s="20" t="str">
        <f>IFERROR(VLOOKUP($A86&amp;"_"&amp;P$5,Database!$A:$F,6,0),"")</f>
        <v/>
      </c>
      <c r="Q86" s="20" t="str">
        <f>IFERROR(VLOOKUP($A86&amp;"_"&amp;Q$5,Database!$A:$F,6,0),"")</f>
        <v/>
      </c>
      <c r="R86" s="20" t="str">
        <f>IFERROR(VLOOKUP($A86&amp;"_"&amp;R$5,Database!$A:$F,6,0),"")</f>
        <v/>
      </c>
      <c r="S86" s="20" t="str">
        <f>IFERROR(VLOOKUP($A86&amp;"_"&amp;S$5,Database!$A:$F,6,0),"")</f>
        <v/>
      </c>
      <c r="T86" s="20" t="str">
        <f>IFERROR(VLOOKUP($A86&amp;"_"&amp;T$5,Database!$A:$F,6,0),"")</f>
        <v/>
      </c>
      <c r="U86" s="20" t="str">
        <f>IFERROR(VLOOKUP($A86&amp;"_"&amp;U$5,Database!$A:$F,6,0),"")</f>
        <v/>
      </c>
      <c r="V86" s="20" t="str">
        <f>IFERROR(VLOOKUP($A86&amp;"_"&amp;V$5,Database!$A:$F,6,0),"")</f>
        <v/>
      </c>
      <c r="W86" s="20" t="str">
        <f>IFERROR(VLOOKUP($A86&amp;"_"&amp;W$5,Database!$A:$F,6,0),"")</f>
        <v/>
      </c>
      <c r="X86" s="20" t="str">
        <f>IFERROR(VLOOKUP($A86&amp;"_"&amp;X$5,Database!$A:$F,6,0),"")</f>
        <v/>
      </c>
      <c r="Y86" s="20" t="str">
        <f>IFERROR(VLOOKUP($A86&amp;"_"&amp;Y$5,Database!$A:$F,6,0),"")</f>
        <v/>
      </c>
      <c r="Z86" s="20" t="str">
        <f>IFERROR(VLOOKUP($A86&amp;"_"&amp;Z$5,Database!$A:$F,6,0),"")</f>
        <v/>
      </c>
      <c r="AA86" s="20" t="str">
        <f>IFERROR(VLOOKUP($A86&amp;"_"&amp;AA$5,Database!$A:$F,6,0),"")</f>
        <v/>
      </c>
      <c r="AB86" s="20" t="str">
        <f>IFERROR(VLOOKUP($A86&amp;"_"&amp;AB$5,Database!$A:$F,6,0),"")</f>
        <v/>
      </c>
      <c r="AC86" s="20" t="str">
        <f>IFERROR(VLOOKUP($A86&amp;"_"&amp;AC$5,Database!$A:$F,6,0),"")</f>
        <v/>
      </c>
      <c r="AD86" s="20" t="str">
        <f>IFERROR(VLOOKUP($A86&amp;"_"&amp;AD$5,Database!$A:$F,6,0),"")</f>
        <v/>
      </c>
      <c r="AE86" s="20" t="str">
        <f>IFERROR(VLOOKUP($A86&amp;"_"&amp;AE$5,Database!$A:$F,6,0),"")</f>
        <v/>
      </c>
      <c r="AF86" s="20" t="str">
        <f>IFERROR(VLOOKUP($A86&amp;"_"&amp;AF$5,Database!$A:$F,6,0),"")</f>
        <v/>
      </c>
      <c r="AG86" s="20" t="str">
        <f>IFERROR(VLOOKUP($A86&amp;"_"&amp;AG$5,Database!$A:$F,6,0),"")</f>
        <v/>
      </c>
      <c r="AH86" s="20" t="str">
        <f>IFERROR(VLOOKUP($A86&amp;"_"&amp;AH$5,Database!$A:$F,6,0),"")</f>
        <v/>
      </c>
      <c r="AI86" s="20" t="str">
        <f>IFERROR(VLOOKUP($A86&amp;"_"&amp;AI$5,Database!$A:$F,6,0),"")</f>
        <v/>
      </c>
      <c r="AJ86" s="20" t="str">
        <f>IFERROR(VLOOKUP($A86&amp;"_"&amp;AJ$5,Database!$A:$F,6,0),"")</f>
        <v/>
      </c>
      <c r="AK86" s="20" t="str">
        <f>IFERROR(VLOOKUP($A86&amp;"_"&amp;AK$5,Database!$A:$F,6,0),"")</f>
        <v/>
      </c>
    </row>
    <row r="87" spans="1:37" x14ac:dyDescent="0.2">
      <c r="A87" s="17" t="str">
        <f>IF('Employee Master'!A83="","",'Employee Master'!A83)</f>
        <v/>
      </c>
      <c r="B87" s="18" t="str">
        <f>IF('Employee Master'!B83="","",'Employee Master'!B83)</f>
        <v/>
      </c>
      <c r="C87" s="18" t="str">
        <f>IF('Employee Master'!C83="","",'Employee Master'!C83)</f>
        <v/>
      </c>
      <c r="D87" s="19">
        <f t="shared" si="6"/>
        <v>0</v>
      </c>
      <c r="E87" s="19">
        <f t="shared" si="7"/>
        <v>0</v>
      </c>
      <c r="F87" s="19">
        <f t="shared" si="8"/>
        <v>0</v>
      </c>
      <c r="G87" s="20" t="str">
        <f>IFERROR(VLOOKUP($A87&amp;"_"&amp;G$5,Database!$A:$F,6,0),"")</f>
        <v/>
      </c>
      <c r="H87" s="20" t="str">
        <f>IFERROR(VLOOKUP($A87&amp;"_"&amp;H$5,Database!$A:$F,6,0),"")</f>
        <v/>
      </c>
      <c r="I87" s="20" t="str">
        <f>IFERROR(VLOOKUP($A87&amp;"_"&amp;I$5,Database!$A:$F,6,0),"")</f>
        <v/>
      </c>
      <c r="J87" s="20" t="str">
        <f>IFERROR(VLOOKUP($A87&amp;"_"&amp;J$5,Database!$A:$F,6,0),"")</f>
        <v/>
      </c>
      <c r="K87" s="20" t="str">
        <f>IFERROR(VLOOKUP($A87&amp;"_"&amp;K$5,Database!$A:$F,6,0),"")</f>
        <v/>
      </c>
      <c r="L87" s="20" t="str">
        <f>IFERROR(VLOOKUP($A87&amp;"_"&amp;L$5,Database!$A:$F,6,0),"")</f>
        <v/>
      </c>
      <c r="M87" s="20" t="str">
        <f>IFERROR(VLOOKUP($A87&amp;"_"&amp;M$5,Database!$A:$F,6,0),"")</f>
        <v/>
      </c>
      <c r="N87" s="20" t="str">
        <f>IFERROR(VLOOKUP($A87&amp;"_"&amp;N$5,Database!$A:$F,6,0),"")</f>
        <v/>
      </c>
      <c r="O87" s="20" t="str">
        <f>IFERROR(VLOOKUP($A87&amp;"_"&amp;O$5,Database!$A:$F,6,0),"")</f>
        <v/>
      </c>
      <c r="P87" s="20" t="str">
        <f>IFERROR(VLOOKUP($A87&amp;"_"&amp;P$5,Database!$A:$F,6,0),"")</f>
        <v/>
      </c>
      <c r="Q87" s="20" t="str">
        <f>IFERROR(VLOOKUP($A87&amp;"_"&amp;Q$5,Database!$A:$F,6,0),"")</f>
        <v/>
      </c>
      <c r="R87" s="20" t="str">
        <f>IFERROR(VLOOKUP($A87&amp;"_"&amp;R$5,Database!$A:$F,6,0),"")</f>
        <v/>
      </c>
      <c r="S87" s="20" t="str">
        <f>IFERROR(VLOOKUP($A87&amp;"_"&amp;S$5,Database!$A:$F,6,0),"")</f>
        <v/>
      </c>
      <c r="T87" s="20" t="str">
        <f>IFERROR(VLOOKUP($A87&amp;"_"&amp;T$5,Database!$A:$F,6,0),"")</f>
        <v/>
      </c>
      <c r="U87" s="20" t="str">
        <f>IFERROR(VLOOKUP($A87&amp;"_"&amp;U$5,Database!$A:$F,6,0),"")</f>
        <v/>
      </c>
      <c r="V87" s="20" t="str">
        <f>IFERROR(VLOOKUP($A87&amp;"_"&amp;V$5,Database!$A:$F,6,0),"")</f>
        <v/>
      </c>
      <c r="W87" s="20" t="str">
        <f>IFERROR(VLOOKUP($A87&amp;"_"&amp;W$5,Database!$A:$F,6,0),"")</f>
        <v/>
      </c>
      <c r="X87" s="20" t="str">
        <f>IFERROR(VLOOKUP($A87&amp;"_"&amp;X$5,Database!$A:$F,6,0),"")</f>
        <v/>
      </c>
      <c r="Y87" s="20" t="str">
        <f>IFERROR(VLOOKUP($A87&amp;"_"&amp;Y$5,Database!$A:$F,6,0),"")</f>
        <v/>
      </c>
      <c r="Z87" s="20" t="str">
        <f>IFERROR(VLOOKUP($A87&amp;"_"&amp;Z$5,Database!$A:$F,6,0),"")</f>
        <v/>
      </c>
      <c r="AA87" s="20" t="str">
        <f>IFERROR(VLOOKUP($A87&amp;"_"&amp;AA$5,Database!$A:$F,6,0),"")</f>
        <v/>
      </c>
      <c r="AB87" s="20" t="str">
        <f>IFERROR(VLOOKUP($A87&amp;"_"&amp;AB$5,Database!$A:$F,6,0),"")</f>
        <v/>
      </c>
      <c r="AC87" s="20" t="str">
        <f>IFERROR(VLOOKUP($A87&amp;"_"&amp;AC$5,Database!$A:$F,6,0),"")</f>
        <v/>
      </c>
      <c r="AD87" s="20" t="str">
        <f>IFERROR(VLOOKUP($A87&amp;"_"&amp;AD$5,Database!$A:$F,6,0),"")</f>
        <v/>
      </c>
      <c r="AE87" s="20" t="str">
        <f>IFERROR(VLOOKUP($A87&amp;"_"&amp;AE$5,Database!$A:$F,6,0),"")</f>
        <v/>
      </c>
      <c r="AF87" s="20" t="str">
        <f>IFERROR(VLOOKUP($A87&amp;"_"&amp;AF$5,Database!$A:$F,6,0),"")</f>
        <v/>
      </c>
      <c r="AG87" s="20" t="str">
        <f>IFERROR(VLOOKUP($A87&amp;"_"&amp;AG$5,Database!$A:$F,6,0),"")</f>
        <v/>
      </c>
      <c r="AH87" s="20" t="str">
        <f>IFERROR(VLOOKUP($A87&amp;"_"&amp;AH$5,Database!$A:$F,6,0),"")</f>
        <v/>
      </c>
      <c r="AI87" s="20" t="str">
        <f>IFERROR(VLOOKUP($A87&amp;"_"&amp;AI$5,Database!$A:$F,6,0),"")</f>
        <v/>
      </c>
      <c r="AJ87" s="20" t="str">
        <f>IFERROR(VLOOKUP($A87&amp;"_"&amp;AJ$5,Database!$A:$F,6,0),"")</f>
        <v/>
      </c>
      <c r="AK87" s="20" t="str">
        <f>IFERROR(VLOOKUP($A87&amp;"_"&amp;AK$5,Database!$A:$F,6,0),"")</f>
        <v/>
      </c>
    </row>
    <row r="88" spans="1:37" x14ac:dyDescent="0.2">
      <c r="A88" s="17" t="str">
        <f>IF('Employee Master'!A84="","",'Employee Master'!A84)</f>
        <v/>
      </c>
      <c r="B88" s="18" t="str">
        <f>IF('Employee Master'!B84="","",'Employee Master'!B84)</f>
        <v/>
      </c>
      <c r="C88" s="18" t="str">
        <f>IF('Employee Master'!C84="","",'Employee Master'!C84)</f>
        <v/>
      </c>
      <c r="D88" s="19">
        <f t="shared" si="6"/>
        <v>0</v>
      </c>
      <c r="E88" s="19">
        <f t="shared" si="7"/>
        <v>0</v>
      </c>
      <c r="F88" s="19">
        <f t="shared" si="8"/>
        <v>0</v>
      </c>
      <c r="G88" s="20" t="str">
        <f>IFERROR(VLOOKUP($A88&amp;"_"&amp;G$5,Database!$A:$F,6,0),"")</f>
        <v/>
      </c>
      <c r="H88" s="20" t="str">
        <f>IFERROR(VLOOKUP($A88&amp;"_"&amp;H$5,Database!$A:$F,6,0),"")</f>
        <v/>
      </c>
      <c r="I88" s="20" t="str">
        <f>IFERROR(VLOOKUP($A88&amp;"_"&amp;I$5,Database!$A:$F,6,0),"")</f>
        <v/>
      </c>
      <c r="J88" s="20" t="str">
        <f>IFERROR(VLOOKUP($A88&amp;"_"&amp;J$5,Database!$A:$F,6,0),"")</f>
        <v/>
      </c>
      <c r="K88" s="20" t="str">
        <f>IFERROR(VLOOKUP($A88&amp;"_"&amp;K$5,Database!$A:$F,6,0),"")</f>
        <v/>
      </c>
      <c r="L88" s="20" t="str">
        <f>IFERROR(VLOOKUP($A88&amp;"_"&amp;L$5,Database!$A:$F,6,0),"")</f>
        <v/>
      </c>
      <c r="M88" s="20" t="str">
        <f>IFERROR(VLOOKUP($A88&amp;"_"&amp;M$5,Database!$A:$F,6,0),"")</f>
        <v/>
      </c>
      <c r="N88" s="20" t="str">
        <f>IFERROR(VLOOKUP($A88&amp;"_"&amp;N$5,Database!$A:$F,6,0),"")</f>
        <v/>
      </c>
      <c r="O88" s="20" t="str">
        <f>IFERROR(VLOOKUP($A88&amp;"_"&amp;O$5,Database!$A:$F,6,0),"")</f>
        <v/>
      </c>
      <c r="P88" s="20" t="str">
        <f>IFERROR(VLOOKUP($A88&amp;"_"&amp;P$5,Database!$A:$F,6,0),"")</f>
        <v/>
      </c>
      <c r="Q88" s="20" t="str">
        <f>IFERROR(VLOOKUP($A88&amp;"_"&amp;Q$5,Database!$A:$F,6,0),"")</f>
        <v/>
      </c>
      <c r="R88" s="20" t="str">
        <f>IFERROR(VLOOKUP($A88&amp;"_"&amp;R$5,Database!$A:$F,6,0),"")</f>
        <v/>
      </c>
      <c r="S88" s="20" t="str">
        <f>IFERROR(VLOOKUP($A88&amp;"_"&amp;S$5,Database!$A:$F,6,0),"")</f>
        <v/>
      </c>
      <c r="T88" s="20" t="str">
        <f>IFERROR(VLOOKUP($A88&amp;"_"&amp;T$5,Database!$A:$F,6,0),"")</f>
        <v/>
      </c>
      <c r="U88" s="20" t="str">
        <f>IFERROR(VLOOKUP($A88&amp;"_"&amp;U$5,Database!$A:$F,6,0),"")</f>
        <v/>
      </c>
      <c r="V88" s="20" t="str">
        <f>IFERROR(VLOOKUP($A88&amp;"_"&amp;V$5,Database!$A:$F,6,0),"")</f>
        <v/>
      </c>
      <c r="W88" s="20" t="str">
        <f>IFERROR(VLOOKUP($A88&amp;"_"&amp;W$5,Database!$A:$F,6,0),"")</f>
        <v/>
      </c>
      <c r="X88" s="20" t="str">
        <f>IFERROR(VLOOKUP($A88&amp;"_"&amp;X$5,Database!$A:$F,6,0),"")</f>
        <v/>
      </c>
      <c r="Y88" s="20" t="str">
        <f>IFERROR(VLOOKUP($A88&amp;"_"&amp;Y$5,Database!$A:$F,6,0),"")</f>
        <v/>
      </c>
      <c r="Z88" s="20" t="str">
        <f>IFERROR(VLOOKUP($A88&amp;"_"&amp;Z$5,Database!$A:$F,6,0),"")</f>
        <v/>
      </c>
      <c r="AA88" s="20" t="str">
        <f>IFERROR(VLOOKUP($A88&amp;"_"&amp;AA$5,Database!$A:$F,6,0),"")</f>
        <v/>
      </c>
      <c r="AB88" s="20" t="str">
        <f>IFERROR(VLOOKUP($A88&amp;"_"&amp;AB$5,Database!$A:$F,6,0),"")</f>
        <v/>
      </c>
      <c r="AC88" s="20" t="str">
        <f>IFERROR(VLOOKUP($A88&amp;"_"&amp;AC$5,Database!$A:$F,6,0),"")</f>
        <v/>
      </c>
      <c r="AD88" s="20" t="str">
        <f>IFERROR(VLOOKUP($A88&amp;"_"&amp;AD$5,Database!$A:$F,6,0),"")</f>
        <v/>
      </c>
      <c r="AE88" s="20" t="str">
        <f>IFERROR(VLOOKUP($A88&amp;"_"&amp;AE$5,Database!$A:$F,6,0),"")</f>
        <v/>
      </c>
      <c r="AF88" s="20" t="str">
        <f>IFERROR(VLOOKUP($A88&amp;"_"&amp;AF$5,Database!$A:$F,6,0),"")</f>
        <v/>
      </c>
      <c r="AG88" s="20" t="str">
        <f>IFERROR(VLOOKUP($A88&amp;"_"&amp;AG$5,Database!$A:$F,6,0),"")</f>
        <v/>
      </c>
      <c r="AH88" s="20" t="str">
        <f>IFERROR(VLOOKUP($A88&amp;"_"&amp;AH$5,Database!$A:$F,6,0),"")</f>
        <v/>
      </c>
      <c r="AI88" s="20" t="str">
        <f>IFERROR(VLOOKUP($A88&amp;"_"&amp;AI$5,Database!$A:$F,6,0),"")</f>
        <v/>
      </c>
      <c r="AJ88" s="20" t="str">
        <f>IFERROR(VLOOKUP($A88&amp;"_"&amp;AJ$5,Database!$A:$F,6,0),"")</f>
        <v/>
      </c>
      <c r="AK88" s="20" t="str">
        <f>IFERROR(VLOOKUP($A88&amp;"_"&amp;AK$5,Database!$A:$F,6,0),"")</f>
        <v/>
      </c>
    </row>
    <row r="89" spans="1:37" x14ac:dyDescent="0.2">
      <c r="A89" s="17" t="str">
        <f>IF('Employee Master'!A85="","",'Employee Master'!A85)</f>
        <v/>
      </c>
      <c r="B89" s="18" t="str">
        <f>IF('Employee Master'!B85="","",'Employee Master'!B85)</f>
        <v/>
      </c>
      <c r="C89" s="18" t="str">
        <f>IF('Employee Master'!C85="","",'Employee Master'!C85)</f>
        <v/>
      </c>
      <c r="D89" s="19">
        <f t="shared" ref="D89:D96" si="9">COUNTIF(G89:AK89,"P")</f>
        <v>0</v>
      </c>
      <c r="E89" s="19">
        <f t="shared" ref="E89:E96" si="10">COUNTIF(G89:AK89,"A")</f>
        <v>0</v>
      </c>
      <c r="F89" s="19">
        <f t="shared" si="8"/>
        <v>0</v>
      </c>
      <c r="G89" s="20" t="str">
        <f>IFERROR(VLOOKUP($A89&amp;"_"&amp;G$5,Database!$A:$F,6,0),"")</f>
        <v/>
      </c>
      <c r="H89" s="20" t="str">
        <f>IFERROR(VLOOKUP($A89&amp;"_"&amp;H$5,Database!$A:$F,6,0),"")</f>
        <v/>
      </c>
      <c r="I89" s="20" t="str">
        <f>IFERROR(VLOOKUP($A89&amp;"_"&amp;I$5,Database!$A:$F,6,0),"")</f>
        <v/>
      </c>
      <c r="J89" s="20" t="str">
        <f>IFERROR(VLOOKUP($A89&amp;"_"&amp;J$5,Database!$A:$F,6,0),"")</f>
        <v/>
      </c>
      <c r="K89" s="20" t="str">
        <f>IFERROR(VLOOKUP($A89&amp;"_"&amp;K$5,Database!$A:$F,6,0),"")</f>
        <v/>
      </c>
      <c r="L89" s="20" t="str">
        <f>IFERROR(VLOOKUP($A89&amp;"_"&amp;L$5,Database!$A:$F,6,0),"")</f>
        <v/>
      </c>
      <c r="M89" s="20" t="str">
        <f>IFERROR(VLOOKUP($A89&amp;"_"&amp;M$5,Database!$A:$F,6,0),"")</f>
        <v/>
      </c>
      <c r="N89" s="20" t="str">
        <f>IFERROR(VLOOKUP($A89&amp;"_"&amp;N$5,Database!$A:$F,6,0),"")</f>
        <v/>
      </c>
      <c r="O89" s="20" t="str">
        <f>IFERROR(VLOOKUP($A89&amp;"_"&amp;O$5,Database!$A:$F,6,0),"")</f>
        <v/>
      </c>
      <c r="P89" s="20" t="str">
        <f>IFERROR(VLOOKUP($A89&amp;"_"&amp;P$5,Database!$A:$F,6,0),"")</f>
        <v/>
      </c>
      <c r="Q89" s="20" t="str">
        <f>IFERROR(VLOOKUP($A89&amp;"_"&amp;Q$5,Database!$A:$F,6,0),"")</f>
        <v/>
      </c>
      <c r="R89" s="20" t="str">
        <f>IFERROR(VLOOKUP($A89&amp;"_"&amp;R$5,Database!$A:$F,6,0),"")</f>
        <v/>
      </c>
      <c r="S89" s="20" t="str">
        <f>IFERROR(VLOOKUP($A89&amp;"_"&amp;S$5,Database!$A:$F,6,0),"")</f>
        <v/>
      </c>
      <c r="T89" s="20" t="str">
        <f>IFERROR(VLOOKUP($A89&amp;"_"&amp;T$5,Database!$A:$F,6,0),"")</f>
        <v/>
      </c>
      <c r="U89" s="20" t="str">
        <f>IFERROR(VLOOKUP($A89&amp;"_"&amp;U$5,Database!$A:$F,6,0),"")</f>
        <v/>
      </c>
      <c r="V89" s="20" t="str">
        <f>IFERROR(VLOOKUP($A89&amp;"_"&amp;V$5,Database!$A:$F,6,0),"")</f>
        <v/>
      </c>
      <c r="W89" s="20" t="str">
        <f>IFERROR(VLOOKUP($A89&amp;"_"&amp;W$5,Database!$A:$F,6,0),"")</f>
        <v/>
      </c>
      <c r="X89" s="20" t="str">
        <f>IFERROR(VLOOKUP($A89&amp;"_"&amp;X$5,Database!$A:$F,6,0),"")</f>
        <v/>
      </c>
      <c r="Y89" s="20" t="str">
        <f>IFERROR(VLOOKUP($A89&amp;"_"&amp;Y$5,Database!$A:$F,6,0),"")</f>
        <v/>
      </c>
      <c r="Z89" s="20" t="str">
        <f>IFERROR(VLOOKUP($A89&amp;"_"&amp;Z$5,Database!$A:$F,6,0),"")</f>
        <v/>
      </c>
      <c r="AA89" s="20" t="str">
        <f>IFERROR(VLOOKUP($A89&amp;"_"&amp;AA$5,Database!$A:$F,6,0),"")</f>
        <v/>
      </c>
      <c r="AB89" s="20" t="str">
        <f>IFERROR(VLOOKUP($A89&amp;"_"&amp;AB$5,Database!$A:$F,6,0),"")</f>
        <v/>
      </c>
      <c r="AC89" s="20" t="str">
        <f>IFERROR(VLOOKUP($A89&amp;"_"&amp;AC$5,Database!$A:$F,6,0),"")</f>
        <v/>
      </c>
      <c r="AD89" s="20" t="str">
        <f>IFERROR(VLOOKUP($A89&amp;"_"&amp;AD$5,Database!$A:$F,6,0),"")</f>
        <v/>
      </c>
      <c r="AE89" s="20" t="str">
        <f>IFERROR(VLOOKUP($A89&amp;"_"&amp;AE$5,Database!$A:$F,6,0),"")</f>
        <v/>
      </c>
      <c r="AF89" s="20" t="str">
        <f>IFERROR(VLOOKUP($A89&amp;"_"&amp;AF$5,Database!$A:$F,6,0),"")</f>
        <v/>
      </c>
      <c r="AG89" s="20" t="str">
        <f>IFERROR(VLOOKUP($A89&amp;"_"&amp;AG$5,Database!$A:$F,6,0),"")</f>
        <v/>
      </c>
      <c r="AH89" s="20" t="str">
        <f>IFERROR(VLOOKUP($A89&amp;"_"&amp;AH$5,Database!$A:$F,6,0),"")</f>
        <v/>
      </c>
      <c r="AI89" s="20" t="str">
        <f>IFERROR(VLOOKUP($A89&amp;"_"&amp;AI$5,Database!$A:$F,6,0),"")</f>
        <v/>
      </c>
      <c r="AJ89" s="20" t="str">
        <f>IFERROR(VLOOKUP($A89&amp;"_"&amp;AJ$5,Database!$A:$F,6,0),"")</f>
        <v/>
      </c>
      <c r="AK89" s="20" t="str">
        <f>IFERROR(VLOOKUP($A89&amp;"_"&amp;AK$5,Database!$A:$F,6,0),"")</f>
        <v/>
      </c>
    </row>
    <row r="90" spans="1:37" x14ac:dyDescent="0.2">
      <c r="A90" s="17" t="str">
        <f>IF('Employee Master'!A86="","",'Employee Master'!A86)</f>
        <v/>
      </c>
      <c r="B90" s="18" t="str">
        <f>IF('Employee Master'!B86="","",'Employee Master'!B86)</f>
        <v/>
      </c>
      <c r="C90" s="18" t="str">
        <f>IF('Employee Master'!C86="","",'Employee Master'!C86)</f>
        <v/>
      </c>
      <c r="D90" s="19">
        <f t="shared" si="9"/>
        <v>0</v>
      </c>
      <c r="E90" s="19">
        <f t="shared" si="10"/>
        <v>0</v>
      </c>
      <c r="F90" s="19">
        <f t="shared" si="8"/>
        <v>0</v>
      </c>
      <c r="G90" s="20" t="str">
        <f>IFERROR(VLOOKUP($A90&amp;"_"&amp;G$5,Database!$A:$F,6,0),"")</f>
        <v/>
      </c>
      <c r="H90" s="20" t="str">
        <f>IFERROR(VLOOKUP($A90&amp;"_"&amp;H$5,Database!$A:$F,6,0),"")</f>
        <v/>
      </c>
      <c r="I90" s="20" t="str">
        <f>IFERROR(VLOOKUP($A90&amp;"_"&amp;I$5,Database!$A:$F,6,0),"")</f>
        <v/>
      </c>
      <c r="J90" s="20" t="str">
        <f>IFERROR(VLOOKUP($A90&amp;"_"&amp;J$5,Database!$A:$F,6,0),"")</f>
        <v/>
      </c>
      <c r="K90" s="20" t="str">
        <f>IFERROR(VLOOKUP($A90&amp;"_"&amp;K$5,Database!$A:$F,6,0),"")</f>
        <v/>
      </c>
      <c r="L90" s="20" t="str">
        <f>IFERROR(VLOOKUP($A90&amp;"_"&amp;L$5,Database!$A:$F,6,0),"")</f>
        <v/>
      </c>
      <c r="M90" s="20" t="str">
        <f>IFERROR(VLOOKUP($A90&amp;"_"&amp;M$5,Database!$A:$F,6,0),"")</f>
        <v/>
      </c>
      <c r="N90" s="20" t="str">
        <f>IFERROR(VLOOKUP($A90&amp;"_"&amp;N$5,Database!$A:$F,6,0),"")</f>
        <v/>
      </c>
      <c r="O90" s="20" t="str">
        <f>IFERROR(VLOOKUP($A90&amp;"_"&amp;O$5,Database!$A:$F,6,0),"")</f>
        <v/>
      </c>
      <c r="P90" s="20" t="str">
        <f>IFERROR(VLOOKUP($A90&amp;"_"&amp;P$5,Database!$A:$F,6,0),"")</f>
        <v/>
      </c>
      <c r="Q90" s="20" t="str">
        <f>IFERROR(VLOOKUP($A90&amp;"_"&amp;Q$5,Database!$A:$F,6,0),"")</f>
        <v/>
      </c>
      <c r="R90" s="20" t="str">
        <f>IFERROR(VLOOKUP($A90&amp;"_"&amp;R$5,Database!$A:$F,6,0),"")</f>
        <v/>
      </c>
      <c r="S90" s="20" t="str">
        <f>IFERROR(VLOOKUP($A90&amp;"_"&amp;S$5,Database!$A:$F,6,0),"")</f>
        <v/>
      </c>
      <c r="T90" s="20" t="str">
        <f>IFERROR(VLOOKUP($A90&amp;"_"&amp;T$5,Database!$A:$F,6,0),"")</f>
        <v/>
      </c>
      <c r="U90" s="20" t="str">
        <f>IFERROR(VLOOKUP($A90&amp;"_"&amp;U$5,Database!$A:$F,6,0),"")</f>
        <v/>
      </c>
      <c r="V90" s="20" t="str">
        <f>IFERROR(VLOOKUP($A90&amp;"_"&amp;V$5,Database!$A:$F,6,0),"")</f>
        <v/>
      </c>
      <c r="W90" s="20" t="str">
        <f>IFERROR(VLOOKUP($A90&amp;"_"&amp;W$5,Database!$A:$F,6,0),"")</f>
        <v/>
      </c>
      <c r="X90" s="20" t="str">
        <f>IFERROR(VLOOKUP($A90&amp;"_"&amp;X$5,Database!$A:$F,6,0),"")</f>
        <v/>
      </c>
      <c r="Y90" s="20" t="str">
        <f>IFERROR(VLOOKUP($A90&amp;"_"&amp;Y$5,Database!$A:$F,6,0),"")</f>
        <v/>
      </c>
      <c r="Z90" s="20" t="str">
        <f>IFERROR(VLOOKUP($A90&amp;"_"&amp;Z$5,Database!$A:$F,6,0),"")</f>
        <v/>
      </c>
      <c r="AA90" s="20" t="str">
        <f>IFERROR(VLOOKUP($A90&amp;"_"&amp;AA$5,Database!$A:$F,6,0),"")</f>
        <v/>
      </c>
      <c r="AB90" s="20" t="str">
        <f>IFERROR(VLOOKUP($A90&amp;"_"&amp;AB$5,Database!$A:$F,6,0),"")</f>
        <v/>
      </c>
      <c r="AC90" s="20" t="str">
        <f>IFERROR(VLOOKUP($A90&amp;"_"&amp;AC$5,Database!$A:$F,6,0),"")</f>
        <v/>
      </c>
      <c r="AD90" s="20" t="str">
        <f>IFERROR(VLOOKUP($A90&amp;"_"&amp;AD$5,Database!$A:$F,6,0),"")</f>
        <v/>
      </c>
      <c r="AE90" s="20" t="str">
        <f>IFERROR(VLOOKUP($A90&amp;"_"&amp;AE$5,Database!$A:$F,6,0),"")</f>
        <v/>
      </c>
      <c r="AF90" s="20" t="str">
        <f>IFERROR(VLOOKUP($A90&amp;"_"&amp;AF$5,Database!$A:$F,6,0),"")</f>
        <v/>
      </c>
      <c r="AG90" s="20" t="str">
        <f>IFERROR(VLOOKUP($A90&amp;"_"&amp;AG$5,Database!$A:$F,6,0),"")</f>
        <v/>
      </c>
      <c r="AH90" s="20" t="str">
        <f>IFERROR(VLOOKUP($A90&amp;"_"&amp;AH$5,Database!$A:$F,6,0),"")</f>
        <v/>
      </c>
      <c r="AI90" s="20" t="str">
        <f>IFERROR(VLOOKUP($A90&amp;"_"&amp;AI$5,Database!$A:$F,6,0),"")</f>
        <v/>
      </c>
      <c r="AJ90" s="20" t="str">
        <f>IFERROR(VLOOKUP($A90&amp;"_"&amp;AJ$5,Database!$A:$F,6,0),"")</f>
        <v/>
      </c>
      <c r="AK90" s="20" t="str">
        <f>IFERROR(VLOOKUP($A90&amp;"_"&amp;AK$5,Database!$A:$F,6,0),"")</f>
        <v/>
      </c>
    </row>
    <row r="91" spans="1:37" x14ac:dyDescent="0.2">
      <c r="A91" s="17" t="str">
        <f>IF('Employee Master'!A87="","",'Employee Master'!A87)</f>
        <v/>
      </c>
      <c r="B91" s="18" t="str">
        <f>IF('Employee Master'!B87="","",'Employee Master'!B87)</f>
        <v/>
      </c>
      <c r="C91" s="18" t="str">
        <f>IF('Employee Master'!C87="","",'Employee Master'!C87)</f>
        <v/>
      </c>
      <c r="D91" s="19">
        <f t="shared" si="9"/>
        <v>0</v>
      </c>
      <c r="E91" s="19">
        <f t="shared" si="10"/>
        <v>0</v>
      </c>
      <c r="F91" s="19">
        <f t="shared" si="8"/>
        <v>0</v>
      </c>
      <c r="G91" s="20" t="str">
        <f>IFERROR(VLOOKUP($A91&amp;"_"&amp;G$5,Database!$A:$F,6,0),"")</f>
        <v/>
      </c>
      <c r="H91" s="20" t="str">
        <f>IFERROR(VLOOKUP($A91&amp;"_"&amp;H$5,Database!$A:$F,6,0),"")</f>
        <v/>
      </c>
      <c r="I91" s="20" t="str">
        <f>IFERROR(VLOOKUP($A91&amp;"_"&amp;I$5,Database!$A:$F,6,0),"")</f>
        <v/>
      </c>
      <c r="J91" s="20" t="str">
        <f>IFERROR(VLOOKUP($A91&amp;"_"&amp;J$5,Database!$A:$F,6,0),"")</f>
        <v/>
      </c>
      <c r="K91" s="20" t="str">
        <f>IFERROR(VLOOKUP($A91&amp;"_"&amp;K$5,Database!$A:$F,6,0),"")</f>
        <v/>
      </c>
      <c r="L91" s="20" t="str">
        <f>IFERROR(VLOOKUP($A91&amp;"_"&amp;L$5,Database!$A:$F,6,0),"")</f>
        <v/>
      </c>
      <c r="M91" s="20" t="str">
        <f>IFERROR(VLOOKUP($A91&amp;"_"&amp;M$5,Database!$A:$F,6,0),"")</f>
        <v/>
      </c>
      <c r="N91" s="20" t="str">
        <f>IFERROR(VLOOKUP($A91&amp;"_"&amp;N$5,Database!$A:$F,6,0),"")</f>
        <v/>
      </c>
      <c r="O91" s="20" t="str">
        <f>IFERROR(VLOOKUP($A91&amp;"_"&amp;O$5,Database!$A:$F,6,0),"")</f>
        <v/>
      </c>
      <c r="P91" s="20" t="str">
        <f>IFERROR(VLOOKUP($A91&amp;"_"&amp;P$5,Database!$A:$F,6,0),"")</f>
        <v/>
      </c>
      <c r="Q91" s="20" t="str">
        <f>IFERROR(VLOOKUP($A91&amp;"_"&amp;Q$5,Database!$A:$F,6,0),"")</f>
        <v/>
      </c>
      <c r="R91" s="20" t="str">
        <f>IFERROR(VLOOKUP($A91&amp;"_"&amp;R$5,Database!$A:$F,6,0),"")</f>
        <v/>
      </c>
      <c r="S91" s="20" t="str">
        <f>IFERROR(VLOOKUP($A91&amp;"_"&amp;S$5,Database!$A:$F,6,0),"")</f>
        <v/>
      </c>
      <c r="T91" s="20" t="str">
        <f>IFERROR(VLOOKUP($A91&amp;"_"&amp;T$5,Database!$A:$F,6,0),"")</f>
        <v/>
      </c>
      <c r="U91" s="20" t="str">
        <f>IFERROR(VLOOKUP($A91&amp;"_"&amp;U$5,Database!$A:$F,6,0),"")</f>
        <v/>
      </c>
      <c r="V91" s="20" t="str">
        <f>IFERROR(VLOOKUP($A91&amp;"_"&amp;V$5,Database!$A:$F,6,0),"")</f>
        <v/>
      </c>
      <c r="W91" s="20" t="str">
        <f>IFERROR(VLOOKUP($A91&amp;"_"&amp;W$5,Database!$A:$F,6,0),"")</f>
        <v/>
      </c>
      <c r="X91" s="20" t="str">
        <f>IFERROR(VLOOKUP($A91&amp;"_"&amp;X$5,Database!$A:$F,6,0),"")</f>
        <v/>
      </c>
      <c r="Y91" s="20" t="str">
        <f>IFERROR(VLOOKUP($A91&amp;"_"&amp;Y$5,Database!$A:$F,6,0),"")</f>
        <v/>
      </c>
      <c r="Z91" s="20" t="str">
        <f>IFERROR(VLOOKUP($A91&amp;"_"&amp;Z$5,Database!$A:$F,6,0),"")</f>
        <v/>
      </c>
      <c r="AA91" s="20" t="str">
        <f>IFERROR(VLOOKUP($A91&amp;"_"&amp;AA$5,Database!$A:$F,6,0),"")</f>
        <v/>
      </c>
      <c r="AB91" s="20" t="str">
        <f>IFERROR(VLOOKUP($A91&amp;"_"&amp;AB$5,Database!$A:$F,6,0),"")</f>
        <v/>
      </c>
      <c r="AC91" s="20" t="str">
        <f>IFERROR(VLOOKUP($A91&amp;"_"&amp;AC$5,Database!$A:$F,6,0),"")</f>
        <v/>
      </c>
      <c r="AD91" s="20" t="str">
        <f>IFERROR(VLOOKUP($A91&amp;"_"&amp;AD$5,Database!$A:$F,6,0),"")</f>
        <v/>
      </c>
      <c r="AE91" s="20" t="str">
        <f>IFERROR(VLOOKUP($A91&amp;"_"&amp;AE$5,Database!$A:$F,6,0),"")</f>
        <v/>
      </c>
      <c r="AF91" s="20" t="str">
        <f>IFERROR(VLOOKUP($A91&amp;"_"&amp;AF$5,Database!$A:$F,6,0),"")</f>
        <v/>
      </c>
      <c r="AG91" s="20" t="str">
        <f>IFERROR(VLOOKUP($A91&amp;"_"&amp;AG$5,Database!$A:$F,6,0),"")</f>
        <v/>
      </c>
      <c r="AH91" s="20" t="str">
        <f>IFERROR(VLOOKUP($A91&amp;"_"&amp;AH$5,Database!$A:$F,6,0),"")</f>
        <v/>
      </c>
      <c r="AI91" s="20" t="str">
        <f>IFERROR(VLOOKUP($A91&amp;"_"&amp;AI$5,Database!$A:$F,6,0),"")</f>
        <v/>
      </c>
      <c r="AJ91" s="20" t="str">
        <f>IFERROR(VLOOKUP($A91&amp;"_"&amp;AJ$5,Database!$A:$F,6,0),"")</f>
        <v/>
      </c>
      <c r="AK91" s="20" t="str">
        <f>IFERROR(VLOOKUP($A91&amp;"_"&amp;AK$5,Database!$A:$F,6,0),"")</f>
        <v/>
      </c>
    </row>
    <row r="92" spans="1:37" x14ac:dyDescent="0.2">
      <c r="A92" s="17" t="str">
        <f>IF('Employee Master'!A88="","",'Employee Master'!A88)</f>
        <v/>
      </c>
      <c r="B92" s="18" t="str">
        <f>IF('Employee Master'!B88="","",'Employee Master'!B88)</f>
        <v/>
      </c>
      <c r="C92" s="18" t="str">
        <f>IF('Employee Master'!C88="","",'Employee Master'!C88)</f>
        <v/>
      </c>
      <c r="D92" s="19">
        <f t="shared" si="9"/>
        <v>0</v>
      </c>
      <c r="E92" s="19">
        <f t="shared" si="10"/>
        <v>0</v>
      </c>
      <c r="F92" s="19">
        <f t="shared" si="8"/>
        <v>0</v>
      </c>
      <c r="G92" s="20" t="str">
        <f>IFERROR(VLOOKUP($A92&amp;"_"&amp;G$5,Database!$A:$F,6,0),"")</f>
        <v/>
      </c>
      <c r="H92" s="20" t="str">
        <f>IFERROR(VLOOKUP($A92&amp;"_"&amp;H$5,Database!$A:$F,6,0),"")</f>
        <v/>
      </c>
      <c r="I92" s="20" t="str">
        <f>IFERROR(VLOOKUP($A92&amp;"_"&amp;I$5,Database!$A:$F,6,0),"")</f>
        <v/>
      </c>
      <c r="J92" s="20" t="str">
        <f>IFERROR(VLOOKUP($A92&amp;"_"&amp;J$5,Database!$A:$F,6,0),"")</f>
        <v/>
      </c>
      <c r="K92" s="20" t="str">
        <f>IFERROR(VLOOKUP($A92&amp;"_"&amp;K$5,Database!$A:$F,6,0),"")</f>
        <v/>
      </c>
      <c r="L92" s="20" t="str">
        <f>IFERROR(VLOOKUP($A92&amp;"_"&amp;L$5,Database!$A:$F,6,0),"")</f>
        <v/>
      </c>
      <c r="M92" s="20" t="str">
        <f>IFERROR(VLOOKUP($A92&amp;"_"&amp;M$5,Database!$A:$F,6,0),"")</f>
        <v/>
      </c>
      <c r="N92" s="20" t="str">
        <f>IFERROR(VLOOKUP($A92&amp;"_"&amp;N$5,Database!$A:$F,6,0),"")</f>
        <v/>
      </c>
      <c r="O92" s="20" t="str">
        <f>IFERROR(VLOOKUP($A92&amp;"_"&amp;O$5,Database!$A:$F,6,0),"")</f>
        <v/>
      </c>
      <c r="P92" s="20" t="str">
        <f>IFERROR(VLOOKUP($A92&amp;"_"&amp;P$5,Database!$A:$F,6,0),"")</f>
        <v/>
      </c>
      <c r="Q92" s="20" t="str">
        <f>IFERROR(VLOOKUP($A92&amp;"_"&amp;Q$5,Database!$A:$F,6,0),"")</f>
        <v/>
      </c>
      <c r="R92" s="20" t="str">
        <f>IFERROR(VLOOKUP($A92&amp;"_"&amp;R$5,Database!$A:$F,6,0),"")</f>
        <v/>
      </c>
      <c r="S92" s="20" t="str">
        <f>IFERROR(VLOOKUP($A92&amp;"_"&amp;S$5,Database!$A:$F,6,0),"")</f>
        <v/>
      </c>
      <c r="T92" s="20" t="str">
        <f>IFERROR(VLOOKUP($A92&amp;"_"&amp;T$5,Database!$A:$F,6,0),"")</f>
        <v/>
      </c>
      <c r="U92" s="20" t="str">
        <f>IFERROR(VLOOKUP($A92&amp;"_"&amp;U$5,Database!$A:$F,6,0),"")</f>
        <v/>
      </c>
      <c r="V92" s="20" t="str">
        <f>IFERROR(VLOOKUP($A92&amp;"_"&amp;V$5,Database!$A:$F,6,0),"")</f>
        <v/>
      </c>
      <c r="W92" s="20" t="str">
        <f>IFERROR(VLOOKUP($A92&amp;"_"&amp;W$5,Database!$A:$F,6,0),"")</f>
        <v/>
      </c>
      <c r="X92" s="20" t="str">
        <f>IFERROR(VLOOKUP($A92&amp;"_"&amp;X$5,Database!$A:$F,6,0),"")</f>
        <v/>
      </c>
      <c r="Y92" s="20" t="str">
        <f>IFERROR(VLOOKUP($A92&amp;"_"&amp;Y$5,Database!$A:$F,6,0),"")</f>
        <v/>
      </c>
      <c r="Z92" s="20" t="str">
        <f>IFERROR(VLOOKUP($A92&amp;"_"&amp;Z$5,Database!$A:$F,6,0),"")</f>
        <v/>
      </c>
      <c r="AA92" s="20" t="str">
        <f>IFERROR(VLOOKUP($A92&amp;"_"&amp;AA$5,Database!$A:$F,6,0),"")</f>
        <v/>
      </c>
      <c r="AB92" s="20" t="str">
        <f>IFERROR(VLOOKUP($A92&amp;"_"&amp;AB$5,Database!$A:$F,6,0),"")</f>
        <v/>
      </c>
      <c r="AC92" s="20" t="str">
        <f>IFERROR(VLOOKUP($A92&amp;"_"&amp;AC$5,Database!$A:$F,6,0),"")</f>
        <v/>
      </c>
      <c r="AD92" s="20" t="str">
        <f>IFERROR(VLOOKUP($A92&amp;"_"&amp;AD$5,Database!$A:$F,6,0),"")</f>
        <v/>
      </c>
      <c r="AE92" s="20" t="str">
        <f>IFERROR(VLOOKUP($A92&amp;"_"&amp;AE$5,Database!$A:$F,6,0),"")</f>
        <v/>
      </c>
      <c r="AF92" s="20" t="str">
        <f>IFERROR(VLOOKUP($A92&amp;"_"&amp;AF$5,Database!$A:$F,6,0),"")</f>
        <v/>
      </c>
      <c r="AG92" s="20" t="str">
        <f>IFERROR(VLOOKUP($A92&amp;"_"&amp;AG$5,Database!$A:$F,6,0),"")</f>
        <v/>
      </c>
      <c r="AH92" s="20" t="str">
        <f>IFERROR(VLOOKUP($A92&amp;"_"&amp;AH$5,Database!$A:$F,6,0),"")</f>
        <v/>
      </c>
      <c r="AI92" s="20" t="str">
        <f>IFERROR(VLOOKUP($A92&amp;"_"&amp;AI$5,Database!$A:$F,6,0),"")</f>
        <v/>
      </c>
      <c r="AJ92" s="20" t="str">
        <f>IFERROR(VLOOKUP($A92&amp;"_"&amp;AJ$5,Database!$A:$F,6,0),"")</f>
        <v/>
      </c>
      <c r="AK92" s="20" t="str">
        <f>IFERROR(VLOOKUP($A92&amp;"_"&amp;AK$5,Database!$A:$F,6,0),"")</f>
        <v/>
      </c>
    </row>
    <row r="93" spans="1:37" x14ac:dyDescent="0.2">
      <c r="A93" s="17" t="str">
        <f>IF('Employee Master'!A89="","",'Employee Master'!A89)</f>
        <v/>
      </c>
      <c r="B93" s="18" t="str">
        <f>IF('Employee Master'!B89="","",'Employee Master'!B89)</f>
        <v/>
      </c>
      <c r="C93" s="18" t="str">
        <f>IF('Employee Master'!C89="","",'Employee Master'!C89)</f>
        <v/>
      </c>
      <c r="D93" s="19">
        <f t="shared" si="9"/>
        <v>0</v>
      </c>
      <c r="E93" s="19">
        <f t="shared" si="10"/>
        <v>0</v>
      </c>
      <c r="F93" s="19">
        <f t="shared" si="8"/>
        <v>0</v>
      </c>
      <c r="G93" s="20" t="str">
        <f>IFERROR(VLOOKUP($A93&amp;"_"&amp;G$5,Database!$A:$F,6,0),"")</f>
        <v/>
      </c>
      <c r="H93" s="20" t="str">
        <f>IFERROR(VLOOKUP($A93&amp;"_"&amp;H$5,Database!$A:$F,6,0),"")</f>
        <v/>
      </c>
      <c r="I93" s="20" t="str">
        <f>IFERROR(VLOOKUP($A93&amp;"_"&amp;I$5,Database!$A:$F,6,0),"")</f>
        <v/>
      </c>
      <c r="J93" s="20" t="str">
        <f>IFERROR(VLOOKUP($A93&amp;"_"&amp;J$5,Database!$A:$F,6,0),"")</f>
        <v/>
      </c>
      <c r="K93" s="20" t="str">
        <f>IFERROR(VLOOKUP($A93&amp;"_"&amp;K$5,Database!$A:$F,6,0),"")</f>
        <v/>
      </c>
      <c r="L93" s="20" t="str">
        <f>IFERROR(VLOOKUP($A93&amp;"_"&amp;L$5,Database!$A:$F,6,0),"")</f>
        <v/>
      </c>
      <c r="M93" s="20" t="str">
        <f>IFERROR(VLOOKUP($A93&amp;"_"&amp;M$5,Database!$A:$F,6,0),"")</f>
        <v/>
      </c>
      <c r="N93" s="20" t="str">
        <f>IFERROR(VLOOKUP($A93&amp;"_"&amp;N$5,Database!$A:$F,6,0),"")</f>
        <v/>
      </c>
      <c r="O93" s="20" t="str">
        <f>IFERROR(VLOOKUP($A93&amp;"_"&amp;O$5,Database!$A:$F,6,0),"")</f>
        <v/>
      </c>
      <c r="P93" s="20" t="str">
        <f>IFERROR(VLOOKUP($A93&amp;"_"&amp;P$5,Database!$A:$F,6,0),"")</f>
        <v/>
      </c>
      <c r="Q93" s="20" t="str">
        <f>IFERROR(VLOOKUP($A93&amp;"_"&amp;Q$5,Database!$A:$F,6,0),"")</f>
        <v/>
      </c>
      <c r="R93" s="20" t="str">
        <f>IFERROR(VLOOKUP($A93&amp;"_"&amp;R$5,Database!$A:$F,6,0),"")</f>
        <v/>
      </c>
      <c r="S93" s="20" t="str">
        <f>IFERROR(VLOOKUP($A93&amp;"_"&amp;S$5,Database!$A:$F,6,0),"")</f>
        <v/>
      </c>
      <c r="T93" s="20" t="str">
        <f>IFERROR(VLOOKUP($A93&amp;"_"&amp;T$5,Database!$A:$F,6,0),"")</f>
        <v/>
      </c>
      <c r="U93" s="20" t="str">
        <f>IFERROR(VLOOKUP($A93&amp;"_"&amp;U$5,Database!$A:$F,6,0),"")</f>
        <v/>
      </c>
      <c r="V93" s="20" t="str">
        <f>IFERROR(VLOOKUP($A93&amp;"_"&amp;V$5,Database!$A:$F,6,0),"")</f>
        <v/>
      </c>
      <c r="W93" s="20" t="str">
        <f>IFERROR(VLOOKUP($A93&amp;"_"&amp;W$5,Database!$A:$F,6,0),"")</f>
        <v/>
      </c>
      <c r="X93" s="20" t="str">
        <f>IFERROR(VLOOKUP($A93&amp;"_"&amp;X$5,Database!$A:$F,6,0),"")</f>
        <v/>
      </c>
      <c r="Y93" s="20" t="str">
        <f>IFERROR(VLOOKUP($A93&amp;"_"&amp;Y$5,Database!$A:$F,6,0),"")</f>
        <v/>
      </c>
      <c r="Z93" s="20" t="str">
        <f>IFERROR(VLOOKUP($A93&amp;"_"&amp;Z$5,Database!$A:$F,6,0),"")</f>
        <v/>
      </c>
      <c r="AA93" s="20" t="str">
        <f>IFERROR(VLOOKUP($A93&amp;"_"&amp;AA$5,Database!$A:$F,6,0),"")</f>
        <v/>
      </c>
      <c r="AB93" s="20" t="str">
        <f>IFERROR(VLOOKUP($A93&amp;"_"&amp;AB$5,Database!$A:$F,6,0),"")</f>
        <v/>
      </c>
      <c r="AC93" s="20" t="str">
        <f>IFERROR(VLOOKUP($A93&amp;"_"&amp;AC$5,Database!$A:$F,6,0),"")</f>
        <v/>
      </c>
      <c r="AD93" s="20" t="str">
        <f>IFERROR(VLOOKUP($A93&amp;"_"&amp;AD$5,Database!$A:$F,6,0),"")</f>
        <v/>
      </c>
      <c r="AE93" s="20" t="str">
        <f>IFERROR(VLOOKUP($A93&amp;"_"&amp;AE$5,Database!$A:$F,6,0),"")</f>
        <v/>
      </c>
      <c r="AF93" s="20" t="str">
        <f>IFERROR(VLOOKUP($A93&amp;"_"&amp;AF$5,Database!$A:$F,6,0),"")</f>
        <v/>
      </c>
      <c r="AG93" s="20" t="str">
        <f>IFERROR(VLOOKUP($A93&amp;"_"&amp;AG$5,Database!$A:$F,6,0),"")</f>
        <v/>
      </c>
      <c r="AH93" s="20" t="str">
        <f>IFERROR(VLOOKUP($A93&amp;"_"&amp;AH$5,Database!$A:$F,6,0),"")</f>
        <v/>
      </c>
      <c r="AI93" s="20" t="str">
        <f>IFERROR(VLOOKUP($A93&amp;"_"&amp;AI$5,Database!$A:$F,6,0),"")</f>
        <v/>
      </c>
      <c r="AJ93" s="20" t="str">
        <f>IFERROR(VLOOKUP($A93&amp;"_"&amp;AJ$5,Database!$A:$F,6,0),"")</f>
        <v/>
      </c>
      <c r="AK93" s="20" t="str">
        <f>IFERROR(VLOOKUP($A93&amp;"_"&amp;AK$5,Database!$A:$F,6,0),"")</f>
        <v/>
      </c>
    </row>
    <row r="94" spans="1:37" x14ac:dyDescent="0.2">
      <c r="A94" s="17" t="str">
        <f>IF('Employee Master'!A90="","",'Employee Master'!A90)</f>
        <v/>
      </c>
      <c r="B94" s="18" t="str">
        <f>IF('Employee Master'!B90="","",'Employee Master'!B90)</f>
        <v/>
      </c>
      <c r="C94" s="18" t="str">
        <f>IF('Employee Master'!C90="","",'Employee Master'!C90)</f>
        <v/>
      </c>
      <c r="D94" s="19">
        <f t="shared" si="9"/>
        <v>0</v>
      </c>
      <c r="E94" s="19">
        <f t="shared" si="10"/>
        <v>0</v>
      </c>
      <c r="F94" s="19">
        <f t="shared" si="8"/>
        <v>0</v>
      </c>
      <c r="G94" s="20" t="str">
        <f>IFERROR(VLOOKUP($A94&amp;"_"&amp;G$5,Database!$A:$F,6,0),"")</f>
        <v/>
      </c>
      <c r="H94" s="20" t="str">
        <f>IFERROR(VLOOKUP($A94&amp;"_"&amp;H$5,Database!$A:$F,6,0),"")</f>
        <v/>
      </c>
      <c r="I94" s="20" t="str">
        <f>IFERROR(VLOOKUP($A94&amp;"_"&amp;I$5,Database!$A:$F,6,0),"")</f>
        <v/>
      </c>
      <c r="J94" s="20" t="str">
        <f>IFERROR(VLOOKUP($A94&amp;"_"&amp;J$5,Database!$A:$F,6,0),"")</f>
        <v/>
      </c>
      <c r="K94" s="20" t="str">
        <f>IFERROR(VLOOKUP($A94&amp;"_"&amp;K$5,Database!$A:$F,6,0),"")</f>
        <v/>
      </c>
      <c r="L94" s="20" t="str">
        <f>IFERROR(VLOOKUP($A94&amp;"_"&amp;L$5,Database!$A:$F,6,0),"")</f>
        <v/>
      </c>
      <c r="M94" s="20" t="str">
        <f>IFERROR(VLOOKUP($A94&amp;"_"&amp;M$5,Database!$A:$F,6,0),"")</f>
        <v/>
      </c>
      <c r="N94" s="20" t="str">
        <f>IFERROR(VLOOKUP($A94&amp;"_"&amp;N$5,Database!$A:$F,6,0),"")</f>
        <v/>
      </c>
      <c r="O94" s="20" t="str">
        <f>IFERROR(VLOOKUP($A94&amp;"_"&amp;O$5,Database!$A:$F,6,0),"")</f>
        <v/>
      </c>
      <c r="P94" s="20" t="str">
        <f>IFERROR(VLOOKUP($A94&amp;"_"&amp;P$5,Database!$A:$F,6,0),"")</f>
        <v/>
      </c>
      <c r="Q94" s="20" t="str">
        <f>IFERROR(VLOOKUP($A94&amp;"_"&amp;Q$5,Database!$A:$F,6,0),"")</f>
        <v/>
      </c>
      <c r="R94" s="20" t="str">
        <f>IFERROR(VLOOKUP($A94&amp;"_"&amp;R$5,Database!$A:$F,6,0),"")</f>
        <v/>
      </c>
      <c r="S94" s="20" t="str">
        <f>IFERROR(VLOOKUP($A94&amp;"_"&amp;S$5,Database!$A:$F,6,0),"")</f>
        <v/>
      </c>
      <c r="T94" s="20" t="str">
        <f>IFERROR(VLOOKUP($A94&amp;"_"&amp;T$5,Database!$A:$F,6,0),"")</f>
        <v/>
      </c>
      <c r="U94" s="20" t="str">
        <f>IFERROR(VLOOKUP($A94&amp;"_"&amp;U$5,Database!$A:$F,6,0),"")</f>
        <v/>
      </c>
      <c r="V94" s="20" t="str">
        <f>IFERROR(VLOOKUP($A94&amp;"_"&amp;V$5,Database!$A:$F,6,0),"")</f>
        <v/>
      </c>
      <c r="W94" s="20" t="str">
        <f>IFERROR(VLOOKUP($A94&amp;"_"&amp;W$5,Database!$A:$F,6,0),"")</f>
        <v/>
      </c>
      <c r="X94" s="20" t="str">
        <f>IFERROR(VLOOKUP($A94&amp;"_"&amp;X$5,Database!$A:$F,6,0),"")</f>
        <v/>
      </c>
      <c r="Y94" s="20" t="str">
        <f>IFERROR(VLOOKUP($A94&amp;"_"&amp;Y$5,Database!$A:$F,6,0),"")</f>
        <v/>
      </c>
      <c r="Z94" s="20" t="str">
        <f>IFERROR(VLOOKUP($A94&amp;"_"&amp;Z$5,Database!$A:$F,6,0),"")</f>
        <v/>
      </c>
      <c r="AA94" s="20" t="str">
        <f>IFERROR(VLOOKUP($A94&amp;"_"&amp;AA$5,Database!$A:$F,6,0),"")</f>
        <v/>
      </c>
      <c r="AB94" s="20" t="str">
        <f>IFERROR(VLOOKUP($A94&amp;"_"&amp;AB$5,Database!$A:$F,6,0),"")</f>
        <v/>
      </c>
      <c r="AC94" s="20" t="str">
        <f>IFERROR(VLOOKUP($A94&amp;"_"&amp;AC$5,Database!$A:$F,6,0),"")</f>
        <v/>
      </c>
      <c r="AD94" s="20" t="str">
        <f>IFERROR(VLOOKUP($A94&amp;"_"&amp;AD$5,Database!$A:$F,6,0),"")</f>
        <v/>
      </c>
      <c r="AE94" s="20" t="str">
        <f>IFERROR(VLOOKUP($A94&amp;"_"&amp;AE$5,Database!$A:$F,6,0),"")</f>
        <v/>
      </c>
      <c r="AF94" s="20" t="str">
        <f>IFERROR(VLOOKUP($A94&amp;"_"&amp;AF$5,Database!$A:$F,6,0),"")</f>
        <v/>
      </c>
      <c r="AG94" s="20" t="str">
        <f>IFERROR(VLOOKUP($A94&amp;"_"&amp;AG$5,Database!$A:$F,6,0),"")</f>
        <v/>
      </c>
      <c r="AH94" s="20" t="str">
        <f>IFERROR(VLOOKUP($A94&amp;"_"&amp;AH$5,Database!$A:$F,6,0),"")</f>
        <v/>
      </c>
      <c r="AI94" s="20" t="str">
        <f>IFERROR(VLOOKUP($A94&amp;"_"&amp;AI$5,Database!$A:$F,6,0),"")</f>
        <v/>
      </c>
      <c r="AJ94" s="20" t="str">
        <f>IFERROR(VLOOKUP($A94&amp;"_"&amp;AJ$5,Database!$A:$F,6,0),"")</f>
        <v/>
      </c>
      <c r="AK94" s="20" t="str">
        <f>IFERROR(VLOOKUP($A94&amp;"_"&amp;AK$5,Database!$A:$F,6,0),"")</f>
        <v/>
      </c>
    </row>
    <row r="95" spans="1:37" x14ac:dyDescent="0.2">
      <c r="A95" s="17" t="str">
        <f>IF('Employee Master'!A91="","",'Employee Master'!A91)</f>
        <v/>
      </c>
      <c r="B95" s="18" t="str">
        <f>IF('Employee Master'!B91="","",'Employee Master'!B91)</f>
        <v/>
      </c>
      <c r="C95" s="18" t="str">
        <f>IF('Employee Master'!C91="","",'Employee Master'!C91)</f>
        <v/>
      </c>
      <c r="D95" s="19">
        <f t="shared" si="9"/>
        <v>0</v>
      </c>
      <c r="E95" s="19">
        <f t="shared" si="10"/>
        <v>0</v>
      </c>
      <c r="F95" s="19">
        <f t="shared" si="8"/>
        <v>0</v>
      </c>
      <c r="G95" s="20" t="str">
        <f>IFERROR(VLOOKUP($A95&amp;"_"&amp;G$5,Database!$A:$F,6,0),"")</f>
        <v/>
      </c>
      <c r="H95" s="20" t="str">
        <f>IFERROR(VLOOKUP($A95&amp;"_"&amp;H$5,Database!$A:$F,6,0),"")</f>
        <v/>
      </c>
      <c r="I95" s="20" t="str">
        <f>IFERROR(VLOOKUP($A95&amp;"_"&amp;I$5,Database!$A:$F,6,0),"")</f>
        <v/>
      </c>
      <c r="J95" s="20" t="str">
        <f>IFERROR(VLOOKUP($A95&amp;"_"&amp;J$5,Database!$A:$F,6,0),"")</f>
        <v/>
      </c>
      <c r="K95" s="20" t="str">
        <f>IFERROR(VLOOKUP($A95&amp;"_"&amp;K$5,Database!$A:$F,6,0),"")</f>
        <v/>
      </c>
      <c r="L95" s="20" t="str">
        <f>IFERROR(VLOOKUP($A95&amp;"_"&amp;L$5,Database!$A:$F,6,0),"")</f>
        <v/>
      </c>
      <c r="M95" s="20" t="str">
        <f>IFERROR(VLOOKUP($A95&amp;"_"&amp;M$5,Database!$A:$F,6,0),"")</f>
        <v/>
      </c>
      <c r="N95" s="20" t="str">
        <f>IFERROR(VLOOKUP($A95&amp;"_"&amp;N$5,Database!$A:$F,6,0),"")</f>
        <v/>
      </c>
      <c r="O95" s="20" t="str">
        <f>IFERROR(VLOOKUP($A95&amp;"_"&amp;O$5,Database!$A:$F,6,0),"")</f>
        <v/>
      </c>
      <c r="P95" s="20" t="str">
        <f>IFERROR(VLOOKUP($A95&amp;"_"&amp;P$5,Database!$A:$F,6,0),"")</f>
        <v/>
      </c>
      <c r="Q95" s="20" t="str">
        <f>IFERROR(VLOOKUP($A95&amp;"_"&amp;Q$5,Database!$A:$F,6,0),"")</f>
        <v/>
      </c>
      <c r="R95" s="20" t="str">
        <f>IFERROR(VLOOKUP($A95&amp;"_"&amp;R$5,Database!$A:$F,6,0),"")</f>
        <v/>
      </c>
      <c r="S95" s="20" t="str">
        <f>IFERROR(VLOOKUP($A95&amp;"_"&amp;S$5,Database!$A:$F,6,0),"")</f>
        <v/>
      </c>
      <c r="T95" s="20" t="str">
        <f>IFERROR(VLOOKUP($A95&amp;"_"&amp;T$5,Database!$A:$F,6,0),"")</f>
        <v/>
      </c>
      <c r="U95" s="20" t="str">
        <f>IFERROR(VLOOKUP($A95&amp;"_"&amp;U$5,Database!$A:$F,6,0),"")</f>
        <v/>
      </c>
      <c r="V95" s="20" t="str">
        <f>IFERROR(VLOOKUP($A95&amp;"_"&amp;V$5,Database!$A:$F,6,0),"")</f>
        <v/>
      </c>
      <c r="W95" s="20" t="str">
        <f>IFERROR(VLOOKUP($A95&amp;"_"&amp;W$5,Database!$A:$F,6,0),"")</f>
        <v/>
      </c>
      <c r="X95" s="20" t="str">
        <f>IFERROR(VLOOKUP($A95&amp;"_"&amp;X$5,Database!$A:$F,6,0),"")</f>
        <v/>
      </c>
      <c r="Y95" s="20" t="str">
        <f>IFERROR(VLOOKUP($A95&amp;"_"&amp;Y$5,Database!$A:$F,6,0),"")</f>
        <v/>
      </c>
      <c r="Z95" s="20" t="str">
        <f>IFERROR(VLOOKUP($A95&amp;"_"&amp;Z$5,Database!$A:$F,6,0),"")</f>
        <v/>
      </c>
      <c r="AA95" s="20" t="str">
        <f>IFERROR(VLOOKUP($A95&amp;"_"&amp;AA$5,Database!$A:$F,6,0),"")</f>
        <v/>
      </c>
      <c r="AB95" s="20" t="str">
        <f>IFERROR(VLOOKUP($A95&amp;"_"&amp;AB$5,Database!$A:$F,6,0),"")</f>
        <v/>
      </c>
      <c r="AC95" s="20" t="str">
        <f>IFERROR(VLOOKUP($A95&amp;"_"&amp;AC$5,Database!$A:$F,6,0),"")</f>
        <v/>
      </c>
      <c r="AD95" s="20" t="str">
        <f>IFERROR(VLOOKUP($A95&amp;"_"&amp;AD$5,Database!$A:$F,6,0),"")</f>
        <v/>
      </c>
      <c r="AE95" s="20" t="str">
        <f>IFERROR(VLOOKUP($A95&amp;"_"&amp;AE$5,Database!$A:$F,6,0),"")</f>
        <v/>
      </c>
      <c r="AF95" s="20" t="str">
        <f>IFERROR(VLOOKUP($A95&amp;"_"&amp;AF$5,Database!$A:$F,6,0),"")</f>
        <v/>
      </c>
      <c r="AG95" s="20" t="str">
        <f>IFERROR(VLOOKUP($A95&amp;"_"&amp;AG$5,Database!$A:$F,6,0),"")</f>
        <v/>
      </c>
      <c r="AH95" s="20" t="str">
        <f>IFERROR(VLOOKUP($A95&amp;"_"&amp;AH$5,Database!$A:$F,6,0),"")</f>
        <v/>
      </c>
      <c r="AI95" s="20" t="str">
        <f>IFERROR(VLOOKUP($A95&amp;"_"&amp;AI$5,Database!$A:$F,6,0),"")</f>
        <v/>
      </c>
      <c r="AJ95" s="20" t="str">
        <f>IFERROR(VLOOKUP($A95&amp;"_"&amp;AJ$5,Database!$A:$F,6,0),"")</f>
        <v/>
      </c>
      <c r="AK95" s="20" t="str">
        <f>IFERROR(VLOOKUP($A95&amp;"_"&amp;AK$5,Database!$A:$F,6,0),"")</f>
        <v/>
      </c>
    </row>
    <row r="96" spans="1:37" x14ac:dyDescent="0.2">
      <c r="A96" s="17" t="str">
        <f>IF('Employee Master'!A92="","",'Employee Master'!A92)</f>
        <v/>
      </c>
      <c r="B96" s="18" t="str">
        <f>IF('Employee Master'!B92="","",'Employee Master'!B92)</f>
        <v/>
      </c>
      <c r="C96" s="18" t="str">
        <f>IF('Employee Master'!C92="","",'Employee Master'!C92)</f>
        <v/>
      </c>
      <c r="D96" s="19">
        <f t="shared" si="9"/>
        <v>0</v>
      </c>
      <c r="E96" s="19">
        <f t="shared" si="10"/>
        <v>0</v>
      </c>
      <c r="F96" s="19">
        <f t="shared" si="8"/>
        <v>0</v>
      </c>
      <c r="G96" s="20" t="str">
        <f>IFERROR(VLOOKUP($A96&amp;"_"&amp;G$5,Database!$A:$F,6,0),"")</f>
        <v/>
      </c>
      <c r="H96" s="20" t="str">
        <f>IFERROR(VLOOKUP($A96&amp;"_"&amp;H$5,Database!$A:$F,6,0),"")</f>
        <v/>
      </c>
      <c r="I96" s="20" t="str">
        <f>IFERROR(VLOOKUP($A96&amp;"_"&amp;I$5,Database!$A:$F,6,0),"")</f>
        <v/>
      </c>
      <c r="J96" s="20" t="str">
        <f>IFERROR(VLOOKUP($A96&amp;"_"&amp;J$5,Database!$A:$F,6,0),"")</f>
        <v/>
      </c>
      <c r="K96" s="20" t="str">
        <f>IFERROR(VLOOKUP($A96&amp;"_"&amp;K$5,Database!$A:$F,6,0),"")</f>
        <v/>
      </c>
      <c r="L96" s="20" t="str">
        <f>IFERROR(VLOOKUP($A96&amp;"_"&amp;L$5,Database!$A:$F,6,0),"")</f>
        <v/>
      </c>
      <c r="M96" s="20" t="str">
        <f>IFERROR(VLOOKUP($A96&amp;"_"&amp;M$5,Database!$A:$F,6,0),"")</f>
        <v/>
      </c>
      <c r="N96" s="20" t="str">
        <f>IFERROR(VLOOKUP($A96&amp;"_"&amp;N$5,Database!$A:$F,6,0),"")</f>
        <v/>
      </c>
      <c r="O96" s="20" t="str">
        <f>IFERROR(VLOOKUP($A96&amp;"_"&amp;O$5,Database!$A:$F,6,0),"")</f>
        <v/>
      </c>
      <c r="P96" s="20" t="str">
        <f>IFERROR(VLOOKUP($A96&amp;"_"&amp;P$5,Database!$A:$F,6,0),"")</f>
        <v/>
      </c>
      <c r="Q96" s="20" t="str">
        <f>IFERROR(VLOOKUP($A96&amp;"_"&amp;Q$5,Database!$A:$F,6,0),"")</f>
        <v/>
      </c>
      <c r="R96" s="20" t="str">
        <f>IFERROR(VLOOKUP($A96&amp;"_"&amp;R$5,Database!$A:$F,6,0),"")</f>
        <v/>
      </c>
      <c r="S96" s="20" t="str">
        <f>IFERROR(VLOOKUP($A96&amp;"_"&amp;S$5,Database!$A:$F,6,0),"")</f>
        <v/>
      </c>
      <c r="T96" s="20" t="str">
        <f>IFERROR(VLOOKUP($A96&amp;"_"&amp;T$5,Database!$A:$F,6,0),"")</f>
        <v/>
      </c>
      <c r="U96" s="20" t="str">
        <f>IFERROR(VLOOKUP($A96&amp;"_"&amp;U$5,Database!$A:$F,6,0),"")</f>
        <v/>
      </c>
      <c r="V96" s="20" t="str">
        <f>IFERROR(VLOOKUP($A96&amp;"_"&amp;V$5,Database!$A:$F,6,0),"")</f>
        <v/>
      </c>
      <c r="W96" s="20" t="str">
        <f>IFERROR(VLOOKUP($A96&amp;"_"&amp;W$5,Database!$A:$F,6,0),"")</f>
        <v/>
      </c>
      <c r="X96" s="20" t="str">
        <f>IFERROR(VLOOKUP($A96&amp;"_"&amp;X$5,Database!$A:$F,6,0),"")</f>
        <v/>
      </c>
      <c r="Y96" s="20" t="str">
        <f>IFERROR(VLOOKUP($A96&amp;"_"&amp;Y$5,Database!$A:$F,6,0),"")</f>
        <v/>
      </c>
      <c r="Z96" s="20" t="str">
        <f>IFERROR(VLOOKUP($A96&amp;"_"&amp;Z$5,Database!$A:$F,6,0),"")</f>
        <v/>
      </c>
      <c r="AA96" s="20" t="str">
        <f>IFERROR(VLOOKUP($A96&amp;"_"&amp;AA$5,Database!$A:$F,6,0),"")</f>
        <v/>
      </c>
      <c r="AB96" s="20" t="str">
        <f>IFERROR(VLOOKUP($A96&amp;"_"&amp;AB$5,Database!$A:$F,6,0),"")</f>
        <v/>
      </c>
      <c r="AC96" s="20" t="str">
        <f>IFERROR(VLOOKUP($A96&amp;"_"&amp;AC$5,Database!$A:$F,6,0),"")</f>
        <v/>
      </c>
      <c r="AD96" s="20" t="str">
        <f>IFERROR(VLOOKUP($A96&amp;"_"&amp;AD$5,Database!$A:$F,6,0),"")</f>
        <v/>
      </c>
      <c r="AE96" s="20" t="str">
        <f>IFERROR(VLOOKUP($A96&amp;"_"&amp;AE$5,Database!$A:$F,6,0),"")</f>
        <v/>
      </c>
      <c r="AF96" s="20" t="str">
        <f>IFERROR(VLOOKUP($A96&amp;"_"&amp;AF$5,Database!$A:$F,6,0),"")</f>
        <v/>
      </c>
      <c r="AG96" s="20" t="str">
        <f>IFERROR(VLOOKUP($A96&amp;"_"&amp;AG$5,Database!$A:$F,6,0),"")</f>
        <v/>
      </c>
      <c r="AH96" s="20" t="str">
        <f>IFERROR(VLOOKUP($A96&amp;"_"&amp;AH$5,Database!$A:$F,6,0),"")</f>
        <v/>
      </c>
      <c r="AI96" s="20" t="str">
        <f>IFERROR(VLOOKUP($A96&amp;"_"&amp;AI$5,Database!$A:$F,6,0),"")</f>
        <v/>
      </c>
      <c r="AJ96" s="20" t="str">
        <f>IFERROR(VLOOKUP($A96&amp;"_"&amp;AJ$5,Database!$A:$F,6,0),"")</f>
        <v/>
      </c>
      <c r="AK96" s="20" t="str">
        <f>IFERROR(VLOOKUP($A96&amp;"_"&amp;AK$5,Database!$A:$F,6,0),"")</f>
        <v/>
      </c>
    </row>
    <row r="97" spans="6:6" x14ac:dyDescent="0.2">
      <c r="F97" s="19">
        <f t="shared" si="8"/>
        <v>0</v>
      </c>
    </row>
  </sheetData>
  <mergeCells count="8">
    <mergeCell ref="B2:B3"/>
    <mergeCell ref="A2:A3"/>
    <mergeCell ref="P2:U3"/>
    <mergeCell ref="X2:AC3"/>
    <mergeCell ref="H4:M4"/>
    <mergeCell ref="P4:U4"/>
    <mergeCell ref="X4:AC4"/>
    <mergeCell ref="H2:M3"/>
  </mergeCells>
  <conditionalFormatting sqref="G6:AK96">
    <cfRule type="cellIs" dxfId="59" priority="1" operator="equal">
      <formula>"OT"</formula>
    </cfRule>
    <cfRule type="cellIs" dxfId="58" priority="24" operator="equal">
      <formula>"PTO"</formula>
    </cfRule>
    <cfRule type="cellIs" dxfId="57" priority="28" operator="equal">
      <formula>"A"</formula>
    </cfRule>
    <cfRule type="cellIs" dxfId="56" priority="29" operator="equal">
      <formula>"P"</formula>
    </cfRule>
    <cfRule type="cellIs" dxfId="55" priority="30" operator="equal">
      <formula>"WO"</formula>
    </cfRule>
  </conditionalFormatting>
  <conditionalFormatting sqref="D6:D96">
    <cfRule type="dataBar" priority="27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{F844B1B8-6414-4E19-BAF1-5A3DC2696A17}</x14:id>
        </ext>
      </extLst>
    </cfRule>
  </conditionalFormatting>
  <conditionalFormatting sqref="E6:E96">
    <cfRule type="dataBar" priority="26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{B5A2769C-129E-4DA5-A106-73FE94F210E7}</x14:id>
        </ext>
      </extLst>
    </cfRule>
  </conditionalFormatting>
  <conditionalFormatting sqref="F6:F97">
    <cfRule type="dataBar" priority="25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{4F0853D2-468F-4644-9401-C90FFD59CDD7}</x14:id>
        </ext>
      </extLst>
    </cfRule>
  </conditionalFormatting>
  <conditionalFormatting sqref="G5:AK5">
    <cfRule type="notContainsBlanks" dxfId="54" priority="23">
      <formula>LEN(TRIM(G5))&gt;0</formula>
    </cfRule>
  </conditionalFormatting>
  <conditionalFormatting sqref="D6:F36 D37:E96 F7:F97">
    <cfRule type="expression" dxfId="53" priority="21">
      <formula>$A6=""</formula>
    </cfRule>
  </conditionalFormatting>
  <conditionalFormatting sqref="A6:AK36 A37:E96 G37:AK96 F7:F97">
    <cfRule type="cellIs" dxfId="52" priority="2" operator="equal">
      <formula>"B"</formula>
    </cfRule>
    <cfRule type="cellIs" dxfId="51" priority="3" operator="equal">
      <formula>"ATR"</formula>
    </cfRule>
    <cfRule type="cellIs" dxfId="50" priority="4" operator="equal">
      <formula>"AI"</formula>
    </cfRule>
    <cfRule type="cellIs" dxfId="49" priority="5" operator="equal">
      <formula>"AEL"</formula>
    </cfRule>
    <cfRule type="cellIs" dxfId="48" priority="6" operator="equal">
      <formula>"AA"</formula>
    </cfRule>
    <cfRule type="cellIs" dxfId="47" priority="7" operator="equal">
      <formula>"UEL"</formula>
    </cfRule>
    <cfRule type="cellIs" dxfId="46" priority="8" operator="equal">
      <formula>"UA"</formula>
    </cfRule>
    <cfRule type="cellIs" dxfId="45" priority="9" operator="equal">
      <formula>"LLU"</formula>
    </cfRule>
    <cfRule type="cellIs" dxfId="44" priority="10" operator="equal">
      <formula>"LLA"</formula>
    </cfRule>
    <cfRule type="cellIs" dxfId="43" priority="11" operator="equal">
      <formula>"PS"</formula>
    </cfRule>
    <cfRule type="cellIs" dxfId="42" priority="12" operator="equal">
      <formula>"TS"</formula>
    </cfRule>
    <cfRule type="cellIs" dxfId="41" priority="13" operator="equal">
      <formula>"ROF"</formula>
    </cfRule>
    <cfRule type="cellIs" dxfId="40" priority="14" operator="equal">
      <formula>"S"</formula>
    </cfRule>
    <cfRule type="cellIs" dxfId="39" priority="15" operator="equal">
      <formula>"T"</formula>
    </cfRule>
    <cfRule type="cellIs" dxfId="38" priority="16" operator="equal">
      <formula>"PPTO"</formula>
    </cfRule>
    <cfRule type="cellIs" dxfId="37" priority="17" operator="equal">
      <formula>"WO"</formula>
    </cfRule>
    <cfRule type="cellIs" dxfId="36" priority="18" operator="equal">
      <formula>"LOA"</formula>
    </cfRule>
    <cfRule type="expression" dxfId="35" priority="19">
      <formula>AND($A6&lt;&gt;"",A$5&lt;&gt;"")</formula>
    </cfRule>
    <cfRule type="cellIs" dxfId="34" priority="31" operator="equal">
      <formula>"NCNS"</formula>
    </cfRule>
  </conditionalFormatting>
  <dataValidations count="2">
    <dataValidation type="list" allowBlank="1" showInputMessage="1" showErrorMessage="1" sqref="B2:B3" xr:uid="{8C9EF46E-06F5-4A4A-BE84-54A423B4D800}">
      <formula1>Month</formula1>
    </dataValidation>
    <dataValidation type="list" allowBlank="1" showInputMessage="1" showErrorMessage="1" sqref="G6:AK96" xr:uid="{2EB015AC-0453-4BF6-9CB8-4C4B388DDB38}">
      <formula1>Attendance_List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63" r:id="rId4" name="CommandButton5">
          <controlPr defaultSize="0" autoLine="0" r:id="rId5">
            <anchor moveWithCells="1">
              <from>
                <xdr:col>40</xdr:col>
                <xdr:colOff>285750</xdr:colOff>
                <xdr:row>27</xdr:row>
                <xdr:rowOff>66675</xdr:rowOff>
              </from>
              <to>
                <xdr:col>43</xdr:col>
                <xdr:colOff>247650</xdr:colOff>
                <xdr:row>30</xdr:row>
                <xdr:rowOff>66675</xdr:rowOff>
              </to>
            </anchor>
          </controlPr>
        </control>
      </mc:Choice>
      <mc:Fallback>
        <control shapeId="31763" r:id="rId4" name="CommandButton5"/>
      </mc:Fallback>
    </mc:AlternateContent>
    <mc:AlternateContent xmlns:mc="http://schemas.openxmlformats.org/markup-compatibility/2006">
      <mc:Choice Requires="x14">
        <control shapeId="31757" r:id="rId6" name="CommandButton4">
          <controlPr defaultSize="0" autoLine="0" r:id="rId7">
            <anchor moveWithCells="1">
              <from>
                <xdr:col>40</xdr:col>
                <xdr:colOff>266700</xdr:colOff>
                <xdr:row>23</xdr:row>
                <xdr:rowOff>95250</xdr:rowOff>
              </from>
              <to>
                <xdr:col>43</xdr:col>
                <xdr:colOff>257175</xdr:colOff>
                <xdr:row>26</xdr:row>
                <xdr:rowOff>114300</xdr:rowOff>
              </to>
            </anchor>
          </controlPr>
        </control>
      </mc:Choice>
      <mc:Fallback>
        <control shapeId="31757" r:id="rId6" name="CommandButton4"/>
      </mc:Fallback>
    </mc:AlternateContent>
    <mc:AlternateContent xmlns:mc="http://schemas.openxmlformats.org/markup-compatibility/2006">
      <mc:Choice Requires="x14">
        <control shapeId="31747" r:id="rId8" name="CommandButton1">
          <controlPr defaultSize="0" autoLine="0" r:id="rId9">
            <anchor moveWithCells="1">
              <from>
                <xdr:col>40</xdr:col>
                <xdr:colOff>295275</xdr:colOff>
                <xdr:row>12</xdr:row>
                <xdr:rowOff>152400</xdr:rowOff>
              </from>
              <to>
                <xdr:col>43</xdr:col>
                <xdr:colOff>285750</xdr:colOff>
                <xdr:row>15</xdr:row>
                <xdr:rowOff>142875</xdr:rowOff>
              </to>
            </anchor>
          </controlPr>
        </control>
      </mc:Choice>
      <mc:Fallback>
        <control shapeId="31747" r:id="rId8" name="CommandButton1"/>
      </mc:Fallback>
    </mc:AlternateContent>
    <mc:AlternateContent xmlns:mc="http://schemas.openxmlformats.org/markup-compatibility/2006">
      <mc:Choice Requires="x14">
        <control shapeId="31749" r:id="rId10" name="CommandButton2">
          <controlPr defaultSize="0" autoLine="0" r:id="rId11">
            <anchor moveWithCells="1">
              <from>
                <xdr:col>40</xdr:col>
                <xdr:colOff>276225</xdr:colOff>
                <xdr:row>16</xdr:row>
                <xdr:rowOff>104775</xdr:rowOff>
              </from>
              <to>
                <xdr:col>43</xdr:col>
                <xdr:colOff>266700</xdr:colOff>
                <xdr:row>19</xdr:row>
                <xdr:rowOff>95250</xdr:rowOff>
              </to>
            </anchor>
          </controlPr>
        </control>
      </mc:Choice>
      <mc:Fallback>
        <control shapeId="31749" r:id="rId10" name="CommandButton2"/>
      </mc:Fallback>
    </mc:AlternateContent>
    <mc:AlternateContent xmlns:mc="http://schemas.openxmlformats.org/markup-compatibility/2006">
      <mc:Choice Requires="x14">
        <control shapeId="31751" r:id="rId12" name="CommandButton3">
          <controlPr defaultSize="0" autoLine="0" r:id="rId13">
            <anchor moveWithCells="1">
              <from>
                <xdr:col>40</xdr:col>
                <xdr:colOff>295275</xdr:colOff>
                <xdr:row>20</xdr:row>
                <xdr:rowOff>19050</xdr:rowOff>
              </from>
              <to>
                <xdr:col>43</xdr:col>
                <xdr:colOff>285750</xdr:colOff>
                <xdr:row>23</xdr:row>
                <xdr:rowOff>9525</xdr:rowOff>
              </to>
            </anchor>
          </controlPr>
        </control>
      </mc:Choice>
      <mc:Fallback>
        <control shapeId="31751" r:id="rId12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44B1B8-6414-4E19-BAF1-5A3DC2696A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D6:D96</xm:sqref>
        </x14:conditionalFormatting>
        <x14:conditionalFormatting xmlns:xm="http://schemas.microsoft.com/office/excel/2006/main">
          <x14:cfRule type="dataBar" id="{B5A2769C-129E-4DA5-A106-73FE94F21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E6:E96</xm:sqref>
        </x14:conditionalFormatting>
        <x14:conditionalFormatting xmlns:xm="http://schemas.microsoft.com/office/excel/2006/main">
          <x14:cfRule type="dataBar" id="{4F0853D2-468F-4644-9401-C90FFD59CD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F6:F97</xm:sqref>
        </x14:conditionalFormatting>
        <x14:conditionalFormatting xmlns:xm="http://schemas.microsoft.com/office/excel/2006/main">
          <x14:cfRule type="expression" priority="20" id="{460335EB-F0FC-420E-BA9E-CF267C5F2296}">
            <xm:f>AND($A6&lt;&gt;"",OR(TEXT(G$5,"DDDD")=Setting!$G$2,TEXT(G$5,"DDDD")=Setting!$G$3))</xm:f>
            <x14:dxf>
              <font>
                <color theme="0"/>
              </font>
              <fill>
                <patternFill>
                  <bgColor theme="2" tint="-0.499984740745262"/>
                </patternFill>
              </fill>
              <border>
                <left/>
                <right/>
                <top/>
                <bottom/>
              </border>
            </x14:dxf>
          </x14:cfRule>
          <xm:sqref>G6:AK96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8708B-E7E0-44CF-835F-C6713A6085EA}">
  <sheetPr codeName="Sheet5"/>
  <dimension ref="A1:Z41"/>
  <sheetViews>
    <sheetView workbookViewId="0">
      <selection activeCell="D2" sqref="D2"/>
    </sheetView>
  </sheetViews>
  <sheetFormatPr defaultRowHeight="15" x14ac:dyDescent="0.25"/>
  <cols>
    <col min="1" max="1" width="16.5703125" style="91" customWidth="1"/>
    <col min="2" max="3" width="2.5703125" customWidth="1"/>
    <col min="4" max="4" width="13.85546875" bestFit="1" customWidth="1"/>
    <col min="5" max="6" width="2.85546875" customWidth="1"/>
    <col min="7" max="7" width="13.85546875" bestFit="1" customWidth="1"/>
    <col min="9" max="9" width="10.5703125" bestFit="1" customWidth="1"/>
    <col min="12" max="12" width="23.140625" customWidth="1"/>
  </cols>
  <sheetData>
    <row r="1" spans="1:16" ht="15" customHeight="1" x14ac:dyDescent="0.25">
      <c r="A1" s="3" t="s">
        <v>79</v>
      </c>
      <c r="D1" s="3" t="s">
        <v>80</v>
      </c>
      <c r="G1" s="3" t="s">
        <v>81</v>
      </c>
    </row>
    <row r="2" spans="1:16" ht="15" customHeight="1" x14ac:dyDescent="0.25">
      <c r="A2" s="1" t="s">
        <v>33</v>
      </c>
      <c r="D2" s="8">
        <v>44531</v>
      </c>
      <c r="E2" s="9"/>
      <c r="G2" s="1" t="s">
        <v>82</v>
      </c>
      <c r="I2" s="164" t="s">
        <v>192</v>
      </c>
      <c r="J2" s="164"/>
      <c r="K2" s="164"/>
      <c r="L2" s="164"/>
      <c r="M2" s="164"/>
      <c r="N2" s="164"/>
      <c r="O2" s="164"/>
      <c r="P2" s="164"/>
    </row>
    <row r="3" spans="1:16" ht="15" customHeight="1" x14ac:dyDescent="0.25">
      <c r="A3" s="1" t="s">
        <v>34</v>
      </c>
      <c r="D3" s="8">
        <v>44562</v>
      </c>
      <c r="E3" s="9"/>
      <c r="G3" s="1" t="s">
        <v>83</v>
      </c>
      <c r="I3" s="164"/>
      <c r="J3" s="164"/>
      <c r="K3" s="164"/>
      <c r="L3" s="164"/>
      <c r="M3" s="164"/>
      <c r="N3" s="164"/>
      <c r="O3" s="164"/>
      <c r="P3" s="164"/>
    </row>
    <row r="4" spans="1:16" ht="15" customHeight="1" x14ac:dyDescent="0.25">
      <c r="A4" s="1" t="s">
        <v>117</v>
      </c>
      <c r="D4" s="8">
        <v>44593</v>
      </c>
      <c r="E4" s="9"/>
      <c r="I4" s="163" t="s">
        <v>77</v>
      </c>
      <c r="J4" s="163"/>
      <c r="K4" s="163"/>
      <c r="L4" s="163"/>
      <c r="M4" s="163" t="s">
        <v>33</v>
      </c>
      <c r="N4" s="163"/>
      <c r="O4" s="163"/>
      <c r="P4" s="163"/>
    </row>
    <row r="5" spans="1:16" ht="15" customHeight="1" x14ac:dyDescent="0.25">
      <c r="A5" s="1" t="s">
        <v>84</v>
      </c>
      <c r="D5" s="8">
        <v>44621</v>
      </c>
      <c r="E5" s="9"/>
      <c r="I5" s="163" t="s">
        <v>78</v>
      </c>
      <c r="J5" s="163"/>
      <c r="K5" s="163"/>
      <c r="L5" s="163"/>
      <c r="M5" s="163" t="s">
        <v>34</v>
      </c>
      <c r="N5" s="163"/>
      <c r="O5" s="163"/>
      <c r="P5" s="163"/>
    </row>
    <row r="6" spans="1:16" x14ac:dyDescent="0.25">
      <c r="A6" s="1" t="s">
        <v>117</v>
      </c>
      <c r="D6" s="8">
        <v>44652</v>
      </c>
      <c r="I6" s="163" t="s">
        <v>194</v>
      </c>
      <c r="J6" s="163"/>
      <c r="K6" s="163"/>
      <c r="L6" s="163"/>
      <c r="M6" s="163" t="s">
        <v>117</v>
      </c>
      <c r="N6" s="163"/>
      <c r="O6" s="163"/>
      <c r="P6" s="163"/>
    </row>
    <row r="7" spans="1:16" x14ac:dyDescent="0.25">
      <c r="A7" s="1" t="s">
        <v>176</v>
      </c>
      <c r="D7" s="8">
        <v>44682</v>
      </c>
      <c r="I7" s="163" t="s">
        <v>193</v>
      </c>
      <c r="J7" s="163"/>
      <c r="K7" s="163"/>
      <c r="L7" s="163"/>
      <c r="M7" s="163" t="s">
        <v>176</v>
      </c>
      <c r="N7" s="163"/>
      <c r="O7" s="163"/>
      <c r="P7" s="163"/>
    </row>
    <row r="8" spans="1:16" x14ac:dyDescent="0.25">
      <c r="A8" s="91" t="s">
        <v>207</v>
      </c>
      <c r="D8" s="8">
        <v>44713</v>
      </c>
      <c r="I8" s="163" t="s">
        <v>195</v>
      </c>
      <c r="J8" s="163"/>
      <c r="K8" s="163"/>
      <c r="L8" s="163"/>
      <c r="M8" s="163" t="s">
        <v>154</v>
      </c>
      <c r="N8" s="163"/>
      <c r="O8" s="163"/>
      <c r="P8" s="163"/>
    </row>
    <row r="9" spans="1:16" x14ac:dyDescent="0.25">
      <c r="A9" s="91" t="s">
        <v>106</v>
      </c>
      <c r="D9" s="8">
        <v>44743</v>
      </c>
      <c r="I9" s="163" t="s">
        <v>196</v>
      </c>
      <c r="J9" s="163"/>
      <c r="K9" s="163"/>
      <c r="L9" s="163"/>
      <c r="M9" s="163" t="s">
        <v>84</v>
      </c>
      <c r="N9" s="163"/>
      <c r="O9" s="163"/>
      <c r="P9" s="163"/>
    </row>
    <row r="10" spans="1:16" x14ac:dyDescent="0.25">
      <c r="A10" s="91" t="s">
        <v>208</v>
      </c>
      <c r="D10" s="8">
        <v>44774</v>
      </c>
      <c r="I10" s="163" t="s">
        <v>197</v>
      </c>
      <c r="J10" s="163"/>
      <c r="K10" s="163"/>
      <c r="L10" s="163"/>
      <c r="M10" s="163" t="s">
        <v>207</v>
      </c>
      <c r="N10" s="163"/>
      <c r="O10" s="163"/>
      <c r="P10" s="163"/>
    </row>
    <row r="11" spans="1:16" x14ac:dyDescent="0.25">
      <c r="A11" s="91" t="s">
        <v>243</v>
      </c>
      <c r="D11" s="8">
        <v>44805</v>
      </c>
      <c r="I11" s="163" t="s">
        <v>198</v>
      </c>
      <c r="J11" s="163"/>
      <c r="K11" s="163"/>
      <c r="L11" s="163"/>
      <c r="M11" s="163" t="s">
        <v>106</v>
      </c>
      <c r="N11" s="163"/>
      <c r="O11" s="163"/>
      <c r="P11" s="163"/>
    </row>
    <row r="12" spans="1:16" x14ac:dyDescent="0.25">
      <c r="A12" s="91" t="s">
        <v>210</v>
      </c>
      <c r="D12" s="8">
        <v>44835</v>
      </c>
      <c r="I12" s="163" t="s">
        <v>199</v>
      </c>
      <c r="J12" s="163"/>
      <c r="K12" s="163"/>
      <c r="L12" s="163"/>
      <c r="M12" s="163" t="s">
        <v>208</v>
      </c>
      <c r="N12" s="163"/>
      <c r="O12" s="163"/>
      <c r="P12" s="163"/>
    </row>
    <row r="13" spans="1:16" x14ac:dyDescent="0.25">
      <c r="A13" s="91" t="s">
        <v>211</v>
      </c>
      <c r="D13" s="8">
        <v>44866</v>
      </c>
      <c r="I13" s="163" t="s">
        <v>165</v>
      </c>
      <c r="J13" s="163"/>
      <c r="K13" s="163"/>
      <c r="L13" s="163"/>
      <c r="M13" s="163" t="s">
        <v>209</v>
      </c>
      <c r="N13" s="163"/>
      <c r="O13" s="163"/>
      <c r="P13" s="163"/>
    </row>
    <row r="14" spans="1:16" x14ac:dyDescent="0.25">
      <c r="A14" s="91" t="s">
        <v>212</v>
      </c>
      <c r="D14" s="8">
        <v>44896</v>
      </c>
      <c r="I14" s="163" t="s">
        <v>107</v>
      </c>
      <c r="J14" s="163"/>
      <c r="K14" s="163"/>
      <c r="L14" s="163"/>
      <c r="M14" s="163" t="s">
        <v>210</v>
      </c>
      <c r="N14" s="163"/>
      <c r="O14" s="163"/>
      <c r="P14" s="163"/>
    </row>
    <row r="15" spans="1:16" x14ac:dyDescent="0.25">
      <c r="A15" s="91" t="s">
        <v>213</v>
      </c>
      <c r="D15" s="8">
        <v>44927</v>
      </c>
      <c r="I15" s="163" t="s">
        <v>200</v>
      </c>
      <c r="J15" s="163"/>
      <c r="K15" s="163"/>
      <c r="L15" s="163"/>
      <c r="M15" s="163" t="s">
        <v>211</v>
      </c>
      <c r="N15" s="163"/>
      <c r="O15" s="163"/>
      <c r="P15" s="163"/>
    </row>
    <row r="16" spans="1:16" x14ac:dyDescent="0.25">
      <c r="A16" s="91" t="s">
        <v>214</v>
      </c>
      <c r="D16" s="8">
        <v>44958</v>
      </c>
      <c r="I16" s="163" t="s">
        <v>201</v>
      </c>
      <c r="J16" s="163"/>
      <c r="K16" s="163"/>
      <c r="L16" s="163"/>
      <c r="M16" s="163" t="s">
        <v>212</v>
      </c>
      <c r="N16" s="163"/>
      <c r="O16" s="163"/>
      <c r="P16" s="163"/>
    </row>
    <row r="17" spans="1:16" x14ac:dyDescent="0.25">
      <c r="A17" s="91" t="s">
        <v>215</v>
      </c>
      <c r="D17" s="8">
        <v>44986</v>
      </c>
      <c r="I17" s="163" t="s">
        <v>202</v>
      </c>
      <c r="J17" s="163"/>
      <c r="K17" s="163"/>
      <c r="L17" s="163"/>
      <c r="M17" s="163" t="s">
        <v>213</v>
      </c>
      <c r="N17" s="163"/>
      <c r="O17" s="163"/>
      <c r="P17" s="163"/>
    </row>
    <row r="18" spans="1:16" x14ac:dyDescent="0.25">
      <c r="A18" s="91" t="s">
        <v>217</v>
      </c>
      <c r="D18" s="8">
        <v>45017</v>
      </c>
      <c r="I18" s="163" t="s">
        <v>109</v>
      </c>
      <c r="J18" s="163"/>
      <c r="K18" s="163"/>
      <c r="L18" s="163"/>
      <c r="M18" s="163" t="s">
        <v>214</v>
      </c>
      <c r="N18" s="163"/>
      <c r="O18" s="163"/>
      <c r="P18" s="163"/>
    </row>
    <row r="19" spans="1:16" x14ac:dyDescent="0.25">
      <c r="A19" s="91" t="s">
        <v>216</v>
      </c>
      <c r="D19" s="8">
        <v>45047</v>
      </c>
      <c r="I19" s="163" t="s">
        <v>203</v>
      </c>
      <c r="J19" s="163"/>
      <c r="K19" s="163"/>
      <c r="L19" s="163"/>
      <c r="M19" s="163" t="s">
        <v>215</v>
      </c>
      <c r="N19" s="163"/>
      <c r="O19" s="163"/>
      <c r="P19" s="163"/>
    </row>
    <row r="20" spans="1:16" x14ac:dyDescent="0.25">
      <c r="A20" s="91" t="s">
        <v>218</v>
      </c>
      <c r="D20" s="8">
        <v>45078</v>
      </c>
      <c r="I20" s="163" t="s">
        <v>175</v>
      </c>
      <c r="J20" s="163"/>
      <c r="K20" s="163"/>
      <c r="L20" s="163"/>
      <c r="M20" s="163" t="s">
        <v>217</v>
      </c>
      <c r="N20" s="163"/>
      <c r="O20" s="163"/>
      <c r="P20" s="163"/>
    </row>
    <row r="21" spans="1:16" x14ac:dyDescent="0.25">
      <c r="A21" s="91" t="s">
        <v>219</v>
      </c>
      <c r="D21" s="8">
        <v>45108</v>
      </c>
      <c r="I21" s="163" t="s">
        <v>204</v>
      </c>
      <c r="J21" s="163"/>
      <c r="K21" s="163"/>
      <c r="L21" s="163"/>
      <c r="M21" s="163" t="s">
        <v>216</v>
      </c>
      <c r="N21" s="163"/>
      <c r="O21" s="163"/>
      <c r="P21" s="163"/>
    </row>
    <row r="22" spans="1:16" x14ac:dyDescent="0.25">
      <c r="A22" s="91" t="s">
        <v>251</v>
      </c>
      <c r="D22" s="8">
        <v>45139</v>
      </c>
      <c r="I22" s="163" t="s">
        <v>205</v>
      </c>
      <c r="J22" s="163"/>
      <c r="K22" s="163"/>
      <c r="L22" s="163"/>
      <c r="M22" s="163" t="s">
        <v>218</v>
      </c>
      <c r="N22" s="163"/>
      <c r="O22" s="163"/>
      <c r="P22" s="163"/>
    </row>
    <row r="23" spans="1:16" x14ac:dyDescent="0.25">
      <c r="D23" s="8">
        <v>45170</v>
      </c>
      <c r="I23" s="163" t="s">
        <v>206</v>
      </c>
      <c r="J23" s="163"/>
      <c r="K23" s="163"/>
      <c r="L23" s="163"/>
      <c r="M23" s="163" t="s">
        <v>219</v>
      </c>
      <c r="N23" s="163"/>
      <c r="O23" s="163"/>
      <c r="P23" s="163"/>
    </row>
    <row r="24" spans="1:16" x14ac:dyDescent="0.25">
      <c r="D24" s="8">
        <v>45200</v>
      </c>
      <c r="I24" s="163" t="s">
        <v>252</v>
      </c>
      <c r="J24" s="163"/>
      <c r="K24" s="163"/>
      <c r="L24" s="163"/>
      <c r="M24" s="163" t="s">
        <v>251</v>
      </c>
      <c r="N24" s="163"/>
      <c r="O24" s="163"/>
      <c r="P24" s="163"/>
    </row>
    <row r="25" spans="1:16" x14ac:dyDescent="0.25">
      <c r="D25" s="8">
        <v>45231</v>
      </c>
      <c r="I25" s="163"/>
      <c r="J25" s="163"/>
      <c r="K25" s="163"/>
      <c r="L25" s="163"/>
      <c r="M25" s="163"/>
      <c r="N25" s="163"/>
      <c r="O25" s="163"/>
      <c r="P25" s="163"/>
    </row>
    <row r="26" spans="1:16" x14ac:dyDescent="0.25">
      <c r="D26" s="8">
        <v>45261</v>
      </c>
      <c r="I26" s="163"/>
      <c r="J26" s="163"/>
      <c r="K26" s="163"/>
      <c r="L26" s="163"/>
      <c r="M26" s="163"/>
      <c r="N26" s="163"/>
      <c r="O26" s="163"/>
      <c r="P26" s="163"/>
    </row>
    <row r="27" spans="1:16" x14ac:dyDescent="0.25">
      <c r="D27" s="8">
        <v>45292</v>
      </c>
      <c r="I27" s="163"/>
      <c r="J27" s="163"/>
      <c r="K27" s="163"/>
      <c r="L27" s="163"/>
      <c r="M27" s="163"/>
      <c r="N27" s="163"/>
      <c r="O27" s="163"/>
      <c r="P27" s="163"/>
    </row>
    <row r="28" spans="1:16" x14ac:dyDescent="0.25">
      <c r="D28" s="8">
        <v>45323</v>
      </c>
      <c r="I28" s="163"/>
      <c r="J28" s="163"/>
      <c r="K28" s="163"/>
      <c r="L28" s="163"/>
      <c r="M28" s="163"/>
      <c r="N28" s="163"/>
      <c r="O28" s="163"/>
      <c r="P28" s="163"/>
    </row>
    <row r="29" spans="1:16" x14ac:dyDescent="0.25">
      <c r="D29" s="8">
        <v>45352</v>
      </c>
      <c r="I29" s="163"/>
      <c r="J29" s="163"/>
      <c r="K29" s="163"/>
      <c r="L29" s="163"/>
      <c r="M29" s="163"/>
      <c r="N29" s="163"/>
      <c r="O29" s="163"/>
      <c r="P29" s="163"/>
    </row>
    <row r="30" spans="1:16" x14ac:dyDescent="0.25">
      <c r="D30" s="8">
        <v>45383</v>
      </c>
      <c r="I30" s="163"/>
      <c r="J30" s="163"/>
      <c r="K30" s="163"/>
      <c r="L30" s="163"/>
      <c r="M30" s="163"/>
      <c r="N30" s="163"/>
      <c r="O30" s="163"/>
      <c r="P30" s="163"/>
    </row>
    <row r="31" spans="1:16" x14ac:dyDescent="0.25">
      <c r="D31" s="8">
        <v>45413</v>
      </c>
      <c r="I31" s="163"/>
      <c r="J31" s="163"/>
      <c r="K31" s="163"/>
      <c r="L31" s="163"/>
      <c r="M31" s="163"/>
      <c r="N31" s="163"/>
      <c r="O31" s="163"/>
      <c r="P31" s="163"/>
    </row>
    <row r="32" spans="1:16" x14ac:dyDescent="0.25">
      <c r="D32" s="8">
        <v>45444</v>
      </c>
      <c r="I32" s="163"/>
      <c r="J32" s="163"/>
      <c r="K32" s="163"/>
      <c r="L32" s="163"/>
      <c r="M32" s="163"/>
      <c r="N32" s="163"/>
      <c r="O32" s="163"/>
      <c r="P32" s="163"/>
    </row>
    <row r="33" spans="4:26" x14ac:dyDescent="0.25">
      <c r="D33" s="8">
        <v>45474</v>
      </c>
      <c r="I33" s="163"/>
      <c r="J33" s="163"/>
      <c r="K33" s="163"/>
      <c r="L33" s="163"/>
      <c r="M33" s="163"/>
      <c r="N33" s="163"/>
      <c r="O33" s="163"/>
      <c r="P33" s="163"/>
    </row>
    <row r="34" spans="4:26" x14ac:dyDescent="0.25">
      <c r="D34" s="8">
        <v>45505</v>
      </c>
      <c r="I34" s="163"/>
      <c r="J34" s="163"/>
      <c r="K34" s="163"/>
      <c r="L34" s="163"/>
      <c r="M34" s="163"/>
      <c r="N34" s="163"/>
      <c r="O34" s="163"/>
      <c r="P34" s="163"/>
    </row>
    <row r="35" spans="4:26" x14ac:dyDescent="0.25">
      <c r="D35" s="8">
        <v>45536</v>
      </c>
      <c r="I35" s="163"/>
      <c r="J35" s="163"/>
      <c r="K35" s="163"/>
      <c r="L35" s="163"/>
      <c r="M35" s="163"/>
      <c r="N35" s="163"/>
      <c r="O35" s="163"/>
      <c r="P35" s="163"/>
    </row>
    <row r="36" spans="4:26" x14ac:dyDescent="0.25">
      <c r="D36" s="8">
        <v>45566</v>
      </c>
      <c r="I36" s="163"/>
      <c r="J36" s="163"/>
      <c r="K36" s="163"/>
      <c r="L36" s="163"/>
      <c r="M36" s="163"/>
      <c r="N36" s="163"/>
      <c r="O36" s="163"/>
      <c r="P36" s="163"/>
    </row>
    <row r="37" spans="4:26" x14ac:dyDescent="0.25">
      <c r="I37" s="163"/>
      <c r="J37" s="163"/>
      <c r="K37" s="163"/>
      <c r="L37" s="163"/>
      <c r="M37" s="163"/>
      <c r="N37" s="163"/>
      <c r="O37" s="163"/>
      <c r="P37" s="163"/>
    </row>
    <row r="38" spans="4:26" x14ac:dyDescent="0.25">
      <c r="I38" s="163"/>
      <c r="J38" s="163"/>
      <c r="K38" s="163"/>
      <c r="L38" s="163"/>
      <c r="M38" s="163"/>
      <c r="N38" s="163"/>
      <c r="O38" s="163"/>
      <c r="P38" s="163"/>
    </row>
    <row r="39" spans="4:26" x14ac:dyDescent="0.25">
      <c r="I39" s="163"/>
      <c r="J39" s="163"/>
      <c r="K39" s="163"/>
      <c r="L39" s="163"/>
      <c r="M39" s="163"/>
      <c r="N39" s="163"/>
      <c r="O39" s="163"/>
      <c r="P39" s="163"/>
    </row>
    <row r="40" spans="4:26" x14ac:dyDescent="0.25">
      <c r="I40" s="163"/>
      <c r="J40" s="163"/>
      <c r="K40" s="163"/>
      <c r="L40" s="163"/>
      <c r="M40" s="163"/>
      <c r="N40" s="163"/>
      <c r="O40" s="163"/>
      <c r="P40" s="163"/>
    </row>
    <row r="41" spans="4:26" x14ac:dyDescent="0.25">
      <c r="S41" s="163"/>
      <c r="T41" s="163"/>
      <c r="U41" s="163"/>
      <c r="V41" s="163"/>
      <c r="W41" s="163"/>
      <c r="X41" s="163"/>
      <c r="Y41" s="163"/>
      <c r="Z41" s="163"/>
    </row>
  </sheetData>
  <mergeCells count="77">
    <mergeCell ref="I6:L6"/>
    <mergeCell ref="M6:P6"/>
    <mergeCell ref="I2:P3"/>
    <mergeCell ref="I4:L4"/>
    <mergeCell ref="M4:P4"/>
    <mergeCell ref="I5:L5"/>
    <mergeCell ref="M5:P5"/>
    <mergeCell ref="I7:L7"/>
    <mergeCell ref="M7:P7"/>
    <mergeCell ref="I8:L8"/>
    <mergeCell ref="M8:P8"/>
    <mergeCell ref="I9:L9"/>
    <mergeCell ref="M9:P9"/>
    <mergeCell ref="I10:L10"/>
    <mergeCell ref="M10:P10"/>
    <mergeCell ref="I11:L11"/>
    <mergeCell ref="M11:P11"/>
    <mergeCell ref="I12:L12"/>
    <mergeCell ref="M12:P12"/>
    <mergeCell ref="I13:L13"/>
    <mergeCell ref="M13:P13"/>
    <mergeCell ref="I14:L14"/>
    <mergeCell ref="M14:P14"/>
    <mergeCell ref="I15:L15"/>
    <mergeCell ref="M15:P15"/>
    <mergeCell ref="I16:L16"/>
    <mergeCell ref="M16:P16"/>
    <mergeCell ref="I17:L17"/>
    <mergeCell ref="M17:P17"/>
    <mergeCell ref="I18:L18"/>
    <mergeCell ref="M18:P18"/>
    <mergeCell ref="I19:L19"/>
    <mergeCell ref="M19:P19"/>
    <mergeCell ref="I20:L20"/>
    <mergeCell ref="M20:P20"/>
    <mergeCell ref="I21:L21"/>
    <mergeCell ref="M21:P21"/>
    <mergeCell ref="I22:L22"/>
    <mergeCell ref="M22:P22"/>
    <mergeCell ref="I23:L23"/>
    <mergeCell ref="M23:P23"/>
    <mergeCell ref="I24:L24"/>
    <mergeCell ref="M24:P24"/>
    <mergeCell ref="I25:L25"/>
    <mergeCell ref="M25:P25"/>
    <mergeCell ref="I26:L26"/>
    <mergeCell ref="M26:P26"/>
    <mergeCell ref="I27:L27"/>
    <mergeCell ref="M27:P27"/>
    <mergeCell ref="I28:L28"/>
    <mergeCell ref="M28:P28"/>
    <mergeCell ref="I29:L29"/>
    <mergeCell ref="M29:P29"/>
    <mergeCell ref="I30:L30"/>
    <mergeCell ref="M30:P30"/>
    <mergeCell ref="I31:L31"/>
    <mergeCell ref="M31:P31"/>
    <mergeCell ref="I32:L32"/>
    <mergeCell ref="M32:P32"/>
    <mergeCell ref="I33:L33"/>
    <mergeCell ref="M33:P33"/>
    <mergeCell ref="I34:L34"/>
    <mergeCell ref="M34:P34"/>
    <mergeCell ref="I35:L35"/>
    <mergeCell ref="M35:P35"/>
    <mergeCell ref="I36:L36"/>
    <mergeCell ref="M36:P36"/>
    <mergeCell ref="I40:L40"/>
    <mergeCell ref="M40:P40"/>
    <mergeCell ref="S41:V41"/>
    <mergeCell ref="W41:Z41"/>
    <mergeCell ref="I37:L37"/>
    <mergeCell ref="M37:P37"/>
    <mergeCell ref="I38:L38"/>
    <mergeCell ref="M38:P38"/>
    <mergeCell ref="I39:L39"/>
    <mergeCell ref="M39:P39"/>
  </mergeCells>
  <phoneticPr fontId="10" type="noConversion"/>
  <dataValidations count="1">
    <dataValidation type="list" allowBlank="1" showInputMessage="1" showErrorMessage="1" sqref="G2:G3" xr:uid="{C32E80D3-6163-4174-B088-EA2DC2448EAC}">
      <formula1>"Sunday,Monday,Tuesday,Wednesday,Thursday,Friday,Saturday"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2770" r:id="rId4" name="CommandButton2">
          <controlPr defaultSize="0" autoLine="0" r:id="rId5">
            <anchor moveWithCells="1">
              <from>
                <xdr:col>18</xdr:col>
                <xdr:colOff>552450</xdr:colOff>
                <xdr:row>10</xdr:row>
                <xdr:rowOff>171450</xdr:rowOff>
              </from>
              <to>
                <xdr:col>21</xdr:col>
                <xdr:colOff>47625</xdr:colOff>
                <xdr:row>13</xdr:row>
                <xdr:rowOff>76200</xdr:rowOff>
              </to>
            </anchor>
          </controlPr>
        </control>
      </mc:Choice>
      <mc:Fallback>
        <control shapeId="32770" r:id="rId4" name="CommandButton2"/>
      </mc:Fallback>
    </mc:AlternateContent>
    <mc:AlternateContent xmlns:mc="http://schemas.openxmlformats.org/markup-compatibility/2006">
      <mc:Choice Requires="x14">
        <control shapeId="32769" r:id="rId6" name="CommandButton1">
          <controlPr defaultSize="0" autoLine="0" r:id="rId7">
            <anchor moveWithCells="1">
              <from>
                <xdr:col>18</xdr:col>
                <xdr:colOff>533400</xdr:colOff>
                <xdr:row>6</xdr:row>
                <xdr:rowOff>171450</xdr:rowOff>
              </from>
              <to>
                <xdr:col>21</xdr:col>
                <xdr:colOff>47625</xdr:colOff>
                <xdr:row>9</xdr:row>
                <xdr:rowOff>104775</xdr:rowOff>
              </to>
            </anchor>
          </controlPr>
        </control>
      </mc:Choice>
      <mc:Fallback>
        <control shapeId="32769" r:id="rId6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8E128-57D3-4FC6-84E1-7707ACCE7747}">
  <sheetPr codeName="Sheet3"/>
  <dimension ref="A1:G35"/>
  <sheetViews>
    <sheetView showGridLines="0" workbookViewId="0">
      <selection activeCell="J13" sqref="J13"/>
    </sheetView>
  </sheetViews>
  <sheetFormatPr defaultRowHeight="15" x14ac:dyDescent="0.25"/>
  <cols>
    <col min="1" max="1" width="21.28515625" style="88" customWidth="1"/>
    <col min="2" max="2" width="22.28515625" style="88" customWidth="1"/>
    <col min="3" max="3" width="22.140625" style="104" customWidth="1"/>
    <col min="4" max="4" width="22.42578125" style="88" customWidth="1"/>
    <col min="5" max="5" width="35.28515625" style="88" customWidth="1"/>
    <col min="6" max="6" width="39.42578125" style="88" customWidth="1"/>
    <col min="7" max="7" width="50.85546875" style="88" customWidth="1"/>
  </cols>
  <sheetData>
    <row r="1" spans="1:7" ht="30" customHeight="1" x14ac:dyDescent="0.25">
      <c r="A1" s="107" t="s">
        <v>31</v>
      </c>
      <c r="B1" s="107" t="s">
        <v>182</v>
      </c>
      <c r="C1" s="106" t="s">
        <v>4</v>
      </c>
      <c r="D1" s="105" t="s">
        <v>253</v>
      </c>
      <c r="E1" s="105" t="s">
        <v>5</v>
      </c>
      <c r="F1" s="105" t="s">
        <v>6</v>
      </c>
      <c r="G1" s="105" t="s">
        <v>7</v>
      </c>
    </row>
    <row r="2" spans="1:7" ht="15" customHeight="1" x14ac:dyDescent="0.25">
      <c r="A2" s="87">
        <v>10001</v>
      </c>
      <c r="B2" s="87" t="s">
        <v>21</v>
      </c>
      <c r="C2" s="103" t="s">
        <v>32</v>
      </c>
      <c r="D2" s="88" t="s">
        <v>335</v>
      </c>
    </row>
    <row r="3" spans="1:7" ht="15" customHeight="1" x14ac:dyDescent="0.25">
      <c r="A3" s="87">
        <v>10002</v>
      </c>
      <c r="B3" s="87" t="s">
        <v>9</v>
      </c>
      <c r="C3" s="103" t="s">
        <v>181</v>
      </c>
      <c r="D3" s="88" t="s">
        <v>348</v>
      </c>
    </row>
    <row r="4" spans="1:7" ht="15" customHeight="1" x14ac:dyDescent="0.25">
      <c r="A4" s="87">
        <v>10003</v>
      </c>
      <c r="B4" s="87" t="s">
        <v>10</v>
      </c>
      <c r="C4" s="103" t="s">
        <v>35</v>
      </c>
      <c r="D4" s="88" t="s">
        <v>347</v>
      </c>
    </row>
    <row r="5" spans="1:7" ht="15" customHeight="1" x14ac:dyDescent="0.25">
      <c r="A5" s="87">
        <v>10004</v>
      </c>
      <c r="B5" s="87" t="s">
        <v>22</v>
      </c>
      <c r="C5" s="103" t="s">
        <v>36</v>
      </c>
      <c r="D5" s="88" t="s">
        <v>347</v>
      </c>
    </row>
    <row r="6" spans="1:7" ht="15" customHeight="1" x14ac:dyDescent="0.25">
      <c r="A6" s="87">
        <v>10005</v>
      </c>
      <c r="B6" s="87" t="s">
        <v>25</v>
      </c>
      <c r="C6" s="103" t="s">
        <v>36</v>
      </c>
      <c r="D6" s="88" t="s">
        <v>347</v>
      </c>
    </row>
    <row r="7" spans="1:7" ht="15" customHeight="1" x14ac:dyDescent="0.25">
      <c r="A7" s="87">
        <v>10006</v>
      </c>
      <c r="B7" s="87" t="s">
        <v>27</v>
      </c>
      <c r="C7" s="103" t="s">
        <v>36</v>
      </c>
      <c r="D7" s="88" t="s">
        <v>347</v>
      </c>
    </row>
    <row r="8" spans="1:7" ht="15" customHeight="1" x14ac:dyDescent="0.25">
      <c r="A8" s="87">
        <v>10007</v>
      </c>
      <c r="B8" s="87" t="s">
        <v>37</v>
      </c>
      <c r="C8" s="103" t="s">
        <v>36</v>
      </c>
      <c r="D8" s="88" t="s">
        <v>347</v>
      </c>
    </row>
    <row r="9" spans="1:7" ht="15" customHeight="1" x14ac:dyDescent="0.25">
      <c r="A9" s="87">
        <v>10008</v>
      </c>
      <c r="B9" s="87" t="s">
        <v>26</v>
      </c>
      <c r="C9" s="103" t="s">
        <v>36</v>
      </c>
      <c r="D9" s="88" t="s">
        <v>347</v>
      </c>
    </row>
    <row r="10" spans="1:7" ht="15" customHeight="1" x14ac:dyDescent="0.25">
      <c r="A10" s="87">
        <v>10009</v>
      </c>
      <c r="B10" s="87" t="s">
        <v>24</v>
      </c>
      <c r="C10" s="103" t="s">
        <v>36</v>
      </c>
      <c r="D10" s="88" t="s">
        <v>347</v>
      </c>
    </row>
    <row r="11" spans="1:7" ht="15" customHeight="1" x14ac:dyDescent="0.25">
      <c r="A11" s="87">
        <v>10010</v>
      </c>
      <c r="B11" s="87" t="s">
        <v>23</v>
      </c>
      <c r="C11" s="103" t="s">
        <v>36</v>
      </c>
      <c r="D11" s="88" t="s">
        <v>335</v>
      </c>
    </row>
    <row r="12" spans="1:7" ht="15" customHeight="1" x14ac:dyDescent="0.25">
      <c r="A12" s="87">
        <v>10011</v>
      </c>
      <c r="B12" s="87" t="s">
        <v>11</v>
      </c>
      <c r="C12" s="103" t="s">
        <v>35</v>
      </c>
      <c r="D12" s="88" t="s">
        <v>335</v>
      </c>
    </row>
    <row r="13" spans="1:7" ht="15" customHeight="1" x14ac:dyDescent="0.25">
      <c r="A13" s="87">
        <v>10012</v>
      </c>
      <c r="B13" s="87" t="s">
        <v>12</v>
      </c>
      <c r="C13" s="103" t="s">
        <v>38</v>
      </c>
      <c r="D13" s="88" t="s">
        <v>335</v>
      </c>
    </row>
    <row r="14" spans="1:7" ht="15" customHeight="1" x14ac:dyDescent="0.25">
      <c r="A14" s="87">
        <v>10013</v>
      </c>
      <c r="B14" s="87" t="s">
        <v>13</v>
      </c>
      <c r="C14" s="103" t="s">
        <v>38</v>
      </c>
      <c r="D14" s="88" t="s">
        <v>335</v>
      </c>
    </row>
    <row r="15" spans="1:7" ht="15" customHeight="1" x14ac:dyDescent="0.25">
      <c r="A15" s="87">
        <v>10014</v>
      </c>
      <c r="B15" s="87" t="s">
        <v>29</v>
      </c>
      <c r="C15" s="103" t="s">
        <v>39</v>
      </c>
      <c r="D15" s="88" t="s">
        <v>335</v>
      </c>
    </row>
    <row r="16" spans="1:7" ht="15" customHeight="1" x14ac:dyDescent="0.25">
      <c r="A16" s="87">
        <v>10015</v>
      </c>
      <c r="B16" s="87" t="s">
        <v>28</v>
      </c>
      <c r="C16" s="103" t="s">
        <v>39</v>
      </c>
      <c r="D16" s="88" t="s">
        <v>335</v>
      </c>
    </row>
    <row r="17" spans="1:7" x14ac:dyDescent="0.25">
      <c r="A17" s="87">
        <v>10015</v>
      </c>
      <c r="B17" s="88" t="s">
        <v>14</v>
      </c>
      <c r="C17" s="104" t="s">
        <v>40</v>
      </c>
      <c r="D17" s="88" t="s">
        <v>335</v>
      </c>
    </row>
    <row r="18" spans="1:7" x14ac:dyDescent="0.25">
      <c r="A18" s="87">
        <v>10015</v>
      </c>
      <c r="B18" s="88" t="s">
        <v>30</v>
      </c>
      <c r="C18" s="104" t="s">
        <v>39</v>
      </c>
      <c r="D18" s="88" t="s">
        <v>335</v>
      </c>
    </row>
    <row r="19" spans="1:7" x14ac:dyDescent="0.25">
      <c r="A19" s="87">
        <v>10015</v>
      </c>
      <c r="B19" s="88" t="s">
        <v>41</v>
      </c>
      <c r="C19" s="104" t="s">
        <v>40</v>
      </c>
      <c r="D19" s="88" t="s">
        <v>335</v>
      </c>
    </row>
    <row r="20" spans="1:7" x14ac:dyDescent="0.25">
      <c r="A20" s="87">
        <v>10015</v>
      </c>
      <c r="B20" s="88" t="s">
        <v>15</v>
      </c>
      <c r="C20" s="104" t="s">
        <v>40</v>
      </c>
      <c r="D20" s="88" t="s">
        <v>335</v>
      </c>
    </row>
    <row r="21" spans="1:7" x14ac:dyDescent="0.25">
      <c r="A21" s="87">
        <v>10015</v>
      </c>
      <c r="B21" s="88" t="s">
        <v>16</v>
      </c>
      <c r="C21" s="104" t="s">
        <v>42</v>
      </c>
      <c r="D21" s="88" t="s">
        <v>335</v>
      </c>
    </row>
    <row r="22" spans="1:7" x14ac:dyDescent="0.25">
      <c r="A22" s="87">
        <v>10015</v>
      </c>
      <c r="B22" s="88" t="s">
        <v>17</v>
      </c>
      <c r="C22" s="104" t="s">
        <v>42</v>
      </c>
      <c r="D22" s="88" t="s">
        <v>335</v>
      </c>
    </row>
    <row r="23" spans="1:7" x14ac:dyDescent="0.25">
      <c r="A23" s="87">
        <v>10015</v>
      </c>
      <c r="B23" s="88" t="s">
        <v>18</v>
      </c>
      <c r="C23" s="104" t="s">
        <v>43</v>
      </c>
      <c r="D23" s="88" t="s">
        <v>335</v>
      </c>
    </row>
    <row r="24" spans="1:7" x14ac:dyDescent="0.25">
      <c r="A24" s="87">
        <v>10015</v>
      </c>
      <c r="B24" s="88" t="s">
        <v>180</v>
      </c>
      <c r="C24" s="104" t="s">
        <v>40</v>
      </c>
      <c r="D24" s="88" t="s">
        <v>335</v>
      </c>
    </row>
    <row r="25" spans="1:7" x14ac:dyDescent="0.25">
      <c r="A25" s="87">
        <v>10015</v>
      </c>
      <c r="B25" s="88" t="s">
        <v>180</v>
      </c>
      <c r="C25" s="104" t="s">
        <v>32</v>
      </c>
      <c r="D25" s="88" t="s">
        <v>335</v>
      </c>
    </row>
    <row r="26" spans="1:7" x14ac:dyDescent="0.25">
      <c r="A26" s="87">
        <v>10015</v>
      </c>
      <c r="B26" s="88" t="s">
        <v>180</v>
      </c>
      <c r="C26" s="104" t="s">
        <v>183</v>
      </c>
      <c r="D26" s="88" t="s">
        <v>335</v>
      </c>
    </row>
    <row r="27" spans="1:7" x14ac:dyDescent="0.25">
      <c r="A27" s="87">
        <v>10015</v>
      </c>
      <c r="B27" s="88" t="s">
        <v>180</v>
      </c>
      <c r="C27" s="104" t="s">
        <v>36</v>
      </c>
      <c r="D27" s="88" t="s">
        <v>335</v>
      </c>
    </row>
    <row r="28" spans="1:7" x14ac:dyDescent="0.25">
      <c r="A28" s="88">
        <v>10016</v>
      </c>
      <c r="B28" s="88" t="s">
        <v>19</v>
      </c>
      <c r="C28" s="104" t="s">
        <v>184</v>
      </c>
      <c r="D28" s="88" t="s">
        <v>335</v>
      </c>
    </row>
    <row r="29" spans="1:7" x14ac:dyDescent="0.25">
      <c r="A29" s="88">
        <v>10032</v>
      </c>
      <c r="B29" s="88" t="s">
        <v>19</v>
      </c>
      <c r="C29" s="104" t="s">
        <v>185</v>
      </c>
      <c r="D29" s="88" t="s">
        <v>335</v>
      </c>
    </row>
    <row r="30" spans="1:7" x14ac:dyDescent="0.25">
      <c r="A30" s="88">
        <v>10023</v>
      </c>
      <c r="B30" s="88" t="s">
        <v>190</v>
      </c>
      <c r="C30" s="104" t="s">
        <v>191</v>
      </c>
      <c r="D30" s="88" t="s">
        <v>335</v>
      </c>
    </row>
    <row r="31" spans="1:7" x14ac:dyDescent="0.25">
      <c r="A31" s="88">
        <v>10034</v>
      </c>
      <c r="B31" s="88" t="s">
        <v>220</v>
      </c>
      <c r="C31" s="104" t="s">
        <v>221</v>
      </c>
      <c r="D31" s="88" t="s">
        <v>335</v>
      </c>
    </row>
    <row r="32" spans="1:7" x14ac:dyDescent="0.25">
      <c r="A32" s="88">
        <v>10099</v>
      </c>
      <c r="B32" s="88" t="s">
        <v>19</v>
      </c>
      <c r="C32" s="104" t="s">
        <v>334</v>
      </c>
      <c r="D32" s="88" t="s">
        <v>335</v>
      </c>
      <c r="E32" s="88" t="s">
        <v>20</v>
      </c>
      <c r="F32" s="88" t="s">
        <v>336</v>
      </c>
      <c r="G32" s="88" t="s">
        <v>337</v>
      </c>
    </row>
    <row r="33" spans="1:7" x14ac:dyDescent="0.25">
      <c r="A33" s="88">
        <v>1023</v>
      </c>
      <c r="B33" s="88" t="s">
        <v>338</v>
      </c>
      <c r="C33" s="104" t="s">
        <v>339</v>
      </c>
      <c r="D33" s="88" t="s">
        <v>348</v>
      </c>
      <c r="E33" s="88" t="s">
        <v>340</v>
      </c>
      <c r="F33" s="88" t="s">
        <v>341</v>
      </c>
      <c r="G33" s="88" t="s">
        <v>342</v>
      </c>
    </row>
    <row r="34" spans="1:7" x14ac:dyDescent="0.25">
      <c r="A34" s="88">
        <v>34344</v>
      </c>
      <c r="B34" s="88" t="s">
        <v>349</v>
      </c>
      <c r="C34" s="104" t="s">
        <v>343</v>
      </c>
      <c r="D34" s="88" t="s">
        <v>348</v>
      </c>
      <c r="E34" s="88" t="s">
        <v>344</v>
      </c>
      <c r="F34" s="88" t="s">
        <v>345</v>
      </c>
      <c r="G34" s="88" t="s">
        <v>346</v>
      </c>
    </row>
    <row r="35" spans="1:7" x14ac:dyDescent="0.25">
      <c r="A35" s="88">
        <v>12300</v>
      </c>
      <c r="B35" s="88" t="s">
        <v>402</v>
      </c>
      <c r="C35" s="104" t="s">
        <v>403</v>
      </c>
      <c r="D35" s="88" t="s">
        <v>335</v>
      </c>
      <c r="E35" s="88" t="s">
        <v>404</v>
      </c>
      <c r="F35" s="88" t="s">
        <v>405</v>
      </c>
      <c r="G35" s="88" t="s">
        <v>406</v>
      </c>
    </row>
  </sheetData>
  <phoneticPr fontId="10" type="noConversion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6865" r:id="rId4" name="CommandButton1">
          <controlPr defaultSize="0" autoLine="0" r:id="rId5">
            <anchor moveWithCells="1">
              <from>
                <xdr:col>9</xdr:col>
                <xdr:colOff>57150</xdr:colOff>
                <xdr:row>1</xdr:row>
                <xdr:rowOff>142875</xdr:rowOff>
              </from>
              <to>
                <xdr:col>11</xdr:col>
                <xdr:colOff>85725</xdr:colOff>
                <xdr:row>4</xdr:row>
                <xdr:rowOff>9525</xdr:rowOff>
              </to>
            </anchor>
          </controlPr>
        </control>
      </mc:Choice>
      <mc:Fallback>
        <control shapeId="36865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50258-D774-47E7-A4B0-51072A60595B}">
  <sheetPr codeName="Sheet9"/>
  <dimension ref="A1:DA1014"/>
  <sheetViews>
    <sheetView showGridLines="0" showRowColHeaders="0" workbookViewId="0">
      <selection activeCell="L43" sqref="L43"/>
    </sheetView>
  </sheetViews>
  <sheetFormatPr defaultRowHeight="15" x14ac:dyDescent="0.25"/>
  <sheetData>
    <row r="1" spans="1:105" x14ac:dyDescent="0.25">
      <c r="A1" s="165" t="s">
        <v>333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</row>
    <row r="2" spans="1:105" x14ac:dyDescent="0.25">
      <c r="A2" s="165"/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</row>
    <row r="3" spans="1:105" x14ac:dyDescent="0.25">
      <c r="A3" s="166"/>
      <c r="P3" s="166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</row>
    <row r="4" spans="1:105" x14ac:dyDescent="0.25">
      <c r="A4" s="166"/>
      <c r="P4" s="166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</row>
    <row r="5" spans="1:105" x14ac:dyDescent="0.25">
      <c r="A5" s="166"/>
      <c r="P5" s="166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</row>
    <row r="6" spans="1:105" x14ac:dyDescent="0.25">
      <c r="A6" s="166"/>
      <c r="P6" s="166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</row>
    <row r="7" spans="1:105" x14ac:dyDescent="0.25">
      <c r="A7" s="166"/>
      <c r="P7" s="166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</row>
    <row r="8" spans="1:105" x14ac:dyDescent="0.25">
      <c r="A8" s="166"/>
      <c r="P8" s="166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</row>
    <row r="9" spans="1:105" x14ac:dyDescent="0.25">
      <c r="A9" s="166"/>
      <c r="P9" s="166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</row>
    <row r="10" spans="1:105" x14ac:dyDescent="0.25">
      <c r="A10" s="166"/>
      <c r="P10" s="166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</row>
    <row r="11" spans="1:105" x14ac:dyDescent="0.25">
      <c r="A11" s="166"/>
      <c r="P11" s="166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</row>
    <row r="12" spans="1:105" x14ac:dyDescent="0.25">
      <c r="A12" s="166"/>
      <c r="P12" s="166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</row>
    <row r="13" spans="1:105" x14ac:dyDescent="0.25">
      <c r="A13" s="166"/>
      <c r="P13" s="166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</row>
    <row r="14" spans="1:105" x14ac:dyDescent="0.25">
      <c r="A14" s="166"/>
      <c r="P14" s="166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</row>
    <row r="15" spans="1:105" x14ac:dyDescent="0.25">
      <c r="A15" s="166"/>
      <c r="P15" s="166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</row>
    <row r="16" spans="1:105" x14ac:dyDescent="0.25">
      <c r="A16" s="166"/>
      <c r="P16" s="166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</row>
    <row r="17" spans="1:105" x14ac:dyDescent="0.25">
      <c r="A17" s="166"/>
      <c r="P17" s="166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</row>
    <row r="18" spans="1:105" x14ac:dyDescent="0.25">
      <c r="A18" s="166"/>
      <c r="P18" s="166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</row>
    <row r="19" spans="1:105" x14ac:dyDescent="0.25">
      <c r="A19" s="166"/>
      <c r="P19" s="166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</row>
    <row r="20" spans="1:105" x14ac:dyDescent="0.25">
      <c r="A20" s="166"/>
      <c r="P20" s="166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</row>
    <row r="21" spans="1:105" x14ac:dyDescent="0.25">
      <c r="A21" s="166"/>
      <c r="P21" s="166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</row>
    <row r="22" spans="1:105" x14ac:dyDescent="0.25">
      <c r="A22" s="166"/>
      <c r="P22" s="166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</row>
    <row r="23" spans="1:105" x14ac:dyDescent="0.25">
      <c r="A23" s="166"/>
      <c r="P23" s="166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</row>
    <row r="24" spans="1:105" x14ac:dyDescent="0.25">
      <c r="A24" s="166"/>
      <c r="P24" s="166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</row>
    <row r="25" spans="1:105" x14ac:dyDescent="0.25">
      <c r="A25" s="166"/>
      <c r="P25" s="166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</row>
    <row r="26" spans="1:105" x14ac:dyDescent="0.25">
      <c r="A26" s="166"/>
      <c r="P26" s="166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</row>
    <row r="27" spans="1:105" x14ac:dyDescent="0.25">
      <c r="A27" s="166"/>
      <c r="P27" s="166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</row>
    <row r="28" spans="1:105" x14ac:dyDescent="0.25">
      <c r="A28" s="166"/>
      <c r="P28" s="166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</row>
    <row r="29" spans="1:105" x14ac:dyDescent="0.25">
      <c r="A29" s="166"/>
      <c r="P29" s="166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</row>
    <row r="30" spans="1:105" x14ac:dyDescent="0.25">
      <c r="A30" s="166"/>
      <c r="P30" s="166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</row>
    <row r="31" spans="1:105" x14ac:dyDescent="0.25">
      <c r="A31" s="166"/>
      <c r="P31" s="166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</row>
    <row r="32" spans="1:105" x14ac:dyDescent="0.25">
      <c r="A32" s="166"/>
      <c r="P32" s="166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</row>
    <row r="33" spans="1:105" x14ac:dyDescent="0.25">
      <c r="A33" s="166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</row>
    <row r="34" spans="1:105" x14ac:dyDescent="0.25">
      <c r="A34" s="166"/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</row>
    <row r="35" spans="1:105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</row>
    <row r="36" spans="1:105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</row>
    <row r="37" spans="1:105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</row>
    <row r="38" spans="1:105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</row>
    <row r="39" spans="1:105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</row>
    <row r="40" spans="1:105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</row>
    <row r="41" spans="1:105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</row>
    <row r="42" spans="1:105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</row>
    <row r="43" spans="1:105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</row>
    <row r="44" spans="1:105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</row>
    <row r="45" spans="1:105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</row>
    <row r="46" spans="1:105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</row>
    <row r="47" spans="1:105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</row>
    <row r="48" spans="1:105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</row>
    <row r="49" spans="1:10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</row>
    <row r="50" spans="1:105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</row>
    <row r="51" spans="1:105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</row>
    <row r="52" spans="1:105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</row>
    <row r="53" spans="1:10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</row>
    <row r="54" spans="1:105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</row>
    <row r="55" spans="1:105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</row>
    <row r="56" spans="1:105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</row>
    <row r="57" spans="1:105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</row>
    <row r="58" spans="1:105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</row>
    <row r="59" spans="1:105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</row>
    <row r="60" spans="1:105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</row>
    <row r="61" spans="1:105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</row>
    <row r="62" spans="1:105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</row>
    <row r="63" spans="1:105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</row>
    <row r="64" spans="1:105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</row>
    <row r="65" spans="1:105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</row>
    <row r="66" spans="1:105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</row>
    <row r="67" spans="1:105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</row>
    <row r="68" spans="1:105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</row>
    <row r="69" spans="1:105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</row>
    <row r="70" spans="1:105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</row>
    <row r="71" spans="1:105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</row>
    <row r="72" spans="1:105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</row>
    <row r="73" spans="1:105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</row>
    <row r="74" spans="1:105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</row>
    <row r="75" spans="1:105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</row>
    <row r="76" spans="1:105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</row>
    <row r="77" spans="1:105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</row>
    <row r="78" spans="1:105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</row>
    <row r="79" spans="1:105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</row>
    <row r="80" spans="1:105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</row>
    <row r="81" spans="1:105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</row>
    <row r="82" spans="1:105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</row>
    <row r="83" spans="1:105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</row>
    <row r="84" spans="1:105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</row>
    <row r="85" spans="1:105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</row>
    <row r="86" spans="1:105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</row>
    <row r="87" spans="1:105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</row>
    <row r="88" spans="1:105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</row>
    <row r="89" spans="1:105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</row>
    <row r="90" spans="1:105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28"/>
      <c r="CG90" s="28"/>
      <c r="CH90" s="28"/>
      <c r="CI90" s="28"/>
      <c r="CJ90" s="28"/>
      <c r="CK90" s="28"/>
      <c r="CL90" s="28"/>
      <c r="CM90" s="28"/>
      <c r="CN90" s="28"/>
      <c r="CO90" s="28"/>
      <c r="CP90" s="28"/>
      <c r="CQ90" s="28"/>
      <c r="CR90" s="28"/>
      <c r="CS90" s="28"/>
      <c r="CT90" s="28"/>
      <c r="CU90" s="28"/>
      <c r="CV90" s="28"/>
      <c r="CW90" s="28"/>
      <c r="CX90" s="28"/>
      <c r="CY90" s="28"/>
      <c r="CZ90" s="28"/>
      <c r="DA90" s="28"/>
    </row>
    <row r="91" spans="1:105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</row>
    <row r="92" spans="1:105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</row>
    <row r="93" spans="1:105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</row>
    <row r="94" spans="1:105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</row>
    <row r="95" spans="1:105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</row>
    <row r="96" spans="1:105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28"/>
      <c r="CG96" s="28"/>
      <c r="CH96" s="28"/>
      <c r="CI96" s="28"/>
      <c r="CJ96" s="28"/>
      <c r="CK96" s="28"/>
      <c r="CL96" s="28"/>
      <c r="CM96" s="28"/>
      <c r="CN96" s="28"/>
      <c r="CO96" s="28"/>
      <c r="CP96" s="28"/>
      <c r="CQ96" s="28"/>
      <c r="CR96" s="28"/>
      <c r="CS96" s="28"/>
      <c r="CT96" s="28"/>
      <c r="CU96" s="28"/>
      <c r="CV96" s="28"/>
      <c r="CW96" s="28"/>
      <c r="CX96" s="28"/>
      <c r="CY96" s="28"/>
      <c r="CZ96" s="28"/>
      <c r="DA96" s="28"/>
    </row>
    <row r="97" spans="1:105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</row>
    <row r="98" spans="1:105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28"/>
      <c r="CG98" s="28"/>
      <c r="CH98" s="28"/>
      <c r="CI98" s="28"/>
      <c r="CJ98" s="28"/>
      <c r="CK98" s="28"/>
      <c r="CL98" s="28"/>
      <c r="CM98" s="28"/>
      <c r="CN98" s="28"/>
      <c r="CO98" s="28"/>
      <c r="CP98" s="28"/>
      <c r="CQ98" s="28"/>
      <c r="CR98" s="28"/>
      <c r="CS98" s="28"/>
      <c r="CT98" s="28"/>
      <c r="CU98" s="28"/>
      <c r="CV98" s="28"/>
      <c r="CW98" s="28"/>
      <c r="CX98" s="28"/>
      <c r="CY98" s="28"/>
      <c r="CZ98" s="28"/>
      <c r="DA98" s="28"/>
    </row>
    <row r="99" spans="1:105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</row>
    <row r="100" spans="1:105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28"/>
      <c r="CG100" s="28"/>
      <c r="CH100" s="28"/>
      <c r="CI100" s="28"/>
      <c r="CJ100" s="28"/>
      <c r="CK100" s="28"/>
      <c r="CL100" s="28"/>
      <c r="CM100" s="28"/>
      <c r="CN100" s="28"/>
      <c r="CO100" s="28"/>
      <c r="CP100" s="28"/>
      <c r="CQ100" s="28"/>
      <c r="CR100" s="28"/>
      <c r="CS100" s="28"/>
      <c r="CT100" s="28"/>
      <c r="CU100" s="28"/>
      <c r="CV100" s="28"/>
      <c r="CW100" s="28"/>
      <c r="CX100" s="28"/>
      <c r="CY100" s="28"/>
      <c r="CZ100" s="28"/>
      <c r="DA100" s="28"/>
    </row>
    <row r="101" spans="1:105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28"/>
      <c r="CG101" s="28"/>
      <c r="CH101" s="28"/>
      <c r="CI101" s="28"/>
      <c r="CJ101" s="28"/>
      <c r="CK101" s="28"/>
      <c r="CL101" s="28"/>
      <c r="CM101" s="28"/>
      <c r="CN101" s="28"/>
      <c r="CO101" s="28"/>
      <c r="CP101" s="28"/>
      <c r="CQ101" s="28"/>
      <c r="CR101" s="28"/>
      <c r="CS101" s="28"/>
      <c r="CT101" s="28"/>
      <c r="CU101" s="28"/>
      <c r="CV101" s="28"/>
      <c r="CW101" s="28"/>
      <c r="CX101" s="28"/>
      <c r="CY101" s="28"/>
      <c r="CZ101" s="28"/>
      <c r="DA101" s="28"/>
    </row>
    <row r="102" spans="1:105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28"/>
      <c r="CG102" s="28"/>
      <c r="CH102" s="28"/>
      <c r="CI102" s="28"/>
      <c r="CJ102" s="28"/>
      <c r="CK102" s="28"/>
      <c r="CL102" s="28"/>
      <c r="CM102" s="28"/>
      <c r="CN102" s="28"/>
      <c r="CO102" s="28"/>
      <c r="CP102" s="28"/>
      <c r="CQ102" s="28"/>
      <c r="CR102" s="28"/>
      <c r="CS102" s="28"/>
      <c r="CT102" s="28"/>
      <c r="CU102" s="28"/>
      <c r="CV102" s="28"/>
      <c r="CW102" s="28"/>
      <c r="CX102" s="28"/>
      <c r="CY102" s="28"/>
      <c r="CZ102" s="28"/>
      <c r="DA102" s="28"/>
    </row>
    <row r="103" spans="1:105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28"/>
      <c r="CG103" s="28"/>
      <c r="CH103" s="28"/>
      <c r="CI103" s="28"/>
      <c r="CJ103" s="28"/>
      <c r="CK103" s="28"/>
      <c r="CL103" s="28"/>
      <c r="CM103" s="28"/>
      <c r="CN103" s="28"/>
      <c r="CO103" s="28"/>
      <c r="CP103" s="28"/>
      <c r="CQ103" s="28"/>
      <c r="CR103" s="28"/>
      <c r="CS103" s="28"/>
      <c r="CT103" s="28"/>
      <c r="CU103" s="28"/>
      <c r="CV103" s="28"/>
      <c r="CW103" s="28"/>
      <c r="CX103" s="28"/>
      <c r="CY103" s="28"/>
      <c r="CZ103" s="28"/>
      <c r="DA103" s="28"/>
    </row>
    <row r="104" spans="1:105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28"/>
      <c r="CG104" s="28"/>
      <c r="CH104" s="28"/>
      <c r="CI104" s="28"/>
      <c r="CJ104" s="28"/>
      <c r="CK104" s="28"/>
      <c r="CL104" s="28"/>
      <c r="CM104" s="28"/>
      <c r="CN104" s="28"/>
      <c r="CO104" s="28"/>
      <c r="CP104" s="28"/>
      <c r="CQ104" s="28"/>
      <c r="CR104" s="28"/>
      <c r="CS104" s="28"/>
      <c r="CT104" s="28"/>
      <c r="CU104" s="28"/>
      <c r="CV104" s="28"/>
      <c r="CW104" s="28"/>
      <c r="CX104" s="28"/>
      <c r="CY104" s="28"/>
      <c r="CZ104" s="28"/>
      <c r="DA104" s="28"/>
    </row>
    <row r="105" spans="1:105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28"/>
      <c r="CC105" s="28"/>
      <c r="CD105" s="28"/>
      <c r="CE105" s="28"/>
      <c r="CF105" s="28"/>
      <c r="CG105" s="28"/>
      <c r="CH105" s="28"/>
      <c r="CI105" s="28"/>
      <c r="CJ105" s="28"/>
      <c r="CK105" s="28"/>
      <c r="CL105" s="28"/>
      <c r="CM105" s="28"/>
      <c r="CN105" s="28"/>
      <c r="CO105" s="28"/>
      <c r="CP105" s="28"/>
      <c r="CQ105" s="28"/>
      <c r="CR105" s="28"/>
      <c r="CS105" s="28"/>
      <c r="CT105" s="28"/>
      <c r="CU105" s="28"/>
      <c r="CV105" s="28"/>
      <c r="CW105" s="28"/>
      <c r="CX105" s="28"/>
      <c r="CY105" s="28"/>
      <c r="CZ105" s="28"/>
      <c r="DA105" s="28"/>
    </row>
    <row r="106" spans="1:105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28"/>
      <c r="CC106" s="28"/>
      <c r="CD106" s="28"/>
      <c r="CE106" s="28"/>
      <c r="CF106" s="28"/>
      <c r="CG106" s="28"/>
      <c r="CH106" s="28"/>
      <c r="CI106" s="28"/>
      <c r="CJ106" s="28"/>
      <c r="CK106" s="28"/>
      <c r="CL106" s="28"/>
      <c r="CM106" s="28"/>
      <c r="CN106" s="28"/>
      <c r="CO106" s="28"/>
      <c r="CP106" s="28"/>
      <c r="CQ106" s="28"/>
      <c r="CR106" s="28"/>
      <c r="CS106" s="28"/>
      <c r="CT106" s="28"/>
      <c r="CU106" s="28"/>
      <c r="CV106" s="28"/>
      <c r="CW106" s="28"/>
      <c r="CX106" s="28"/>
      <c r="CY106" s="28"/>
      <c r="CZ106" s="28"/>
      <c r="DA106" s="28"/>
    </row>
    <row r="107" spans="1:105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28"/>
      <c r="CC107" s="28"/>
      <c r="CD107" s="28"/>
      <c r="CE107" s="28"/>
      <c r="CF107" s="28"/>
      <c r="CG107" s="28"/>
      <c r="CH107" s="28"/>
      <c r="CI107" s="28"/>
      <c r="CJ107" s="28"/>
      <c r="CK107" s="28"/>
      <c r="CL107" s="28"/>
      <c r="CM107" s="28"/>
      <c r="CN107" s="28"/>
      <c r="CO107" s="28"/>
      <c r="CP107" s="28"/>
      <c r="CQ107" s="28"/>
      <c r="CR107" s="28"/>
      <c r="CS107" s="28"/>
      <c r="CT107" s="28"/>
      <c r="CU107" s="28"/>
      <c r="CV107" s="28"/>
      <c r="CW107" s="28"/>
      <c r="CX107" s="28"/>
      <c r="CY107" s="28"/>
      <c r="CZ107" s="28"/>
      <c r="DA107" s="28"/>
    </row>
    <row r="108" spans="1:105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28"/>
      <c r="CG108" s="28"/>
      <c r="CH108" s="28"/>
      <c r="CI108" s="28"/>
      <c r="CJ108" s="28"/>
      <c r="CK108" s="28"/>
      <c r="CL108" s="28"/>
      <c r="CM108" s="28"/>
      <c r="CN108" s="28"/>
      <c r="CO108" s="28"/>
      <c r="CP108" s="28"/>
      <c r="CQ108" s="28"/>
      <c r="CR108" s="28"/>
      <c r="CS108" s="28"/>
      <c r="CT108" s="28"/>
      <c r="CU108" s="28"/>
      <c r="CV108" s="28"/>
      <c r="CW108" s="28"/>
      <c r="CX108" s="28"/>
      <c r="CY108" s="28"/>
      <c r="CZ108" s="28"/>
      <c r="DA108" s="28"/>
    </row>
    <row r="109" spans="1:105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28"/>
      <c r="CG109" s="28"/>
      <c r="CH109" s="28"/>
      <c r="CI109" s="28"/>
      <c r="CJ109" s="28"/>
      <c r="CK109" s="28"/>
      <c r="CL109" s="28"/>
      <c r="CM109" s="28"/>
      <c r="CN109" s="28"/>
      <c r="CO109" s="28"/>
      <c r="CP109" s="28"/>
      <c r="CQ109" s="28"/>
      <c r="CR109" s="28"/>
      <c r="CS109" s="28"/>
      <c r="CT109" s="28"/>
      <c r="CU109" s="28"/>
      <c r="CV109" s="28"/>
      <c r="CW109" s="28"/>
      <c r="CX109" s="28"/>
      <c r="CY109" s="28"/>
      <c r="CZ109" s="28"/>
      <c r="DA109" s="28"/>
    </row>
    <row r="110" spans="1:105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28"/>
      <c r="CC110" s="28"/>
      <c r="CD110" s="28"/>
      <c r="CE110" s="28"/>
      <c r="CF110" s="28"/>
      <c r="CG110" s="28"/>
      <c r="CH110" s="28"/>
      <c r="CI110" s="28"/>
      <c r="CJ110" s="28"/>
      <c r="CK110" s="28"/>
      <c r="CL110" s="28"/>
      <c r="CM110" s="28"/>
      <c r="CN110" s="28"/>
      <c r="CO110" s="28"/>
      <c r="CP110" s="28"/>
      <c r="CQ110" s="28"/>
      <c r="CR110" s="28"/>
      <c r="CS110" s="28"/>
      <c r="CT110" s="28"/>
      <c r="CU110" s="28"/>
      <c r="CV110" s="28"/>
      <c r="CW110" s="28"/>
      <c r="CX110" s="28"/>
      <c r="CY110" s="28"/>
      <c r="CZ110" s="28"/>
      <c r="DA110" s="28"/>
    </row>
    <row r="111" spans="1:105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28"/>
      <c r="CC111" s="28"/>
      <c r="CD111" s="28"/>
      <c r="CE111" s="28"/>
      <c r="CF111" s="28"/>
      <c r="CG111" s="28"/>
      <c r="CH111" s="28"/>
      <c r="CI111" s="28"/>
      <c r="CJ111" s="28"/>
      <c r="CK111" s="28"/>
      <c r="CL111" s="28"/>
      <c r="CM111" s="28"/>
      <c r="CN111" s="28"/>
      <c r="CO111" s="28"/>
      <c r="CP111" s="28"/>
      <c r="CQ111" s="28"/>
      <c r="CR111" s="28"/>
      <c r="CS111" s="28"/>
      <c r="CT111" s="28"/>
      <c r="CU111" s="28"/>
      <c r="CV111" s="28"/>
      <c r="CW111" s="28"/>
      <c r="CX111" s="28"/>
      <c r="CY111" s="28"/>
      <c r="CZ111" s="28"/>
      <c r="DA111" s="28"/>
    </row>
    <row r="112" spans="1:105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28"/>
      <c r="CC112" s="28"/>
      <c r="CD112" s="28"/>
      <c r="CE112" s="28"/>
      <c r="CF112" s="28"/>
      <c r="CG112" s="28"/>
      <c r="CH112" s="28"/>
      <c r="CI112" s="28"/>
      <c r="CJ112" s="28"/>
      <c r="CK112" s="28"/>
      <c r="CL112" s="28"/>
      <c r="CM112" s="28"/>
      <c r="CN112" s="28"/>
      <c r="CO112" s="28"/>
      <c r="CP112" s="28"/>
      <c r="CQ112" s="28"/>
      <c r="CR112" s="28"/>
      <c r="CS112" s="28"/>
      <c r="CT112" s="28"/>
      <c r="CU112" s="28"/>
      <c r="CV112" s="28"/>
      <c r="CW112" s="28"/>
      <c r="CX112" s="28"/>
      <c r="CY112" s="28"/>
      <c r="CZ112" s="28"/>
      <c r="DA112" s="28"/>
    </row>
    <row r="113" spans="1:105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28"/>
      <c r="CC113" s="28"/>
      <c r="CD113" s="28"/>
      <c r="CE113" s="28"/>
      <c r="CF113" s="28"/>
      <c r="CG113" s="28"/>
      <c r="CH113" s="28"/>
      <c r="CI113" s="28"/>
      <c r="CJ113" s="28"/>
      <c r="CK113" s="28"/>
      <c r="CL113" s="28"/>
      <c r="CM113" s="28"/>
      <c r="CN113" s="28"/>
      <c r="CO113" s="28"/>
      <c r="CP113" s="28"/>
      <c r="CQ113" s="28"/>
      <c r="CR113" s="28"/>
      <c r="CS113" s="28"/>
      <c r="CT113" s="28"/>
      <c r="CU113" s="28"/>
      <c r="CV113" s="28"/>
      <c r="CW113" s="28"/>
      <c r="CX113" s="28"/>
      <c r="CY113" s="28"/>
      <c r="CZ113" s="28"/>
      <c r="DA113" s="28"/>
    </row>
    <row r="114" spans="1:105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28"/>
      <c r="CC114" s="28"/>
      <c r="CD114" s="28"/>
      <c r="CE114" s="28"/>
      <c r="CF114" s="28"/>
      <c r="CG114" s="28"/>
      <c r="CH114" s="28"/>
      <c r="CI114" s="28"/>
      <c r="CJ114" s="28"/>
      <c r="CK114" s="28"/>
      <c r="CL114" s="28"/>
      <c r="CM114" s="28"/>
      <c r="CN114" s="28"/>
      <c r="CO114" s="28"/>
      <c r="CP114" s="28"/>
      <c r="CQ114" s="28"/>
      <c r="CR114" s="28"/>
      <c r="CS114" s="28"/>
      <c r="CT114" s="28"/>
      <c r="CU114" s="28"/>
      <c r="CV114" s="28"/>
      <c r="CW114" s="28"/>
      <c r="CX114" s="28"/>
      <c r="CY114" s="28"/>
      <c r="CZ114" s="28"/>
      <c r="DA114" s="28"/>
    </row>
    <row r="115" spans="1:105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28"/>
      <c r="CG115" s="28"/>
      <c r="CH115" s="28"/>
      <c r="CI115" s="28"/>
      <c r="CJ115" s="28"/>
      <c r="CK115" s="28"/>
      <c r="CL115" s="28"/>
      <c r="CM115" s="28"/>
      <c r="CN115" s="28"/>
      <c r="CO115" s="28"/>
      <c r="CP115" s="28"/>
      <c r="CQ115" s="28"/>
      <c r="CR115" s="28"/>
      <c r="CS115" s="28"/>
      <c r="CT115" s="28"/>
      <c r="CU115" s="28"/>
      <c r="CV115" s="28"/>
      <c r="CW115" s="28"/>
      <c r="CX115" s="28"/>
      <c r="CY115" s="28"/>
      <c r="CZ115" s="28"/>
      <c r="DA115" s="28"/>
    </row>
    <row r="116" spans="1:105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28"/>
      <c r="CG116" s="28"/>
      <c r="CH116" s="28"/>
      <c r="CI116" s="28"/>
      <c r="CJ116" s="28"/>
      <c r="CK116" s="28"/>
      <c r="CL116" s="28"/>
      <c r="CM116" s="28"/>
      <c r="CN116" s="28"/>
      <c r="CO116" s="28"/>
      <c r="CP116" s="28"/>
      <c r="CQ116" s="28"/>
      <c r="CR116" s="28"/>
      <c r="CS116" s="28"/>
      <c r="CT116" s="28"/>
      <c r="CU116" s="28"/>
      <c r="CV116" s="28"/>
      <c r="CW116" s="28"/>
      <c r="CX116" s="28"/>
      <c r="CY116" s="28"/>
      <c r="CZ116" s="28"/>
      <c r="DA116" s="28"/>
    </row>
    <row r="117" spans="1:105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</row>
    <row r="118" spans="1:105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</row>
    <row r="119" spans="1:105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</row>
    <row r="120" spans="1:105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</row>
    <row r="121" spans="1:105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28"/>
      <c r="CC121" s="28"/>
      <c r="CD121" s="28"/>
      <c r="CE121" s="28"/>
      <c r="CF121" s="28"/>
      <c r="CG121" s="28"/>
      <c r="CH121" s="28"/>
      <c r="CI121" s="28"/>
      <c r="CJ121" s="28"/>
      <c r="CK121" s="28"/>
      <c r="CL121" s="28"/>
      <c r="CM121" s="28"/>
      <c r="CN121" s="28"/>
      <c r="CO121" s="28"/>
      <c r="CP121" s="28"/>
      <c r="CQ121" s="28"/>
      <c r="CR121" s="28"/>
      <c r="CS121" s="28"/>
      <c r="CT121" s="28"/>
      <c r="CU121" s="28"/>
      <c r="CV121" s="28"/>
      <c r="CW121" s="28"/>
      <c r="CX121" s="28"/>
      <c r="CY121" s="28"/>
      <c r="CZ121" s="28"/>
      <c r="DA121" s="28"/>
    </row>
    <row r="122" spans="1:105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28"/>
      <c r="CC122" s="28"/>
      <c r="CD122" s="28"/>
      <c r="CE122" s="28"/>
      <c r="CF122" s="28"/>
      <c r="CG122" s="28"/>
      <c r="CH122" s="28"/>
      <c r="CI122" s="28"/>
      <c r="CJ122" s="28"/>
      <c r="CK122" s="28"/>
      <c r="CL122" s="28"/>
      <c r="CM122" s="28"/>
      <c r="CN122" s="28"/>
      <c r="CO122" s="28"/>
      <c r="CP122" s="28"/>
      <c r="CQ122" s="28"/>
      <c r="CR122" s="28"/>
      <c r="CS122" s="28"/>
      <c r="CT122" s="28"/>
      <c r="CU122" s="28"/>
      <c r="CV122" s="28"/>
      <c r="CW122" s="28"/>
      <c r="CX122" s="28"/>
      <c r="CY122" s="28"/>
      <c r="CZ122" s="28"/>
      <c r="DA122" s="28"/>
    </row>
    <row r="123" spans="1:105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28"/>
      <c r="CC123" s="28"/>
      <c r="CD123" s="28"/>
      <c r="CE123" s="28"/>
      <c r="CF123" s="28"/>
      <c r="CG123" s="28"/>
      <c r="CH123" s="28"/>
      <c r="CI123" s="28"/>
      <c r="CJ123" s="28"/>
      <c r="CK123" s="28"/>
      <c r="CL123" s="28"/>
      <c r="CM123" s="28"/>
      <c r="CN123" s="28"/>
      <c r="CO123" s="28"/>
      <c r="CP123" s="28"/>
      <c r="CQ123" s="28"/>
      <c r="CR123" s="28"/>
      <c r="CS123" s="28"/>
      <c r="CT123" s="28"/>
      <c r="CU123" s="28"/>
      <c r="CV123" s="28"/>
      <c r="CW123" s="28"/>
      <c r="CX123" s="28"/>
      <c r="CY123" s="28"/>
      <c r="CZ123" s="28"/>
      <c r="DA123" s="28"/>
    </row>
    <row r="124" spans="1:105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28"/>
      <c r="CC124" s="28"/>
      <c r="CD124" s="28"/>
      <c r="CE124" s="28"/>
      <c r="CF124" s="28"/>
      <c r="CG124" s="28"/>
      <c r="CH124" s="28"/>
      <c r="CI124" s="28"/>
      <c r="CJ124" s="28"/>
      <c r="CK124" s="28"/>
      <c r="CL124" s="28"/>
      <c r="CM124" s="28"/>
      <c r="CN124" s="28"/>
      <c r="CO124" s="28"/>
      <c r="CP124" s="28"/>
      <c r="CQ124" s="28"/>
      <c r="CR124" s="28"/>
      <c r="CS124" s="28"/>
      <c r="CT124" s="28"/>
      <c r="CU124" s="28"/>
      <c r="CV124" s="28"/>
      <c r="CW124" s="28"/>
      <c r="CX124" s="28"/>
      <c r="CY124" s="28"/>
      <c r="CZ124" s="28"/>
      <c r="DA124" s="28"/>
    </row>
    <row r="125" spans="1:105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28"/>
      <c r="CC125" s="28"/>
      <c r="CD125" s="28"/>
      <c r="CE125" s="28"/>
      <c r="CF125" s="28"/>
      <c r="CG125" s="28"/>
      <c r="CH125" s="28"/>
      <c r="CI125" s="28"/>
      <c r="CJ125" s="28"/>
      <c r="CK125" s="28"/>
      <c r="CL125" s="28"/>
      <c r="CM125" s="28"/>
      <c r="CN125" s="28"/>
      <c r="CO125" s="28"/>
      <c r="CP125" s="28"/>
      <c r="CQ125" s="28"/>
      <c r="CR125" s="28"/>
      <c r="CS125" s="28"/>
      <c r="CT125" s="28"/>
      <c r="CU125" s="28"/>
      <c r="CV125" s="28"/>
      <c r="CW125" s="28"/>
      <c r="CX125" s="28"/>
      <c r="CY125" s="28"/>
      <c r="CZ125" s="28"/>
      <c r="DA125" s="28"/>
    </row>
    <row r="126" spans="1:105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28"/>
      <c r="CC126" s="28"/>
      <c r="CD126" s="28"/>
      <c r="CE126" s="28"/>
      <c r="CF126" s="28"/>
      <c r="CG126" s="28"/>
      <c r="CH126" s="28"/>
      <c r="CI126" s="28"/>
      <c r="CJ126" s="28"/>
      <c r="CK126" s="28"/>
      <c r="CL126" s="28"/>
      <c r="CM126" s="28"/>
      <c r="CN126" s="28"/>
      <c r="CO126" s="28"/>
      <c r="CP126" s="28"/>
      <c r="CQ126" s="28"/>
      <c r="CR126" s="28"/>
      <c r="CS126" s="28"/>
      <c r="CT126" s="28"/>
      <c r="CU126" s="28"/>
      <c r="CV126" s="28"/>
      <c r="CW126" s="28"/>
      <c r="CX126" s="28"/>
      <c r="CY126" s="28"/>
      <c r="CZ126" s="28"/>
      <c r="DA126" s="28"/>
    </row>
    <row r="127" spans="1:105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28"/>
      <c r="CC127" s="28"/>
      <c r="CD127" s="28"/>
      <c r="CE127" s="28"/>
      <c r="CF127" s="28"/>
      <c r="CG127" s="28"/>
      <c r="CH127" s="28"/>
      <c r="CI127" s="28"/>
      <c r="CJ127" s="28"/>
      <c r="CK127" s="28"/>
      <c r="CL127" s="28"/>
      <c r="CM127" s="28"/>
      <c r="CN127" s="28"/>
      <c r="CO127" s="28"/>
      <c r="CP127" s="28"/>
      <c r="CQ127" s="28"/>
      <c r="CR127" s="28"/>
      <c r="CS127" s="28"/>
      <c r="CT127" s="28"/>
      <c r="CU127" s="28"/>
      <c r="CV127" s="28"/>
      <c r="CW127" s="28"/>
      <c r="CX127" s="28"/>
      <c r="CY127" s="28"/>
      <c r="CZ127" s="28"/>
      <c r="DA127" s="28"/>
    </row>
    <row r="128" spans="1:105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28"/>
      <c r="CC128" s="28"/>
      <c r="CD128" s="28"/>
      <c r="CE128" s="28"/>
      <c r="CF128" s="28"/>
      <c r="CG128" s="28"/>
      <c r="CH128" s="28"/>
      <c r="CI128" s="28"/>
      <c r="CJ128" s="28"/>
      <c r="CK128" s="28"/>
      <c r="CL128" s="28"/>
      <c r="CM128" s="28"/>
      <c r="CN128" s="28"/>
      <c r="CO128" s="28"/>
      <c r="CP128" s="28"/>
      <c r="CQ128" s="28"/>
      <c r="CR128" s="28"/>
      <c r="CS128" s="28"/>
      <c r="CT128" s="28"/>
      <c r="CU128" s="28"/>
      <c r="CV128" s="28"/>
      <c r="CW128" s="28"/>
      <c r="CX128" s="28"/>
      <c r="CY128" s="28"/>
      <c r="CZ128" s="28"/>
      <c r="DA128" s="28"/>
    </row>
    <row r="129" spans="1:105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28"/>
      <c r="CC129" s="28"/>
      <c r="CD129" s="28"/>
      <c r="CE129" s="28"/>
      <c r="CF129" s="28"/>
      <c r="CG129" s="28"/>
      <c r="CH129" s="28"/>
      <c r="CI129" s="28"/>
      <c r="CJ129" s="28"/>
      <c r="CK129" s="28"/>
      <c r="CL129" s="28"/>
      <c r="CM129" s="28"/>
      <c r="CN129" s="28"/>
      <c r="CO129" s="28"/>
      <c r="CP129" s="28"/>
      <c r="CQ129" s="28"/>
      <c r="CR129" s="28"/>
      <c r="CS129" s="28"/>
      <c r="CT129" s="28"/>
      <c r="CU129" s="28"/>
      <c r="CV129" s="28"/>
      <c r="CW129" s="28"/>
      <c r="CX129" s="28"/>
      <c r="CY129" s="28"/>
      <c r="CZ129" s="28"/>
      <c r="DA129" s="28"/>
    </row>
    <row r="130" spans="1:105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28"/>
      <c r="CC130" s="28"/>
      <c r="CD130" s="28"/>
      <c r="CE130" s="28"/>
      <c r="CF130" s="28"/>
      <c r="CG130" s="28"/>
      <c r="CH130" s="28"/>
      <c r="CI130" s="28"/>
      <c r="CJ130" s="28"/>
      <c r="CK130" s="28"/>
      <c r="CL130" s="28"/>
      <c r="CM130" s="28"/>
      <c r="CN130" s="28"/>
      <c r="CO130" s="28"/>
      <c r="CP130" s="28"/>
      <c r="CQ130" s="28"/>
      <c r="CR130" s="28"/>
      <c r="CS130" s="28"/>
      <c r="CT130" s="28"/>
      <c r="CU130" s="28"/>
      <c r="CV130" s="28"/>
      <c r="CW130" s="28"/>
      <c r="CX130" s="28"/>
      <c r="CY130" s="28"/>
      <c r="CZ130" s="28"/>
      <c r="DA130" s="28"/>
    </row>
    <row r="131" spans="1:105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28"/>
      <c r="CG131" s="28"/>
      <c r="CH131" s="28"/>
      <c r="CI131" s="28"/>
      <c r="CJ131" s="28"/>
      <c r="CK131" s="28"/>
      <c r="CL131" s="28"/>
      <c r="CM131" s="28"/>
      <c r="CN131" s="28"/>
      <c r="CO131" s="28"/>
      <c r="CP131" s="28"/>
      <c r="CQ131" s="28"/>
      <c r="CR131" s="28"/>
      <c r="CS131" s="28"/>
      <c r="CT131" s="28"/>
      <c r="CU131" s="28"/>
      <c r="CV131" s="28"/>
      <c r="CW131" s="28"/>
      <c r="CX131" s="28"/>
      <c r="CY131" s="28"/>
      <c r="CZ131" s="28"/>
      <c r="DA131" s="28"/>
    </row>
    <row r="132" spans="1:105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28"/>
      <c r="CC132" s="28"/>
      <c r="CD132" s="28"/>
      <c r="CE132" s="28"/>
      <c r="CF132" s="28"/>
      <c r="CG132" s="28"/>
      <c r="CH132" s="28"/>
      <c r="CI132" s="28"/>
      <c r="CJ132" s="28"/>
      <c r="CK132" s="28"/>
      <c r="CL132" s="28"/>
      <c r="CM132" s="28"/>
      <c r="CN132" s="28"/>
      <c r="CO132" s="28"/>
      <c r="CP132" s="28"/>
      <c r="CQ132" s="28"/>
      <c r="CR132" s="28"/>
      <c r="CS132" s="28"/>
      <c r="CT132" s="28"/>
      <c r="CU132" s="28"/>
      <c r="CV132" s="28"/>
      <c r="CW132" s="28"/>
      <c r="CX132" s="28"/>
      <c r="CY132" s="28"/>
      <c r="CZ132" s="28"/>
      <c r="DA132" s="28"/>
    </row>
    <row r="133" spans="1:105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28"/>
      <c r="CC133" s="28"/>
      <c r="CD133" s="28"/>
      <c r="CE133" s="28"/>
      <c r="CF133" s="28"/>
      <c r="CG133" s="28"/>
      <c r="CH133" s="28"/>
      <c r="CI133" s="28"/>
      <c r="CJ133" s="28"/>
      <c r="CK133" s="28"/>
      <c r="CL133" s="28"/>
      <c r="CM133" s="28"/>
      <c r="CN133" s="28"/>
      <c r="CO133" s="28"/>
      <c r="CP133" s="28"/>
      <c r="CQ133" s="28"/>
      <c r="CR133" s="28"/>
      <c r="CS133" s="28"/>
      <c r="CT133" s="28"/>
      <c r="CU133" s="28"/>
      <c r="CV133" s="28"/>
      <c r="CW133" s="28"/>
      <c r="CX133" s="28"/>
      <c r="CY133" s="28"/>
      <c r="CZ133" s="28"/>
      <c r="DA133" s="28"/>
    </row>
    <row r="134" spans="1:105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28"/>
      <c r="CC134" s="28"/>
      <c r="CD134" s="28"/>
      <c r="CE134" s="28"/>
      <c r="CF134" s="28"/>
      <c r="CG134" s="28"/>
      <c r="CH134" s="28"/>
      <c r="CI134" s="28"/>
      <c r="CJ134" s="28"/>
      <c r="CK134" s="28"/>
      <c r="CL134" s="28"/>
      <c r="CM134" s="28"/>
      <c r="CN134" s="28"/>
      <c r="CO134" s="28"/>
      <c r="CP134" s="28"/>
      <c r="CQ134" s="28"/>
      <c r="CR134" s="28"/>
      <c r="CS134" s="28"/>
      <c r="CT134" s="28"/>
      <c r="CU134" s="28"/>
      <c r="CV134" s="28"/>
      <c r="CW134" s="28"/>
      <c r="CX134" s="28"/>
      <c r="CY134" s="28"/>
      <c r="CZ134" s="28"/>
      <c r="DA134" s="28"/>
    </row>
    <row r="135" spans="1:105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28"/>
      <c r="CC135" s="28"/>
      <c r="CD135" s="28"/>
      <c r="CE135" s="28"/>
      <c r="CF135" s="28"/>
      <c r="CG135" s="28"/>
      <c r="CH135" s="28"/>
      <c r="CI135" s="28"/>
      <c r="CJ135" s="28"/>
      <c r="CK135" s="28"/>
      <c r="CL135" s="28"/>
      <c r="CM135" s="28"/>
      <c r="CN135" s="28"/>
      <c r="CO135" s="28"/>
      <c r="CP135" s="28"/>
      <c r="CQ135" s="28"/>
      <c r="CR135" s="28"/>
      <c r="CS135" s="28"/>
      <c r="CT135" s="28"/>
      <c r="CU135" s="28"/>
      <c r="CV135" s="28"/>
      <c r="CW135" s="28"/>
      <c r="CX135" s="28"/>
      <c r="CY135" s="28"/>
      <c r="CZ135" s="28"/>
      <c r="DA135" s="28"/>
    </row>
    <row r="136" spans="1:105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28"/>
      <c r="CC136" s="28"/>
      <c r="CD136" s="28"/>
      <c r="CE136" s="28"/>
      <c r="CF136" s="28"/>
      <c r="CG136" s="28"/>
      <c r="CH136" s="28"/>
      <c r="CI136" s="28"/>
      <c r="CJ136" s="28"/>
      <c r="CK136" s="28"/>
      <c r="CL136" s="28"/>
      <c r="CM136" s="28"/>
      <c r="CN136" s="28"/>
      <c r="CO136" s="28"/>
      <c r="CP136" s="28"/>
      <c r="CQ136" s="28"/>
      <c r="CR136" s="28"/>
      <c r="CS136" s="28"/>
      <c r="CT136" s="28"/>
      <c r="CU136" s="28"/>
      <c r="CV136" s="28"/>
      <c r="CW136" s="28"/>
      <c r="CX136" s="28"/>
      <c r="CY136" s="28"/>
      <c r="CZ136" s="28"/>
      <c r="DA136" s="28"/>
    </row>
    <row r="137" spans="1:105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28"/>
      <c r="CG137" s="28"/>
      <c r="CH137" s="28"/>
      <c r="CI137" s="28"/>
      <c r="CJ137" s="28"/>
      <c r="CK137" s="28"/>
      <c r="CL137" s="28"/>
      <c r="CM137" s="28"/>
      <c r="CN137" s="28"/>
      <c r="CO137" s="28"/>
      <c r="CP137" s="28"/>
      <c r="CQ137" s="28"/>
      <c r="CR137" s="28"/>
      <c r="CS137" s="28"/>
      <c r="CT137" s="28"/>
      <c r="CU137" s="28"/>
      <c r="CV137" s="28"/>
      <c r="CW137" s="28"/>
      <c r="CX137" s="28"/>
      <c r="CY137" s="28"/>
      <c r="CZ137" s="28"/>
      <c r="DA137" s="28"/>
    </row>
    <row r="138" spans="1:105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28"/>
      <c r="CC138" s="28"/>
      <c r="CD138" s="28"/>
      <c r="CE138" s="28"/>
      <c r="CF138" s="28"/>
      <c r="CG138" s="28"/>
      <c r="CH138" s="28"/>
      <c r="CI138" s="28"/>
      <c r="CJ138" s="28"/>
      <c r="CK138" s="28"/>
      <c r="CL138" s="28"/>
      <c r="CM138" s="28"/>
      <c r="CN138" s="28"/>
      <c r="CO138" s="28"/>
      <c r="CP138" s="28"/>
      <c r="CQ138" s="28"/>
      <c r="CR138" s="28"/>
      <c r="CS138" s="28"/>
      <c r="CT138" s="28"/>
      <c r="CU138" s="28"/>
      <c r="CV138" s="28"/>
      <c r="CW138" s="28"/>
      <c r="CX138" s="28"/>
      <c r="CY138" s="28"/>
      <c r="CZ138" s="28"/>
      <c r="DA138" s="28"/>
    </row>
    <row r="139" spans="1:105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28"/>
      <c r="CC139" s="28"/>
      <c r="CD139" s="28"/>
      <c r="CE139" s="28"/>
      <c r="CF139" s="28"/>
      <c r="CG139" s="28"/>
      <c r="CH139" s="28"/>
      <c r="CI139" s="28"/>
      <c r="CJ139" s="28"/>
      <c r="CK139" s="28"/>
      <c r="CL139" s="28"/>
      <c r="CM139" s="28"/>
      <c r="CN139" s="28"/>
      <c r="CO139" s="28"/>
      <c r="CP139" s="28"/>
      <c r="CQ139" s="28"/>
      <c r="CR139" s="28"/>
      <c r="CS139" s="28"/>
      <c r="CT139" s="28"/>
      <c r="CU139" s="28"/>
      <c r="CV139" s="28"/>
      <c r="CW139" s="28"/>
      <c r="CX139" s="28"/>
      <c r="CY139" s="28"/>
      <c r="CZ139" s="28"/>
      <c r="DA139" s="28"/>
    </row>
    <row r="140" spans="1:105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28"/>
      <c r="CC140" s="28"/>
      <c r="CD140" s="28"/>
      <c r="CE140" s="28"/>
      <c r="CF140" s="28"/>
      <c r="CG140" s="28"/>
      <c r="CH140" s="28"/>
      <c r="CI140" s="28"/>
      <c r="CJ140" s="28"/>
      <c r="CK140" s="28"/>
      <c r="CL140" s="28"/>
      <c r="CM140" s="28"/>
      <c r="CN140" s="28"/>
      <c r="CO140" s="28"/>
      <c r="CP140" s="28"/>
      <c r="CQ140" s="28"/>
      <c r="CR140" s="28"/>
      <c r="CS140" s="28"/>
      <c r="CT140" s="28"/>
      <c r="CU140" s="28"/>
      <c r="CV140" s="28"/>
      <c r="CW140" s="28"/>
      <c r="CX140" s="28"/>
      <c r="CY140" s="28"/>
      <c r="CZ140" s="28"/>
      <c r="DA140" s="28"/>
    </row>
    <row r="141" spans="1:105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28"/>
      <c r="CC141" s="28"/>
      <c r="CD141" s="28"/>
      <c r="CE141" s="28"/>
      <c r="CF141" s="28"/>
      <c r="CG141" s="28"/>
      <c r="CH141" s="28"/>
      <c r="CI141" s="28"/>
      <c r="CJ141" s="28"/>
      <c r="CK141" s="28"/>
      <c r="CL141" s="28"/>
      <c r="CM141" s="28"/>
      <c r="CN141" s="28"/>
      <c r="CO141" s="28"/>
      <c r="CP141" s="28"/>
      <c r="CQ141" s="28"/>
      <c r="CR141" s="28"/>
      <c r="CS141" s="28"/>
      <c r="CT141" s="28"/>
      <c r="CU141" s="28"/>
      <c r="CV141" s="28"/>
      <c r="CW141" s="28"/>
      <c r="CX141" s="28"/>
      <c r="CY141" s="28"/>
      <c r="CZ141" s="28"/>
      <c r="DA141" s="28"/>
    </row>
    <row r="142" spans="1:105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28"/>
      <c r="CC142" s="28"/>
      <c r="CD142" s="28"/>
      <c r="CE142" s="28"/>
      <c r="CF142" s="28"/>
      <c r="CG142" s="28"/>
      <c r="CH142" s="28"/>
      <c r="CI142" s="28"/>
      <c r="CJ142" s="28"/>
      <c r="CK142" s="28"/>
      <c r="CL142" s="28"/>
      <c r="CM142" s="28"/>
      <c r="CN142" s="28"/>
      <c r="CO142" s="28"/>
      <c r="CP142" s="28"/>
      <c r="CQ142" s="28"/>
      <c r="CR142" s="28"/>
      <c r="CS142" s="28"/>
      <c r="CT142" s="28"/>
      <c r="CU142" s="28"/>
      <c r="CV142" s="28"/>
      <c r="CW142" s="28"/>
      <c r="CX142" s="28"/>
      <c r="CY142" s="28"/>
      <c r="CZ142" s="28"/>
      <c r="DA142" s="28"/>
    </row>
    <row r="143" spans="1:105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28"/>
      <c r="CC143" s="28"/>
      <c r="CD143" s="28"/>
      <c r="CE143" s="28"/>
      <c r="CF143" s="28"/>
      <c r="CG143" s="28"/>
      <c r="CH143" s="28"/>
      <c r="CI143" s="28"/>
      <c r="CJ143" s="28"/>
      <c r="CK143" s="28"/>
      <c r="CL143" s="28"/>
      <c r="CM143" s="28"/>
      <c r="CN143" s="28"/>
      <c r="CO143" s="28"/>
      <c r="CP143" s="28"/>
      <c r="CQ143" s="28"/>
      <c r="CR143" s="28"/>
      <c r="CS143" s="28"/>
      <c r="CT143" s="28"/>
      <c r="CU143" s="28"/>
      <c r="CV143" s="28"/>
      <c r="CW143" s="28"/>
      <c r="CX143" s="28"/>
      <c r="CY143" s="28"/>
      <c r="CZ143" s="28"/>
      <c r="DA143" s="28"/>
    </row>
    <row r="144" spans="1:105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28"/>
      <c r="CC144" s="28"/>
      <c r="CD144" s="28"/>
      <c r="CE144" s="28"/>
      <c r="CF144" s="28"/>
      <c r="CG144" s="28"/>
      <c r="CH144" s="28"/>
      <c r="CI144" s="28"/>
      <c r="CJ144" s="28"/>
      <c r="CK144" s="28"/>
      <c r="CL144" s="28"/>
      <c r="CM144" s="28"/>
      <c r="CN144" s="28"/>
      <c r="CO144" s="28"/>
      <c r="CP144" s="28"/>
      <c r="CQ144" s="28"/>
      <c r="CR144" s="28"/>
      <c r="CS144" s="28"/>
      <c r="CT144" s="28"/>
      <c r="CU144" s="28"/>
      <c r="CV144" s="28"/>
      <c r="CW144" s="28"/>
      <c r="CX144" s="28"/>
      <c r="CY144" s="28"/>
      <c r="CZ144" s="28"/>
      <c r="DA144" s="28"/>
    </row>
    <row r="145" spans="1:105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28"/>
      <c r="CC145" s="28"/>
      <c r="CD145" s="28"/>
      <c r="CE145" s="28"/>
      <c r="CF145" s="28"/>
      <c r="CG145" s="28"/>
      <c r="CH145" s="28"/>
      <c r="CI145" s="28"/>
      <c r="CJ145" s="28"/>
      <c r="CK145" s="28"/>
      <c r="CL145" s="28"/>
      <c r="CM145" s="28"/>
      <c r="CN145" s="28"/>
      <c r="CO145" s="28"/>
      <c r="CP145" s="28"/>
      <c r="CQ145" s="28"/>
      <c r="CR145" s="28"/>
      <c r="CS145" s="28"/>
      <c r="CT145" s="28"/>
      <c r="CU145" s="28"/>
      <c r="CV145" s="28"/>
      <c r="CW145" s="28"/>
      <c r="CX145" s="28"/>
      <c r="CY145" s="28"/>
      <c r="CZ145" s="28"/>
      <c r="DA145" s="28"/>
    </row>
    <row r="146" spans="1:105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28"/>
      <c r="CC146" s="28"/>
      <c r="CD146" s="28"/>
      <c r="CE146" s="28"/>
      <c r="CF146" s="28"/>
      <c r="CG146" s="28"/>
      <c r="CH146" s="28"/>
      <c r="CI146" s="28"/>
      <c r="CJ146" s="28"/>
      <c r="CK146" s="28"/>
      <c r="CL146" s="28"/>
      <c r="CM146" s="28"/>
      <c r="CN146" s="28"/>
      <c r="CO146" s="28"/>
      <c r="CP146" s="28"/>
      <c r="CQ146" s="28"/>
      <c r="CR146" s="28"/>
      <c r="CS146" s="28"/>
      <c r="CT146" s="28"/>
      <c r="CU146" s="28"/>
      <c r="CV146" s="28"/>
      <c r="CW146" s="28"/>
      <c r="CX146" s="28"/>
      <c r="CY146" s="28"/>
      <c r="CZ146" s="28"/>
      <c r="DA146" s="28"/>
    </row>
    <row r="147" spans="1:105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</row>
    <row r="148" spans="1:105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</row>
    <row r="149" spans="1:105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105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</row>
    <row r="151" spans="1:105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105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</row>
    <row r="153" spans="1:105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105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</row>
    <row r="155" spans="1:105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</row>
    <row r="156" spans="1:105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</row>
    <row r="157" spans="1:105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</row>
    <row r="158" spans="1:105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</row>
    <row r="159" spans="1:105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</row>
    <row r="160" spans="1:105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</row>
    <row r="161" spans="1:2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</row>
    <row r="162" spans="1:2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</row>
    <row r="163" spans="1:2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</row>
    <row r="164" spans="1:2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</row>
    <row r="165" spans="1:2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</row>
    <row r="166" spans="1:2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</row>
    <row r="167" spans="1:2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</row>
    <row r="168" spans="1:2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</row>
    <row r="169" spans="1:2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</row>
    <row r="170" spans="1:2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</row>
    <row r="171" spans="1:2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</row>
    <row r="172" spans="1:2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</row>
    <row r="173" spans="1:2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</row>
    <row r="174" spans="1:2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</row>
    <row r="175" spans="1:2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</row>
    <row r="176" spans="1:2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</row>
    <row r="177" spans="1:2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</row>
    <row r="178" spans="1:2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</row>
    <row r="179" spans="1:2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</row>
    <row r="180" spans="1:2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</row>
    <row r="181" spans="1:2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</row>
    <row r="182" spans="1:2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</row>
    <row r="183" spans="1:2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</row>
    <row r="184" spans="1:2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</row>
    <row r="185" spans="1:2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</row>
    <row r="186" spans="1:2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</row>
    <row r="187" spans="1:2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</row>
    <row r="188" spans="1:2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</row>
    <row r="189" spans="1:2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</row>
    <row r="190" spans="1:2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</row>
    <row r="191" spans="1:2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</row>
    <row r="192" spans="1:2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</row>
    <row r="193" spans="1:2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</row>
    <row r="194" spans="1:2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</row>
    <row r="195" spans="1:2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</row>
    <row r="196" spans="1:2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</row>
    <row r="197" spans="1:2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</row>
    <row r="198" spans="1:2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</row>
    <row r="199" spans="1:2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</row>
    <row r="200" spans="1:2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</row>
    <row r="201" spans="1:2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</row>
    <row r="202" spans="1:2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</row>
    <row r="203" spans="1:2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</row>
    <row r="204" spans="1:2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</row>
    <row r="205" spans="1:2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</row>
    <row r="206" spans="1:2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</row>
    <row r="207" spans="1:2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</row>
    <row r="208" spans="1:2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</row>
    <row r="209" spans="1:2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</row>
    <row r="210" spans="1:2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</row>
    <row r="211" spans="1:2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</row>
    <row r="212" spans="1:2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</row>
    <row r="213" spans="1:2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</row>
    <row r="214" spans="1:2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</row>
    <row r="215" spans="1:2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</row>
    <row r="216" spans="1:2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</row>
    <row r="217" spans="1:2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</row>
    <row r="218" spans="1:2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</row>
    <row r="219" spans="1:2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</row>
    <row r="220" spans="1:2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</row>
    <row r="221" spans="1:2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</row>
    <row r="222" spans="1:2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</row>
    <row r="223" spans="1:2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</row>
    <row r="224" spans="1:2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</row>
    <row r="225" spans="1:2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</row>
    <row r="226" spans="1:2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</row>
    <row r="227" spans="1:2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</row>
    <row r="228" spans="1:2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</row>
    <row r="229" spans="1:2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</row>
    <row r="230" spans="1:2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</row>
    <row r="231" spans="1:2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</row>
    <row r="232" spans="1:2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</row>
    <row r="233" spans="1:2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</row>
    <row r="234" spans="1:2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</row>
    <row r="235" spans="1:2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</row>
    <row r="236" spans="1:2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</row>
    <row r="237" spans="1:2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</row>
    <row r="238" spans="1:2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</row>
    <row r="239" spans="1:2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</row>
    <row r="240" spans="1:2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</row>
    <row r="241" spans="1:2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</row>
    <row r="242" spans="1:2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</row>
    <row r="243" spans="1:2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</row>
    <row r="244" spans="1:2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</row>
    <row r="245" spans="1:2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</row>
    <row r="246" spans="1:2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1:2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1:2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1:2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1:2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1" spans="1:2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</row>
    <row r="252" spans="1:2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</row>
    <row r="253" spans="1:2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</row>
    <row r="254" spans="1:2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</row>
    <row r="255" spans="1:2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</row>
    <row r="256" spans="1:2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</row>
    <row r="257" spans="1:2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</row>
    <row r="258" spans="1:2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</row>
    <row r="259" spans="1:2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</row>
    <row r="260" spans="1:2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</row>
    <row r="261" spans="1:2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</row>
    <row r="262" spans="1:2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</row>
    <row r="263" spans="1:2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</row>
    <row r="264" spans="1:2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</row>
    <row r="265" spans="1:2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</row>
    <row r="266" spans="1:2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</row>
    <row r="267" spans="1:2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</row>
    <row r="268" spans="1:2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</row>
    <row r="269" spans="1:2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</row>
    <row r="270" spans="1:2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</row>
    <row r="271" spans="1:2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</row>
    <row r="272" spans="1:2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</row>
    <row r="273" spans="1:2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</row>
    <row r="274" spans="1:2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</row>
    <row r="275" spans="1:2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</row>
    <row r="276" spans="1:2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</row>
    <row r="277" spans="1:2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</row>
    <row r="278" spans="1:2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</row>
    <row r="279" spans="1:2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</row>
    <row r="280" spans="1:2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</row>
    <row r="281" spans="1:2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</row>
    <row r="282" spans="1:2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</row>
    <row r="283" spans="1:2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</row>
    <row r="284" spans="1:2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</row>
    <row r="285" spans="1:2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</row>
    <row r="286" spans="1:2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</row>
    <row r="287" spans="1:2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</row>
    <row r="288" spans="1:2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</row>
    <row r="289" spans="1:2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</row>
    <row r="290" spans="1:2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</row>
    <row r="291" spans="1:2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</row>
    <row r="292" spans="1:2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</row>
    <row r="293" spans="1:2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</row>
    <row r="294" spans="1:2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</row>
    <row r="295" spans="1:2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</row>
    <row r="296" spans="1:2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</row>
    <row r="297" spans="1:2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</row>
    <row r="298" spans="1:2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</row>
    <row r="299" spans="1:2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</row>
    <row r="300" spans="1:2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</row>
    <row r="301" spans="1:2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</row>
    <row r="302" spans="1:2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</row>
    <row r="303" spans="1:2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</row>
    <row r="304" spans="1:2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</row>
    <row r="305" spans="1:2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</row>
    <row r="306" spans="1:2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</row>
    <row r="307" spans="1:2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</row>
    <row r="308" spans="1:2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</row>
    <row r="309" spans="1:2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</row>
    <row r="310" spans="1:2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</row>
    <row r="311" spans="1:2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</row>
    <row r="312" spans="1:2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</row>
    <row r="313" spans="1:2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</row>
    <row r="314" spans="1:2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</row>
    <row r="315" spans="1:2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</row>
    <row r="316" spans="1:2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</row>
    <row r="317" spans="1:2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</row>
    <row r="318" spans="1:2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</row>
    <row r="319" spans="1:2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</row>
    <row r="320" spans="1:2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</row>
    <row r="321" spans="1:2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</row>
    <row r="322" spans="1:2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</row>
    <row r="323" spans="1:2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</row>
    <row r="324" spans="1:2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</row>
    <row r="325" spans="1:2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</row>
    <row r="326" spans="1:2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</row>
    <row r="327" spans="1:2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</row>
    <row r="328" spans="1:2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</row>
    <row r="329" spans="1:2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</row>
    <row r="330" spans="1:2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</row>
    <row r="331" spans="1:2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</row>
    <row r="332" spans="1:2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</row>
    <row r="333" spans="1:2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</row>
    <row r="334" spans="1:2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</row>
    <row r="335" spans="1:2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</row>
    <row r="336" spans="1:2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</row>
    <row r="337" spans="1:2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</row>
    <row r="338" spans="1:2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</row>
    <row r="339" spans="1:2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</row>
    <row r="340" spans="1:2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</row>
    <row r="341" spans="1:2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</row>
    <row r="342" spans="1:2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</row>
    <row r="343" spans="1:2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</row>
    <row r="344" spans="1:2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</row>
    <row r="345" spans="1:2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</row>
    <row r="346" spans="1:2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</row>
    <row r="347" spans="1:2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</row>
    <row r="348" spans="1:2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</row>
    <row r="349" spans="1:2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</row>
    <row r="350" spans="1:2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</row>
    <row r="351" spans="1:2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</row>
    <row r="352" spans="1:2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</row>
    <row r="353" spans="1:2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</row>
    <row r="354" spans="1:2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</row>
    <row r="355" spans="1:2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</row>
    <row r="356" spans="1:2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</row>
    <row r="357" spans="1:2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</row>
    <row r="358" spans="1:2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</row>
    <row r="359" spans="1:2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</row>
    <row r="360" spans="1:2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</row>
    <row r="361" spans="1:2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</row>
    <row r="362" spans="1:2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</row>
    <row r="363" spans="1:2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</row>
    <row r="364" spans="1:2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</row>
    <row r="365" spans="1:2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</row>
    <row r="366" spans="1:2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</row>
    <row r="367" spans="1:2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</row>
    <row r="368" spans="1:2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</row>
    <row r="369" spans="1:2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</row>
    <row r="370" spans="1:2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</row>
    <row r="371" spans="1:2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</row>
    <row r="372" spans="1:2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</row>
    <row r="373" spans="1:2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</row>
    <row r="374" spans="1:2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</row>
    <row r="375" spans="1:2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</row>
    <row r="376" spans="1:2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</row>
    <row r="377" spans="1:2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</row>
    <row r="378" spans="1:2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</row>
    <row r="379" spans="1:2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</row>
    <row r="380" spans="1:2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</row>
    <row r="381" spans="1:2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</row>
    <row r="382" spans="1:2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</row>
    <row r="383" spans="1:2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</row>
    <row r="384" spans="1:2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</row>
    <row r="385" spans="1:2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</row>
    <row r="386" spans="1:2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</row>
    <row r="387" spans="1:2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</row>
    <row r="388" spans="1:2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</row>
    <row r="389" spans="1:2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</row>
    <row r="390" spans="1:2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</row>
    <row r="391" spans="1:2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</row>
    <row r="392" spans="1:2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</row>
    <row r="393" spans="1:2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</row>
    <row r="394" spans="1:2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</row>
    <row r="395" spans="1:2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</row>
    <row r="396" spans="1:2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</row>
    <row r="397" spans="1:2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</row>
    <row r="398" spans="1:2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</row>
    <row r="399" spans="1:2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</row>
    <row r="400" spans="1:2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</row>
    <row r="401" spans="1:2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</row>
    <row r="402" spans="1:2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</row>
    <row r="403" spans="1:2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</row>
    <row r="404" spans="1:2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</row>
    <row r="405" spans="1:2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</row>
    <row r="406" spans="1:2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</row>
    <row r="407" spans="1:2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</row>
    <row r="408" spans="1:2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</row>
    <row r="409" spans="1:2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</row>
    <row r="410" spans="1:2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</row>
    <row r="411" spans="1:2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</row>
    <row r="412" spans="1:2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</row>
    <row r="413" spans="1:2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</row>
    <row r="414" spans="1:2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</row>
    <row r="415" spans="1:2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</row>
    <row r="416" spans="1:2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</row>
    <row r="417" spans="1:2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</row>
    <row r="418" spans="1:2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</row>
    <row r="419" spans="1:2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</row>
    <row r="420" spans="1:2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</row>
    <row r="421" spans="1:2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</row>
    <row r="422" spans="1:2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</row>
    <row r="423" spans="1:2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</row>
    <row r="424" spans="1:2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</row>
    <row r="425" spans="1:2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</row>
    <row r="426" spans="1:2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</row>
    <row r="427" spans="1:2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</row>
    <row r="428" spans="1:2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</row>
    <row r="429" spans="1:2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</row>
    <row r="430" spans="1:2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</row>
    <row r="431" spans="1:2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</row>
    <row r="432" spans="1:2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</row>
    <row r="433" spans="1:2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</row>
    <row r="434" spans="1:2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</row>
    <row r="435" spans="1:2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</row>
    <row r="436" spans="1:2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</row>
    <row r="437" spans="1:2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</row>
    <row r="438" spans="1:2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</row>
    <row r="439" spans="1:2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</row>
    <row r="440" spans="1:2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</row>
    <row r="441" spans="1:2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</row>
    <row r="442" spans="1:2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</row>
    <row r="443" spans="1:2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</row>
    <row r="444" spans="1:2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</row>
    <row r="445" spans="1:2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</row>
    <row r="446" spans="1:2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</row>
    <row r="447" spans="1:2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</row>
    <row r="448" spans="1:2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</row>
    <row r="449" spans="1:2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</row>
    <row r="450" spans="1:2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</row>
    <row r="451" spans="1:2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</row>
    <row r="452" spans="1:2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</row>
    <row r="453" spans="1:2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</row>
    <row r="454" spans="1:2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</row>
    <row r="455" spans="1:2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</row>
    <row r="456" spans="1:2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</row>
    <row r="457" spans="1:2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</row>
    <row r="458" spans="1:2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</row>
    <row r="459" spans="1:2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</row>
    <row r="460" spans="1:2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</row>
    <row r="461" spans="1:2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</row>
    <row r="462" spans="1:2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</row>
    <row r="463" spans="1:2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</row>
    <row r="464" spans="1:2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</row>
    <row r="465" spans="1:2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</row>
    <row r="466" spans="1:2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</row>
    <row r="467" spans="1:2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</row>
    <row r="468" spans="1:2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</row>
    <row r="469" spans="1:2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</row>
    <row r="470" spans="1:2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</row>
    <row r="471" spans="1:2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</row>
    <row r="472" spans="1:2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</row>
    <row r="473" spans="1:2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</row>
    <row r="474" spans="1:2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</row>
    <row r="475" spans="1:2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</row>
    <row r="476" spans="1:2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</row>
    <row r="477" spans="1:2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</row>
    <row r="478" spans="1:2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</row>
    <row r="479" spans="1:2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</row>
    <row r="480" spans="1:2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</row>
    <row r="481" spans="1:2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</row>
    <row r="482" spans="1:2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</row>
    <row r="483" spans="1:2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</row>
    <row r="484" spans="1:2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</row>
    <row r="485" spans="1:2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</row>
    <row r="486" spans="1:2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</row>
    <row r="487" spans="1:2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</row>
    <row r="488" spans="1:2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</row>
    <row r="489" spans="1:2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</row>
    <row r="490" spans="1:2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</row>
    <row r="491" spans="1:2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</row>
    <row r="492" spans="1:2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</row>
    <row r="493" spans="1:2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</row>
    <row r="494" spans="1:2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</row>
    <row r="495" spans="1:2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</row>
    <row r="496" spans="1:2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</row>
    <row r="497" spans="1:2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</row>
    <row r="498" spans="1:2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</row>
    <row r="499" spans="1:2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</row>
    <row r="500" spans="1:2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</row>
    <row r="501" spans="1:2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</row>
    <row r="502" spans="1:2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</row>
    <row r="503" spans="1:2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</row>
    <row r="504" spans="1:2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</row>
    <row r="505" spans="1:2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</row>
    <row r="506" spans="1:2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</row>
    <row r="507" spans="1:2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</row>
    <row r="508" spans="1:2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</row>
    <row r="509" spans="1:2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</row>
    <row r="510" spans="1:2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</row>
    <row r="511" spans="1:2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</row>
    <row r="512" spans="1:2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</row>
    <row r="513" spans="1:2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</row>
    <row r="514" spans="1:2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</row>
    <row r="515" spans="1:2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</row>
    <row r="516" spans="1:2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</row>
    <row r="517" spans="1:2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</row>
    <row r="518" spans="1:2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</row>
    <row r="519" spans="1:2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</row>
    <row r="520" spans="1:2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</row>
    <row r="521" spans="1:2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</row>
    <row r="522" spans="1:2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</row>
    <row r="523" spans="1:2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</row>
    <row r="524" spans="1:2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</row>
    <row r="525" spans="1:2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</row>
    <row r="526" spans="1:2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</row>
    <row r="527" spans="1:2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</row>
    <row r="528" spans="1:2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</row>
    <row r="529" spans="1:2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</row>
    <row r="530" spans="1:2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</row>
    <row r="531" spans="1:2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</row>
    <row r="532" spans="1:2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</row>
    <row r="533" spans="1:2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</row>
    <row r="534" spans="1:2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</row>
    <row r="535" spans="1:2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</row>
    <row r="536" spans="1:2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</row>
    <row r="537" spans="1:2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</row>
    <row r="538" spans="1:2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</row>
    <row r="539" spans="1:2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</row>
    <row r="540" spans="1:2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</row>
    <row r="541" spans="1:2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</row>
    <row r="542" spans="1:2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</row>
    <row r="543" spans="1:2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</row>
    <row r="544" spans="1:2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</row>
    <row r="545" spans="1:2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</row>
    <row r="546" spans="1:2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</row>
    <row r="547" spans="1:2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</row>
    <row r="548" spans="1:2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</row>
    <row r="549" spans="1:2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</row>
    <row r="550" spans="1:2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</row>
    <row r="551" spans="1:2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</row>
    <row r="552" spans="1:2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</row>
    <row r="553" spans="1:2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</row>
    <row r="554" spans="1:2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</row>
    <row r="555" spans="1:2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</row>
    <row r="556" spans="1:2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</row>
    <row r="557" spans="1:2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</row>
    <row r="558" spans="1:2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</row>
    <row r="559" spans="1:2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</row>
    <row r="560" spans="1:2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</row>
    <row r="561" spans="1:2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</row>
    <row r="562" spans="1:2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</row>
    <row r="563" spans="1:2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</row>
    <row r="564" spans="1:2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</row>
    <row r="565" spans="1:2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</row>
    <row r="566" spans="1:2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</row>
    <row r="567" spans="1:2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</row>
    <row r="568" spans="1:2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</row>
    <row r="569" spans="1:2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</row>
    <row r="570" spans="1:2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</row>
    <row r="571" spans="1:2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</row>
    <row r="572" spans="1:2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</row>
    <row r="573" spans="1:2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</row>
    <row r="574" spans="1:2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</row>
    <row r="575" spans="1:2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</row>
    <row r="576" spans="1:2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</row>
    <row r="577" spans="1:2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</row>
    <row r="578" spans="1:2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</row>
    <row r="579" spans="1:2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</row>
    <row r="580" spans="1:2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</row>
    <row r="581" spans="1:2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</row>
    <row r="582" spans="1:2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</row>
    <row r="583" spans="1:2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</row>
    <row r="584" spans="1:2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</row>
    <row r="585" spans="1:2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</row>
    <row r="586" spans="1:2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</row>
    <row r="587" spans="1:2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</row>
    <row r="588" spans="1:2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</row>
    <row r="589" spans="1:2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</row>
    <row r="590" spans="1:2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</row>
    <row r="591" spans="1:2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</row>
    <row r="592" spans="1:2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</row>
    <row r="593" spans="1:2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</row>
    <row r="594" spans="1:2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</row>
    <row r="595" spans="1:2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</row>
    <row r="596" spans="1:2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</row>
    <row r="597" spans="1:2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</row>
    <row r="598" spans="1:2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</row>
    <row r="599" spans="1:2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</row>
    <row r="600" spans="1:2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</row>
    <row r="601" spans="1:2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</row>
    <row r="602" spans="1:2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</row>
    <row r="603" spans="1:2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</row>
    <row r="604" spans="1:2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</row>
    <row r="605" spans="1:2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</row>
    <row r="606" spans="1:2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</row>
    <row r="607" spans="1:2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</row>
    <row r="608" spans="1:2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</row>
    <row r="609" spans="1:2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</row>
    <row r="610" spans="1:2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</row>
    <row r="611" spans="1:2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</row>
    <row r="612" spans="1:2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</row>
    <row r="613" spans="1:2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</row>
    <row r="614" spans="1:2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</row>
    <row r="615" spans="1:2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</row>
    <row r="616" spans="1:2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</row>
    <row r="617" spans="1:2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</row>
    <row r="618" spans="1:2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</row>
    <row r="619" spans="1:2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</row>
    <row r="620" spans="1:2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</row>
    <row r="621" spans="1:2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</row>
    <row r="622" spans="1:2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</row>
    <row r="623" spans="1:2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</row>
    <row r="624" spans="1:2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</row>
    <row r="625" spans="1:2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</row>
    <row r="626" spans="1:2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</row>
    <row r="627" spans="1:2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</row>
    <row r="628" spans="1:2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</row>
    <row r="629" spans="1:2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</row>
    <row r="630" spans="1:2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</row>
    <row r="631" spans="1:2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</row>
    <row r="632" spans="1:2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</row>
    <row r="633" spans="1:2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</row>
    <row r="634" spans="1:2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</row>
    <row r="635" spans="1:2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</row>
    <row r="636" spans="1:2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</row>
    <row r="637" spans="1:2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</row>
    <row r="638" spans="1:2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</row>
    <row r="639" spans="1:2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</row>
    <row r="640" spans="1:2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</row>
    <row r="641" spans="1:2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</row>
    <row r="642" spans="1:2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</row>
    <row r="643" spans="1:2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</row>
    <row r="644" spans="1:2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</row>
    <row r="645" spans="1:2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</row>
    <row r="646" spans="1:2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</row>
    <row r="647" spans="1:2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</row>
    <row r="648" spans="1:2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</row>
    <row r="649" spans="1:2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</row>
    <row r="650" spans="1:2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</row>
    <row r="651" spans="1:2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</row>
    <row r="652" spans="1:2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</row>
    <row r="653" spans="1:2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</row>
    <row r="654" spans="1:2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</row>
    <row r="655" spans="1:2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</row>
    <row r="656" spans="1:2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</row>
    <row r="657" spans="1:2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</row>
    <row r="658" spans="1:2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</row>
    <row r="659" spans="1:2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</row>
    <row r="660" spans="1:2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</row>
    <row r="661" spans="1:2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</row>
    <row r="662" spans="1:2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</row>
    <row r="663" spans="1:2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</row>
    <row r="664" spans="1:2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</row>
    <row r="665" spans="1:2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</row>
    <row r="666" spans="1:2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</row>
    <row r="667" spans="1:2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</row>
    <row r="668" spans="1:2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</row>
    <row r="669" spans="1:2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</row>
    <row r="670" spans="1:2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</row>
    <row r="671" spans="1:2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</row>
    <row r="672" spans="1:2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</row>
    <row r="673" spans="1:2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</row>
    <row r="674" spans="1:2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</row>
    <row r="675" spans="1:2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</row>
    <row r="676" spans="1:2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</row>
    <row r="677" spans="1:2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</row>
    <row r="678" spans="1:2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</row>
    <row r="679" spans="1:2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</row>
    <row r="680" spans="1:2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</row>
    <row r="681" spans="1:2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</row>
    <row r="682" spans="1:2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</row>
    <row r="683" spans="1:2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</row>
    <row r="684" spans="1:2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</row>
    <row r="685" spans="1:2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</row>
    <row r="686" spans="1:2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</row>
    <row r="687" spans="1:2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</row>
    <row r="688" spans="1:2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</row>
    <row r="689" spans="1:2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</row>
    <row r="690" spans="1:2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</row>
    <row r="691" spans="1:2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</row>
    <row r="692" spans="1:2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</row>
    <row r="693" spans="1:2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</row>
    <row r="694" spans="1:2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</row>
    <row r="695" spans="1:2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</row>
    <row r="696" spans="1:2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</row>
    <row r="697" spans="1:2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</row>
    <row r="698" spans="1:2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</row>
    <row r="699" spans="1:2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</row>
    <row r="700" spans="1:2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</row>
    <row r="701" spans="1:2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</row>
    <row r="702" spans="1:2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</row>
    <row r="703" spans="1:2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</row>
    <row r="704" spans="1:2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</row>
    <row r="705" spans="1:2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</row>
    <row r="706" spans="1:2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</row>
    <row r="707" spans="1:2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</row>
    <row r="708" spans="1:2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</row>
    <row r="709" spans="1:2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</row>
    <row r="710" spans="1:2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</row>
    <row r="711" spans="1:2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</row>
    <row r="712" spans="1:2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</row>
    <row r="713" spans="1:2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</row>
    <row r="714" spans="1:2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</row>
    <row r="715" spans="1:2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</row>
    <row r="716" spans="1:2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</row>
    <row r="717" spans="1:2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</row>
    <row r="718" spans="1:2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</row>
    <row r="719" spans="1:2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</row>
    <row r="720" spans="1:2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</row>
    <row r="721" spans="1:2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</row>
    <row r="722" spans="1:2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</row>
    <row r="723" spans="1:2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</row>
    <row r="724" spans="1:2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</row>
    <row r="725" spans="1:2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</row>
    <row r="726" spans="1:2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</row>
    <row r="727" spans="1:2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</row>
    <row r="728" spans="1:2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</row>
    <row r="729" spans="1:2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</row>
    <row r="730" spans="1:2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</row>
    <row r="731" spans="1:2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</row>
    <row r="732" spans="1:2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</row>
    <row r="733" spans="1:2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</row>
    <row r="734" spans="1:2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</row>
    <row r="735" spans="1:2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</row>
    <row r="736" spans="1:2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</row>
    <row r="737" spans="1:2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</row>
    <row r="738" spans="1:2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</row>
    <row r="739" spans="1:2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</row>
    <row r="740" spans="1:2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</row>
    <row r="741" spans="1:2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</row>
    <row r="742" spans="1:2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</row>
    <row r="743" spans="1:2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</row>
    <row r="744" spans="1:2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</row>
    <row r="745" spans="1:2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</row>
    <row r="746" spans="1:2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</row>
    <row r="747" spans="1:2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</row>
    <row r="748" spans="1:2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</row>
    <row r="749" spans="1:2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</row>
    <row r="750" spans="1:2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</row>
    <row r="751" spans="1:2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</row>
    <row r="752" spans="1:2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</row>
    <row r="753" spans="1:2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</row>
    <row r="754" spans="1:2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</row>
    <row r="755" spans="1:2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</row>
    <row r="756" spans="1:2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</row>
    <row r="757" spans="1:2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</row>
    <row r="758" spans="1:2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</row>
    <row r="759" spans="1:2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</row>
    <row r="760" spans="1:2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</row>
    <row r="761" spans="1:2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</row>
    <row r="762" spans="1:2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</row>
    <row r="763" spans="1:2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</row>
    <row r="764" spans="1:2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</row>
    <row r="765" spans="1:2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</row>
    <row r="766" spans="1:2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</row>
    <row r="767" spans="1:2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</row>
    <row r="768" spans="1:2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</row>
    <row r="769" spans="1:2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</row>
    <row r="770" spans="1:2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</row>
    <row r="771" spans="1:2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</row>
    <row r="772" spans="1:2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</row>
    <row r="773" spans="1:2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</row>
    <row r="774" spans="1:2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</row>
    <row r="775" spans="1:2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</row>
    <row r="776" spans="1:2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</row>
    <row r="777" spans="1:2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</row>
    <row r="778" spans="1:2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</row>
    <row r="779" spans="1:2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</row>
    <row r="780" spans="1:2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</row>
    <row r="781" spans="1:2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</row>
    <row r="782" spans="1:2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</row>
    <row r="783" spans="1:2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</row>
    <row r="784" spans="1:2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</row>
    <row r="785" spans="1:2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</row>
    <row r="786" spans="1:2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</row>
    <row r="787" spans="1:2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</row>
    <row r="788" spans="1:2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</row>
    <row r="789" spans="1:2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</row>
    <row r="790" spans="1:2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</row>
    <row r="791" spans="1:2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</row>
    <row r="792" spans="1:2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</row>
    <row r="793" spans="1:2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</row>
    <row r="794" spans="1:2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</row>
    <row r="795" spans="1:2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</row>
    <row r="796" spans="1:2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</row>
    <row r="797" spans="1:2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</row>
    <row r="798" spans="1:2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</row>
    <row r="799" spans="1:2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</row>
    <row r="800" spans="1:2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</row>
    <row r="801" spans="1:2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</row>
    <row r="802" spans="1:2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</row>
    <row r="803" spans="1:2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</row>
    <row r="804" spans="1:2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</row>
    <row r="805" spans="1:2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</row>
    <row r="806" spans="1:2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</row>
    <row r="807" spans="1:2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</row>
    <row r="808" spans="1:2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</row>
    <row r="809" spans="1:2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</row>
    <row r="810" spans="1:2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</row>
    <row r="811" spans="1:2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</row>
    <row r="812" spans="1:2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</row>
    <row r="813" spans="1:2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</row>
    <row r="814" spans="1:2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</row>
    <row r="815" spans="1:2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</row>
    <row r="816" spans="1:2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</row>
    <row r="817" spans="1:2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</row>
    <row r="818" spans="1:2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</row>
    <row r="819" spans="1:2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</row>
    <row r="820" spans="1:2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</row>
    <row r="821" spans="1:2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</row>
    <row r="822" spans="1:2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</row>
    <row r="823" spans="1:2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</row>
    <row r="824" spans="1:2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</row>
    <row r="825" spans="1:2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</row>
    <row r="826" spans="1:2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</row>
    <row r="827" spans="1:2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</row>
    <row r="828" spans="1:2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</row>
    <row r="829" spans="1:2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</row>
    <row r="830" spans="1:2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</row>
    <row r="831" spans="1:2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</row>
    <row r="832" spans="1:2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</row>
    <row r="833" spans="1:2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</row>
    <row r="834" spans="1:2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</row>
    <row r="835" spans="1:2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</row>
    <row r="836" spans="1:2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</row>
    <row r="837" spans="1:2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</row>
    <row r="838" spans="1:2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</row>
    <row r="839" spans="1:2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</row>
    <row r="840" spans="1:2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</row>
    <row r="841" spans="1:2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</row>
    <row r="842" spans="1:2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</row>
    <row r="843" spans="1:2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</row>
    <row r="844" spans="1:2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</row>
    <row r="845" spans="1:2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</row>
    <row r="846" spans="1:2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</row>
    <row r="847" spans="1:2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</row>
    <row r="848" spans="1:2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</row>
    <row r="849" spans="1:2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</row>
    <row r="850" spans="1:2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</row>
    <row r="851" spans="1:2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</row>
    <row r="852" spans="1:2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</row>
    <row r="853" spans="1:2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</row>
    <row r="854" spans="1:2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</row>
    <row r="855" spans="1:2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</row>
    <row r="856" spans="1:2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</row>
    <row r="857" spans="1:2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</row>
    <row r="858" spans="1:2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</row>
    <row r="859" spans="1:2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</row>
    <row r="860" spans="1:2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</row>
    <row r="861" spans="1:2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</row>
    <row r="862" spans="1:2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</row>
    <row r="863" spans="1:2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</row>
    <row r="864" spans="1:2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</row>
    <row r="865" spans="1:2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</row>
    <row r="866" spans="1:2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</row>
    <row r="867" spans="1:2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</row>
    <row r="868" spans="1:2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</row>
    <row r="869" spans="1:2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</row>
    <row r="870" spans="1:2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</row>
    <row r="871" spans="1:2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</row>
    <row r="872" spans="1:2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</row>
    <row r="873" spans="1:2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</row>
    <row r="874" spans="1:2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</row>
    <row r="875" spans="1:2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</row>
    <row r="876" spans="1:2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</row>
    <row r="877" spans="1:2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</row>
    <row r="878" spans="1:2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</row>
    <row r="879" spans="1:2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</row>
    <row r="880" spans="1:2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</row>
    <row r="881" spans="1:2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</row>
    <row r="882" spans="1:2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</row>
    <row r="883" spans="1:2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</row>
    <row r="884" spans="1:2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</row>
    <row r="885" spans="1:2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</row>
    <row r="886" spans="1:2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</row>
    <row r="887" spans="1:2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</row>
    <row r="888" spans="1:2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</row>
    <row r="889" spans="1:2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</row>
    <row r="890" spans="1:2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</row>
    <row r="891" spans="1:2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</row>
    <row r="892" spans="1:2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</row>
    <row r="893" spans="1:2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</row>
    <row r="894" spans="1:2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</row>
    <row r="895" spans="1:2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</row>
    <row r="896" spans="1:2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</row>
    <row r="897" spans="1:2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</row>
    <row r="898" spans="1:2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</row>
    <row r="899" spans="1:2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</row>
    <row r="900" spans="1:2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</row>
    <row r="901" spans="1:2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</row>
    <row r="902" spans="1:2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</row>
    <row r="903" spans="1:2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</row>
    <row r="904" spans="1:2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</row>
    <row r="905" spans="1:2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</row>
    <row r="906" spans="1:2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</row>
    <row r="907" spans="1:2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</row>
    <row r="908" spans="1:2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</row>
    <row r="909" spans="1:2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</row>
    <row r="910" spans="1:2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</row>
    <row r="911" spans="1:2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</row>
    <row r="912" spans="1:2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</row>
    <row r="913" spans="1:2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</row>
    <row r="914" spans="1:2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</row>
    <row r="915" spans="1:2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</row>
    <row r="916" spans="1:2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</row>
    <row r="917" spans="1:2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</row>
    <row r="918" spans="1:2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</row>
    <row r="919" spans="1:2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</row>
    <row r="920" spans="1:2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</row>
    <row r="921" spans="1:2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</row>
    <row r="922" spans="1:2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</row>
    <row r="923" spans="1:2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</row>
    <row r="924" spans="1:2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</row>
    <row r="925" spans="1:2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</row>
    <row r="926" spans="1:2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</row>
    <row r="927" spans="1:2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</row>
    <row r="928" spans="1:2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</row>
    <row r="929" spans="1:2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</row>
    <row r="930" spans="1:2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</row>
    <row r="931" spans="1:2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</row>
    <row r="932" spans="1:2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</row>
    <row r="933" spans="1:2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</row>
    <row r="934" spans="1:2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</row>
    <row r="935" spans="1:2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</row>
    <row r="936" spans="1:2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</row>
    <row r="937" spans="1:2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</row>
    <row r="938" spans="1:2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</row>
    <row r="939" spans="1:2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</row>
    <row r="940" spans="1:2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</row>
    <row r="941" spans="1:2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</row>
    <row r="942" spans="1:2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</row>
    <row r="943" spans="1:2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</row>
    <row r="944" spans="1:2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</row>
    <row r="945" spans="1:2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</row>
    <row r="946" spans="1:2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</row>
    <row r="947" spans="1:2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</row>
    <row r="948" spans="1:2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</row>
    <row r="949" spans="1:2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</row>
    <row r="950" spans="1:2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</row>
    <row r="951" spans="1:2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</row>
    <row r="952" spans="1:2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</row>
    <row r="953" spans="1:2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</row>
    <row r="954" spans="1:2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</row>
    <row r="955" spans="1:2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</row>
    <row r="956" spans="1:2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</row>
    <row r="957" spans="1:2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</row>
    <row r="958" spans="1:2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</row>
    <row r="959" spans="1:2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</row>
    <row r="960" spans="1:2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</row>
    <row r="961" spans="1:2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</row>
    <row r="962" spans="1:2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</row>
    <row r="963" spans="1:2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</row>
    <row r="964" spans="1:2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</row>
    <row r="965" spans="1:2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</row>
    <row r="966" spans="1:2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</row>
    <row r="967" spans="1:2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</row>
    <row r="968" spans="1:2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</row>
    <row r="969" spans="1:2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</row>
    <row r="970" spans="1:2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</row>
    <row r="971" spans="1:2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</row>
    <row r="972" spans="1:2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</row>
    <row r="973" spans="1:2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</row>
    <row r="974" spans="1:2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</row>
    <row r="975" spans="1:2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</row>
    <row r="976" spans="1:2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</row>
    <row r="977" spans="1:2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</row>
    <row r="978" spans="1:2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</row>
    <row r="979" spans="1:2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</row>
    <row r="980" spans="1:2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</row>
    <row r="981" spans="1:2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</row>
    <row r="982" spans="1:2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</row>
    <row r="983" spans="1:2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</row>
    <row r="984" spans="1:2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</row>
    <row r="985" spans="1:2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</row>
    <row r="986" spans="1:2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</row>
    <row r="987" spans="1:2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</row>
    <row r="988" spans="1:2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</row>
    <row r="989" spans="1:2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</row>
    <row r="990" spans="1:2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</row>
    <row r="991" spans="1:2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</row>
    <row r="992" spans="1:2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</row>
    <row r="993" spans="1:2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</row>
    <row r="994" spans="1:2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</row>
    <row r="995" spans="1:2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</row>
    <row r="996" spans="1:2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</row>
    <row r="997" spans="1:2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</row>
    <row r="998" spans="1:2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</row>
    <row r="999" spans="1:2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</row>
    <row r="1000" spans="1:2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</row>
    <row r="1001" spans="1:21" x14ac:dyDescent="0.25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</row>
    <row r="1002" spans="1:21" x14ac:dyDescent="0.25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</row>
    <row r="1003" spans="1:21" x14ac:dyDescent="0.25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</row>
    <row r="1004" spans="1:21" x14ac:dyDescent="0.25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</row>
    <row r="1005" spans="1:21" x14ac:dyDescent="0.25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</row>
    <row r="1006" spans="1:21" x14ac:dyDescent="0.25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</row>
    <row r="1007" spans="1:21" x14ac:dyDescent="0.25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</row>
    <row r="1008" spans="1:21" x14ac:dyDescent="0.25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</row>
    <row r="1009" spans="1:21" x14ac:dyDescent="0.25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</row>
    <row r="1010" spans="1:21" x14ac:dyDescent="0.25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</row>
    <row r="1011" spans="1:21" x14ac:dyDescent="0.25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</row>
    <row r="1012" spans="1:21" x14ac:dyDescent="0.25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</row>
    <row r="1013" spans="1:21" x14ac:dyDescent="0.25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</row>
    <row r="1014" spans="1:21" x14ac:dyDescent="0.25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</row>
  </sheetData>
  <mergeCells count="4">
    <mergeCell ref="A1:P2"/>
    <mergeCell ref="A3:A34"/>
    <mergeCell ref="B33:P34"/>
    <mergeCell ref="P3:P3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35" r:id="rId3" name="CommandButton3">
          <controlPr defaultSize="0" autoLine="0" r:id="rId4">
            <anchor moveWithCells="1">
              <from>
                <xdr:col>5</xdr:col>
                <xdr:colOff>19050</xdr:colOff>
                <xdr:row>16</xdr:row>
                <xdr:rowOff>171450</xdr:rowOff>
              </from>
              <to>
                <xdr:col>7</xdr:col>
                <xdr:colOff>238125</xdr:colOff>
                <xdr:row>19</xdr:row>
                <xdr:rowOff>28575</xdr:rowOff>
              </to>
            </anchor>
          </controlPr>
        </control>
      </mc:Choice>
      <mc:Fallback>
        <control shapeId="34835" r:id="rId3" name="CommandButton3"/>
      </mc:Fallback>
    </mc:AlternateContent>
    <mc:AlternateContent xmlns:mc="http://schemas.openxmlformats.org/markup-compatibility/2006">
      <mc:Choice Requires="x14">
        <control shapeId="34824" r:id="rId5" name="CommandButton4">
          <controlPr defaultSize="0" autoLine="0" r:id="rId6">
            <anchor moveWithCells="1">
              <from>
                <xdr:col>9</xdr:col>
                <xdr:colOff>314325</xdr:colOff>
                <xdr:row>17</xdr:row>
                <xdr:rowOff>0</xdr:rowOff>
              </from>
              <to>
                <xdr:col>11</xdr:col>
                <xdr:colOff>600075</xdr:colOff>
                <xdr:row>19</xdr:row>
                <xdr:rowOff>28575</xdr:rowOff>
              </to>
            </anchor>
          </controlPr>
        </control>
      </mc:Choice>
      <mc:Fallback>
        <control shapeId="34824" r:id="rId5" name="CommandButton4"/>
      </mc:Fallback>
    </mc:AlternateContent>
    <mc:AlternateContent xmlns:mc="http://schemas.openxmlformats.org/markup-compatibility/2006">
      <mc:Choice Requires="x14">
        <control shapeId="34822" r:id="rId7" name="CommandButton2">
          <controlPr defaultSize="0" autoLine="0" r:id="rId8">
            <anchor moveWithCells="1">
              <from>
                <xdr:col>9</xdr:col>
                <xdr:colOff>352425</xdr:colOff>
                <xdr:row>9</xdr:row>
                <xdr:rowOff>66675</xdr:rowOff>
              </from>
              <to>
                <xdr:col>12</xdr:col>
                <xdr:colOff>57150</xdr:colOff>
                <xdr:row>11</xdr:row>
                <xdr:rowOff>66675</xdr:rowOff>
              </to>
            </anchor>
          </controlPr>
        </control>
      </mc:Choice>
      <mc:Fallback>
        <control shapeId="34822" r:id="rId7" name="CommandButton2"/>
      </mc:Fallback>
    </mc:AlternateContent>
    <mc:AlternateContent xmlns:mc="http://schemas.openxmlformats.org/markup-compatibility/2006">
      <mc:Choice Requires="x14">
        <control shapeId="34821" r:id="rId9" name="CommandButton1">
          <controlPr defaultSize="0" autoLine="0" r:id="rId10">
            <anchor>
              <from>
                <xdr:col>5</xdr:col>
                <xdr:colOff>9525</xdr:colOff>
                <xdr:row>9</xdr:row>
                <xdr:rowOff>85725</xdr:rowOff>
              </from>
              <to>
                <xdr:col>7</xdr:col>
                <xdr:colOff>266700</xdr:colOff>
                <xdr:row>11</xdr:row>
                <xdr:rowOff>85725</xdr:rowOff>
              </to>
            </anchor>
          </controlPr>
        </control>
      </mc:Choice>
      <mc:Fallback>
        <control shapeId="34821" r:id="rId9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2B10-4051-43AF-89D0-0C58668C95FE}">
  <sheetPr codeName="Sheet22"/>
  <dimension ref="A1:AK63"/>
  <sheetViews>
    <sheetView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A43" sqref="A43"/>
    </sheetView>
  </sheetViews>
  <sheetFormatPr defaultRowHeight="15" x14ac:dyDescent="0.25"/>
  <cols>
    <col min="1" max="1" width="24.140625" customWidth="1"/>
    <col min="2" max="2" width="12.28515625" style="21" bestFit="1" customWidth="1"/>
    <col min="3" max="33" width="4.7109375" style="21" customWidth="1"/>
    <col min="34" max="34" width="14.42578125" style="21" customWidth="1"/>
    <col min="35" max="35" width="18.85546875" style="21" bestFit="1" customWidth="1"/>
    <col min="36" max="36" width="21.140625" style="21" bestFit="1" customWidth="1"/>
    <col min="37" max="37" width="16.7109375" bestFit="1" customWidth="1"/>
  </cols>
  <sheetData>
    <row r="1" spans="1:37" ht="15.75" x14ac:dyDescent="0.25">
      <c r="A1" s="167" t="s">
        <v>97</v>
      </c>
      <c r="B1" s="167"/>
      <c r="AG1" s="89"/>
    </row>
    <row r="2" spans="1:37" x14ac:dyDescent="0.25">
      <c r="A2" s="44" t="s">
        <v>98</v>
      </c>
      <c r="B2" s="45" t="s">
        <v>99</v>
      </c>
    </row>
    <row r="3" spans="1:37" x14ac:dyDescent="0.25">
      <c r="A3" s="44" t="s">
        <v>100</v>
      </c>
      <c r="B3" s="46" t="s">
        <v>101</v>
      </c>
    </row>
    <row r="4" spans="1:37" x14ac:dyDescent="0.25">
      <c r="A4" s="44" t="s">
        <v>102</v>
      </c>
      <c r="B4" s="47" t="s">
        <v>103</v>
      </c>
      <c r="AJ4" s="168">
        <v>44593</v>
      </c>
      <c r="AK4" s="101"/>
    </row>
    <row r="5" spans="1:37" x14ac:dyDescent="0.25">
      <c r="A5" s="44" t="s">
        <v>104</v>
      </c>
      <c r="B5" s="45" t="s">
        <v>33</v>
      </c>
      <c r="AH5" s="101"/>
      <c r="AI5" s="102" t="s">
        <v>331</v>
      </c>
      <c r="AJ5" s="168"/>
      <c r="AK5" s="101"/>
    </row>
    <row r="6" spans="1:37" x14ac:dyDescent="0.25">
      <c r="A6" s="44" t="s">
        <v>105</v>
      </c>
      <c r="B6" s="46" t="s">
        <v>106</v>
      </c>
      <c r="AH6" s="101"/>
      <c r="AI6" s="101"/>
      <c r="AJ6" s="101"/>
      <c r="AK6" s="101"/>
    </row>
    <row r="7" spans="1:37" x14ac:dyDescent="0.25">
      <c r="A7" s="44" t="s">
        <v>107</v>
      </c>
      <c r="B7" s="22" t="s">
        <v>108</v>
      </c>
    </row>
    <row r="8" spans="1:37" x14ac:dyDescent="0.25">
      <c r="A8" s="44" t="s">
        <v>109</v>
      </c>
      <c r="B8" s="47" t="s">
        <v>34</v>
      </c>
    </row>
    <row r="9" spans="1:37" x14ac:dyDescent="0.25">
      <c r="A9" s="99" t="s">
        <v>110</v>
      </c>
      <c r="B9" s="45" t="s">
        <v>111</v>
      </c>
    </row>
    <row r="10" spans="1:37" x14ac:dyDescent="0.25">
      <c r="A10" s="49" t="s">
        <v>3</v>
      </c>
      <c r="B10" s="48" t="s">
        <v>112</v>
      </c>
      <c r="C10" s="100">
        <f>AJ4</f>
        <v>44593</v>
      </c>
      <c r="D10" s="100">
        <f>C10+1</f>
        <v>44594</v>
      </c>
      <c r="E10" s="100">
        <f t="shared" ref="E10:AC10" si="0">D10+1</f>
        <v>44595</v>
      </c>
      <c r="F10" s="100">
        <f t="shared" si="0"/>
        <v>44596</v>
      </c>
      <c r="G10" s="100">
        <f t="shared" si="0"/>
        <v>44597</v>
      </c>
      <c r="H10" s="100">
        <f t="shared" si="0"/>
        <v>44598</v>
      </c>
      <c r="I10" s="100">
        <f t="shared" si="0"/>
        <v>44599</v>
      </c>
      <c r="J10" s="100">
        <f t="shared" si="0"/>
        <v>44600</v>
      </c>
      <c r="K10" s="100">
        <f t="shared" si="0"/>
        <v>44601</v>
      </c>
      <c r="L10" s="100">
        <f t="shared" si="0"/>
        <v>44602</v>
      </c>
      <c r="M10" s="100">
        <f t="shared" si="0"/>
        <v>44603</v>
      </c>
      <c r="N10" s="100">
        <f t="shared" si="0"/>
        <v>44604</v>
      </c>
      <c r="O10" s="100">
        <f t="shared" si="0"/>
        <v>44605</v>
      </c>
      <c r="P10" s="100">
        <f t="shared" si="0"/>
        <v>44606</v>
      </c>
      <c r="Q10" s="100">
        <f t="shared" si="0"/>
        <v>44607</v>
      </c>
      <c r="R10" s="100">
        <f t="shared" si="0"/>
        <v>44608</v>
      </c>
      <c r="S10" s="100">
        <f t="shared" si="0"/>
        <v>44609</v>
      </c>
      <c r="T10" s="100">
        <f t="shared" si="0"/>
        <v>44610</v>
      </c>
      <c r="U10" s="100">
        <f t="shared" si="0"/>
        <v>44611</v>
      </c>
      <c r="V10" s="100">
        <f t="shared" si="0"/>
        <v>44612</v>
      </c>
      <c r="W10" s="100">
        <f t="shared" si="0"/>
        <v>44613</v>
      </c>
      <c r="X10" s="100">
        <f t="shared" si="0"/>
        <v>44614</v>
      </c>
      <c r="Y10" s="100">
        <f t="shared" si="0"/>
        <v>44615</v>
      </c>
      <c r="Z10" s="100">
        <f t="shared" si="0"/>
        <v>44616</v>
      </c>
      <c r="AA10" s="100">
        <f t="shared" si="0"/>
        <v>44617</v>
      </c>
      <c r="AB10" s="100">
        <f t="shared" si="0"/>
        <v>44618</v>
      </c>
      <c r="AC10" s="100">
        <f t="shared" si="0"/>
        <v>44619</v>
      </c>
      <c r="AD10" s="100">
        <f>IF(DAY(AC10+1)&lt;=3,"",AC10+1)</f>
        <v>44620</v>
      </c>
      <c r="AE10" s="100" t="str">
        <f>IF(DAY(AC10+2)&lt;=3,"",AC10+2)</f>
        <v/>
      </c>
      <c r="AF10" s="100" t="str">
        <f>IF(DAY(AC10+3)&lt;=3,"",AC10+3)</f>
        <v/>
      </c>
      <c r="AG10" s="100" t="str">
        <f>IF(DAY(AD10+3)&lt;=3,"",AD10+3)</f>
        <v/>
      </c>
      <c r="AH10" s="50" t="s">
        <v>113</v>
      </c>
      <c r="AI10" s="50" t="s">
        <v>114</v>
      </c>
      <c r="AJ10" s="50" t="s">
        <v>115</v>
      </c>
      <c r="AK10" s="50" t="s">
        <v>116</v>
      </c>
    </row>
    <row r="11" spans="1:37" x14ac:dyDescent="0.25">
      <c r="A11" s="23" t="str">
        <f>IF('Employee Master'!B2="","",'Employee Master'!B2)</f>
        <v>alexis.abeyta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>
        <f t="shared" ref="AH11:AH42" si="1">COUNTIF(C11:AG11, "A")+  COUNTIF(C11:AG11, "N")</f>
        <v>0</v>
      </c>
      <c r="AI11" s="51">
        <f t="shared" ref="AI11:AI42" si="2">(COUNTIF(C11:AG11,"LE")+COUNTIF(C11:AG11,"T"))*0.5</f>
        <v>0</v>
      </c>
      <c r="AJ11" s="51">
        <f t="shared" ref="AJ11:AJ62" si="3">AH11+AI11</f>
        <v>0</v>
      </c>
      <c r="AK11" s="22">
        <f t="shared" ref="AK11:AK42" si="4" xml:space="preserve"> COUNTIF(C11:AG11, "N")</f>
        <v>0</v>
      </c>
    </row>
    <row r="12" spans="1:37" x14ac:dyDescent="0.25">
      <c r="A12" s="23" t="str">
        <f>IF('Employee Master'!B3="","",'Employee Master'!B3)</f>
        <v>brianna.mercer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>
        <f t="shared" si="1"/>
        <v>0</v>
      </c>
      <c r="AI12" s="51">
        <f t="shared" si="2"/>
        <v>0</v>
      </c>
      <c r="AJ12" s="51">
        <f t="shared" si="3"/>
        <v>0</v>
      </c>
      <c r="AK12" s="22">
        <f t="shared" si="4"/>
        <v>0</v>
      </c>
    </row>
    <row r="13" spans="1:37" x14ac:dyDescent="0.25">
      <c r="A13" s="23" t="str">
        <f>IF('Employee Master'!B4="","",'Employee Master'!B4)</f>
        <v>catera.clark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>
        <f t="shared" si="1"/>
        <v>0</v>
      </c>
      <c r="AI13" s="51">
        <f t="shared" si="2"/>
        <v>0</v>
      </c>
      <c r="AJ13" s="51">
        <f t="shared" si="3"/>
        <v>0</v>
      </c>
      <c r="AK13" s="22">
        <f t="shared" si="4"/>
        <v>0</v>
      </c>
    </row>
    <row r="14" spans="1:37" x14ac:dyDescent="0.25">
      <c r="A14" s="23" t="str">
        <f>IF('Employee Master'!B5="","",'Employee Master'!B5)</f>
        <v>dyasia.downing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>
        <f t="shared" si="1"/>
        <v>0</v>
      </c>
      <c r="AI14" s="51">
        <f t="shared" si="2"/>
        <v>0</v>
      </c>
      <c r="AJ14" s="51">
        <f t="shared" si="3"/>
        <v>0</v>
      </c>
      <c r="AK14" s="22">
        <f t="shared" si="4"/>
        <v>0</v>
      </c>
    </row>
    <row r="15" spans="1:37" x14ac:dyDescent="0.25">
      <c r="A15" s="23" t="str">
        <f>IF('Employee Master'!B6="","",'Employee Master'!B6)</f>
        <v>elizabeth.greig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>
        <f t="shared" si="1"/>
        <v>0</v>
      </c>
      <c r="AI15" s="51">
        <f t="shared" si="2"/>
        <v>0</v>
      </c>
      <c r="AJ15" s="51">
        <f t="shared" si="3"/>
        <v>0</v>
      </c>
      <c r="AK15" s="22">
        <f t="shared" si="4"/>
        <v>0</v>
      </c>
    </row>
    <row r="16" spans="1:37" x14ac:dyDescent="0.25">
      <c r="A16" s="23" t="str">
        <f>IF('Employee Master'!B7="","",'Employee Master'!B7)</f>
        <v>eric.johnson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>
        <f t="shared" si="1"/>
        <v>0</v>
      </c>
      <c r="AI16" s="51">
        <f t="shared" si="2"/>
        <v>0</v>
      </c>
      <c r="AJ16" s="51">
        <f t="shared" si="3"/>
        <v>0</v>
      </c>
      <c r="AK16" s="22">
        <f t="shared" si="4"/>
        <v>0</v>
      </c>
    </row>
    <row r="17" spans="1:37" x14ac:dyDescent="0.25">
      <c r="A17" s="23" t="str">
        <f>IF('Employee Master'!B8="","",'Employee Master'!B8)</f>
        <v>ernest.hunter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>
        <f t="shared" si="1"/>
        <v>0</v>
      </c>
      <c r="AI17" s="51">
        <f t="shared" si="2"/>
        <v>0</v>
      </c>
      <c r="AJ17" s="51">
        <f t="shared" si="3"/>
        <v>0</v>
      </c>
      <c r="AK17" s="22">
        <f t="shared" si="4"/>
        <v>0</v>
      </c>
    </row>
    <row r="18" spans="1:37" ht="15" customHeight="1" x14ac:dyDescent="0.25">
      <c r="A18" s="23" t="str">
        <f>IF('Employee Master'!B9="","",'Employee Master'!B9)</f>
        <v>irene.davison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>
        <f t="shared" si="1"/>
        <v>0</v>
      </c>
      <c r="AI18" s="51">
        <f t="shared" si="2"/>
        <v>0</v>
      </c>
      <c r="AJ18" s="51">
        <f t="shared" si="3"/>
        <v>0</v>
      </c>
      <c r="AK18" s="22">
        <f t="shared" si="4"/>
        <v>0</v>
      </c>
    </row>
    <row r="19" spans="1:37" x14ac:dyDescent="0.25">
      <c r="A19" s="23" t="str">
        <f>IF('Employee Master'!B10="","",'Employee Master'!B10)</f>
        <v>irene.hurtado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>
        <f t="shared" si="1"/>
        <v>0</v>
      </c>
      <c r="AI19" s="51">
        <f t="shared" si="2"/>
        <v>0</v>
      </c>
      <c r="AJ19" s="51">
        <f t="shared" si="3"/>
        <v>0</v>
      </c>
      <c r="AK19" s="22">
        <f t="shared" si="4"/>
        <v>0</v>
      </c>
    </row>
    <row r="20" spans="1:37" x14ac:dyDescent="0.25">
      <c r="A20" s="23" t="str">
        <f>IF('Employee Master'!B11="","",'Employee Master'!B11)</f>
        <v>jacqueline.hope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>
        <f t="shared" si="1"/>
        <v>0</v>
      </c>
      <c r="AI20" s="51">
        <f t="shared" si="2"/>
        <v>0</v>
      </c>
      <c r="AJ20" s="51">
        <f t="shared" si="3"/>
        <v>0</v>
      </c>
      <c r="AK20" s="22">
        <f t="shared" si="4"/>
        <v>0</v>
      </c>
    </row>
    <row r="21" spans="1:37" x14ac:dyDescent="0.25">
      <c r="A21" s="23" t="str">
        <f>IF('Employee Master'!B12="","",'Employee Master'!B12)</f>
        <v>judy.gombert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>
        <f t="shared" si="1"/>
        <v>0</v>
      </c>
      <c r="AI21" s="51">
        <f t="shared" si="2"/>
        <v>0</v>
      </c>
      <c r="AJ21" s="51">
        <f t="shared" si="3"/>
        <v>0</v>
      </c>
      <c r="AK21" s="22">
        <f t="shared" si="4"/>
        <v>0</v>
      </c>
    </row>
    <row r="22" spans="1:37" x14ac:dyDescent="0.25">
      <c r="A22" s="23" t="str">
        <f>IF('Employee Master'!B13="","",'Employee Master'!B13)</f>
        <v>makaylin.baker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>
        <f t="shared" si="1"/>
        <v>0</v>
      </c>
      <c r="AI22" s="51">
        <f t="shared" si="2"/>
        <v>0</v>
      </c>
      <c r="AJ22" s="51">
        <f t="shared" si="3"/>
        <v>0</v>
      </c>
      <c r="AK22" s="22">
        <f t="shared" si="4"/>
        <v>0</v>
      </c>
    </row>
    <row r="23" spans="1:37" x14ac:dyDescent="0.25">
      <c r="A23" s="23" t="str">
        <f>IF('Employee Master'!B14="","",'Employee Master'!B14)</f>
        <v>naomi.bush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>
        <f t="shared" si="1"/>
        <v>0</v>
      </c>
      <c r="AI23" s="51">
        <f t="shared" si="2"/>
        <v>0</v>
      </c>
      <c r="AJ23" s="51">
        <f t="shared" si="3"/>
        <v>0</v>
      </c>
      <c r="AK23" s="22">
        <f t="shared" si="4"/>
        <v>0</v>
      </c>
    </row>
    <row r="24" spans="1:37" x14ac:dyDescent="0.25">
      <c r="A24" s="23" t="str">
        <f>IF('Employee Master'!B15="","",'Employee Master'!B15)</f>
        <v>opal.watson</v>
      </c>
      <c r="B24" s="22"/>
      <c r="C24" s="22"/>
      <c r="D24" s="22"/>
      <c r="E24" s="22"/>
      <c r="F24" s="22"/>
      <c r="G24" s="23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>
        <f t="shared" si="1"/>
        <v>0</v>
      </c>
      <c r="AI24" s="51">
        <f t="shared" si="2"/>
        <v>0</v>
      </c>
      <c r="AJ24" s="51">
        <f t="shared" si="3"/>
        <v>0</v>
      </c>
      <c r="AK24" s="22">
        <f t="shared" si="4"/>
        <v>0</v>
      </c>
    </row>
    <row r="25" spans="1:37" x14ac:dyDescent="0.25">
      <c r="A25" s="23" t="str">
        <f>IF('Employee Master'!B16="","",'Employee Master'!B16)</f>
        <v>paris.fisher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>
        <f t="shared" si="1"/>
        <v>0</v>
      </c>
      <c r="AI25" s="51">
        <f t="shared" si="2"/>
        <v>0</v>
      </c>
      <c r="AJ25" s="51">
        <f t="shared" si="3"/>
        <v>0</v>
      </c>
      <c r="AK25" s="22">
        <f t="shared" si="4"/>
        <v>0</v>
      </c>
    </row>
    <row r="26" spans="1:37" x14ac:dyDescent="0.25">
      <c r="A26" s="23" t="str">
        <f>IF('Employee Master'!B17="","",'Employee Master'!B17)</f>
        <v>raledja.pruitt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>
        <f t="shared" si="1"/>
        <v>0</v>
      </c>
      <c r="AI26" s="51">
        <f t="shared" si="2"/>
        <v>0</v>
      </c>
      <c r="AJ26" s="51">
        <f t="shared" si="3"/>
        <v>0</v>
      </c>
      <c r="AK26" s="22">
        <f t="shared" si="4"/>
        <v>0</v>
      </c>
    </row>
    <row r="27" spans="1:37" x14ac:dyDescent="0.25">
      <c r="A27" s="23" t="str">
        <f>IF('Employee Master'!B18="","",'Employee Master'!B18)</f>
        <v>ramone.horst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>
        <f t="shared" si="1"/>
        <v>0</v>
      </c>
      <c r="AI27" s="51">
        <f t="shared" si="2"/>
        <v>0</v>
      </c>
      <c r="AJ27" s="51">
        <f t="shared" si="3"/>
        <v>0</v>
      </c>
      <c r="AK27" s="22">
        <f t="shared" si="4"/>
        <v>0</v>
      </c>
    </row>
    <row r="28" spans="1:37" x14ac:dyDescent="0.25">
      <c r="A28" s="23" t="str">
        <f>IF('Employee Master'!B19="","",'Employee Master'!B19)</f>
        <v>samara.elliott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>
        <f t="shared" si="1"/>
        <v>0</v>
      </c>
      <c r="AI28" s="51">
        <f t="shared" si="2"/>
        <v>0</v>
      </c>
      <c r="AJ28" s="51">
        <f t="shared" si="3"/>
        <v>0</v>
      </c>
      <c r="AK28" s="22">
        <f t="shared" si="4"/>
        <v>0</v>
      </c>
    </row>
    <row r="29" spans="1:37" x14ac:dyDescent="0.25">
      <c r="A29" s="23" t="str">
        <f>IF('Employee Master'!B20="","",'Employee Master'!B20)</f>
        <v>sharron.watley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>
        <f t="shared" si="1"/>
        <v>0</v>
      </c>
      <c r="AI29" s="51">
        <f t="shared" si="2"/>
        <v>0</v>
      </c>
      <c r="AJ29" s="51">
        <f t="shared" si="3"/>
        <v>0</v>
      </c>
      <c r="AK29" s="22">
        <f t="shared" si="4"/>
        <v>0</v>
      </c>
    </row>
    <row r="30" spans="1:37" x14ac:dyDescent="0.25">
      <c r="A30" s="23" t="str">
        <f>IF('Employee Master'!B21="","",'Employee Master'!B21)</f>
        <v>shunta.fincher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>
        <f t="shared" si="1"/>
        <v>0</v>
      </c>
      <c r="AI30" s="51">
        <f t="shared" si="2"/>
        <v>0</v>
      </c>
      <c r="AJ30" s="51">
        <f t="shared" si="3"/>
        <v>0</v>
      </c>
      <c r="AK30" s="22">
        <f t="shared" si="4"/>
        <v>0</v>
      </c>
    </row>
    <row r="31" spans="1:37" x14ac:dyDescent="0.25">
      <c r="A31" s="23" t="str">
        <f>IF('Employee Master'!B22="","",'Employee Master'!B22)</f>
        <v>stanford.antoine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>
        <f t="shared" si="1"/>
        <v>0</v>
      </c>
      <c r="AI31" s="51">
        <f t="shared" si="2"/>
        <v>0</v>
      </c>
      <c r="AJ31" s="51">
        <f t="shared" si="3"/>
        <v>0</v>
      </c>
      <c r="AK31" s="22">
        <f t="shared" si="4"/>
        <v>0</v>
      </c>
    </row>
    <row r="32" spans="1:37" x14ac:dyDescent="0.25">
      <c r="A32" s="23" t="str">
        <f>IF('Employee Master'!B23="","",'Employee Master'!B23)</f>
        <v>t.railey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>
        <f t="shared" si="1"/>
        <v>0</v>
      </c>
      <c r="AI32" s="51">
        <f t="shared" si="2"/>
        <v>0</v>
      </c>
      <c r="AJ32" s="51">
        <f t="shared" si="3"/>
        <v>0</v>
      </c>
      <c r="AK32" s="22">
        <f t="shared" si="4"/>
        <v>0</v>
      </c>
    </row>
    <row r="33" spans="1:37" x14ac:dyDescent="0.25">
      <c r="A33" s="23" t="str">
        <f>IF('Employee Master'!B24="","",'Employee Master'!B24)</f>
        <v>ghis.randaln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>
        <f t="shared" si="1"/>
        <v>0</v>
      </c>
      <c r="AI33" s="51">
        <f t="shared" si="2"/>
        <v>0</v>
      </c>
      <c r="AJ33" s="51">
        <f t="shared" si="3"/>
        <v>0</v>
      </c>
      <c r="AK33" s="22">
        <f t="shared" si="4"/>
        <v>0</v>
      </c>
    </row>
    <row r="34" spans="1:37" x14ac:dyDescent="0.25">
      <c r="A34" s="23" t="str">
        <f>IF('Employee Master'!B25="","",'Employee Master'!B25)</f>
        <v>ghis.randaln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>
        <f t="shared" si="1"/>
        <v>0</v>
      </c>
      <c r="AI34" s="51">
        <f t="shared" si="2"/>
        <v>0</v>
      </c>
      <c r="AJ34" s="51">
        <f t="shared" si="3"/>
        <v>0</v>
      </c>
      <c r="AK34" s="22">
        <f t="shared" si="4"/>
        <v>0</v>
      </c>
    </row>
    <row r="35" spans="1:37" x14ac:dyDescent="0.25">
      <c r="A35" s="23" t="str">
        <f>IF('Employee Master'!B26="","",'Employee Master'!B26)</f>
        <v>ghis.randaln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>
        <f t="shared" si="1"/>
        <v>0</v>
      </c>
      <c r="AI35" s="51">
        <f t="shared" si="2"/>
        <v>0</v>
      </c>
      <c r="AJ35" s="51">
        <f t="shared" si="3"/>
        <v>0</v>
      </c>
      <c r="AK35" s="22">
        <f t="shared" si="4"/>
        <v>0</v>
      </c>
    </row>
    <row r="36" spans="1:37" x14ac:dyDescent="0.25">
      <c r="A36" s="23" t="str">
        <f>IF('Employee Master'!B27="","",'Employee Master'!B27)</f>
        <v>ghis.randaln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>
        <f t="shared" si="1"/>
        <v>0</v>
      </c>
      <c r="AI36" s="51">
        <f t="shared" si="2"/>
        <v>0</v>
      </c>
      <c r="AJ36" s="51">
        <f t="shared" si="3"/>
        <v>0</v>
      </c>
      <c r="AK36" s="22">
        <f t="shared" si="4"/>
        <v>0</v>
      </c>
    </row>
    <row r="37" spans="1:37" x14ac:dyDescent="0.25">
      <c r="A37" s="23" t="str">
        <f>IF('Employee Master'!B28="","",'Employee Master'!B28)</f>
        <v>ghislain.indama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>
        <f t="shared" si="1"/>
        <v>0</v>
      </c>
      <c r="AI37" s="51">
        <f t="shared" si="2"/>
        <v>0</v>
      </c>
      <c r="AJ37" s="51">
        <f t="shared" si="3"/>
        <v>0</v>
      </c>
      <c r="AK37" s="22">
        <f t="shared" si="4"/>
        <v>0</v>
      </c>
    </row>
    <row r="38" spans="1:37" x14ac:dyDescent="0.25">
      <c r="A38" s="23" t="str">
        <f>IF('Employee Master'!B29="","",'Employee Master'!B29)</f>
        <v>ghislain.indama</v>
      </c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>
        <f t="shared" si="1"/>
        <v>0</v>
      </c>
      <c r="AI38" s="51">
        <f t="shared" si="2"/>
        <v>0</v>
      </c>
      <c r="AJ38" s="51">
        <f t="shared" si="3"/>
        <v>0</v>
      </c>
      <c r="AK38" s="22">
        <f t="shared" si="4"/>
        <v>0</v>
      </c>
    </row>
    <row r="39" spans="1:37" x14ac:dyDescent="0.25">
      <c r="A39" s="23" t="str">
        <f>IF('Employee Master'!B30="","",'Employee Master'!B30)</f>
        <v>tagar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>
        <f t="shared" si="1"/>
        <v>0</v>
      </c>
      <c r="AI39" s="51">
        <f t="shared" si="2"/>
        <v>0</v>
      </c>
      <c r="AJ39" s="51">
        <f t="shared" si="3"/>
        <v>0</v>
      </c>
      <c r="AK39" s="22">
        <f t="shared" si="4"/>
        <v>0</v>
      </c>
    </row>
    <row r="40" spans="1:37" x14ac:dyDescent="0.25">
      <c r="A40" s="23" t="str">
        <f>IF('Employee Master'!B31="","",'Employee Master'!B31)</f>
        <v>morales.john</v>
      </c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>
        <f t="shared" si="1"/>
        <v>0</v>
      </c>
      <c r="AI40" s="51">
        <f t="shared" si="2"/>
        <v>0</v>
      </c>
      <c r="AJ40" s="51">
        <f t="shared" si="3"/>
        <v>0</v>
      </c>
      <c r="AK40" s="22">
        <f t="shared" si="4"/>
        <v>0</v>
      </c>
    </row>
    <row r="41" spans="1:37" x14ac:dyDescent="0.25">
      <c r="A41" s="23" t="str">
        <f>IF('Employee Master'!B32="","",'Employee Master'!B32)</f>
        <v>ghislain.indama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>
        <f t="shared" si="1"/>
        <v>0</v>
      </c>
      <c r="AI41" s="51">
        <f t="shared" si="2"/>
        <v>0</v>
      </c>
      <c r="AJ41" s="51">
        <f t="shared" si="3"/>
        <v>0</v>
      </c>
      <c r="AK41" s="22">
        <f t="shared" si="4"/>
        <v>0</v>
      </c>
    </row>
    <row r="42" spans="1:37" x14ac:dyDescent="0.25">
      <c r="A42" s="23" t="str">
        <f>IF('Employee Master'!B33="","",'Employee Master'!B33)</f>
        <v>tama.agggag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>
        <f t="shared" si="1"/>
        <v>0</v>
      </c>
      <c r="AI42" s="51">
        <f t="shared" si="2"/>
        <v>0</v>
      </c>
      <c r="AJ42" s="51">
        <f t="shared" si="3"/>
        <v>0</v>
      </c>
      <c r="AK42" s="22">
        <f t="shared" si="4"/>
        <v>0</v>
      </c>
    </row>
    <row r="43" spans="1:37" x14ac:dyDescent="0.25">
      <c r="A43" s="23" t="str">
        <f>IF('Employee Master'!B34="","",'Employee Master'!B34)</f>
        <v>TROPCOMP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>
        <f t="shared" ref="AH43:AH63" si="5">COUNTIF(C43:AG43, "A")+  COUNTIF(C43:AG43, "N")</f>
        <v>0</v>
      </c>
      <c r="AI43" s="51">
        <f t="shared" ref="AI43:AI62" si="6">(COUNTIF(C43:AG43,"LE")+COUNTIF(C43:AG43,"T"))*0.5</f>
        <v>0</v>
      </c>
      <c r="AJ43" s="51">
        <f t="shared" si="3"/>
        <v>0</v>
      </c>
      <c r="AK43" s="22">
        <f t="shared" ref="AK43:AK62" si="7" xml:space="preserve"> COUNTIF(C43:AG43, "N")</f>
        <v>0</v>
      </c>
    </row>
    <row r="44" spans="1:37" x14ac:dyDescent="0.25">
      <c r="A44" s="23" t="str">
        <f>IF('Employee Master'!B35="","",'Employee Master'!B35)</f>
        <v>tamam.shaiva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>
        <f t="shared" si="5"/>
        <v>0</v>
      </c>
      <c r="AI44" s="51">
        <f t="shared" si="6"/>
        <v>0</v>
      </c>
      <c r="AJ44" s="51">
        <f t="shared" si="3"/>
        <v>0</v>
      </c>
      <c r="AK44" s="22">
        <f t="shared" si="7"/>
        <v>0</v>
      </c>
    </row>
    <row r="45" spans="1:37" x14ac:dyDescent="0.25">
      <c r="A45" s="23" t="str">
        <f>IF('Employee Master'!B36="","",'Employee Master'!B36)</f>
        <v/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>
        <f t="shared" si="5"/>
        <v>0</v>
      </c>
      <c r="AI45" s="51">
        <f t="shared" si="6"/>
        <v>0</v>
      </c>
      <c r="AJ45" s="51">
        <f t="shared" si="3"/>
        <v>0</v>
      </c>
      <c r="AK45" s="22">
        <f t="shared" si="7"/>
        <v>0</v>
      </c>
    </row>
    <row r="46" spans="1:37" x14ac:dyDescent="0.25">
      <c r="A46" s="23" t="str">
        <f>IF('Employee Master'!B37="","",'Employee Master'!B37)</f>
        <v/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>
        <f t="shared" si="5"/>
        <v>0</v>
      </c>
      <c r="AI46" s="51">
        <f t="shared" si="6"/>
        <v>0</v>
      </c>
      <c r="AJ46" s="51">
        <f t="shared" si="3"/>
        <v>0</v>
      </c>
      <c r="AK46" s="22">
        <f t="shared" si="7"/>
        <v>0</v>
      </c>
    </row>
    <row r="47" spans="1:37" x14ac:dyDescent="0.25">
      <c r="A47" s="23" t="str">
        <f>IF('Employee Master'!B38="","",'Employee Master'!B38)</f>
        <v/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>
        <f t="shared" si="5"/>
        <v>0</v>
      </c>
      <c r="AI47" s="51">
        <f t="shared" si="6"/>
        <v>0</v>
      </c>
      <c r="AJ47" s="51">
        <f t="shared" si="3"/>
        <v>0</v>
      </c>
      <c r="AK47" s="22">
        <f t="shared" si="7"/>
        <v>0</v>
      </c>
    </row>
    <row r="48" spans="1:37" x14ac:dyDescent="0.25">
      <c r="A48" s="23" t="str">
        <f>IF('Employee Master'!B39="","",'Employee Master'!B39)</f>
        <v/>
      </c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>
        <f t="shared" si="5"/>
        <v>0</v>
      </c>
      <c r="AI48" s="51">
        <f t="shared" si="6"/>
        <v>0</v>
      </c>
      <c r="AJ48" s="51">
        <f t="shared" si="3"/>
        <v>0</v>
      </c>
      <c r="AK48" s="22">
        <f t="shared" si="7"/>
        <v>0</v>
      </c>
    </row>
    <row r="49" spans="1:37" x14ac:dyDescent="0.25">
      <c r="A49" s="23" t="str">
        <f>IF('Employee Master'!B40="","",'Employee Master'!B40)</f>
        <v/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>
        <f t="shared" si="5"/>
        <v>0</v>
      </c>
      <c r="AI49" s="51">
        <f t="shared" si="6"/>
        <v>0</v>
      </c>
      <c r="AJ49" s="51">
        <f t="shared" si="3"/>
        <v>0</v>
      </c>
      <c r="AK49" s="22">
        <f t="shared" si="7"/>
        <v>0</v>
      </c>
    </row>
    <row r="50" spans="1:37" x14ac:dyDescent="0.25">
      <c r="A50" s="23" t="str">
        <f>IF('Employee Master'!B41="","",'Employee Master'!B41)</f>
        <v/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>
        <f t="shared" si="5"/>
        <v>0</v>
      </c>
      <c r="AI50" s="51">
        <f t="shared" si="6"/>
        <v>0</v>
      </c>
      <c r="AJ50" s="51">
        <f t="shared" si="3"/>
        <v>0</v>
      </c>
      <c r="AK50" s="22">
        <f t="shared" si="7"/>
        <v>0</v>
      </c>
    </row>
    <row r="51" spans="1:37" x14ac:dyDescent="0.25">
      <c r="A51" s="23" t="str">
        <f>IF('Employee Master'!B42="","",'Employee Master'!B42)</f>
        <v/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>
        <f t="shared" si="5"/>
        <v>0</v>
      </c>
      <c r="AI51" s="51">
        <f t="shared" si="6"/>
        <v>0</v>
      </c>
      <c r="AJ51" s="51">
        <f t="shared" si="3"/>
        <v>0</v>
      </c>
      <c r="AK51" s="22">
        <f t="shared" si="7"/>
        <v>0</v>
      </c>
    </row>
    <row r="52" spans="1:37" x14ac:dyDescent="0.25">
      <c r="A52" s="23" t="str">
        <f>IF('Employee Master'!B43="","",'Employee Master'!B43)</f>
        <v/>
      </c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>
        <f t="shared" si="5"/>
        <v>0</v>
      </c>
      <c r="AI52" s="51">
        <f t="shared" si="6"/>
        <v>0</v>
      </c>
      <c r="AJ52" s="51">
        <f t="shared" si="3"/>
        <v>0</v>
      </c>
      <c r="AK52" s="22">
        <f t="shared" si="7"/>
        <v>0</v>
      </c>
    </row>
    <row r="53" spans="1:37" x14ac:dyDescent="0.25">
      <c r="A53" s="23" t="str">
        <f>IF('Employee Master'!B44="","",'Employee Master'!B44)</f>
        <v/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>
        <f t="shared" si="5"/>
        <v>0</v>
      </c>
      <c r="AI53" s="51">
        <f t="shared" si="6"/>
        <v>0</v>
      </c>
      <c r="AJ53" s="51">
        <f t="shared" si="3"/>
        <v>0</v>
      </c>
      <c r="AK53" s="22">
        <f t="shared" si="7"/>
        <v>0</v>
      </c>
    </row>
    <row r="54" spans="1:37" x14ac:dyDescent="0.25">
      <c r="A54" s="23" t="str">
        <f>IF('Employee Master'!B45="","",'Employee Master'!B45)</f>
        <v/>
      </c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>
        <f t="shared" si="5"/>
        <v>0</v>
      </c>
      <c r="AI54" s="51">
        <f t="shared" si="6"/>
        <v>0</v>
      </c>
      <c r="AJ54" s="51">
        <f t="shared" si="3"/>
        <v>0</v>
      </c>
      <c r="AK54" s="22">
        <f t="shared" si="7"/>
        <v>0</v>
      </c>
    </row>
    <row r="55" spans="1:37" x14ac:dyDescent="0.25">
      <c r="A55" s="23" t="str">
        <f>IF('Employee Master'!B46="","",'Employee Master'!B46)</f>
        <v/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>
        <f t="shared" si="5"/>
        <v>0</v>
      </c>
      <c r="AI55" s="51">
        <f t="shared" si="6"/>
        <v>0</v>
      </c>
      <c r="AJ55" s="51">
        <f t="shared" si="3"/>
        <v>0</v>
      </c>
      <c r="AK55" s="22">
        <f t="shared" si="7"/>
        <v>0</v>
      </c>
    </row>
    <row r="56" spans="1:37" x14ac:dyDescent="0.25">
      <c r="A56" s="23" t="str">
        <f>IF('Employee Master'!B47="","",'Employee Master'!B47)</f>
        <v/>
      </c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>
        <f t="shared" si="5"/>
        <v>0</v>
      </c>
      <c r="AI56" s="51">
        <f t="shared" si="6"/>
        <v>0</v>
      </c>
      <c r="AJ56" s="51">
        <f t="shared" si="3"/>
        <v>0</v>
      </c>
      <c r="AK56" s="22">
        <f t="shared" si="7"/>
        <v>0</v>
      </c>
    </row>
    <row r="57" spans="1:37" x14ac:dyDescent="0.25">
      <c r="A57" s="23" t="str">
        <f>IF('Employee Master'!B48="","",'Employee Master'!B48)</f>
        <v/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>
        <f t="shared" si="5"/>
        <v>0</v>
      </c>
      <c r="AI57" s="51">
        <f t="shared" si="6"/>
        <v>0</v>
      </c>
      <c r="AJ57" s="51">
        <f t="shared" si="3"/>
        <v>0</v>
      </c>
      <c r="AK57" s="22">
        <f t="shared" si="7"/>
        <v>0</v>
      </c>
    </row>
    <row r="58" spans="1:37" x14ac:dyDescent="0.25">
      <c r="A58" s="23" t="str">
        <f>IF('Employee Master'!B49="","",'Employee Master'!B49)</f>
        <v/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>
        <f t="shared" si="5"/>
        <v>0</v>
      </c>
      <c r="AI58" s="51">
        <f t="shared" si="6"/>
        <v>0</v>
      </c>
      <c r="AJ58" s="51">
        <f t="shared" si="3"/>
        <v>0</v>
      </c>
      <c r="AK58" s="22">
        <f t="shared" si="7"/>
        <v>0</v>
      </c>
    </row>
    <row r="59" spans="1:37" x14ac:dyDescent="0.25">
      <c r="A59" s="23" t="str">
        <f>IF('Employee Master'!B50="","",'Employee Master'!B50)</f>
        <v/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>
        <f t="shared" si="5"/>
        <v>0</v>
      </c>
      <c r="AI59" s="51">
        <f t="shared" si="6"/>
        <v>0</v>
      </c>
      <c r="AJ59" s="51">
        <f t="shared" si="3"/>
        <v>0</v>
      </c>
      <c r="AK59" s="22">
        <f t="shared" si="7"/>
        <v>0</v>
      </c>
    </row>
    <row r="60" spans="1:37" x14ac:dyDescent="0.25">
      <c r="A60" s="23" t="str">
        <f>IF('Employee Master'!B51="","",'Employee Master'!B51)</f>
        <v/>
      </c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>
        <f t="shared" si="5"/>
        <v>0</v>
      </c>
      <c r="AI60" s="51">
        <f t="shared" si="6"/>
        <v>0</v>
      </c>
      <c r="AJ60" s="51">
        <f t="shared" si="3"/>
        <v>0</v>
      </c>
      <c r="AK60" s="22">
        <f t="shared" si="7"/>
        <v>0</v>
      </c>
    </row>
    <row r="61" spans="1:37" x14ac:dyDescent="0.25">
      <c r="A61" s="23" t="str">
        <f>IF('Employee Master'!B52="","",'Employee Master'!B52)</f>
        <v/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>
        <f t="shared" si="5"/>
        <v>0</v>
      </c>
      <c r="AI61" s="51">
        <f t="shared" si="6"/>
        <v>0</v>
      </c>
      <c r="AJ61" s="51">
        <f t="shared" si="3"/>
        <v>0</v>
      </c>
      <c r="AK61" s="22">
        <f t="shared" si="7"/>
        <v>0</v>
      </c>
    </row>
    <row r="62" spans="1:37" x14ac:dyDescent="0.25">
      <c r="A62" s="23" t="str">
        <f>IF('Employee Master'!B53="","",'Employee Master'!B53)</f>
        <v/>
      </c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>
        <f t="shared" si="5"/>
        <v>0</v>
      </c>
      <c r="AI62" s="51">
        <f t="shared" si="6"/>
        <v>0</v>
      </c>
      <c r="AJ62" s="51">
        <f t="shared" si="3"/>
        <v>0</v>
      </c>
      <c r="AK62" s="22">
        <f t="shared" si="7"/>
        <v>0</v>
      </c>
    </row>
    <row r="63" spans="1:37" x14ac:dyDescent="0.25">
      <c r="AH63" s="22">
        <f t="shared" si="5"/>
        <v>0</v>
      </c>
    </row>
  </sheetData>
  <mergeCells count="2">
    <mergeCell ref="A1:B1"/>
    <mergeCell ref="AJ4:AJ5"/>
  </mergeCells>
  <conditionalFormatting sqref="AL12:XFD32 AH12:AH63 AI12:AK62 A11:AK11 A12:AG62">
    <cfRule type="cellIs" dxfId="32" priority="2" operator="equal">
      <formula>"E"</formula>
    </cfRule>
  </conditionalFormatting>
  <conditionalFormatting sqref="B7">
    <cfRule type="cellIs" dxfId="31" priority="22" operator="equal">
      <formula>"N"</formula>
    </cfRule>
    <cfRule type="cellIs" dxfId="30" priority="23" operator="equal">
      <formula>"B"</formula>
    </cfRule>
    <cfRule type="cellIs" dxfId="29" priority="24" operator="equal">
      <formula>"TI"</formula>
    </cfRule>
    <cfRule type="cellIs" dxfId="28" priority="25" operator="equal">
      <formula>"LE"</formula>
    </cfRule>
    <cfRule type="cellIs" dxfId="27" priority="26" operator="equal">
      <formula>"T"</formula>
    </cfRule>
    <cfRule type="cellIs" dxfId="26" priority="27" operator="equal">
      <formula>"A"</formula>
    </cfRule>
    <cfRule type="cellIs" dxfId="25" priority="28" operator="equal">
      <formula>"P"</formula>
    </cfRule>
  </conditionalFormatting>
  <conditionalFormatting sqref="H24:W24 B24:F24 B25:W25 B11:W23 X11:AG25 B26:AG62">
    <cfRule type="cellIs" dxfId="24" priority="16" operator="equal">
      <formula>"A"</formula>
    </cfRule>
    <cfRule type="cellIs" dxfId="23" priority="17" operator="equal">
      <formula>"TI"</formula>
    </cfRule>
    <cfRule type="cellIs" dxfId="22" priority="18" operator="equal">
      <formula>"T"</formula>
    </cfRule>
    <cfRule type="cellIs" dxfId="21" priority="19" operator="equal">
      <formula>"P"</formula>
    </cfRule>
    <cfRule type="cellIs" dxfId="20" priority="20" operator="equal">
      <formula>"LE"</formula>
    </cfRule>
    <cfRule type="cellIs" dxfId="19" priority="21" operator="equal">
      <formula>"B"</formula>
    </cfRule>
  </conditionalFormatting>
  <conditionalFormatting sqref="H24:W24 C24:F24 C25:W25 C11:W23 X11:AG25 C26:AG62">
    <cfRule type="cellIs" dxfId="18" priority="15" operator="equal">
      <formula>"N"</formula>
    </cfRule>
  </conditionalFormatting>
  <conditionalFormatting sqref="G24">
    <cfRule type="cellIs" dxfId="17" priority="8" operator="equal">
      <formula>"N"</formula>
    </cfRule>
    <cfRule type="cellIs" dxfId="16" priority="9" operator="equal">
      <formula>"B"</formula>
    </cfRule>
    <cfRule type="cellIs" dxfId="15" priority="10" operator="equal">
      <formula>"TI"</formula>
    </cfRule>
    <cfRule type="cellIs" dxfId="14" priority="11" operator="equal">
      <formula>"LE"</formula>
    </cfRule>
    <cfRule type="cellIs" dxfId="13" priority="12" operator="equal">
      <formula>"T"</formula>
    </cfRule>
    <cfRule type="cellIs" dxfId="12" priority="13" operator="equal">
      <formula>"A"</formula>
    </cfRule>
    <cfRule type="cellIs" dxfId="11" priority="14" operator="equal">
      <formula>"P"</formula>
    </cfRule>
  </conditionalFormatting>
  <conditionalFormatting sqref="AH11:AK11 AH12:AH63 AI12:AK62">
    <cfRule type="cellIs" dxfId="10" priority="5" operator="greaterThan">
      <formula>4</formula>
    </cfRule>
    <cfRule type="cellIs" dxfId="9" priority="6" operator="between">
      <formula>3</formula>
      <formula>4</formula>
    </cfRule>
    <cfRule type="cellIs" dxfId="8" priority="7" operator="equal">
      <formula>2</formula>
    </cfRule>
  </conditionalFormatting>
  <conditionalFormatting sqref="C10:AG10">
    <cfRule type="notContainsBlanks" dxfId="7" priority="1">
      <formula>LEN(TRIM(C10))&gt;0</formula>
    </cfRule>
  </conditionalFormatting>
  <dataValidations count="1">
    <dataValidation type="list" allowBlank="1" showInputMessage="1" showErrorMessage="1" sqref="AJ4:AJ5" xr:uid="{D6FC7441-AF5D-4351-9C72-E5623EA898E8}">
      <formula1>Month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A3594-C85F-402B-A143-706F501FC2A8}">
  <sheetPr codeName="Sheet23"/>
  <dimension ref="A1:E9"/>
  <sheetViews>
    <sheetView tabSelected="1" workbookViewId="0">
      <selection activeCell="M34" sqref="M34"/>
    </sheetView>
  </sheetViews>
  <sheetFormatPr defaultRowHeight="15" x14ac:dyDescent="0.25"/>
  <cols>
    <col min="1" max="1" width="31" style="96" customWidth="1"/>
    <col min="2" max="2" width="19.42578125" style="89" customWidth="1"/>
    <col min="4" max="4" width="17.5703125" customWidth="1"/>
    <col min="8" max="8" width="20.42578125" customWidth="1"/>
  </cols>
  <sheetData>
    <row r="1" spans="1:5" ht="15.75" x14ac:dyDescent="0.25">
      <c r="A1" s="97" t="s">
        <v>332</v>
      </c>
      <c r="B1" s="98" t="s">
        <v>81</v>
      </c>
      <c r="D1" s="167" t="s">
        <v>192</v>
      </c>
      <c r="E1" s="167"/>
    </row>
    <row r="2" spans="1:5" x14ac:dyDescent="0.25">
      <c r="A2" s="96" t="s">
        <v>99</v>
      </c>
      <c r="B2" s="89" t="s">
        <v>82</v>
      </c>
      <c r="D2" s="99" t="s">
        <v>98</v>
      </c>
      <c r="E2" s="45" t="s">
        <v>99</v>
      </c>
    </row>
    <row r="3" spans="1:5" x14ac:dyDescent="0.25">
      <c r="A3" s="96" t="s">
        <v>101</v>
      </c>
      <c r="B3" s="89" t="s">
        <v>83</v>
      </c>
      <c r="D3" s="99" t="s">
        <v>100</v>
      </c>
      <c r="E3" s="46" t="s">
        <v>101</v>
      </c>
    </row>
    <row r="4" spans="1:5" x14ac:dyDescent="0.25">
      <c r="A4" s="96" t="s">
        <v>103</v>
      </c>
      <c r="D4" s="99" t="s">
        <v>102</v>
      </c>
      <c r="E4" s="47" t="s">
        <v>103</v>
      </c>
    </row>
    <row r="5" spans="1:5" x14ac:dyDescent="0.25">
      <c r="A5" s="96" t="s">
        <v>33</v>
      </c>
      <c r="D5" s="99" t="s">
        <v>104</v>
      </c>
      <c r="E5" s="45" t="s">
        <v>33</v>
      </c>
    </row>
    <row r="6" spans="1:5" x14ac:dyDescent="0.25">
      <c r="A6" s="96" t="s">
        <v>106</v>
      </c>
      <c r="D6" s="99" t="s">
        <v>105</v>
      </c>
      <c r="E6" s="46" t="s">
        <v>106</v>
      </c>
    </row>
    <row r="7" spans="1:5" x14ac:dyDescent="0.25">
      <c r="A7" s="96" t="s">
        <v>108</v>
      </c>
      <c r="D7" s="99" t="s">
        <v>107</v>
      </c>
      <c r="E7" s="22" t="s">
        <v>108</v>
      </c>
    </row>
    <row r="8" spans="1:5" x14ac:dyDescent="0.25">
      <c r="A8" s="96" t="s">
        <v>34</v>
      </c>
      <c r="D8" s="99" t="s">
        <v>109</v>
      </c>
      <c r="E8" s="47" t="s">
        <v>34</v>
      </c>
    </row>
    <row r="9" spans="1:5" x14ac:dyDescent="0.25">
      <c r="A9" s="96" t="s">
        <v>111</v>
      </c>
      <c r="D9" s="99" t="s">
        <v>110</v>
      </c>
      <c r="E9" s="45" t="s">
        <v>111</v>
      </c>
    </row>
  </sheetData>
  <mergeCells count="1">
    <mergeCell ref="D1:E1"/>
  </mergeCells>
  <conditionalFormatting sqref="E7">
    <cfRule type="cellIs" dxfId="6" priority="1" operator="equal">
      <formula>"N"</formula>
    </cfRule>
    <cfRule type="cellIs" dxfId="5" priority="2" operator="equal">
      <formula>"B"</formula>
    </cfRule>
    <cfRule type="cellIs" dxfId="4" priority="3" operator="equal">
      <formula>"TI"</formula>
    </cfRule>
    <cfRule type="cellIs" dxfId="3" priority="4" operator="equal">
      <formula>"LE"</formula>
    </cfRule>
    <cfRule type="cellIs" dxfId="2" priority="5" operator="equal">
      <formula>"T"</formula>
    </cfRule>
    <cfRule type="cellIs" dxfId="1" priority="6" operator="equal">
      <formula>"A"</formula>
    </cfRule>
    <cfRule type="cellIs" dxfId="0" priority="7" operator="equal">
      <formula>"P"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3793" r:id="rId4" name="CommandButton1">
          <controlPr defaultSize="0" autoLine="0" autoPict="0" r:id="rId5">
            <anchor moveWithCells="1">
              <from>
                <xdr:col>6</xdr:col>
                <xdr:colOff>200025</xdr:colOff>
                <xdr:row>6</xdr:row>
                <xdr:rowOff>9525</xdr:rowOff>
              </from>
              <to>
                <xdr:col>7</xdr:col>
                <xdr:colOff>1200150</xdr:colOff>
                <xdr:row>8</xdr:row>
                <xdr:rowOff>171450</xdr:rowOff>
              </to>
            </anchor>
          </controlPr>
        </control>
      </mc:Choice>
      <mc:Fallback>
        <control shapeId="33793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026D6584EA3845BE2C97D8EC055092" ma:contentTypeVersion="10" ma:contentTypeDescription="Create a new document." ma:contentTypeScope="" ma:versionID="a0b8018515d38a87f71bd1040f4ab97d">
  <xsd:schema xmlns:xsd="http://www.w3.org/2001/XMLSchema" xmlns:xs="http://www.w3.org/2001/XMLSchema" xmlns:p="http://schemas.microsoft.com/office/2006/metadata/properties" xmlns:ns2="3efe1613-8ae6-4137-929c-aefd61616b13" xmlns:ns3="a1936826-f334-45ba-b3b4-9b01fbfceae6" targetNamespace="http://schemas.microsoft.com/office/2006/metadata/properties" ma:root="true" ma:fieldsID="75556dd79cca3f8d8d78e14bd6c4baf0" ns2:_="" ns3:_="">
    <xsd:import namespace="3efe1613-8ae6-4137-929c-aefd61616b13"/>
    <xsd:import namespace="a1936826-f334-45ba-b3b4-9b01fbfcea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fe1613-8ae6-4137-929c-aefd61616b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936826-f334-45ba-b3b4-9b01fbfceae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15C28E1-08C9-44E7-99FF-3EEC737CC15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F1EA9-FE08-4A00-9B46-18CD8419BFFD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a1936826-f334-45ba-b3b4-9b01fbfceae6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3efe1613-8ae6-4137-929c-aefd61616b13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2178DB1-C891-4C70-B516-69A1158A5C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fe1613-8ae6-4137-929c-aefd61616b13"/>
    <ds:schemaRef ds:uri="a1936826-f334-45ba-b3b4-9b01fbfcea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8EACB7F-A82D-4F3D-9AD1-A1DE232249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Data_Display</vt:lpstr>
      <vt:lpstr>List</vt:lpstr>
      <vt:lpstr>Support</vt:lpstr>
      <vt:lpstr>Data</vt:lpstr>
      <vt:lpstr>Launch Form</vt:lpstr>
      <vt:lpstr>Index</vt:lpstr>
      <vt:lpstr>Metrics</vt:lpstr>
      <vt:lpstr>Time_card_calculator</vt:lpstr>
      <vt:lpstr>Time_Card</vt:lpstr>
      <vt:lpstr>One on One</vt:lpstr>
      <vt:lpstr>Contact_Info</vt:lpstr>
      <vt:lpstr>Training</vt:lpstr>
      <vt:lpstr>WeekEnd_SignUp</vt:lpstr>
      <vt:lpstr>Mark Attendance</vt:lpstr>
      <vt:lpstr>Database</vt:lpstr>
      <vt:lpstr>Attendance Sheet</vt:lpstr>
      <vt:lpstr>Setting</vt:lpstr>
      <vt:lpstr>Employee Master</vt:lpstr>
      <vt:lpstr>Add Employee</vt:lpstr>
      <vt:lpstr>Occurances</vt:lpstr>
      <vt:lpstr>Settings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PK: An Excel Expert</dc:creator>
  <cp:keywords/>
  <dc:description/>
  <cp:lastModifiedBy>Ulrich Ando</cp:lastModifiedBy>
  <cp:revision/>
  <dcterms:created xsi:type="dcterms:W3CDTF">2020-12-05T11:43:21Z</dcterms:created>
  <dcterms:modified xsi:type="dcterms:W3CDTF">2021-12-20T13:57:35Z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0x01010089026D6584EA3845BE2C97D8EC055092</vt:lpwstr>
  </property>
</Properties>
</file>