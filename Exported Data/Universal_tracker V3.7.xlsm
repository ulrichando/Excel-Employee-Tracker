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lric\Documents\Job Project\Universal tracker project_complete-20211215T190344Z-001\Universal tracker project_complete\"/>
    </mc:Choice>
  </mc:AlternateContent>
  <xr:revisionPtr revIDLastSave="0" documentId="13_ncr:1_{284D9977-559C-4A0F-A231-B0123D3DCFC5}" xr6:coauthVersionLast="47" xr6:coauthVersionMax="47" xr10:uidLastSave="{00000000-0000-0000-0000-000000000000}"/>
  <bookViews>
    <workbookView xWindow="57465" yWindow="1590" windowWidth="23475" windowHeight="15345" tabRatio="797" activeTab="1" xr2:uid="{65322FAB-9AF7-42C8-AC53-2F6C40944F6B}"/>
  </bookViews>
  <sheets>
    <sheet name="Index" sheetId="6" r:id="rId1"/>
    <sheet name="Metrics" sheetId="24" r:id="rId2"/>
    <sheet name="Occurances" sheetId="21" r:id="rId3"/>
    <sheet name="Time_card_calculator" sheetId="18" r:id="rId4"/>
    <sheet name="Time_Card" sheetId="12" r:id="rId5"/>
    <sheet name="One on One" sheetId="16" r:id="rId6"/>
    <sheet name="Contact_Info" sheetId="13" r:id="rId7"/>
    <sheet name="Training" sheetId="11" r:id="rId8"/>
    <sheet name="WeekEnd_SignUp" sheetId="10" r:id="rId9"/>
    <sheet name="Brain_Breaks" sheetId="9" r:id="rId10"/>
    <sheet name="Mark Attendance" sheetId="4" r:id="rId11"/>
    <sheet name="Employee Master" sheetId="2" r:id="rId12"/>
    <sheet name="Database" sheetId="3" r:id="rId13"/>
    <sheet name="Attendance Sheet" sheetId="1" r:id="rId14"/>
    <sheet name="Setting" sheetId="5" r:id="rId15"/>
    <sheet name="Settings" sheetId="23" r:id="rId16"/>
  </sheets>
  <functionGroups builtInGroupCount="19"/>
  <definedNames>
    <definedName name="_xlnm._FilterDatabase" localSheetId="12" hidden="1">Database!$A$1:$F$976</definedName>
    <definedName name="Attendance_List">OFFSET(Setting!$A$2,,,COUNTA(Setting!$A:$A)-1,1)</definedName>
    <definedName name="Month">OFFSET(Setting!$D$2,,,COUNTA(Setting!$D:$D)-1,1)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8" l="1"/>
  <c r="D2" i="18"/>
  <c r="E2" i="18"/>
  <c r="E20" i="18"/>
  <c r="E21" i="18"/>
  <c r="E22" i="18"/>
  <c r="E23" i="18"/>
  <c r="E24" i="18"/>
  <c r="E25" i="18"/>
  <c r="E26" i="18"/>
  <c r="E27" i="18"/>
  <c r="E28" i="18"/>
  <c r="E29" i="18"/>
  <c r="E30" i="18"/>
  <c r="E3" i="18"/>
  <c r="D4" i="18"/>
  <c r="E4" i="18" s="1"/>
  <c r="D5" i="18"/>
  <c r="E5" i="18" s="1"/>
  <c r="D6" i="18"/>
  <c r="E6" i="18" s="1"/>
  <c r="D7" i="18"/>
  <c r="E7" i="18" s="1"/>
  <c r="D8" i="18"/>
  <c r="E8" i="18" s="1"/>
  <c r="D9" i="18"/>
  <c r="E9" i="18" s="1"/>
  <c r="D10" i="18"/>
  <c r="E10" i="18" s="1"/>
  <c r="D11" i="18"/>
  <c r="E11" i="18" s="1"/>
  <c r="D12" i="18"/>
  <c r="E12" i="18" s="1"/>
  <c r="D13" i="18"/>
  <c r="E13" i="18" s="1"/>
  <c r="D14" i="18"/>
  <c r="E14" i="18" s="1"/>
  <c r="D15" i="18"/>
  <c r="E15" i="18" s="1"/>
  <c r="D16" i="18"/>
  <c r="E16" i="18" s="1"/>
  <c r="D17" i="18"/>
  <c r="E17" i="18" s="1"/>
  <c r="D18" i="18"/>
  <c r="E18" i="18" s="1"/>
  <c r="D19" i="18"/>
  <c r="E19" i="18" s="1"/>
  <c r="D20" i="18"/>
  <c r="D21" i="18"/>
  <c r="D22" i="18"/>
  <c r="D23" i="18"/>
  <c r="D24" i="18"/>
  <c r="D25" i="18"/>
  <c r="D26" i="18"/>
  <c r="D27" i="18"/>
  <c r="D28" i="18"/>
  <c r="D29" i="18"/>
  <c r="D30" i="18"/>
  <c r="ET11" i="21" l="1"/>
  <c r="EI11" i="21"/>
  <c r="EJ11" i="21"/>
  <c r="EK11" i="21"/>
  <c r="EL11" i="21"/>
  <c r="EM11" i="21"/>
  <c r="EN11" i="21"/>
  <c r="EO11" i="21"/>
  <c r="EP11" i="21"/>
  <c r="EQ11" i="21"/>
  <c r="ER11" i="21"/>
  <c r="ES11" i="21"/>
  <c r="EX63" i="21"/>
  <c r="EU63" i="21"/>
  <c r="EX62" i="21"/>
  <c r="EV62" i="21"/>
  <c r="EU62" i="21"/>
  <c r="EW62" i="21" s="1"/>
  <c r="EX61" i="21"/>
  <c r="EV61" i="21"/>
  <c r="EW61" i="21" s="1"/>
  <c r="EU61" i="21"/>
  <c r="EX60" i="21"/>
  <c r="EV60" i="21"/>
  <c r="EU60" i="21"/>
  <c r="EW60" i="21" s="1"/>
  <c r="EX59" i="21"/>
  <c r="EV59" i="21"/>
  <c r="EW59" i="21" s="1"/>
  <c r="EU59" i="21"/>
  <c r="EX58" i="21"/>
  <c r="EV58" i="21"/>
  <c r="EU58" i="21"/>
  <c r="EW58" i="21" s="1"/>
  <c r="EX57" i="21"/>
  <c r="EV57" i="21"/>
  <c r="EW57" i="21" s="1"/>
  <c r="EU57" i="21"/>
  <c r="EX56" i="21"/>
  <c r="EV56" i="21"/>
  <c r="EU56" i="21"/>
  <c r="EW56" i="21" s="1"/>
  <c r="EX55" i="21"/>
  <c r="EV55" i="21"/>
  <c r="EW55" i="21" s="1"/>
  <c r="EU55" i="21"/>
  <c r="EX54" i="21"/>
  <c r="EV54" i="21"/>
  <c r="EU54" i="21"/>
  <c r="EW54" i="21" s="1"/>
  <c r="EX53" i="21"/>
  <c r="EV53" i="21"/>
  <c r="EW53" i="21" s="1"/>
  <c r="EU53" i="21"/>
  <c r="EX52" i="21"/>
  <c r="EV52" i="21"/>
  <c r="EU52" i="21"/>
  <c r="EW52" i="21" s="1"/>
  <c r="EX51" i="21"/>
  <c r="EV51" i="21"/>
  <c r="EW51" i="21" s="1"/>
  <c r="EU51" i="21"/>
  <c r="EX50" i="21"/>
  <c r="EV50" i="21"/>
  <c r="EU50" i="21"/>
  <c r="EW50" i="21" s="1"/>
  <c r="EX49" i="21"/>
  <c r="EV49" i="21"/>
  <c r="EW49" i="21" s="1"/>
  <c r="EU49" i="21"/>
  <c r="EX48" i="21"/>
  <c r="EV48" i="21"/>
  <c r="EU48" i="21"/>
  <c r="EW48" i="21" s="1"/>
  <c r="EX47" i="21"/>
  <c r="EV47" i="21"/>
  <c r="EW47" i="21" s="1"/>
  <c r="EU47" i="21"/>
  <c r="EX46" i="21"/>
  <c r="EV46" i="21"/>
  <c r="EU46" i="21"/>
  <c r="EW46" i="21" s="1"/>
  <c r="EX45" i="21"/>
  <c r="EV45" i="21"/>
  <c r="EW45" i="21" s="1"/>
  <c r="EU45" i="21"/>
  <c r="EX44" i="21"/>
  <c r="EV44" i="21"/>
  <c r="EU44" i="21"/>
  <c r="EW44" i="21" s="1"/>
  <c r="EX43" i="21"/>
  <c r="EV43" i="21"/>
  <c r="EW43" i="21" s="1"/>
  <c r="EU43" i="21"/>
  <c r="EX42" i="21"/>
  <c r="EV42" i="21"/>
  <c r="EU42" i="21"/>
  <c r="EW42" i="21" s="1"/>
  <c r="EX41" i="21"/>
  <c r="EV41" i="21"/>
  <c r="EW41" i="21" s="1"/>
  <c r="EU41" i="21"/>
  <c r="EX40" i="21"/>
  <c r="EV40" i="21"/>
  <c r="EU40" i="21"/>
  <c r="EW40" i="21" s="1"/>
  <c r="EX39" i="21"/>
  <c r="EV39" i="21"/>
  <c r="EW39" i="21" s="1"/>
  <c r="EU39" i="21"/>
  <c r="EX38" i="21"/>
  <c r="EV38" i="21"/>
  <c r="EU38" i="21"/>
  <c r="EW38" i="21" s="1"/>
  <c r="EX37" i="21"/>
  <c r="EV37" i="21"/>
  <c r="EW37" i="21" s="1"/>
  <c r="EU37" i="21"/>
  <c r="EX36" i="21"/>
  <c r="EV36" i="21"/>
  <c r="EU36" i="21"/>
  <c r="EW36" i="21" s="1"/>
  <c r="EX35" i="21"/>
  <c r="EV35" i="21"/>
  <c r="EW35" i="21" s="1"/>
  <c r="EU35" i="21"/>
  <c r="EX34" i="21"/>
  <c r="EV34" i="21"/>
  <c r="EU34" i="21"/>
  <c r="EW34" i="21" s="1"/>
  <c r="EX33" i="21"/>
  <c r="EV33" i="21"/>
  <c r="EW33" i="21" s="1"/>
  <c r="EU33" i="21"/>
  <c r="EX32" i="21"/>
  <c r="EV32" i="21"/>
  <c r="EU32" i="21"/>
  <c r="EW32" i="21" s="1"/>
  <c r="EX31" i="21"/>
  <c r="EV31" i="21"/>
  <c r="EW31" i="21" s="1"/>
  <c r="EU31" i="21"/>
  <c r="EX30" i="21"/>
  <c r="EV30" i="21"/>
  <c r="EU30" i="21"/>
  <c r="EW30" i="21" s="1"/>
  <c r="EX29" i="21"/>
  <c r="EV29" i="21"/>
  <c r="EW29" i="21" s="1"/>
  <c r="EU29" i="21"/>
  <c r="EX28" i="21"/>
  <c r="EV28" i="21"/>
  <c r="EU28" i="21"/>
  <c r="EW28" i="21" s="1"/>
  <c r="EX27" i="21"/>
  <c r="EV27" i="21"/>
  <c r="EW27" i="21" s="1"/>
  <c r="EU27" i="21"/>
  <c r="EX26" i="21"/>
  <c r="EV26" i="21"/>
  <c r="EU26" i="21"/>
  <c r="EW26" i="21" s="1"/>
  <c r="EX25" i="21"/>
  <c r="EV25" i="21"/>
  <c r="EW25" i="21" s="1"/>
  <c r="EU25" i="21"/>
  <c r="EX24" i="21"/>
  <c r="EV24" i="21"/>
  <c r="EU24" i="21"/>
  <c r="EW24" i="21" s="1"/>
  <c r="EX23" i="21"/>
  <c r="EV23" i="21"/>
  <c r="EW23" i="21" s="1"/>
  <c r="EU23" i="21"/>
  <c r="EX22" i="21"/>
  <c r="EU22" i="21"/>
  <c r="EX21" i="21"/>
  <c r="EV21" i="21"/>
  <c r="EW21" i="21" s="1"/>
  <c r="EU21" i="21"/>
  <c r="EX20" i="21"/>
  <c r="EV20" i="21"/>
  <c r="EU20" i="21"/>
  <c r="EW20" i="21" s="1"/>
  <c r="EX19" i="21"/>
  <c r="EV19" i="21"/>
  <c r="EW19" i="21" s="1"/>
  <c r="EU19" i="21"/>
  <c r="EX18" i="21"/>
  <c r="EV18" i="21"/>
  <c r="EU18" i="21"/>
  <c r="EW18" i="21" s="1"/>
  <c r="EX17" i="21"/>
  <c r="EV17" i="21"/>
  <c r="EW17" i="21" s="1"/>
  <c r="EU17" i="21"/>
  <c r="EX16" i="21"/>
  <c r="EV16" i="21"/>
  <c r="EU16" i="21"/>
  <c r="EW16" i="21" s="1"/>
  <c r="EX15" i="21"/>
  <c r="EV15" i="21"/>
  <c r="EW15" i="21" s="1"/>
  <c r="EU15" i="21"/>
  <c r="EX14" i="21"/>
  <c r="EU14" i="21"/>
  <c r="EX13" i="21"/>
  <c r="EV13" i="21"/>
  <c r="EW13" i="21" s="1"/>
  <c r="EU13" i="21"/>
  <c r="EX12" i="21"/>
  <c r="EU12" i="21"/>
  <c r="EH11" i="21"/>
  <c r="EG11" i="21"/>
  <c r="EF11" i="21"/>
  <c r="EE11" i="21"/>
  <c r="ED11" i="21"/>
  <c r="EC11" i="21"/>
  <c r="EB11" i="21"/>
  <c r="EA11" i="21"/>
  <c r="DZ11" i="21"/>
  <c r="DY11" i="21"/>
  <c r="DX11" i="21"/>
  <c r="DW11" i="21"/>
  <c r="DV11" i="21"/>
  <c r="DU11" i="21"/>
  <c r="DT11" i="21"/>
  <c r="DS11" i="21"/>
  <c r="DR11" i="21"/>
  <c r="DQ11" i="21"/>
  <c r="DP11" i="21"/>
  <c r="DO11" i="21"/>
  <c r="DN11" i="21"/>
  <c r="DM11" i="21"/>
  <c r="DL11" i="21"/>
  <c r="DK11" i="21"/>
  <c r="DJ11" i="21"/>
  <c r="DI11" i="21"/>
  <c r="DH11" i="21"/>
  <c r="DG11" i="21"/>
  <c r="DF11" i="21"/>
  <c r="DE11" i="21"/>
  <c r="DD11" i="21"/>
  <c r="DC11" i="21"/>
  <c r="DB11" i="21"/>
  <c r="DA11" i="21"/>
  <c r="CZ11" i="21"/>
  <c r="CY11" i="21"/>
  <c r="CX11" i="21"/>
  <c r="CW11" i="21"/>
  <c r="CV11" i="21"/>
  <c r="CU11" i="21"/>
  <c r="CT11" i="21"/>
  <c r="CS11" i="21"/>
  <c r="CR11" i="21"/>
  <c r="CQ11" i="21"/>
  <c r="CP11" i="21"/>
  <c r="CO11" i="21"/>
  <c r="CN11" i="21"/>
  <c r="CM11" i="21"/>
  <c r="CL11" i="21"/>
  <c r="CK11" i="21"/>
  <c r="CJ11" i="21"/>
  <c r="CI11" i="21"/>
  <c r="CH11" i="21"/>
  <c r="CG11" i="21"/>
  <c r="CF11" i="21"/>
  <c r="CE11" i="21"/>
  <c r="CD11" i="21"/>
  <c r="CC11" i="21"/>
  <c r="CB11" i="21"/>
  <c r="CA11" i="21"/>
  <c r="BZ11" i="21"/>
  <c r="BY11" i="21"/>
  <c r="BX11" i="21"/>
  <c r="BW11" i="21"/>
  <c r="BV11" i="21"/>
  <c r="BU11" i="21"/>
  <c r="BT11" i="21"/>
  <c r="BS11" i="21"/>
  <c r="BR11" i="21"/>
  <c r="BQ11" i="21"/>
  <c r="BP11" i="21"/>
  <c r="BO11" i="21"/>
  <c r="BN11" i="21"/>
  <c r="BM11" i="21"/>
  <c r="BL11" i="21"/>
  <c r="BK11" i="21"/>
  <c r="BJ11" i="21"/>
  <c r="BI11" i="21"/>
  <c r="BH11" i="21"/>
  <c r="BG11" i="21"/>
  <c r="BF11" i="21"/>
  <c r="BE11" i="21"/>
  <c r="BD11" i="21"/>
  <c r="BC11" i="21"/>
  <c r="BB11" i="21"/>
  <c r="BA11" i="21"/>
  <c r="AZ11" i="21"/>
  <c r="AY11" i="21"/>
  <c r="AX11" i="21"/>
  <c r="AW11" i="21"/>
  <c r="AV11" i="21"/>
  <c r="AU11" i="21"/>
  <c r="AT11" i="21"/>
  <c r="AS11" i="21"/>
  <c r="AR11" i="21"/>
  <c r="AQ11" i="21"/>
  <c r="AP11" i="21"/>
  <c r="AO11" i="21"/>
  <c r="AN11" i="21"/>
  <c r="AM11" i="21"/>
  <c r="AL11" i="21"/>
  <c r="AK11" i="21"/>
  <c r="AJ11" i="21"/>
  <c r="AI11" i="21"/>
  <c r="AH11" i="21"/>
  <c r="AG11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EV14" i="21" l="1"/>
  <c r="EW14" i="21" s="1"/>
  <c r="EV22" i="21"/>
  <c r="EW22" i="21" s="1"/>
  <c r="EV12" i="21"/>
  <c r="EW12" i="21" s="1"/>
  <c r="EV63" i="21"/>
  <c r="EW63" i="21" s="1"/>
  <c r="J14" i="12" l="1"/>
  <c r="J12" i="12"/>
  <c r="J11" i="12"/>
  <c r="J5" i="12"/>
  <c r="J4" i="12"/>
  <c r="J3" i="12"/>
  <c r="J19" i="12"/>
  <c r="J24" i="12"/>
  <c r="J23" i="12"/>
  <c r="J15" i="12"/>
  <c r="J7" i="12"/>
  <c r="J21" i="12"/>
  <c r="J16" i="12"/>
  <c r="J8" i="12"/>
  <c r="J25" i="12"/>
  <c r="J18" i="12"/>
  <c r="J17" i="12"/>
  <c r="J9" i="12"/>
  <c r="J2" i="12"/>
  <c r="J13" i="12"/>
  <c r="J6" i="12"/>
  <c r="J10" i="12"/>
  <c r="J20" i="12"/>
  <c r="J22" i="12"/>
  <c r="J26" i="12"/>
  <c r="J27" i="12"/>
  <c r="J28" i="12"/>
  <c r="J29" i="12"/>
  <c r="J30" i="12"/>
  <c r="A29" i="1" l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C6" i="1"/>
  <c r="B6" i="1"/>
  <c r="A6" i="1"/>
  <c r="E3" i="4"/>
  <c r="F3" i="4" s="1"/>
  <c r="G3" i="4" s="1"/>
  <c r="H3" i="4" s="1"/>
  <c r="I3" i="4" s="1"/>
  <c r="J3" i="4" s="1"/>
  <c r="G5" i="1"/>
  <c r="G14" i="1" l="1"/>
  <c r="G20" i="1"/>
  <c r="H5" i="1"/>
  <c r="G6" i="1"/>
  <c r="G13" i="1"/>
  <c r="G7" i="1"/>
  <c r="G15" i="1"/>
  <c r="G8" i="1"/>
  <c r="G16" i="1"/>
  <c r="G17" i="1"/>
  <c r="G10" i="1"/>
  <c r="G18" i="1"/>
  <c r="G9" i="1"/>
  <c r="G11" i="1"/>
  <c r="G19" i="1"/>
  <c r="G12" i="1"/>
  <c r="H8" i="1" l="1"/>
  <c r="H9" i="1"/>
  <c r="H18" i="1"/>
  <c r="H14" i="1"/>
  <c r="H11" i="1"/>
  <c r="H20" i="1"/>
  <c r="H16" i="1"/>
  <c r="H13" i="1"/>
  <c r="H6" i="1"/>
  <c r="H12" i="1"/>
  <c r="H17" i="1"/>
  <c r="I5" i="1"/>
  <c r="H15" i="1"/>
  <c r="H10" i="1"/>
  <c r="H7" i="1"/>
  <c r="H19" i="1"/>
  <c r="I6" i="1" l="1"/>
  <c r="I10" i="1"/>
  <c r="I9" i="1"/>
  <c r="I13" i="1"/>
  <c r="I18" i="1"/>
  <c r="I17" i="1"/>
  <c r="I14" i="1"/>
  <c r="I15" i="1"/>
  <c r="I8" i="1"/>
  <c r="I20" i="1"/>
  <c r="I16" i="1"/>
  <c r="I12" i="1"/>
  <c r="I11" i="1"/>
  <c r="J5" i="1"/>
  <c r="I19" i="1"/>
  <c r="I7" i="1"/>
  <c r="K5" i="1" l="1"/>
  <c r="L5" i="1" s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K5" i="1"/>
  <c r="AJ5" i="1"/>
  <c r="AK11" i="1" l="1"/>
  <c r="AK16" i="1"/>
  <c r="AJ9" i="1"/>
  <c r="AK9" i="1"/>
  <c r="AK19" i="1"/>
  <c r="AK13" i="1"/>
  <c r="J11" i="1"/>
  <c r="G74" i="1" l="1"/>
  <c r="G26" i="1"/>
  <c r="G48" i="1"/>
  <c r="G83" i="1"/>
  <c r="G62" i="1"/>
  <c r="G49" i="1"/>
  <c r="G24" i="1"/>
  <c r="G50" i="1"/>
  <c r="G45" i="1"/>
  <c r="G97" i="1"/>
  <c r="G38" i="1"/>
  <c r="G31" i="1"/>
  <c r="G43" i="1"/>
  <c r="G47" i="1"/>
  <c r="G54" i="1"/>
  <c r="G86" i="1"/>
  <c r="G78" i="1"/>
  <c r="G37" i="1"/>
  <c r="G72" i="1"/>
  <c r="G57" i="1"/>
  <c r="G51" i="1"/>
  <c r="G76" i="1"/>
  <c r="G90" i="1"/>
  <c r="G81" i="1"/>
  <c r="G96" i="1"/>
  <c r="G88" i="1"/>
  <c r="G35" i="1"/>
  <c r="G61" i="1"/>
  <c r="G33" i="1"/>
  <c r="G55" i="1"/>
  <c r="G30" i="1"/>
  <c r="G64" i="1"/>
  <c r="G66" i="1"/>
  <c r="G40" i="1"/>
  <c r="G92" i="1"/>
  <c r="G95" i="1"/>
  <c r="G91" i="1"/>
  <c r="G34" i="1"/>
  <c r="G100" i="1"/>
  <c r="G63" i="1"/>
  <c r="G53" i="1"/>
  <c r="G28" i="1"/>
  <c r="G25" i="1"/>
  <c r="G93" i="1"/>
  <c r="G21" i="1"/>
  <c r="G59" i="1"/>
  <c r="G44" i="1"/>
  <c r="G98" i="1"/>
  <c r="G52" i="1"/>
  <c r="H63" i="1"/>
  <c r="G65" i="1"/>
  <c r="G29" i="1"/>
  <c r="G70" i="1"/>
  <c r="G58" i="1"/>
  <c r="G41" i="1"/>
  <c r="G75" i="1"/>
  <c r="G85" i="1"/>
  <c r="G99" i="1"/>
  <c r="G82" i="1"/>
  <c r="G60" i="1"/>
  <c r="G27" i="1"/>
  <c r="G22" i="1"/>
  <c r="G42" i="1"/>
  <c r="G46" i="1"/>
  <c r="G94" i="1"/>
  <c r="G36" i="1"/>
  <c r="G89" i="1"/>
  <c r="G56" i="1"/>
  <c r="G67" i="1"/>
  <c r="G80" i="1"/>
  <c r="G32" i="1"/>
  <c r="G84" i="1"/>
  <c r="G69" i="1"/>
  <c r="G23" i="1"/>
  <c r="G73" i="1"/>
  <c r="G39" i="1"/>
  <c r="G79" i="1"/>
  <c r="G77" i="1"/>
  <c r="G87" i="1"/>
  <c r="G71" i="1"/>
  <c r="H68" i="1"/>
  <c r="H88" i="1"/>
  <c r="H26" i="1"/>
  <c r="I62" i="1"/>
  <c r="H24" i="1"/>
  <c r="H92" i="1"/>
  <c r="H82" i="1"/>
  <c r="H69" i="1"/>
  <c r="H74" i="1"/>
  <c r="H94" i="1"/>
  <c r="H89" i="1"/>
  <c r="H35" i="1"/>
  <c r="K36" i="1"/>
  <c r="H59" i="1"/>
  <c r="H46" i="1"/>
  <c r="H97" i="1"/>
  <c r="H62" i="1"/>
  <c r="H47" i="1"/>
  <c r="H84" i="1"/>
  <c r="H60" i="1"/>
  <c r="H61" i="1"/>
  <c r="H45" i="1"/>
  <c r="H30" i="1"/>
  <c r="H22" i="1"/>
  <c r="H71" i="1"/>
  <c r="H48" i="1"/>
  <c r="H77" i="1"/>
  <c r="H87" i="1"/>
  <c r="H40" i="1"/>
  <c r="H86" i="1"/>
  <c r="H57" i="1"/>
  <c r="H98" i="1"/>
  <c r="H25" i="1"/>
  <c r="H66" i="1"/>
  <c r="H41" i="1"/>
  <c r="H75" i="1"/>
  <c r="H64" i="1"/>
  <c r="H51" i="1"/>
  <c r="H44" i="1"/>
  <c r="H58" i="1"/>
  <c r="H56" i="1"/>
  <c r="H76" i="1"/>
  <c r="H91" i="1"/>
  <c r="H27" i="1"/>
  <c r="H38" i="1"/>
  <c r="H65" i="1"/>
  <c r="G68" i="1"/>
  <c r="H72" i="1"/>
  <c r="H90" i="1"/>
  <c r="H96" i="1"/>
  <c r="H33" i="1"/>
  <c r="H32" i="1"/>
  <c r="H73" i="1"/>
  <c r="H81" i="1"/>
  <c r="H28" i="1"/>
  <c r="L80" i="1"/>
  <c r="K30" i="1"/>
  <c r="H70" i="1"/>
  <c r="H34" i="1"/>
  <c r="H50" i="1"/>
  <c r="H83" i="1"/>
  <c r="H79" i="1"/>
  <c r="H80" i="1"/>
  <c r="L69" i="1"/>
  <c r="H93" i="1"/>
  <c r="H23" i="1"/>
  <c r="H55" i="1"/>
  <c r="H67" i="1"/>
  <c r="H52" i="1"/>
  <c r="H39" i="1"/>
  <c r="H43" i="1"/>
  <c r="H31" i="1"/>
  <c r="H29" i="1"/>
  <c r="H99" i="1"/>
  <c r="H78" i="1"/>
  <c r="H21" i="1"/>
  <c r="H85" i="1"/>
  <c r="H95" i="1"/>
  <c r="H36" i="1"/>
  <c r="H37" i="1"/>
  <c r="H54" i="1"/>
  <c r="H53" i="1"/>
  <c r="H49" i="1"/>
  <c r="H100" i="1"/>
  <c r="H42" i="1"/>
  <c r="J23" i="1"/>
  <c r="I58" i="1"/>
  <c r="J71" i="1"/>
  <c r="J57" i="1"/>
  <c r="I72" i="1"/>
  <c r="K45" i="1"/>
  <c r="K55" i="1"/>
  <c r="K47" i="1"/>
  <c r="I84" i="1"/>
  <c r="L47" i="1"/>
  <c r="I99" i="1"/>
  <c r="I63" i="1"/>
  <c r="L40" i="1"/>
  <c r="L33" i="1"/>
  <c r="J52" i="1"/>
  <c r="K80" i="1"/>
  <c r="K52" i="1"/>
  <c r="J34" i="1"/>
  <c r="I75" i="1"/>
  <c r="L83" i="1"/>
  <c r="L55" i="1"/>
  <c r="L63" i="1"/>
  <c r="I73" i="1"/>
  <c r="I47" i="1"/>
  <c r="J65" i="1"/>
  <c r="K54" i="1"/>
  <c r="K63" i="1"/>
  <c r="L44" i="1"/>
  <c r="J72" i="1"/>
  <c r="J99" i="1"/>
  <c r="I70" i="1"/>
  <c r="L93" i="1"/>
  <c r="L49" i="1"/>
  <c r="J86" i="1"/>
  <c r="L94" i="1"/>
  <c r="I36" i="1"/>
  <c r="K97" i="1"/>
  <c r="L60" i="1"/>
  <c r="I52" i="1"/>
  <c r="I88" i="1"/>
  <c r="J33" i="1"/>
  <c r="L89" i="1"/>
  <c r="I92" i="1"/>
  <c r="L77" i="1"/>
  <c r="I61" i="1"/>
  <c r="J43" i="1"/>
  <c r="K74" i="1"/>
  <c r="J68" i="1"/>
  <c r="J22" i="1"/>
  <c r="L78" i="1"/>
  <c r="K26" i="1"/>
  <c r="J32" i="1"/>
  <c r="L27" i="1"/>
  <c r="J63" i="1"/>
  <c r="I77" i="1"/>
  <c r="K38" i="1"/>
  <c r="L54" i="1"/>
  <c r="J27" i="1"/>
  <c r="J84" i="1"/>
  <c r="J87" i="1"/>
  <c r="J28" i="1"/>
  <c r="J88" i="1"/>
  <c r="J26" i="1"/>
  <c r="K90" i="1"/>
  <c r="I30" i="1"/>
  <c r="J96" i="1"/>
  <c r="I65" i="1"/>
  <c r="J95" i="1"/>
  <c r="I35" i="1"/>
  <c r="K65" i="1"/>
  <c r="L38" i="1"/>
  <c r="I50" i="1"/>
  <c r="K57" i="1"/>
  <c r="K50" i="1"/>
  <c r="I22" i="1"/>
  <c r="J40" i="1"/>
  <c r="J64" i="1"/>
  <c r="J66" i="1"/>
  <c r="I96" i="1"/>
  <c r="I74" i="1"/>
  <c r="K39" i="1"/>
  <c r="J31" i="1"/>
  <c r="K89" i="1"/>
  <c r="L98" i="1"/>
  <c r="I49" i="1"/>
  <c r="K92" i="1"/>
  <c r="J41" i="1"/>
  <c r="K94" i="1"/>
  <c r="K51" i="1"/>
  <c r="L53" i="1"/>
  <c r="J25" i="1"/>
  <c r="I41" i="1"/>
  <c r="J85" i="1"/>
  <c r="L71" i="1"/>
  <c r="L87" i="1"/>
  <c r="L39" i="1"/>
  <c r="L96" i="1"/>
  <c r="L26" i="1"/>
  <c r="I48" i="1"/>
  <c r="I86" i="1"/>
  <c r="K83" i="1"/>
  <c r="K33" i="1"/>
  <c r="I40" i="1"/>
  <c r="L46" i="1"/>
  <c r="L85" i="1"/>
  <c r="J59" i="1"/>
  <c r="J94" i="1"/>
  <c r="J93" i="1"/>
  <c r="L79" i="1"/>
  <c r="J81" i="1"/>
  <c r="L61" i="1"/>
  <c r="K41" i="1"/>
  <c r="K98" i="1"/>
  <c r="I60" i="1"/>
  <c r="L48" i="1"/>
  <c r="J92" i="1"/>
  <c r="L64" i="1"/>
  <c r="K31" i="1"/>
  <c r="J97" i="1"/>
  <c r="K91" i="1"/>
  <c r="I68" i="1"/>
  <c r="L67" i="1"/>
  <c r="I95" i="1"/>
  <c r="L50" i="1"/>
  <c r="I59" i="1"/>
  <c r="K44" i="1"/>
  <c r="I43" i="1"/>
  <c r="I76" i="1"/>
  <c r="I97" i="1"/>
  <c r="J24" i="1"/>
  <c r="J30" i="1"/>
  <c r="K23" i="1"/>
  <c r="J77" i="1"/>
  <c r="I67" i="1"/>
  <c r="L56" i="1"/>
  <c r="K21" i="1"/>
  <c r="K61" i="1"/>
  <c r="L62" i="1"/>
  <c r="J36" i="1"/>
  <c r="J73" i="1"/>
  <c r="I51" i="1"/>
  <c r="J21" i="1"/>
  <c r="L25" i="1"/>
  <c r="K66" i="1"/>
  <c r="I90" i="1"/>
  <c r="K32" i="1"/>
  <c r="K71" i="1"/>
  <c r="K60" i="1"/>
  <c r="K95" i="1"/>
  <c r="I42" i="1"/>
  <c r="L28" i="1"/>
  <c r="I80" i="1"/>
  <c r="J60" i="1"/>
  <c r="L70" i="1"/>
  <c r="K69" i="1"/>
  <c r="K43" i="1"/>
  <c r="L74" i="1"/>
  <c r="L42" i="1"/>
  <c r="K27" i="1"/>
  <c r="J45" i="1"/>
  <c r="K68" i="1"/>
  <c r="L95" i="1"/>
  <c r="K79" i="1"/>
  <c r="K35" i="1"/>
  <c r="J29" i="1"/>
  <c r="J35" i="1"/>
  <c r="K96" i="1"/>
  <c r="I37" i="1"/>
  <c r="I21" i="1"/>
  <c r="K46" i="1"/>
  <c r="L32" i="1"/>
  <c r="K40" i="1"/>
  <c r="K75" i="1"/>
  <c r="J42" i="1"/>
  <c r="L72" i="1"/>
  <c r="K99" i="1"/>
  <c r="I66" i="1"/>
  <c r="J39" i="1"/>
  <c r="L34" i="1"/>
  <c r="K85" i="1"/>
  <c r="I78" i="1"/>
  <c r="K29" i="1"/>
  <c r="L92" i="1"/>
  <c r="K56" i="1"/>
  <c r="I56" i="1"/>
  <c r="I98" i="1"/>
  <c r="K28" i="1"/>
  <c r="I89" i="1"/>
  <c r="I93" i="1"/>
  <c r="J47" i="1"/>
  <c r="J82" i="1"/>
  <c r="I32" i="1"/>
  <c r="L73" i="1"/>
  <c r="L24" i="1"/>
  <c r="K72" i="1"/>
  <c r="J83" i="1"/>
  <c r="I44" i="1"/>
  <c r="L97" i="1"/>
  <c r="K25" i="1"/>
  <c r="J79" i="1"/>
  <c r="L45" i="1"/>
  <c r="K100" i="1"/>
  <c r="L99" i="1"/>
  <c r="J100" i="1"/>
  <c r="I24" i="1"/>
  <c r="I45" i="1"/>
  <c r="L81" i="1"/>
  <c r="L84" i="1"/>
  <c r="J53" i="1"/>
  <c r="J69" i="1"/>
  <c r="K93" i="1"/>
  <c r="K78" i="1"/>
  <c r="K42" i="1"/>
  <c r="I87" i="1"/>
  <c r="J67" i="1"/>
  <c r="I26" i="1"/>
  <c r="K77" i="1"/>
  <c r="I54" i="1"/>
  <c r="K22" i="1"/>
  <c r="J70" i="1"/>
  <c r="J62" i="1"/>
  <c r="I57" i="1"/>
  <c r="J38" i="1"/>
  <c r="K87" i="1"/>
  <c r="K73" i="1"/>
  <c r="M68" i="1"/>
  <c r="K48" i="1"/>
  <c r="J58" i="1"/>
  <c r="L86" i="1"/>
  <c r="L23" i="1"/>
  <c r="J55" i="1"/>
  <c r="I69" i="1"/>
  <c r="L51" i="1"/>
  <c r="I82" i="1"/>
  <c r="I33" i="1"/>
  <c r="K59" i="1"/>
  <c r="L37" i="1"/>
  <c r="I91" i="1"/>
  <c r="L91" i="1"/>
  <c r="J76" i="1"/>
  <c r="J78" i="1"/>
  <c r="K24" i="1"/>
  <c r="J89" i="1"/>
  <c r="L82" i="1"/>
  <c r="L100" i="1"/>
  <c r="K82" i="1"/>
  <c r="L59" i="1"/>
  <c r="L30" i="1"/>
  <c r="J37" i="1"/>
  <c r="K88" i="1"/>
  <c r="K76" i="1"/>
  <c r="I71" i="1"/>
  <c r="I55" i="1"/>
  <c r="J80" i="1"/>
  <c r="I79" i="1"/>
  <c r="L21" i="1"/>
  <c r="J56" i="1"/>
  <c r="L90" i="1"/>
  <c r="I27" i="1"/>
  <c r="L65" i="1"/>
  <c r="L41" i="1"/>
  <c r="L66" i="1"/>
  <c r="K64" i="1"/>
  <c r="L43" i="1"/>
  <c r="L57" i="1"/>
  <c r="L29" i="1"/>
  <c r="L22" i="1"/>
  <c r="K37" i="1"/>
  <c r="I85" i="1"/>
  <c r="I64" i="1"/>
  <c r="J61" i="1"/>
  <c r="I25" i="1"/>
  <c r="I29" i="1"/>
  <c r="K58" i="1"/>
  <c r="I46" i="1"/>
  <c r="I38" i="1"/>
  <c r="I39" i="1"/>
  <c r="J74" i="1"/>
  <c r="J48" i="1"/>
  <c r="J91" i="1"/>
  <c r="K62" i="1"/>
  <c r="K67" i="1"/>
  <c r="I81" i="1"/>
  <c r="I53" i="1"/>
  <c r="L75" i="1"/>
  <c r="L52" i="1"/>
  <c r="J75" i="1"/>
  <c r="L76" i="1"/>
  <c r="I34" i="1"/>
  <c r="K70" i="1"/>
  <c r="K34" i="1"/>
  <c r="J98" i="1"/>
  <c r="I28" i="1"/>
  <c r="L58" i="1"/>
  <c r="L31" i="1"/>
  <c r="I31" i="1"/>
  <c r="J49" i="1"/>
  <c r="L36" i="1"/>
  <c r="I23" i="1"/>
  <c r="K49" i="1"/>
  <c r="I83" i="1"/>
  <c r="J46" i="1"/>
  <c r="L35" i="1"/>
  <c r="J44" i="1"/>
  <c r="I100" i="1"/>
  <c r="J51" i="1"/>
  <c r="J54" i="1"/>
  <c r="J50" i="1"/>
  <c r="J90" i="1"/>
  <c r="K84" i="1"/>
  <c r="I94" i="1"/>
  <c r="L88" i="1"/>
  <c r="M21" i="1"/>
  <c r="M23" i="1"/>
  <c r="M64" i="1"/>
  <c r="M31" i="1"/>
  <c r="M30" i="1"/>
  <c r="M36" i="1"/>
  <c r="M27" i="1"/>
  <c r="N32" i="1"/>
  <c r="M40" i="1"/>
  <c r="M33" i="1"/>
  <c r="M96" i="1"/>
  <c r="M82" i="1"/>
  <c r="M28" i="1"/>
  <c r="M53" i="1"/>
  <c r="M86" i="1"/>
  <c r="M87" i="1"/>
  <c r="M79" i="1"/>
  <c r="M29" i="1"/>
  <c r="M57" i="1"/>
  <c r="M84" i="1"/>
  <c r="M62" i="1"/>
  <c r="M99" i="1"/>
  <c r="M85" i="1"/>
  <c r="M66" i="1"/>
  <c r="M39" i="1"/>
  <c r="M92" i="1"/>
  <c r="K81" i="1"/>
  <c r="M41" i="1"/>
  <c r="M71" i="1"/>
  <c r="M70" i="1"/>
  <c r="M50" i="1"/>
  <c r="M54" i="1"/>
  <c r="M58" i="1"/>
  <c r="M35" i="1"/>
  <c r="M69" i="1"/>
  <c r="M56" i="1"/>
  <c r="M34" i="1"/>
  <c r="M51" i="1"/>
  <c r="M25" i="1"/>
  <c r="M98" i="1"/>
  <c r="M97" i="1"/>
  <c r="M100" i="1"/>
  <c r="M55" i="1"/>
  <c r="M43" i="1"/>
  <c r="L68" i="1"/>
  <c r="M52" i="1"/>
  <c r="M44" i="1"/>
  <c r="M45" i="1"/>
  <c r="M95" i="1"/>
  <c r="M49" i="1"/>
  <c r="M32" i="1"/>
  <c r="M76" i="1"/>
  <c r="M88" i="1"/>
  <c r="M65" i="1"/>
  <c r="M24" i="1"/>
  <c r="M89" i="1"/>
  <c r="M80" i="1"/>
  <c r="M37" i="1"/>
  <c r="M74" i="1"/>
  <c r="M46" i="1"/>
  <c r="M67" i="1"/>
  <c r="M78" i="1"/>
  <c r="M94" i="1"/>
  <c r="M91" i="1"/>
  <c r="K86" i="1"/>
  <c r="M73" i="1"/>
  <c r="M59" i="1"/>
  <c r="M72" i="1"/>
  <c r="M38" i="1"/>
  <c r="M90" i="1"/>
  <c r="M60" i="1"/>
  <c r="M83" i="1"/>
  <c r="M42" i="1"/>
  <c r="M93" i="1"/>
  <c r="M26" i="1"/>
  <c r="M77" i="1"/>
  <c r="M48" i="1"/>
  <c r="M81" i="1"/>
  <c r="M63" i="1"/>
  <c r="K53" i="1"/>
  <c r="M47" i="1"/>
  <c r="N75" i="1"/>
  <c r="N21" i="1"/>
  <c r="N90" i="1"/>
  <c r="N28" i="1"/>
  <c r="N50" i="1"/>
  <c r="N35" i="1"/>
  <c r="N26" i="1"/>
  <c r="N82" i="1"/>
  <c r="N87" i="1"/>
  <c r="N93" i="1"/>
  <c r="N97" i="1"/>
  <c r="N30" i="1"/>
  <c r="N22" i="1"/>
  <c r="N47" i="1"/>
  <c r="N27" i="1"/>
  <c r="N33" i="1"/>
  <c r="N73" i="1"/>
  <c r="N69" i="1"/>
  <c r="N36" i="1"/>
  <c r="N72" i="1"/>
  <c r="N53" i="1"/>
  <c r="N74" i="1"/>
  <c r="N77" i="1"/>
  <c r="N49" i="1"/>
  <c r="N71" i="1"/>
  <c r="N24" i="1"/>
  <c r="N84" i="1"/>
  <c r="N61" i="1"/>
  <c r="N31" i="1"/>
  <c r="N68" i="1"/>
  <c r="O92" i="1"/>
  <c r="N91" i="1"/>
  <c r="N67" i="1"/>
  <c r="N86" i="1"/>
  <c r="N46" i="1"/>
  <c r="M75" i="1"/>
  <c r="N80" i="1"/>
  <c r="N83" i="1"/>
  <c r="N64" i="1"/>
  <c r="N66" i="1"/>
  <c r="N98" i="1"/>
  <c r="N88" i="1"/>
  <c r="N45" i="1"/>
  <c r="N79" i="1"/>
  <c r="N57" i="1"/>
  <c r="N59" i="1"/>
  <c r="N58" i="1"/>
  <c r="N65" i="1"/>
  <c r="N95" i="1"/>
  <c r="N92" i="1"/>
  <c r="N81" i="1"/>
  <c r="N62" i="1"/>
  <c r="N76" i="1"/>
  <c r="N34" i="1"/>
  <c r="N54" i="1"/>
  <c r="N38" i="1"/>
  <c r="N100" i="1"/>
  <c r="N41" i="1"/>
  <c r="N94" i="1"/>
  <c r="M61" i="1"/>
  <c r="N60" i="1"/>
  <c r="N78" i="1"/>
  <c r="M22" i="1"/>
  <c r="N51" i="1"/>
  <c r="N42" i="1"/>
  <c r="O55" i="1"/>
  <c r="N44" i="1"/>
  <c r="N96" i="1"/>
  <c r="N48" i="1"/>
  <c r="N25" i="1"/>
  <c r="N85" i="1"/>
  <c r="N40" i="1"/>
  <c r="N55" i="1"/>
  <c r="N56" i="1"/>
  <c r="N37" i="1"/>
  <c r="N52" i="1"/>
  <c r="N29" i="1"/>
  <c r="N23" i="1"/>
  <c r="N43" i="1"/>
  <c r="N89" i="1"/>
  <c r="O80" i="1"/>
  <c r="O62" i="1"/>
  <c r="O47" i="1"/>
  <c r="O74" i="1"/>
  <c r="O76" i="1"/>
  <c r="O88" i="1"/>
  <c r="O30" i="1"/>
  <c r="O78" i="1"/>
  <c r="O49" i="1"/>
  <c r="O69" i="1"/>
  <c r="O64" i="1"/>
  <c r="O87" i="1"/>
  <c r="O84" i="1"/>
  <c r="O60" i="1"/>
  <c r="O96" i="1"/>
  <c r="O98" i="1"/>
  <c r="O68" i="1"/>
  <c r="O95" i="1"/>
  <c r="N70" i="1"/>
  <c r="O81" i="1"/>
  <c r="O41" i="1"/>
  <c r="O63" i="1"/>
  <c r="O35" i="1"/>
  <c r="O89" i="1"/>
  <c r="O77" i="1"/>
  <c r="O34" i="1"/>
  <c r="O59" i="1"/>
  <c r="O24" i="1"/>
  <c r="O100" i="1"/>
  <c r="O85" i="1"/>
  <c r="O25" i="1"/>
  <c r="O22" i="1"/>
  <c r="O40" i="1"/>
  <c r="O94" i="1"/>
  <c r="O58" i="1"/>
  <c r="O91" i="1"/>
  <c r="O48" i="1"/>
  <c r="O86" i="1"/>
  <c r="O90" i="1"/>
  <c r="O82" i="1"/>
  <c r="O73" i="1"/>
  <c r="O54" i="1"/>
  <c r="O53" i="1"/>
  <c r="O99" i="1"/>
  <c r="O70" i="1"/>
  <c r="O42" i="1"/>
  <c r="O93" i="1"/>
  <c r="O27" i="1"/>
  <c r="O45" i="1"/>
  <c r="O32" i="1"/>
  <c r="N39" i="1"/>
  <c r="O36" i="1"/>
  <c r="O83" i="1"/>
  <c r="P30" i="1"/>
  <c r="O56" i="1"/>
  <c r="O43" i="1"/>
  <c r="O46" i="1"/>
  <c r="O66" i="1"/>
  <c r="O57" i="1"/>
  <c r="O23" i="1"/>
  <c r="O50" i="1"/>
  <c r="N63" i="1"/>
  <c r="N99" i="1"/>
  <c r="O61" i="1"/>
  <c r="O29" i="1"/>
  <c r="O38" i="1"/>
  <c r="P100" i="1"/>
  <c r="O37" i="1"/>
  <c r="O79" i="1"/>
  <c r="O72" i="1"/>
  <c r="O52" i="1"/>
  <c r="O97" i="1"/>
  <c r="O31" i="1"/>
  <c r="O51" i="1"/>
  <c r="O21" i="1"/>
  <c r="O28" i="1"/>
  <c r="O26" i="1"/>
  <c r="O75" i="1"/>
  <c r="P62" i="1"/>
  <c r="P85" i="1"/>
  <c r="P31" i="1"/>
  <c r="P58" i="1"/>
  <c r="P56" i="1"/>
  <c r="P40" i="1"/>
  <c r="P80" i="1"/>
  <c r="P61" i="1"/>
  <c r="O67" i="1"/>
  <c r="P28" i="1"/>
  <c r="S49" i="1"/>
  <c r="P53" i="1"/>
  <c r="S84" i="1"/>
  <c r="P24" i="1"/>
  <c r="P39" i="1"/>
  <c r="S64" i="1"/>
  <c r="P21" i="1"/>
  <c r="O71" i="1"/>
  <c r="P67" i="1"/>
  <c r="P32" i="1"/>
  <c r="P93" i="1"/>
  <c r="P92" i="1"/>
  <c r="P77" i="1"/>
  <c r="P73" i="1"/>
  <c r="O65" i="1"/>
  <c r="P69" i="1"/>
  <c r="P84" i="1"/>
  <c r="P22" i="1"/>
  <c r="O33" i="1"/>
  <c r="P37" i="1"/>
  <c r="P98" i="1"/>
  <c r="P89" i="1"/>
  <c r="P54" i="1"/>
  <c r="P86" i="1"/>
  <c r="P78" i="1"/>
  <c r="P64" i="1"/>
  <c r="P82" i="1"/>
  <c r="P46" i="1"/>
  <c r="P72" i="1"/>
  <c r="P95" i="1"/>
  <c r="P45" i="1"/>
  <c r="P38" i="1"/>
  <c r="P52" i="1"/>
  <c r="P49" i="1"/>
  <c r="P88" i="1"/>
  <c r="O39" i="1"/>
  <c r="P50" i="1"/>
  <c r="P71" i="1"/>
  <c r="P34" i="1"/>
  <c r="S92" i="1"/>
  <c r="P90" i="1"/>
  <c r="P87" i="1"/>
  <c r="P55" i="1"/>
  <c r="R51" i="1"/>
  <c r="P33" i="1"/>
  <c r="O44" i="1"/>
  <c r="P59" i="1"/>
  <c r="P25" i="1"/>
  <c r="P44" i="1"/>
  <c r="P42" i="1"/>
  <c r="P63" i="1"/>
  <c r="P68" i="1"/>
  <c r="P79" i="1"/>
  <c r="P94" i="1"/>
  <c r="P66" i="1"/>
  <c r="P70" i="1"/>
  <c r="P57" i="1"/>
  <c r="P65" i="1"/>
  <c r="P36" i="1"/>
  <c r="P27" i="1"/>
  <c r="P75" i="1"/>
  <c r="P29" i="1"/>
  <c r="P99" i="1"/>
  <c r="P96" i="1"/>
  <c r="P97" i="1"/>
  <c r="P83" i="1"/>
  <c r="P41" i="1"/>
  <c r="P74" i="1"/>
  <c r="P35" i="1"/>
  <c r="P43" i="1"/>
  <c r="P91" i="1"/>
  <c r="R29" i="1"/>
  <c r="S22" i="1"/>
  <c r="R64" i="1"/>
  <c r="S56" i="1"/>
  <c r="Q44" i="1"/>
  <c r="S40" i="1"/>
  <c r="P23" i="1"/>
  <c r="Q57" i="1"/>
  <c r="R49" i="1"/>
  <c r="Q94" i="1"/>
  <c r="Q42" i="1"/>
  <c r="Q73" i="1"/>
  <c r="S30" i="1"/>
  <c r="R69" i="1"/>
  <c r="R22" i="1"/>
  <c r="Q47" i="1"/>
  <c r="S74" i="1"/>
  <c r="R33" i="1"/>
  <c r="S55" i="1"/>
  <c r="R76" i="1"/>
  <c r="S43" i="1"/>
  <c r="Q80" i="1"/>
  <c r="R58" i="1"/>
  <c r="S39" i="1"/>
  <c r="Q81" i="1"/>
  <c r="S57" i="1"/>
  <c r="Q54" i="1"/>
  <c r="Q52" i="1"/>
  <c r="R92" i="1"/>
  <c r="Q61" i="1"/>
  <c r="R23" i="1"/>
  <c r="S42" i="1"/>
  <c r="Q48" i="1"/>
  <c r="Q79" i="1"/>
  <c r="S38" i="1"/>
  <c r="Q49" i="1"/>
  <c r="S85" i="1"/>
  <c r="Q37" i="1"/>
  <c r="R94" i="1"/>
  <c r="S26" i="1"/>
  <c r="R48" i="1"/>
  <c r="S47" i="1"/>
  <c r="R93" i="1"/>
  <c r="S75" i="1"/>
  <c r="Q77" i="1"/>
  <c r="Q34" i="1"/>
  <c r="S93" i="1"/>
  <c r="Q38" i="1"/>
  <c r="R39" i="1"/>
  <c r="R71" i="1"/>
  <c r="S41" i="1"/>
  <c r="Q95" i="1"/>
  <c r="P76" i="1"/>
  <c r="R77" i="1"/>
  <c r="Q40" i="1"/>
  <c r="Q83" i="1"/>
  <c r="R96" i="1"/>
  <c r="S98" i="1"/>
  <c r="S88" i="1"/>
  <c r="Q86" i="1"/>
  <c r="R67" i="1"/>
  <c r="R81" i="1"/>
  <c r="Q43" i="1"/>
  <c r="R82" i="1"/>
  <c r="Q76" i="1"/>
  <c r="R61" i="1"/>
  <c r="Q72" i="1"/>
  <c r="Q53" i="1"/>
  <c r="S72" i="1"/>
  <c r="S35" i="1"/>
  <c r="S83" i="1"/>
  <c r="S29" i="1"/>
  <c r="R55" i="1"/>
  <c r="R21" i="1"/>
  <c r="Q96" i="1"/>
  <c r="Q55" i="1"/>
  <c r="S100" i="1"/>
  <c r="Q97" i="1"/>
  <c r="P51" i="1"/>
  <c r="Q58" i="1"/>
  <c r="Q46" i="1"/>
  <c r="S96" i="1"/>
  <c r="S61" i="1"/>
  <c r="Q41" i="1"/>
  <c r="R35" i="1"/>
  <c r="S77" i="1"/>
  <c r="Q39" i="1"/>
  <c r="R57" i="1"/>
  <c r="R80" i="1"/>
  <c r="R83" i="1"/>
  <c r="R63" i="1"/>
  <c r="Q71" i="1"/>
  <c r="Q27" i="1"/>
  <c r="S34" i="1"/>
  <c r="R44" i="1"/>
  <c r="Q59" i="1"/>
  <c r="Q35" i="1"/>
  <c r="S86" i="1"/>
  <c r="R90" i="1"/>
  <c r="Q32" i="1"/>
  <c r="S82" i="1"/>
  <c r="R38" i="1"/>
  <c r="S21" i="1"/>
  <c r="Q30" i="1"/>
  <c r="S80" i="1"/>
  <c r="R45" i="1"/>
  <c r="S90" i="1"/>
  <c r="Q75" i="1"/>
  <c r="R41" i="1"/>
  <c r="R34" i="1"/>
  <c r="R87" i="1"/>
  <c r="S45" i="1"/>
  <c r="S46" i="1"/>
  <c r="Q31" i="1"/>
  <c r="R84" i="1"/>
  <c r="Q25" i="1"/>
  <c r="R30" i="1"/>
  <c r="Q26" i="1"/>
  <c r="R89" i="1"/>
  <c r="S63" i="1"/>
  <c r="Q50" i="1"/>
  <c r="R47" i="1"/>
  <c r="R91" i="1"/>
  <c r="R95" i="1"/>
  <c r="S37" i="1"/>
  <c r="Q85" i="1"/>
  <c r="R24" i="1"/>
  <c r="R50" i="1"/>
  <c r="R40" i="1"/>
  <c r="S99" i="1"/>
  <c r="S73" i="1"/>
  <c r="Q82" i="1"/>
  <c r="Q69" i="1"/>
  <c r="R27" i="1"/>
  <c r="Q89" i="1"/>
  <c r="Q63" i="1"/>
  <c r="S27" i="1"/>
  <c r="Q99" i="1"/>
  <c r="R28" i="1"/>
  <c r="S78" i="1"/>
  <c r="S71" i="1"/>
  <c r="R60" i="1"/>
  <c r="R31" i="1"/>
  <c r="P48" i="1"/>
  <c r="Q88" i="1"/>
  <c r="Q23" i="1"/>
  <c r="R99" i="1"/>
  <c r="Q33" i="1"/>
  <c r="R52" i="1"/>
  <c r="R62" i="1"/>
  <c r="P81" i="1"/>
  <c r="S50" i="1"/>
  <c r="S62" i="1"/>
  <c r="R26" i="1"/>
  <c r="R46" i="1"/>
  <c r="S69" i="1"/>
  <c r="Q67" i="1"/>
  <c r="R65" i="1"/>
  <c r="R75" i="1"/>
  <c r="S52" i="1"/>
  <c r="R73" i="1"/>
  <c r="Q68" i="1"/>
  <c r="R36" i="1"/>
  <c r="S87" i="1"/>
  <c r="S68" i="1"/>
  <c r="R68" i="1"/>
  <c r="S94" i="1"/>
  <c r="S59" i="1"/>
  <c r="R42" i="1"/>
  <c r="R70" i="1"/>
  <c r="Q98" i="1"/>
  <c r="Q91" i="1"/>
  <c r="Q65" i="1"/>
  <c r="S23" i="1"/>
  <c r="Q45" i="1"/>
  <c r="S70" i="1"/>
  <c r="R97" i="1"/>
  <c r="R79" i="1"/>
  <c r="R88" i="1"/>
  <c r="S44" i="1"/>
  <c r="R86" i="1"/>
  <c r="Q28" i="1"/>
  <c r="R78" i="1"/>
  <c r="R43" i="1"/>
  <c r="S79" i="1"/>
  <c r="Q87" i="1"/>
  <c r="Q90" i="1"/>
  <c r="S81" i="1"/>
  <c r="Q24" i="1"/>
  <c r="Q60" i="1"/>
  <c r="S67" i="1"/>
  <c r="S51" i="1"/>
  <c r="R98" i="1"/>
  <c r="Q100" i="1"/>
  <c r="Q70" i="1"/>
  <c r="Q84" i="1"/>
  <c r="S95" i="1"/>
  <c r="Q64" i="1"/>
  <c r="Q66" i="1"/>
  <c r="R85" i="1"/>
  <c r="P47" i="1"/>
  <c r="R66" i="1"/>
  <c r="R72" i="1"/>
  <c r="R32" i="1"/>
  <c r="S24" i="1"/>
  <c r="S31" i="1"/>
  <c r="Q62" i="1"/>
  <c r="R56" i="1"/>
  <c r="R74" i="1"/>
  <c r="R37" i="1"/>
  <c r="P60" i="1"/>
  <c r="S33" i="1"/>
  <c r="S76" i="1"/>
  <c r="R100" i="1"/>
  <c r="S58" i="1"/>
  <c r="Q92" i="1"/>
  <c r="Q36" i="1"/>
  <c r="Q21" i="1"/>
  <c r="P26" i="1"/>
  <c r="Q93" i="1"/>
  <c r="Q22" i="1"/>
  <c r="Q56" i="1"/>
  <c r="Q78" i="1"/>
  <c r="Q29" i="1"/>
  <c r="Q51" i="1"/>
  <c r="S60" i="1"/>
  <c r="S53" i="1"/>
  <c r="T89" i="1"/>
  <c r="T92" i="1"/>
  <c r="T42" i="1"/>
  <c r="T93" i="1"/>
  <c r="T83" i="1"/>
  <c r="T30" i="1"/>
  <c r="S66" i="1"/>
  <c r="T57" i="1"/>
  <c r="S91" i="1"/>
  <c r="T46" i="1"/>
  <c r="T86" i="1"/>
  <c r="T53" i="1"/>
  <c r="T21" i="1"/>
  <c r="T62" i="1"/>
  <c r="Q74" i="1"/>
  <c r="T74" i="1"/>
  <c r="T41" i="1"/>
  <c r="T98" i="1"/>
  <c r="S65" i="1"/>
  <c r="T51" i="1"/>
  <c r="T60" i="1"/>
  <c r="T82" i="1"/>
  <c r="T45" i="1"/>
  <c r="T40" i="1"/>
  <c r="T67" i="1"/>
  <c r="T23" i="1"/>
  <c r="T32" i="1"/>
  <c r="T64" i="1"/>
  <c r="U31" i="1"/>
  <c r="T99" i="1"/>
  <c r="T69" i="1"/>
  <c r="S48" i="1"/>
  <c r="T58" i="1"/>
  <c r="S28" i="1"/>
  <c r="T71" i="1"/>
  <c r="R59" i="1"/>
  <c r="S25" i="1"/>
  <c r="T66" i="1"/>
  <c r="T55" i="1"/>
  <c r="T76" i="1"/>
  <c r="T73" i="1"/>
  <c r="T28" i="1"/>
  <c r="T24" i="1"/>
  <c r="R25" i="1"/>
  <c r="T75" i="1"/>
  <c r="T47" i="1"/>
  <c r="R53" i="1"/>
  <c r="T91" i="1"/>
  <c r="T77" i="1"/>
  <c r="T95" i="1"/>
  <c r="T80" i="1"/>
  <c r="T52" i="1"/>
  <c r="T31" i="1"/>
  <c r="T70" i="1"/>
  <c r="T49" i="1"/>
  <c r="S89" i="1"/>
  <c r="T79" i="1"/>
  <c r="T85" i="1"/>
  <c r="T43" i="1"/>
  <c r="T65" i="1"/>
  <c r="U23" i="1"/>
  <c r="T22" i="1"/>
  <c r="T39" i="1"/>
  <c r="S36" i="1"/>
  <c r="T94" i="1"/>
  <c r="R54" i="1"/>
  <c r="T97" i="1"/>
  <c r="T54" i="1"/>
  <c r="T59" i="1"/>
  <c r="T26" i="1"/>
  <c r="T84" i="1"/>
  <c r="T68" i="1"/>
  <c r="S97" i="1"/>
  <c r="T88" i="1"/>
  <c r="S54" i="1"/>
  <c r="T44" i="1"/>
  <c r="T25" i="1"/>
  <c r="T81" i="1"/>
  <c r="T56" i="1"/>
  <c r="T29" i="1"/>
  <c r="T36" i="1"/>
  <c r="S32" i="1"/>
  <c r="T61" i="1"/>
  <c r="T38" i="1"/>
  <c r="T100" i="1"/>
  <c r="T50" i="1"/>
  <c r="T48" i="1"/>
  <c r="T78" i="1"/>
  <c r="T33" i="1"/>
  <c r="T72" i="1"/>
  <c r="U59" i="1"/>
  <c r="U42" i="1"/>
  <c r="T34" i="1"/>
  <c r="U47" i="1"/>
  <c r="U81" i="1"/>
  <c r="U95" i="1"/>
  <c r="U84" i="1"/>
  <c r="U80" i="1"/>
  <c r="U93" i="1"/>
  <c r="U35" i="1"/>
  <c r="U30" i="1"/>
  <c r="T37" i="1"/>
  <c r="U29" i="1"/>
  <c r="U96" i="1"/>
  <c r="U33" i="1"/>
  <c r="U77" i="1"/>
  <c r="U79" i="1"/>
  <c r="U39" i="1"/>
  <c r="U97" i="1"/>
  <c r="U55" i="1"/>
  <c r="V41" i="1"/>
  <c r="U86" i="1"/>
  <c r="U85" i="1"/>
  <c r="U50" i="1"/>
  <c r="U40" i="1"/>
  <c r="U48" i="1"/>
  <c r="U37" i="1"/>
  <c r="U46" i="1"/>
  <c r="U51" i="1"/>
  <c r="T27" i="1"/>
  <c r="U32" i="1"/>
  <c r="T96" i="1"/>
  <c r="U68" i="1"/>
  <c r="U78" i="1"/>
  <c r="U21" i="1"/>
  <c r="U94" i="1"/>
  <c r="U28" i="1"/>
  <c r="U75" i="1"/>
  <c r="U43" i="1"/>
  <c r="U58" i="1"/>
  <c r="U49" i="1"/>
  <c r="U82" i="1"/>
  <c r="U38" i="1"/>
  <c r="U71" i="1"/>
  <c r="U25" i="1"/>
  <c r="U22" i="1"/>
  <c r="U56" i="1"/>
  <c r="U91" i="1"/>
  <c r="T90" i="1"/>
  <c r="U73" i="1"/>
  <c r="U98" i="1"/>
  <c r="U24" i="1"/>
  <c r="U99" i="1"/>
  <c r="U63" i="1"/>
  <c r="U60" i="1"/>
  <c r="U53" i="1"/>
  <c r="U26" i="1"/>
  <c r="T63" i="1"/>
  <c r="T87" i="1"/>
  <c r="U36" i="1"/>
  <c r="U65" i="1"/>
  <c r="U69" i="1"/>
  <c r="U89" i="1"/>
  <c r="U54" i="1"/>
  <c r="U27" i="1"/>
  <c r="U72" i="1"/>
  <c r="U57" i="1"/>
  <c r="T35" i="1"/>
  <c r="U67" i="1"/>
  <c r="U64" i="1"/>
  <c r="U76" i="1"/>
  <c r="U52" i="1"/>
  <c r="U62" i="1"/>
  <c r="U61" i="1"/>
  <c r="U83" i="1"/>
  <c r="U41" i="1"/>
  <c r="U66" i="1"/>
  <c r="U44" i="1"/>
  <c r="U100" i="1"/>
  <c r="U87" i="1"/>
  <c r="U92" i="1"/>
  <c r="V43" i="1"/>
  <c r="V76" i="1"/>
  <c r="V22" i="1"/>
  <c r="V31" i="1"/>
  <c r="V59" i="1"/>
  <c r="V98" i="1"/>
  <c r="V68" i="1"/>
  <c r="V67" i="1"/>
  <c r="V96" i="1"/>
  <c r="V51" i="1"/>
  <c r="U34" i="1"/>
  <c r="V23" i="1"/>
  <c r="V81" i="1"/>
  <c r="V97" i="1"/>
  <c r="V55" i="1"/>
  <c r="V83" i="1"/>
  <c r="V36" i="1"/>
  <c r="V79" i="1"/>
  <c r="V65" i="1"/>
  <c r="V63" i="1"/>
  <c r="V37" i="1"/>
  <c r="V35" i="1"/>
  <c r="V85" i="1"/>
  <c r="V70" i="1"/>
  <c r="V75" i="1"/>
  <c r="V58" i="1"/>
  <c r="V52" i="1"/>
  <c r="U74" i="1"/>
  <c r="V50" i="1"/>
  <c r="V74" i="1"/>
  <c r="V86" i="1"/>
  <c r="V28" i="1"/>
  <c r="U45" i="1"/>
  <c r="V71" i="1"/>
  <c r="V54" i="1"/>
  <c r="V72" i="1"/>
  <c r="V21" i="1"/>
  <c r="V66" i="1"/>
  <c r="V77" i="1"/>
  <c r="V89" i="1"/>
  <c r="V84" i="1"/>
  <c r="V33" i="1"/>
  <c r="V73" i="1"/>
  <c r="V88" i="1"/>
  <c r="V53" i="1"/>
  <c r="V39" i="1"/>
  <c r="V64" i="1"/>
  <c r="V95" i="1"/>
  <c r="V27" i="1"/>
  <c r="V91" i="1"/>
  <c r="W37" i="1"/>
  <c r="V24" i="1"/>
  <c r="V99" i="1"/>
  <c r="V92" i="1"/>
  <c r="V40" i="1"/>
  <c r="V87" i="1"/>
  <c r="V57" i="1"/>
  <c r="V60" i="1"/>
  <c r="V49" i="1"/>
  <c r="V93" i="1"/>
  <c r="U70" i="1"/>
  <c r="U90" i="1"/>
  <c r="V29" i="1"/>
  <c r="V32" i="1"/>
  <c r="V26" i="1"/>
  <c r="V90" i="1"/>
  <c r="V94" i="1"/>
  <c r="V38" i="1"/>
  <c r="V62" i="1"/>
  <c r="V46" i="1"/>
  <c r="V78" i="1"/>
  <c r="V45" i="1"/>
  <c r="V25" i="1"/>
  <c r="V56" i="1"/>
  <c r="V47" i="1"/>
  <c r="V80" i="1"/>
  <c r="V69" i="1"/>
  <c r="V48" i="1"/>
  <c r="V82" i="1"/>
  <c r="U88" i="1"/>
  <c r="W21" i="1"/>
  <c r="W96" i="1"/>
  <c r="W22" i="1"/>
  <c r="W25" i="1"/>
  <c r="W91" i="1"/>
  <c r="W72" i="1"/>
  <c r="W68" i="1"/>
  <c r="W100" i="1"/>
  <c r="W93" i="1"/>
  <c r="W67" i="1"/>
  <c r="Z39" i="1"/>
  <c r="W53" i="1"/>
  <c r="W76" i="1"/>
  <c r="W54" i="1"/>
  <c r="W65" i="1"/>
  <c r="W83" i="1"/>
  <c r="W99" i="1"/>
  <c r="Z46" i="1"/>
  <c r="W90" i="1"/>
  <c r="V61" i="1"/>
  <c r="W58" i="1"/>
  <c r="Z72" i="1"/>
  <c r="W48" i="1"/>
  <c r="W23" i="1"/>
  <c r="W97" i="1"/>
  <c r="W98" i="1"/>
  <c r="W63" i="1"/>
  <c r="W31" i="1"/>
  <c r="W52" i="1"/>
  <c r="W26" i="1"/>
  <c r="W47" i="1"/>
  <c r="V30" i="1"/>
  <c r="W87" i="1"/>
  <c r="W56" i="1"/>
  <c r="AA97" i="1"/>
  <c r="W73" i="1"/>
  <c r="W40" i="1"/>
  <c r="W35" i="1"/>
  <c r="W79" i="1"/>
  <c r="W27" i="1"/>
  <c r="W30" i="1"/>
  <c r="Z52" i="1"/>
  <c r="W62" i="1"/>
  <c r="W43" i="1"/>
  <c r="V44" i="1"/>
  <c r="W55" i="1"/>
  <c r="W94" i="1"/>
  <c r="W75" i="1"/>
  <c r="W81" i="1"/>
  <c r="W57" i="1"/>
  <c r="W45" i="1"/>
  <c r="W38" i="1"/>
  <c r="W70" i="1"/>
  <c r="W61" i="1"/>
  <c r="W51" i="1"/>
  <c r="W39" i="1"/>
  <c r="W60" i="1"/>
  <c r="W89" i="1"/>
  <c r="W74" i="1"/>
  <c r="W88" i="1"/>
  <c r="W66" i="1"/>
  <c r="V42" i="1"/>
  <c r="W86" i="1"/>
  <c r="W34" i="1"/>
  <c r="W42" i="1"/>
  <c r="W71" i="1"/>
  <c r="W41" i="1"/>
  <c r="W82" i="1"/>
  <c r="W33" i="1"/>
  <c r="W32" i="1"/>
  <c r="W44" i="1"/>
  <c r="W92" i="1"/>
  <c r="W64" i="1"/>
  <c r="V34" i="1"/>
  <c r="W95" i="1"/>
  <c r="V100" i="1"/>
  <c r="W85" i="1"/>
  <c r="W77" i="1"/>
  <c r="Z97" i="1"/>
  <c r="W29" i="1"/>
  <c r="W78" i="1"/>
  <c r="W24" i="1"/>
  <c r="W46" i="1"/>
  <c r="W50" i="1"/>
  <c r="W49" i="1"/>
  <c r="W59" i="1"/>
  <c r="W84" i="1"/>
  <c r="Z90" i="1"/>
  <c r="Y37" i="1"/>
  <c r="Z81" i="1"/>
  <c r="W36" i="1"/>
  <c r="Y31" i="1"/>
  <c r="Z35" i="1"/>
  <c r="X61" i="1"/>
  <c r="X80" i="1"/>
  <c r="X70" i="1"/>
  <c r="X23" i="1"/>
  <c r="Y99" i="1"/>
  <c r="Z45" i="1"/>
  <c r="X85" i="1"/>
  <c r="Z63" i="1"/>
  <c r="Y86" i="1"/>
  <c r="X34" i="1"/>
  <c r="Z77" i="1"/>
  <c r="Z55" i="1"/>
  <c r="Z84" i="1"/>
  <c r="Y42" i="1"/>
  <c r="Y56" i="1"/>
  <c r="X79" i="1"/>
  <c r="Y47" i="1"/>
  <c r="X77" i="1"/>
  <c r="Z62" i="1"/>
  <c r="X98" i="1"/>
  <c r="Y70" i="1"/>
  <c r="Y73" i="1"/>
  <c r="Y55" i="1"/>
  <c r="Y74" i="1"/>
  <c r="Y90" i="1"/>
  <c r="Y81" i="1"/>
  <c r="X46" i="1"/>
  <c r="Y79" i="1"/>
  <c r="Y76" i="1"/>
  <c r="Y58" i="1"/>
  <c r="Y64" i="1"/>
  <c r="Y71" i="1"/>
  <c r="Z56" i="1"/>
  <c r="X40" i="1"/>
  <c r="X26" i="1"/>
  <c r="Z54" i="1"/>
  <c r="Y88" i="1"/>
  <c r="Y33" i="1"/>
  <c r="Y41" i="1"/>
  <c r="Z96" i="1"/>
  <c r="X54" i="1"/>
  <c r="Z93" i="1"/>
  <c r="Y43" i="1"/>
  <c r="Y63" i="1"/>
  <c r="Y98" i="1"/>
  <c r="Z33" i="1"/>
  <c r="Y28" i="1"/>
  <c r="Y96" i="1"/>
  <c r="X87" i="1"/>
  <c r="Y34" i="1"/>
  <c r="Z92" i="1"/>
  <c r="Z24" i="1"/>
  <c r="X30" i="1"/>
  <c r="Z79" i="1"/>
  <c r="X36" i="1"/>
  <c r="Z32" i="1"/>
  <c r="X92" i="1"/>
  <c r="X64" i="1"/>
  <c r="X88" i="1"/>
  <c r="Z99" i="1"/>
  <c r="Z36" i="1"/>
  <c r="Z85" i="1"/>
  <c r="Y66" i="1"/>
  <c r="Z21" i="1"/>
  <c r="Y40" i="1"/>
  <c r="X32" i="1"/>
  <c r="X48" i="1"/>
  <c r="Z88" i="1"/>
  <c r="Y82" i="1"/>
  <c r="Z91" i="1"/>
  <c r="Y67" i="1"/>
  <c r="X37" i="1"/>
  <c r="Z47" i="1"/>
  <c r="Z94" i="1"/>
  <c r="Y68" i="1"/>
  <c r="Y36" i="1"/>
  <c r="X71" i="1"/>
  <c r="Y32" i="1"/>
  <c r="X83" i="1"/>
  <c r="W28" i="1"/>
  <c r="Y38" i="1"/>
  <c r="Y83" i="1"/>
  <c r="X60" i="1"/>
  <c r="Z87" i="1"/>
  <c r="X81" i="1"/>
  <c r="W69" i="1"/>
  <c r="Z48" i="1"/>
  <c r="X67" i="1"/>
  <c r="X74" i="1"/>
  <c r="X52" i="1"/>
  <c r="X78" i="1"/>
  <c r="Z83" i="1"/>
  <c r="X53" i="1"/>
  <c r="X84" i="1"/>
  <c r="Z65" i="1"/>
  <c r="X21" i="1"/>
  <c r="X95" i="1"/>
  <c r="Z70" i="1"/>
  <c r="Y84" i="1"/>
  <c r="Z22" i="1"/>
  <c r="Y87" i="1"/>
  <c r="Y78" i="1"/>
  <c r="Z71" i="1"/>
  <c r="Z34" i="1"/>
  <c r="X25" i="1"/>
  <c r="Z27" i="1"/>
  <c r="Z86" i="1"/>
  <c r="X73" i="1"/>
  <c r="X89" i="1"/>
  <c r="X38" i="1"/>
  <c r="Y61" i="1"/>
  <c r="Z82" i="1"/>
  <c r="X43" i="1"/>
  <c r="Y69" i="1"/>
  <c r="X55" i="1"/>
  <c r="Z30" i="1"/>
  <c r="Y21" i="1"/>
  <c r="X28" i="1"/>
  <c r="Y45" i="1"/>
  <c r="X47" i="1"/>
  <c r="X22" i="1"/>
  <c r="Y60" i="1"/>
  <c r="Z58" i="1"/>
  <c r="Z57" i="1"/>
  <c r="X93" i="1"/>
  <c r="X42" i="1"/>
  <c r="Y27" i="1"/>
  <c r="Z29" i="1"/>
  <c r="X44" i="1"/>
  <c r="Y95" i="1"/>
  <c r="X72" i="1"/>
  <c r="Y89" i="1"/>
  <c r="Z44" i="1"/>
  <c r="Y77" i="1"/>
  <c r="Z42" i="1"/>
  <c r="X86" i="1"/>
  <c r="Z68" i="1"/>
  <c r="Z43" i="1"/>
  <c r="Z31" i="1"/>
  <c r="Z50" i="1"/>
  <c r="Y57" i="1"/>
  <c r="X62" i="1"/>
  <c r="Y29" i="1"/>
  <c r="Z73" i="1"/>
  <c r="X24" i="1"/>
  <c r="Y85" i="1"/>
  <c r="X59" i="1"/>
  <c r="X39" i="1"/>
  <c r="X90" i="1"/>
  <c r="Y50" i="1"/>
  <c r="Z59" i="1"/>
  <c r="Z98" i="1"/>
  <c r="Y91" i="1"/>
  <c r="X35" i="1"/>
  <c r="X57" i="1"/>
  <c r="Y54" i="1"/>
  <c r="X58" i="1"/>
  <c r="AA62" i="1"/>
  <c r="Z80" i="1"/>
  <c r="Z95" i="1"/>
  <c r="X41" i="1"/>
  <c r="X100" i="1"/>
  <c r="Z53" i="1"/>
  <c r="X94" i="1"/>
  <c r="X63" i="1"/>
  <c r="X33" i="1"/>
  <c r="Y51" i="1"/>
  <c r="Z66" i="1"/>
  <c r="X29" i="1"/>
  <c r="Y53" i="1"/>
  <c r="Z49" i="1"/>
  <c r="Z60" i="1"/>
  <c r="Z75" i="1"/>
  <c r="X49" i="1"/>
  <c r="W80" i="1"/>
  <c r="Y49" i="1"/>
  <c r="Y22" i="1"/>
  <c r="Z51" i="1"/>
  <c r="Y25" i="1"/>
  <c r="X56" i="1"/>
  <c r="X31" i="1"/>
  <c r="Y46" i="1"/>
  <c r="Z41" i="1"/>
  <c r="Z38" i="1"/>
  <c r="X27" i="1"/>
  <c r="X96" i="1"/>
  <c r="X91" i="1"/>
  <c r="Y23" i="1"/>
  <c r="X76" i="1"/>
  <c r="Y93" i="1"/>
  <c r="X69" i="1"/>
  <c r="Y39" i="1"/>
  <c r="Y30" i="1"/>
  <c r="Z28" i="1"/>
  <c r="X50" i="1"/>
  <c r="X65" i="1"/>
  <c r="Z69" i="1"/>
  <c r="Y80" i="1"/>
  <c r="X66" i="1"/>
  <c r="X99" i="1"/>
  <c r="Y52" i="1"/>
  <c r="Y62" i="1"/>
  <c r="Z61" i="1"/>
  <c r="Y44" i="1"/>
  <c r="Y26" i="1"/>
  <c r="X97" i="1"/>
  <c r="X45" i="1"/>
  <c r="Y92" i="1"/>
  <c r="Y59" i="1"/>
  <c r="Z25" i="1"/>
  <c r="Y75" i="1"/>
  <c r="Y35" i="1"/>
  <c r="Y94" i="1"/>
  <c r="Y65" i="1"/>
  <c r="Y97" i="1"/>
  <c r="X68" i="1"/>
  <c r="Y72" i="1"/>
  <c r="X51" i="1"/>
  <c r="Z23" i="1"/>
  <c r="X75" i="1"/>
  <c r="Z100" i="1"/>
  <c r="Y48" i="1"/>
  <c r="Z67" i="1"/>
  <c r="X82" i="1"/>
  <c r="Z40" i="1"/>
  <c r="Y100" i="1"/>
  <c r="Y24" i="1"/>
  <c r="AA27" i="1"/>
  <c r="Z89" i="1"/>
  <c r="AA92" i="1"/>
  <c r="AA73" i="1"/>
  <c r="AA94" i="1"/>
  <c r="AA54" i="1"/>
  <c r="AA69" i="1"/>
  <c r="AA39" i="1"/>
  <c r="AA29" i="1"/>
  <c r="AA47" i="1"/>
  <c r="AA71" i="1"/>
  <c r="AA32" i="1"/>
  <c r="AA98" i="1"/>
  <c r="AA35" i="1"/>
  <c r="AA96" i="1"/>
  <c r="AB34" i="1"/>
  <c r="AA21" i="1"/>
  <c r="AA66" i="1"/>
  <c r="AA86" i="1"/>
  <c r="AA74" i="1"/>
  <c r="AA43" i="1"/>
  <c r="AB87" i="1"/>
  <c r="AA26" i="1"/>
  <c r="AA81" i="1"/>
  <c r="AA95" i="1"/>
  <c r="AA77" i="1"/>
  <c r="AA60" i="1"/>
  <c r="AA38" i="1"/>
  <c r="Z74" i="1"/>
  <c r="AA78" i="1"/>
  <c r="AA64" i="1"/>
  <c r="AB90" i="1"/>
  <c r="AA22" i="1"/>
  <c r="AA72" i="1"/>
  <c r="Z26" i="1"/>
  <c r="AA48" i="1"/>
  <c r="AA33" i="1"/>
  <c r="AA24" i="1"/>
  <c r="Z76" i="1"/>
  <c r="AA91" i="1"/>
  <c r="AA67" i="1"/>
  <c r="AA52" i="1"/>
  <c r="AA63" i="1"/>
  <c r="AA68" i="1"/>
  <c r="AA82" i="1"/>
  <c r="AA65" i="1"/>
  <c r="AA23" i="1"/>
  <c r="AA25" i="1"/>
  <c r="AA56" i="1"/>
  <c r="AA90" i="1"/>
  <c r="AA87" i="1"/>
  <c r="AA28" i="1"/>
  <c r="AA75" i="1"/>
  <c r="Z78" i="1"/>
  <c r="AA85" i="1"/>
  <c r="AA89" i="1"/>
  <c r="AA79" i="1"/>
  <c r="AA34" i="1"/>
  <c r="AA31" i="1"/>
  <c r="AA46" i="1"/>
  <c r="AA93" i="1"/>
  <c r="AA44" i="1"/>
  <c r="Z64" i="1"/>
  <c r="AA53" i="1"/>
  <c r="AA40" i="1"/>
  <c r="Z37" i="1"/>
  <c r="AA30" i="1"/>
  <c r="AA80" i="1"/>
  <c r="AA45" i="1"/>
  <c r="AA42" i="1"/>
  <c r="AA58" i="1"/>
  <c r="AA37" i="1"/>
  <c r="AA36" i="1"/>
  <c r="AA50" i="1"/>
  <c r="AA99" i="1"/>
  <c r="AA100" i="1"/>
  <c r="AA70" i="1"/>
  <c r="AA41" i="1"/>
  <c r="AA57" i="1"/>
  <c r="AA51" i="1"/>
  <c r="AA84" i="1"/>
  <c r="AA76" i="1"/>
  <c r="AA55" i="1"/>
  <c r="AB79" i="1"/>
  <c r="AB22" i="1"/>
  <c r="AB66" i="1"/>
  <c r="AB61" i="1"/>
  <c r="AB49" i="1"/>
  <c r="AB96" i="1"/>
  <c r="AB30" i="1"/>
  <c r="AB46" i="1"/>
  <c r="AB77" i="1"/>
  <c r="AB32" i="1"/>
  <c r="AB31" i="1"/>
  <c r="AB67" i="1"/>
  <c r="AB45" i="1"/>
  <c r="AB86" i="1"/>
  <c r="AB98" i="1"/>
  <c r="AB26" i="1"/>
  <c r="AB100" i="1"/>
  <c r="AB70" i="1"/>
  <c r="AB40" i="1"/>
  <c r="AB89" i="1"/>
  <c r="AB57" i="1"/>
  <c r="AB74" i="1"/>
  <c r="AB88" i="1"/>
  <c r="AC29" i="1"/>
  <c r="AB81" i="1"/>
  <c r="AB65" i="1"/>
  <c r="AC34" i="1"/>
  <c r="AC28" i="1"/>
  <c r="AB99" i="1"/>
  <c r="AB21" i="1"/>
  <c r="AB62" i="1"/>
  <c r="AB51" i="1"/>
  <c r="AB39" i="1"/>
  <c r="AB41" i="1"/>
  <c r="AB84" i="1"/>
  <c r="AB68" i="1"/>
  <c r="AB80" i="1"/>
  <c r="AB42" i="1"/>
  <c r="AB36" i="1"/>
  <c r="AB33" i="1"/>
  <c r="AB93" i="1"/>
  <c r="AB52" i="1"/>
  <c r="AC71" i="1"/>
  <c r="AB55" i="1"/>
  <c r="AB76" i="1"/>
  <c r="AB28" i="1"/>
  <c r="AB85" i="1"/>
  <c r="AB47" i="1"/>
  <c r="AB60" i="1"/>
  <c r="AB58" i="1"/>
  <c r="AB91" i="1"/>
  <c r="AB27" i="1"/>
  <c r="AB63" i="1"/>
  <c r="AB75" i="1"/>
  <c r="AB73" i="1"/>
  <c r="AB29" i="1"/>
  <c r="AB94" i="1"/>
  <c r="AB43" i="1"/>
  <c r="AB92" i="1"/>
  <c r="AB35" i="1"/>
  <c r="AB64" i="1"/>
  <c r="AB71" i="1"/>
  <c r="AB97" i="1"/>
  <c r="AA61" i="1"/>
  <c r="AB48" i="1"/>
  <c r="AB54" i="1"/>
  <c r="AB83" i="1"/>
  <c r="AB50" i="1"/>
  <c r="AB95" i="1"/>
  <c r="AB53" i="1"/>
  <c r="AB24" i="1"/>
  <c r="AA83" i="1"/>
  <c r="AB38" i="1"/>
  <c r="AB23" i="1"/>
  <c r="AB37" i="1"/>
  <c r="AB44" i="1"/>
  <c r="AA59" i="1"/>
  <c r="AB25" i="1"/>
  <c r="AB59" i="1"/>
  <c r="AB82" i="1"/>
  <c r="AA88" i="1"/>
  <c r="AA49" i="1"/>
  <c r="AB72" i="1"/>
  <c r="AC69" i="1"/>
  <c r="AC38" i="1"/>
  <c r="AD38" i="1"/>
  <c r="AC79" i="1"/>
  <c r="AC53" i="1"/>
  <c r="AD54" i="1"/>
  <c r="AC55" i="1"/>
  <c r="AC97" i="1"/>
  <c r="AC45" i="1"/>
  <c r="AC87" i="1"/>
  <c r="AC78" i="1"/>
  <c r="AC58" i="1"/>
  <c r="AC77" i="1"/>
  <c r="AC94" i="1"/>
  <c r="AC88" i="1"/>
  <c r="AC30" i="1"/>
  <c r="AC73" i="1"/>
  <c r="AC47" i="1"/>
  <c r="AC37" i="1"/>
  <c r="AC25" i="1"/>
  <c r="AC21" i="1"/>
  <c r="AC52" i="1"/>
  <c r="AC49" i="1"/>
  <c r="AC35" i="1"/>
  <c r="AC65" i="1"/>
  <c r="AC84" i="1"/>
  <c r="AC72" i="1"/>
  <c r="AC56" i="1"/>
  <c r="AC51" i="1"/>
  <c r="AC95" i="1"/>
  <c r="AC92" i="1"/>
  <c r="AC41" i="1"/>
  <c r="AC54" i="1"/>
  <c r="AC46" i="1"/>
  <c r="AC75" i="1"/>
  <c r="AC26" i="1"/>
  <c r="AC50" i="1"/>
  <c r="AC93" i="1"/>
  <c r="AC67" i="1"/>
  <c r="AC43" i="1"/>
  <c r="AC57" i="1"/>
  <c r="AC83" i="1"/>
  <c r="AC32" i="1"/>
  <c r="AC70" i="1"/>
  <c r="AC59" i="1"/>
  <c r="AC23" i="1"/>
  <c r="AC74" i="1"/>
  <c r="AC89" i="1"/>
  <c r="AC82" i="1"/>
  <c r="AC66" i="1"/>
  <c r="AC63" i="1"/>
  <c r="AC24" i="1"/>
  <c r="AC98" i="1"/>
  <c r="AC81" i="1"/>
  <c r="AC100" i="1"/>
  <c r="AC85" i="1"/>
  <c r="AB69" i="1"/>
  <c r="AC48" i="1"/>
  <c r="AC91" i="1"/>
  <c r="AC62" i="1"/>
  <c r="AC86" i="1"/>
  <c r="AC76" i="1"/>
  <c r="AC42" i="1"/>
  <c r="AC61" i="1"/>
  <c r="AB78" i="1"/>
  <c r="AC36" i="1"/>
  <c r="AC64" i="1"/>
  <c r="AC39" i="1"/>
  <c r="AC22" i="1"/>
  <c r="AC96" i="1"/>
  <c r="AB56" i="1"/>
  <c r="AC27" i="1"/>
  <c r="AC80" i="1"/>
  <c r="AC60" i="1"/>
  <c r="AC99" i="1"/>
  <c r="AC90" i="1"/>
  <c r="AC68" i="1"/>
  <c r="AC33" i="1"/>
  <c r="AE75" i="1"/>
  <c r="AD61" i="1"/>
  <c r="AD74" i="1"/>
  <c r="AD82" i="1"/>
  <c r="AD37" i="1"/>
  <c r="AD26" i="1"/>
  <c r="AD32" i="1"/>
  <c r="AD93" i="1"/>
  <c r="AD95" i="1"/>
  <c r="AG59" i="1"/>
  <c r="AD63" i="1"/>
  <c r="AD91" i="1"/>
  <c r="AD64" i="1"/>
  <c r="AD73" i="1"/>
  <c r="AD83" i="1"/>
  <c r="AD43" i="1"/>
  <c r="AD44" i="1"/>
  <c r="AC40" i="1"/>
  <c r="AD69" i="1"/>
  <c r="AD46" i="1"/>
  <c r="AD48" i="1"/>
  <c r="AD75" i="1"/>
  <c r="AD87" i="1"/>
  <c r="AD22" i="1"/>
  <c r="AD33" i="1"/>
  <c r="AD86" i="1"/>
  <c r="AD78" i="1"/>
  <c r="AD28" i="1"/>
  <c r="AD58" i="1"/>
  <c r="AD80" i="1"/>
  <c r="AD62" i="1"/>
  <c r="AD59" i="1"/>
  <c r="AD53" i="1"/>
  <c r="AD52" i="1"/>
  <c r="AD24" i="1"/>
  <c r="AD97" i="1"/>
  <c r="AD39" i="1"/>
  <c r="AD67" i="1"/>
  <c r="AD27" i="1"/>
  <c r="AD77" i="1"/>
  <c r="AG24" i="1"/>
  <c r="AD41" i="1"/>
  <c r="AD51" i="1"/>
  <c r="AD92" i="1"/>
  <c r="AD72" i="1"/>
  <c r="AD25" i="1"/>
  <c r="AD40" i="1"/>
  <c r="AD70" i="1"/>
  <c r="AD60" i="1"/>
  <c r="AD100" i="1"/>
  <c r="AD76" i="1"/>
  <c r="AD29" i="1"/>
  <c r="AD84" i="1"/>
  <c r="AD79" i="1"/>
  <c r="AD31" i="1"/>
  <c r="AD56" i="1"/>
  <c r="AD66" i="1"/>
  <c r="AD30" i="1"/>
  <c r="AD68" i="1"/>
  <c r="AD71" i="1"/>
  <c r="AD96" i="1"/>
  <c r="AD42" i="1"/>
  <c r="AD45" i="1"/>
  <c r="AD99" i="1"/>
  <c r="AD65" i="1"/>
  <c r="AG54" i="1"/>
  <c r="AD98" i="1"/>
  <c r="AD89" i="1"/>
  <c r="AD49" i="1"/>
  <c r="AD21" i="1"/>
  <c r="AD47" i="1"/>
  <c r="AC44" i="1"/>
  <c r="AD23" i="1"/>
  <c r="AD88" i="1"/>
  <c r="AD35" i="1"/>
  <c r="AD55" i="1"/>
  <c r="AD50" i="1"/>
  <c r="AD85" i="1"/>
  <c r="AD57" i="1"/>
  <c r="AD81" i="1"/>
  <c r="AD90" i="1"/>
  <c r="AC31" i="1"/>
  <c r="AE92" i="1"/>
  <c r="AG33" i="1"/>
  <c r="AE49" i="1"/>
  <c r="AG87" i="1"/>
  <c r="AE32" i="1"/>
  <c r="AG64" i="1"/>
  <c r="AF58" i="1"/>
  <c r="AF75" i="1"/>
  <c r="AF53" i="1"/>
  <c r="AE35" i="1"/>
  <c r="AF39" i="1"/>
  <c r="AF98" i="1"/>
  <c r="AG95" i="1"/>
  <c r="AF28" i="1"/>
  <c r="AE25" i="1"/>
  <c r="AE70" i="1"/>
  <c r="AF73" i="1"/>
  <c r="AE83" i="1"/>
  <c r="AF36" i="1"/>
  <c r="AG83" i="1"/>
  <c r="AF40" i="1"/>
  <c r="AF86" i="1"/>
  <c r="AE93" i="1"/>
  <c r="AG29" i="1"/>
  <c r="AG39" i="1"/>
  <c r="AE69" i="1"/>
  <c r="AG89" i="1"/>
  <c r="AF42" i="1"/>
  <c r="AE95" i="1"/>
  <c r="AE79" i="1"/>
  <c r="AD34" i="1"/>
  <c r="AE33" i="1"/>
  <c r="AE96" i="1"/>
  <c r="AF30" i="1"/>
  <c r="AE50" i="1"/>
  <c r="AF22" i="1"/>
  <c r="AG45" i="1"/>
  <c r="AE57" i="1"/>
  <c r="AF65" i="1"/>
  <c r="AE68" i="1"/>
  <c r="AG66" i="1"/>
  <c r="AF94" i="1"/>
  <c r="AE54" i="1"/>
  <c r="AF69" i="1"/>
  <c r="AF81" i="1"/>
  <c r="AG37" i="1"/>
  <c r="AG82" i="1"/>
  <c r="AF21" i="1"/>
  <c r="AG43" i="1"/>
  <c r="AE29" i="1"/>
  <c r="AG41" i="1"/>
  <c r="AF52" i="1"/>
  <c r="AG34" i="1"/>
  <c r="AG99" i="1"/>
  <c r="AF38" i="1"/>
  <c r="AE91" i="1"/>
  <c r="AE97" i="1"/>
  <c r="AF37" i="1"/>
  <c r="AG42" i="1"/>
  <c r="AF57" i="1"/>
  <c r="AG85" i="1"/>
  <c r="AG35" i="1"/>
  <c r="AG32" i="1"/>
  <c r="AE40" i="1"/>
  <c r="AE94" i="1"/>
  <c r="AE30" i="1"/>
  <c r="AE31" i="1"/>
  <c r="AE27" i="1"/>
  <c r="AF85" i="1"/>
  <c r="AG80" i="1"/>
  <c r="AG38" i="1"/>
  <c r="AE53" i="1"/>
  <c r="AF35" i="1"/>
  <c r="AF97" i="1"/>
  <c r="AE42" i="1"/>
  <c r="AF100" i="1"/>
  <c r="AE23" i="1"/>
  <c r="AE80" i="1"/>
  <c r="AG51" i="1"/>
  <c r="AF27" i="1"/>
  <c r="AE98" i="1"/>
  <c r="AF47" i="1"/>
  <c r="AG98" i="1"/>
  <c r="AG93" i="1"/>
  <c r="AF62" i="1"/>
  <c r="AF74" i="1"/>
  <c r="AE58" i="1"/>
  <c r="AG100" i="1"/>
  <c r="AF79" i="1"/>
  <c r="AE84" i="1"/>
  <c r="AG31" i="1"/>
  <c r="AG73" i="1"/>
  <c r="AD94" i="1"/>
  <c r="AE78" i="1"/>
  <c r="AE82" i="1"/>
  <c r="AF55" i="1"/>
  <c r="AG40" i="1"/>
  <c r="AG52" i="1"/>
  <c r="AG72" i="1"/>
  <c r="AF50" i="1"/>
  <c r="AG69" i="1"/>
  <c r="AF91" i="1"/>
  <c r="AE71" i="1"/>
  <c r="AF56" i="1"/>
  <c r="AF80" i="1"/>
  <c r="AG44" i="1"/>
  <c r="AG58" i="1"/>
  <c r="AE37" i="1"/>
  <c r="AE64" i="1"/>
  <c r="AE28" i="1"/>
  <c r="AF59" i="1"/>
  <c r="AE65" i="1"/>
  <c r="AE43" i="1"/>
  <c r="AF87" i="1"/>
  <c r="AF67" i="1"/>
  <c r="AE41" i="1"/>
  <c r="AE21" i="1"/>
  <c r="AE38" i="1"/>
  <c r="AF61" i="1"/>
  <c r="AE81" i="1"/>
  <c r="AF92" i="1"/>
  <c r="AF25" i="1"/>
  <c r="AG90" i="1"/>
  <c r="AE48" i="1"/>
  <c r="AG77" i="1"/>
  <c r="AE76" i="1"/>
  <c r="AG63" i="1"/>
  <c r="AF88" i="1"/>
  <c r="AG47" i="1"/>
  <c r="AE90" i="1"/>
  <c r="AG56" i="1"/>
  <c r="AG46" i="1"/>
  <c r="AE22" i="1"/>
  <c r="AG67" i="1"/>
  <c r="AG60" i="1"/>
  <c r="AF49" i="1"/>
  <c r="AF48" i="1"/>
  <c r="AF90" i="1"/>
  <c r="AD36" i="1"/>
  <c r="AE52" i="1"/>
  <c r="AE45" i="1"/>
  <c r="AF89" i="1"/>
  <c r="AF24" i="1"/>
  <c r="AG25" i="1"/>
  <c r="AF70" i="1"/>
  <c r="AG79" i="1"/>
  <c r="AF23" i="1"/>
  <c r="AG53" i="1"/>
  <c r="AE56" i="1"/>
  <c r="AE89" i="1"/>
  <c r="AF45" i="1"/>
  <c r="AF68" i="1"/>
  <c r="AE46" i="1"/>
  <c r="AE100" i="1"/>
  <c r="AE39" i="1"/>
  <c r="AF76" i="1"/>
  <c r="AE73" i="1"/>
  <c r="AG48" i="1"/>
  <c r="AG91" i="1"/>
  <c r="AE63" i="1"/>
  <c r="AF60" i="1"/>
  <c r="AG27" i="1"/>
  <c r="AG30" i="1"/>
  <c r="AE47" i="1"/>
  <c r="AG70" i="1"/>
  <c r="AG84" i="1"/>
  <c r="AG23" i="1"/>
  <c r="AF82" i="1"/>
  <c r="AF31" i="1"/>
  <c r="AG28" i="1"/>
  <c r="AE60" i="1"/>
  <c r="AE77" i="1"/>
  <c r="AG86" i="1"/>
  <c r="AE86" i="1"/>
  <c r="AG61" i="1"/>
  <c r="AE99" i="1"/>
  <c r="AF72" i="1"/>
  <c r="AF29" i="1"/>
  <c r="AF32" i="1"/>
  <c r="AF71" i="1"/>
  <c r="AE66" i="1"/>
  <c r="AE74" i="1"/>
  <c r="AF54" i="1"/>
  <c r="AG65" i="1"/>
  <c r="AG26" i="1"/>
  <c r="AG21" i="1"/>
  <c r="AG55" i="1"/>
  <c r="AG22" i="1"/>
  <c r="AG71" i="1"/>
  <c r="AF64" i="1"/>
  <c r="AG74" i="1"/>
  <c r="AF33" i="1"/>
  <c r="AF99" i="1"/>
  <c r="AE24" i="1"/>
  <c r="AG92" i="1"/>
  <c r="AE26" i="1"/>
  <c r="AE59" i="1"/>
  <c r="AE88" i="1"/>
  <c r="AG94" i="1"/>
  <c r="AE36" i="1"/>
  <c r="AF26" i="1"/>
  <c r="AF77" i="1"/>
  <c r="AE72" i="1"/>
  <c r="AG81" i="1"/>
  <c r="AE55" i="1"/>
  <c r="AE87" i="1"/>
  <c r="AG97" i="1"/>
  <c r="AG68" i="1"/>
  <c r="AF95" i="1"/>
  <c r="AG76" i="1"/>
  <c r="AE85" i="1"/>
  <c r="AF46" i="1"/>
  <c r="AE61" i="1"/>
  <c r="AF93" i="1"/>
  <c r="AF43" i="1"/>
  <c r="AF66" i="1"/>
  <c r="AF78" i="1"/>
  <c r="AF51" i="1"/>
  <c r="AF96" i="1"/>
  <c r="AG88" i="1"/>
  <c r="AF84" i="1"/>
  <c r="AF41" i="1"/>
  <c r="AF44" i="1"/>
  <c r="AF34" i="1"/>
  <c r="AE44" i="1"/>
  <c r="AE51" i="1"/>
  <c r="AF63" i="1"/>
  <c r="AG96" i="1"/>
  <c r="AE34" i="1"/>
  <c r="AG50" i="1"/>
  <c r="AG62" i="1"/>
  <c r="AE62" i="1"/>
  <c r="AH39" i="1"/>
  <c r="AG36" i="1"/>
  <c r="AH63" i="1"/>
  <c r="AG57" i="1"/>
  <c r="AH52" i="1"/>
  <c r="AI41" i="1"/>
  <c r="AH43" i="1"/>
  <c r="AH96" i="1"/>
  <c r="AH64" i="1"/>
  <c r="AH30" i="1"/>
  <c r="AH35" i="1"/>
  <c r="AH57" i="1"/>
  <c r="AF83" i="1"/>
  <c r="AH60" i="1"/>
  <c r="AH74" i="1"/>
  <c r="AH98" i="1"/>
  <c r="AH31" i="1"/>
  <c r="AH56" i="1"/>
  <c r="AH67" i="1"/>
  <c r="AH87" i="1"/>
  <c r="AH47" i="1"/>
  <c r="AH23" i="1"/>
  <c r="AH49" i="1"/>
  <c r="AE67" i="1"/>
  <c r="AH24" i="1"/>
  <c r="AK46" i="1"/>
  <c r="AH46" i="1"/>
  <c r="AI33" i="1"/>
  <c r="AH90" i="1"/>
  <c r="AH79" i="1"/>
  <c r="AH53" i="1"/>
  <c r="AH84" i="1"/>
  <c r="AH26" i="1"/>
  <c r="AH50" i="1"/>
  <c r="AH99" i="1"/>
  <c r="AH21" i="1"/>
  <c r="AH54" i="1"/>
  <c r="AH82" i="1"/>
  <c r="AH80" i="1"/>
  <c r="AH51" i="1"/>
  <c r="AH48" i="1"/>
  <c r="AG49" i="1"/>
  <c r="AH40" i="1"/>
  <c r="AH33" i="1"/>
  <c r="AH86" i="1"/>
  <c r="AH71" i="1"/>
  <c r="AH27" i="1"/>
  <c r="AH32" i="1"/>
  <c r="AH66" i="1"/>
  <c r="AH88" i="1"/>
  <c r="AH76" i="1"/>
  <c r="AH97" i="1"/>
  <c r="AH91" i="1"/>
  <c r="AG75" i="1"/>
  <c r="AH29" i="1"/>
  <c r="AH68" i="1"/>
  <c r="AH73" i="1"/>
  <c r="AH28" i="1"/>
  <c r="AH59" i="1"/>
  <c r="AH62" i="1"/>
  <c r="AH95" i="1"/>
  <c r="AH81" i="1"/>
  <c r="AH61" i="1"/>
  <c r="AH34" i="1"/>
  <c r="AH72" i="1"/>
  <c r="AH77" i="1"/>
  <c r="AH42" i="1"/>
  <c r="AH55" i="1"/>
  <c r="AH89" i="1"/>
  <c r="AH83" i="1"/>
  <c r="AH92" i="1"/>
  <c r="AH38" i="1"/>
  <c r="AH94" i="1"/>
  <c r="AH85" i="1"/>
  <c r="AH45" i="1"/>
  <c r="AH78" i="1"/>
  <c r="AH37" i="1"/>
  <c r="AH41" i="1"/>
  <c r="AH44" i="1"/>
  <c r="AH58" i="1"/>
  <c r="AH65" i="1"/>
  <c r="AG78" i="1"/>
  <c r="AH100" i="1"/>
  <c r="AH93" i="1"/>
  <c r="AK88" i="1"/>
  <c r="AJ23" i="1"/>
  <c r="AJ61" i="1"/>
  <c r="AK31" i="1"/>
  <c r="AK82" i="1"/>
  <c r="AI61" i="1"/>
  <c r="AK89" i="1"/>
  <c r="AK61" i="1"/>
  <c r="AJ80" i="1"/>
  <c r="AJ96" i="1"/>
  <c r="AI29" i="1"/>
  <c r="AK76" i="1"/>
  <c r="AJ25" i="1"/>
  <c r="AI36" i="1"/>
  <c r="AJ39" i="1"/>
  <c r="AI39" i="1"/>
  <c r="AK93" i="1"/>
  <c r="AJ22" i="1"/>
  <c r="AJ52" i="1"/>
  <c r="AJ47" i="1"/>
  <c r="AJ30" i="1"/>
  <c r="AI98" i="1"/>
  <c r="AK42" i="1"/>
  <c r="AI47" i="1"/>
  <c r="AI55" i="1"/>
  <c r="AJ42" i="1"/>
  <c r="AJ29" i="1"/>
  <c r="AI44" i="1"/>
  <c r="AJ45" i="1"/>
  <c r="AI67" i="1"/>
  <c r="AI58" i="1"/>
  <c r="AJ67" i="1"/>
  <c r="AI59" i="1"/>
  <c r="AJ97" i="1"/>
  <c r="AI64" i="1"/>
  <c r="AJ55" i="1"/>
  <c r="AK70" i="1"/>
  <c r="AI79" i="1"/>
  <c r="AI65" i="1"/>
  <c r="AJ31" i="1"/>
  <c r="AJ88" i="1"/>
  <c r="AJ35" i="1"/>
  <c r="AK37" i="1"/>
  <c r="AI30" i="1"/>
  <c r="AJ68" i="1"/>
  <c r="AI45" i="1"/>
  <c r="AK54" i="1"/>
  <c r="AI62" i="1"/>
  <c r="AK52" i="1"/>
  <c r="AJ40" i="1"/>
  <c r="AI66" i="1"/>
  <c r="AK74" i="1"/>
  <c r="AI69" i="1"/>
  <c r="AK85" i="1"/>
  <c r="AJ92" i="1"/>
  <c r="AJ32" i="1"/>
  <c r="AI77" i="1"/>
  <c r="AJ100" i="1"/>
  <c r="AK59" i="1"/>
  <c r="AI40" i="1"/>
  <c r="AK83" i="1"/>
  <c r="AJ98" i="1"/>
  <c r="AK62" i="1"/>
  <c r="AK86" i="1"/>
  <c r="AK69" i="1"/>
  <c r="AJ99" i="1"/>
  <c r="AJ36" i="1"/>
  <c r="AJ75" i="1"/>
  <c r="AI38" i="1"/>
  <c r="AI49" i="1"/>
  <c r="AJ70" i="1"/>
  <c r="AI81" i="1"/>
  <c r="AJ58" i="1"/>
  <c r="AI56" i="1"/>
  <c r="AI76" i="1"/>
  <c r="AK94" i="1"/>
  <c r="AK73" i="1"/>
  <c r="AI99" i="1"/>
  <c r="AI63" i="1"/>
  <c r="AJ59" i="1"/>
  <c r="AI28" i="1"/>
  <c r="AJ81" i="1"/>
  <c r="AI70" i="1"/>
  <c r="AI22" i="1"/>
  <c r="AK49" i="1"/>
  <c r="AJ82" i="1"/>
  <c r="AK30" i="1"/>
  <c r="AJ73" i="1"/>
  <c r="AK77" i="1"/>
  <c r="AJ51" i="1"/>
  <c r="AI71" i="1"/>
  <c r="AI31" i="1"/>
  <c r="AJ53" i="1"/>
  <c r="AI87" i="1"/>
  <c r="AJ43" i="1"/>
  <c r="AJ72" i="1"/>
  <c r="AJ87" i="1"/>
  <c r="AI93" i="1"/>
  <c r="AJ85" i="1"/>
  <c r="AK91" i="1"/>
  <c r="AK60" i="1"/>
  <c r="AI80" i="1"/>
  <c r="AJ65" i="1"/>
  <c r="AI94" i="1"/>
  <c r="AI52" i="1"/>
  <c r="AI43" i="1"/>
  <c r="AK87" i="1"/>
  <c r="AJ79" i="1"/>
  <c r="AI74" i="1"/>
  <c r="AI54" i="1"/>
  <c r="AI82" i="1"/>
  <c r="AJ37" i="1"/>
  <c r="AH69" i="1"/>
  <c r="AK25" i="1"/>
  <c r="AK64" i="1"/>
  <c r="AJ24" i="1"/>
  <c r="AK39" i="1"/>
  <c r="AK33" i="1"/>
  <c r="AJ38" i="1"/>
  <c r="AI37" i="1"/>
  <c r="AK26" i="1"/>
  <c r="AJ71" i="1"/>
  <c r="AI84" i="1"/>
  <c r="AK23" i="1"/>
  <c r="AK56" i="1"/>
  <c r="AK65" i="1"/>
  <c r="AI21" i="1"/>
  <c r="AJ95" i="1"/>
  <c r="AJ44" i="1"/>
  <c r="AJ33" i="1"/>
  <c r="AI89" i="1"/>
  <c r="AK71" i="1"/>
  <c r="AK79" i="1"/>
  <c r="AJ26" i="1"/>
  <c r="AH70" i="1"/>
  <c r="AI72" i="1"/>
  <c r="AI50" i="1"/>
  <c r="AJ46" i="1"/>
  <c r="AJ86" i="1"/>
  <c r="AK96" i="1"/>
  <c r="AK36" i="1"/>
  <c r="AI46" i="1"/>
  <c r="AK95" i="1"/>
  <c r="AI25" i="1"/>
  <c r="AJ63" i="1"/>
  <c r="AK78" i="1"/>
  <c r="AJ66" i="1"/>
  <c r="AK63" i="1"/>
  <c r="AI96" i="1"/>
  <c r="AK34" i="1"/>
  <c r="AJ56" i="1"/>
  <c r="AJ64" i="1"/>
  <c r="AI97" i="1"/>
  <c r="AI91" i="1"/>
  <c r="AI48" i="1"/>
  <c r="AK97" i="1"/>
  <c r="AK90" i="1"/>
  <c r="AK92" i="1"/>
  <c r="AH22" i="1"/>
  <c r="AI35" i="1"/>
  <c r="AI51" i="1"/>
  <c r="AJ91" i="1"/>
  <c r="AJ74" i="1"/>
  <c r="AK44" i="1"/>
  <c r="AI27" i="1"/>
  <c r="AK41" i="1"/>
  <c r="AI92" i="1"/>
  <c r="AK50" i="1"/>
  <c r="AK72" i="1"/>
  <c r="AJ90" i="1"/>
  <c r="AK51" i="1"/>
  <c r="AJ21" i="1"/>
  <c r="AH25" i="1"/>
  <c r="AK55" i="1"/>
  <c r="AJ94" i="1"/>
  <c r="AJ27" i="1"/>
  <c r="AI42" i="1"/>
  <c r="AK66" i="1"/>
  <c r="AJ41" i="1"/>
  <c r="AI83" i="1"/>
  <c r="AK28" i="1"/>
  <c r="AJ77" i="1"/>
  <c r="AK32" i="1"/>
  <c r="AI68" i="1"/>
  <c r="AK21" i="1"/>
  <c r="AI57" i="1"/>
  <c r="AH36" i="1"/>
  <c r="AH75" i="1"/>
  <c r="AJ83" i="1"/>
  <c r="AK53" i="1"/>
  <c r="AK98" i="1"/>
  <c r="AJ57" i="1"/>
  <c r="AI26" i="1"/>
  <c r="AJ49" i="1"/>
  <c r="AK58" i="1"/>
  <c r="AK38" i="1"/>
  <c r="AK81" i="1"/>
  <c r="AK45" i="1"/>
  <c r="AJ60" i="1"/>
  <c r="AK27" i="1"/>
  <c r="AK75" i="1"/>
  <c r="AI75" i="1"/>
  <c r="AJ50" i="1"/>
  <c r="AK29" i="1"/>
  <c r="AJ76" i="1"/>
  <c r="AK47" i="1"/>
  <c r="AJ48" i="1"/>
  <c r="AK22" i="1"/>
  <c r="AJ93" i="1"/>
  <c r="AI32" i="1"/>
  <c r="AK48" i="1"/>
  <c r="AK80" i="1"/>
  <c r="AI88" i="1"/>
  <c r="AJ62" i="1"/>
  <c r="AJ34" i="1"/>
  <c r="AK35" i="1"/>
  <c r="AK84" i="1"/>
  <c r="AI53" i="1"/>
  <c r="AK57" i="1"/>
  <c r="AI24" i="1"/>
  <c r="AK99" i="1"/>
  <c r="AJ78" i="1"/>
  <c r="AI23" i="1"/>
  <c r="AI34" i="1"/>
  <c r="AJ84" i="1"/>
  <c r="AI73" i="1"/>
  <c r="AK24" i="1"/>
  <c r="AI86" i="1"/>
  <c r="AK67" i="1"/>
  <c r="AI78" i="1"/>
  <c r="AJ89" i="1"/>
  <c r="AK43" i="1"/>
  <c r="AI85" i="1"/>
  <c r="AJ54" i="1"/>
  <c r="AI95" i="1"/>
  <c r="AK40" i="1"/>
  <c r="AK100" i="1"/>
  <c r="AJ28" i="1"/>
  <c r="AJ69" i="1"/>
  <c r="AI90" i="1"/>
  <c r="AK68" i="1"/>
  <c r="AI60" i="1"/>
  <c r="AI100" i="1"/>
  <c r="AK17" i="1"/>
  <c r="AJ11" i="1"/>
  <c r="AI14" i="1"/>
  <c r="AH17" i="1"/>
  <c r="AI17" i="1"/>
  <c r="AG20" i="1"/>
  <c r="AI16" i="1"/>
  <c r="AH6" i="1"/>
  <c r="AE7" i="1"/>
  <c r="AF10" i="1"/>
  <c r="AE15" i="1"/>
  <c r="AE19" i="1"/>
  <c r="AE8" i="1"/>
  <c r="AF13" i="1"/>
  <c r="AB18" i="1"/>
  <c r="AC11" i="1"/>
  <c r="AC8" i="1"/>
  <c r="AB14" i="1"/>
  <c r="AA17" i="1"/>
  <c r="AA18" i="1"/>
  <c r="Z6" i="1"/>
  <c r="AA15" i="1"/>
  <c r="AA20" i="1"/>
  <c r="Y7" i="1"/>
  <c r="X11" i="1"/>
  <c r="Y10" i="1"/>
  <c r="W10" i="1"/>
  <c r="W18" i="1"/>
  <c r="U9" i="1"/>
  <c r="U17" i="1"/>
  <c r="T11" i="1"/>
  <c r="V11" i="1"/>
  <c r="T12" i="1"/>
  <c r="R11" i="1"/>
  <c r="S6" i="1"/>
  <c r="R10" i="1"/>
  <c r="P18" i="1"/>
  <c r="O17" i="1"/>
  <c r="O11" i="1"/>
  <c r="O9" i="1"/>
  <c r="R14" i="1"/>
  <c r="R16" i="1"/>
  <c r="N6" i="1"/>
  <c r="N17" i="1"/>
  <c r="M13" i="1"/>
  <c r="M9" i="1"/>
  <c r="L18" i="1"/>
  <c r="K15" i="1"/>
  <c r="J6" i="1"/>
  <c r="L6" i="1"/>
  <c r="K12" i="1"/>
  <c r="AK18" i="1"/>
  <c r="AK12" i="1"/>
  <c r="AJ12" i="1"/>
  <c r="AJ16" i="1"/>
  <c r="AI15" i="1"/>
  <c r="AI10" i="1"/>
  <c r="AH8" i="1"/>
  <c r="AG17" i="1"/>
  <c r="AH11" i="1"/>
  <c r="AF15" i="1"/>
  <c r="AD18" i="1"/>
  <c r="AF17" i="1"/>
  <c r="AE12" i="1"/>
  <c r="AD11" i="1"/>
  <c r="AC14" i="1"/>
  <c r="AB10" i="1"/>
  <c r="AB16" i="1"/>
  <c r="AF11" i="1"/>
  <c r="AA12" i="1"/>
  <c r="Z14" i="1"/>
  <c r="Z7" i="1"/>
  <c r="Y13" i="1"/>
  <c r="X15" i="1"/>
  <c r="W19" i="1"/>
  <c r="X17" i="1"/>
  <c r="Y16" i="1"/>
  <c r="X16" i="1"/>
  <c r="W7" i="1"/>
  <c r="V13" i="1"/>
  <c r="U15" i="1"/>
  <c r="U20" i="1"/>
  <c r="T19" i="1"/>
  <c r="U13" i="1"/>
  <c r="Q6" i="1"/>
  <c r="S20" i="1"/>
  <c r="R9" i="1"/>
  <c r="P15" i="1"/>
  <c r="R18" i="1"/>
  <c r="S13" i="1"/>
  <c r="Q17" i="1"/>
  <c r="O16" i="1"/>
  <c r="P9" i="1"/>
  <c r="O12" i="1"/>
  <c r="N15" i="1"/>
  <c r="N8" i="1"/>
  <c r="M14" i="1"/>
  <c r="N12" i="1"/>
  <c r="L12" i="1"/>
  <c r="K7" i="1"/>
  <c r="N7" i="1"/>
  <c r="J15" i="1"/>
  <c r="J19" i="1"/>
  <c r="AJ14" i="1"/>
  <c r="AK20" i="1"/>
  <c r="AJ6" i="1"/>
  <c r="AI18" i="1"/>
  <c r="AI19" i="1"/>
  <c r="AG12" i="1"/>
  <c r="AG8" i="1"/>
  <c r="AE18" i="1"/>
  <c r="AD9" i="1"/>
  <c r="AE16" i="1"/>
  <c r="AE10" i="1"/>
  <c r="AE11" i="1"/>
  <c r="AE9" i="1"/>
  <c r="AC10" i="1"/>
  <c r="AA11" i="1"/>
  <c r="AB17" i="1"/>
  <c r="AB6" i="1"/>
  <c r="AB11" i="1"/>
  <c r="AA10" i="1"/>
  <c r="AA13" i="1"/>
  <c r="Z8" i="1"/>
  <c r="AA16" i="1"/>
  <c r="W15" i="1"/>
  <c r="Y17" i="1"/>
  <c r="X9" i="1"/>
  <c r="W9" i="1"/>
  <c r="W8" i="1"/>
  <c r="V19" i="1"/>
  <c r="V7" i="1"/>
  <c r="U7" i="1"/>
  <c r="T10" i="1"/>
  <c r="U16" i="1"/>
  <c r="S9" i="1"/>
  <c r="R12" i="1"/>
  <c r="Q18" i="1"/>
  <c r="P19" i="1"/>
  <c r="Q11" i="1"/>
  <c r="O19" i="1"/>
  <c r="Q16" i="1"/>
  <c r="O14" i="1"/>
  <c r="P20" i="1"/>
  <c r="O20" i="1"/>
  <c r="N19" i="1"/>
  <c r="M16" i="1"/>
  <c r="M6" i="1"/>
  <c r="M17" i="1"/>
  <c r="K8" i="1"/>
  <c r="K11" i="1"/>
  <c r="K19" i="1"/>
  <c r="J14" i="1"/>
  <c r="J16" i="1"/>
  <c r="AJ15" i="1"/>
  <c r="AK7" i="1"/>
  <c r="AI8" i="1"/>
  <c r="AH10" i="1"/>
  <c r="AI9" i="1"/>
  <c r="AH18" i="1"/>
  <c r="AH19" i="1"/>
  <c r="AH9" i="1"/>
  <c r="AG7" i="1"/>
  <c r="AF12" i="1"/>
  <c r="AD14" i="1"/>
  <c r="AF7" i="1"/>
  <c r="AG10" i="1"/>
  <c r="AD13" i="1"/>
  <c r="AC6" i="1"/>
  <c r="AC18" i="1"/>
  <c r="AC7" i="1"/>
  <c r="AB13" i="1"/>
  <c r="AB12" i="1"/>
  <c r="Y19" i="1"/>
  <c r="Z18" i="1"/>
  <c r="Z12" i="1"/>
  <c r="W14" i="1"/>
  <c r="X13" i="1"/>
  <c r="Y12" i="1"/>
  <c r="X20" i="1"/>
  <c r="W13" i="1"/>
  <c r="Y8" i="1"/>
  <c r="U14" i="1"/>
  <c r="U11" i="1"/>
  <c r="U19" i="1"/>
  <c r="T8" i="1"/>
  <c r="T14" i="1"/>
  <c r="T13" i="1"/>
  <c r="S7" i="1"/>
  <c r="S19" i="1"/>
  <c r="Q14" i="1"/>
  <c r="Q13" i="1"/>
  <c r="R20" i="1"/>
  <c r="Q9" i="1"/>
  <c r="O8" i="1"/>
  <c r="R7" i="1"/>
  <c r="O6" i="1"/>
  <c r="M12" i="1"/>
  <c r="M10" i="1"/>
  <c r="L10" i="1"/>
  <c r="K6" i="1"/>
  <c r="K13" i="1"/>
  <c r="J9" i="1"/>
  <c r="L11" i="1"/>
  <c r="L13" i="1"/>
  <c r="K14" i="1"/>
  <c r="AK10" i="1"/>
  <c r="AK8" i="1"/>
  <c r="AJ17" i="1"/>
  <c r="AJ18" i="1"/>
  <c r="AG18" i="1"/>
  <c r="AI13" i="1"/>
  <c r="AH14" i="1"/>
  <c r="AH16" i="1"/>
  <c r="AE20" i="1"/>
  <c r="AE6" i="1"/>
  <c r="AD16" i="1"/>
  <c r="AF19" i="1"/>
  <c r="AH7" i="1"/>
  <c r="AD7" i="1"/>
  <c r="AC13" i="1"/>
  <c r="AC16" i="1"/>
  <c r="AD6" i="1"/>
  <c r="Z17" i="1"/>
  <c r="AA14" i="1"/>
  <c r="AA7" i="1"/>
  <c r="AA19" i="1"/>
  <c r="Z20" i="1"/>
  <c r="Y14" i="1"/>
  <c r="X14" i="1"/>
  <c r="Y9" i="1"/>
  <c r="W16" i="1"/>
  <c r="V15" i="1"/>
  <c r="V20" i="1"/>
  <c r="V16" i="1"/>
  <c r="U6" i="1"/>
  <c r="T16" i="1"/>
  <c r="U12" i="1"/>
  <c r="S18" i="1"/>
  <c r="S11" i="1"/>
  <c r="S8" i="1"/>
  <c r="P16" i="1"/>
  <c r="Q20" i="1"/>
  <c r="Q7" i="1"/>
  <c r="Q10" i="1"/>
  <c r="P13" i="1"/>
  <c r="O10" i="1"/>
  <c r="O7" i="1"/>
  <c r="N9" i="1"/>
  <c r="N11" i="1"/>
  <c r="M18" i="1"/>
  <c r="M11" i="1"/>
  <c r="L16" i="1"/>
  <c r="L19" i="1"/>
  <c r="J8" i="1"/>
  <c r="J10" i="1"/>
  <c r="K20" i="1"/>
  <c r="K9" i="1"/>
  <c r="AJ19" i="1"/>
  <c r="AJ13" i="1"/>
  <c r="AI12" i="1"/>
  <c r="AJ7" i="1"/>
  <c r="AI7" i="1"/>
  <c r="AH13" i="1"/>
  <c r="AG13" i="1"/>
  <c r="AF18" i="1"/>
  <c r="AD15" i="1"/>
  <c r="AF6" i="1"/>
  <c r="AG14" i="1"/>
  <c r="AD17" i="1"/>
  <c r="AE13" i="1"/>
  <c r="AC9" i="1"/>
  <c r="AD12" i="1"/>
  <c r="AC15" i="1"/>
  <c r="AB7" i="1"/>
  <c r="AC20" i="1"/>
  <c r="Z16" i="1"/>
  <c r="Z10" i="1"/>
  <c r="X8" i="1"/>
  <c r="Z13" i="1"/>
  <c r="X7" i="1"/>
  <c r="X19" i="1"/>
  <c r="W11" i="1"/>
  <c r="Y6" i="1"/>
  <c r="V8" i="1"/>
  <c r="V12" i="1"/>
  <c r="V14" i="1"/>
  <c r="U8" i="1"/>
  <c r="U18" i="1"/>
  <c r="T6" i="1"/>
  <c r="T15" i="1"/>
  <c r="S16" i="1"/>
  <c r="R13" i="1"/>
  <c r="Q8" i="1"/>
  <c r="R19" i="1"/>
  <c r="Q19" i="1"/>
  <c r="P12" i="1"/>
  <c r="S10" i="1"/>
  <c r="P7" i="1"/>
  <c r="N20" i="1"/>
  <c r="P10" i="1"/>
  <c r="N18" i="1"/>
  <c r="M8" i="1"/>
  <c r="L14" i="1"/>
  <c r="K17" i="1"/>
  <c r="L20" i="1"/>
  <c r="L15" i="1"/>
  <c r="J12" i="1"/>
  <c r="L9" i="1"/>
  <c r="J13" i="1"/>
  <c r="AK15" i="1"/>
  <c r="AK14" i="1"/>
  <c r="AI11" i="1"/>
  <c r="AH20" i="1"/>
  <c r="AH12" i="1"/>
  <c r="AG16" i="1"/>
  <c r="AG19" i="1"/>
  <c r="AG11" i="1"/>
  <c r="AF16" i="1"/>
  <c r="AD19" i="1"/>
  <c r="AG15" i="1"/>
  <c r="AE17" i="1"/>
  <c r="AF8" i="1"/>
  <c r="AD20" i="1"/>
  <c r="AD10" i="1"/>
  <c r="AC12" i="1"/>
  <c r="AC17" i="1"/>
  <c r="AB9" i="1"/>
  <c r="AA9" i="1"/>
  <c r="AA6" i="1"/>
  <c r="Z11" i="1"/>
  <c r="Z19" i="1"/>
  <c r="Z15" i="1"/>
  <c r="W17" i="1"/>
  <c r="X10" i="1"/>
  <c r="X12" i="1"/>
  <c r="W12" i="1"/>
  <c r="Y11" i="1"/>
  <c r="V6" i="1"/>
  <c r="V10" i="1"/>
  <c r="V9" i="1"/>
  <c r="T9" i="1"/>
  <c r="S17" i="1"/>
  <c r="T7" i="1"/>
  <c r="S14" i="1"/>
  <c r="R6" i="1"/>
  <c r="P11" i="1"/>
  <c r="P14" i="1"/>
  <c r="R17" i="1"/>
  <c r="R8" i="1"/>
  <c r="N10" i="1"/>
  <c r="O13" i="1"/>
  <c r="O18" i="1"/>
  <c r="N14" i="1"/>
  <c r="M7" i="1"/>
  <c r="M19" i="1"/>
  <c r="M20" i="1"/>
  <c r="L7" i="1"/>
  <c r="L17" i="1"/>
  <c r="K18" i="1"/>
  <c r="K16" i="1"/>
  <c r="J7" i="1"/>
  <c r="AK6" i="1"/>
  <c r="AJ20" i="1"/>
  <c r="AJ8" i="1"/>
  <c r="AJ10" i="1"/>
  <c r="AI20" i="1"/>
  <c r="AH15" i="1"/>
  <c r="AI6" i="1"/>
  <c r="AG6" i="1"/>
  <c r="AF20" i="1"/>
  <c r="AF14" i="1"/>
  <c r="AF9" i="1"/>
  <c r="AE14" i="1"/>
  <c r="AG9" i="1"/>
  <c r="AD8" i="1"/>
  <c r="AC19" i="1"/>
  <c r="AB15" i="1"/>
  <c r="AB19" i="1"/>
  <c r="AB20" i="1"/>
  <c r="AB8" i="1"/>
  <c r="AA8" i="1"/>
  <c r="X18" i="1"/>
  <c r="Z9" i="1"/>
  <c r="Y15" i="1"/>
  <c r="Y20" i="1"/>
  <c r="X6" i="1"/>
  <c r="W20" i="1"/>
  <c r="W6" i="1"/>
  <c r="V17" i="1"/>
  <c r="Y18" i="1"/>
  <c r="U10" i="1"/>
  <c r="V18" i="1"/>
  <c r="T18" i="1"/>
  <c r="T20" i="1"/>
  <c r="S12" i="1"/>
  <c r="S15" i="1"/>
  <c r="R15" i="1"/>
  <c r="Q15" i="1"/>
  <c r="Q12" i="1"/>
  <c r="T17" i="1"/>
  <c r="P8" i="1"/>
  <c r="P6" i="1"/>
  <c r="P17" i="1"/>
  <c r="O15" i="1"/>
  <c r="N16" i="1"/>
  <c r="N13" i="1"/>
  <c r="M15" i="1"/>
  <c r="J17" i="1"/>
  <c r="L8" i="1"/>
  <c r="K10" i="1"/>
  <c r="J20" i="1"/>
  <c r="J18" i="1"/>
  <c r="F71" i="1" l="1"/>
  <c r="D71" i="1"/>
  <c r="E71" i="1"/>
  <c r="F84" i="1"/>
  <c r="E84" i="1"/>
  <c r="D84" i="1"/>
  <c r="D46" i="1"/>
  <c r="F46" i="1"/>
  <c r="E46" i="1"/>
  <c r="F75" i="1"/>
  <c r="E75" i="1"/>
  <c r="D75" i="1"/>
  <c r="D98" i="1"/>
  <c r="E98" i="1"/>
  <c r="F98" i="1"/>
  <c r="E63" i="1"/>
  <c r="F63" i="1"/>
  <c r="D63" i="1"/>
  <c r="E64" i="1"/>
  <c r="D64" i="1"/>
  <c r="F64" i="1"/>
  <c r="E81" i="1"/>
  <c r="F81" i="1"/>
  <c r="D81" i="1"/>
  <c r="D86" i="1"/>
  <c r="F86" i="1"/>
  <c r="E86" i="1"/>
  <c r="E50" i="1"/>
  <c r="F50" i="1"/>
  <c r="D50" i="1"/>
  <c r="D68" i="1"/>
  <c r="E68" i="1"/>
  <c r="F68" i="1"/>
  <c r="E87" i="1"/>
  <c r="D87" i="1"/>
  <c r="F87" i="1"/>
  <c r="D32" i="1"/>
  <c r="E32" i="1"/>
  <c r="F32" i="1"/>
  <c r="F42" i="1"/>
  <c r="E42" i="1"/>
  <c r="D42" i="1"/>
  <c r="E41" i="1"/>
  <c r="D41" i="1"/>
  <c r="F41" i="1"/>
  <c r="F44" i="1"/>
  <c r="D44" i="1"/>
  <c r="E44" i="1"/>
  <c r="E100" i="1"/>
  <c r="D100" i="1"/>
  <c r="F100" i="1"/>
  <c r="D30" i="1"/>
  <c r="F30" i="1"/>
  <c r="E30" i="1"/>
  <c r="D90" i="1"/>
  <c r="F90" i="1"/>
  <c r="E90" i="1"/>
  <c r="F54" i="1"/>
  <c r="E54" i="1"/>
  <c r="D54" i="1"/>
  <c r="D24" i="1"/>
  <c r="F24" i="1"/>
  <c r="E24" i="1"/>
  <c r="E77" i="1"/>
  <c r="D77" i="1"/>
  <c r="F77" i="1"/>
  <c r="E80" i="1"/>
  <c r="D80" i="1"/>
  <c r="F80" i="1"/>
  <c r="D22" i="1"/>
  <c r="E22" i="1"/>
  <c r="F22" i="1"/>
  <c r="D58" i="1"/>
  <c r="E58" i="1"/>
  <c r="F58" i="1"/>
  <c r="D59" i="1"/>
  <c r="E59" i="1"/>
  <c r="F59" i="1"/>
  <c r="E34" i="1"/>
  <c r="F34" i="1"/>
  <c r="D34" i="1"/>
  <c r="D55" i="1"/>
  <c r="F55" i="1"/>
  <c r="E55" i="1"/>
  <c r="E76" i="1"/>
  <c r="D76" i="1"/>
  <c r="F76" i="1"/>
  <c r="F47" i="1"/>
  <c r="E47" i="1"/>
  <c r="D47" i="1"/>
  <c r="D49" i="1"/>
  <c r="F49" i="1"/>
  <c r="E49" i="1"/>
  <c r="E79" i="1"/>
  <c r="D79" i="1"/>
  <c r="F79" i="1"/>
  <c r="F67" i="1"/>
  <c r="E67" i="1"/>
  <c r="D67" i="1"/>
  <c r="F27" i="1"/>
  <c r="E27" i="1"/>
  <c r="D27" i="1"/>
  <c r="E70" i="1"/>
  <c r="F70" i="1"/>
  <c r="D70" i="1"/>
  <c r="F21" i="1"/>
  <c r="D21" i="1"/>
  <c r="E21" i="1"/>
  <c r="F91" i="1"/>
  <c r="E91" i="1"/>
  <c r="D91" i="1"/>
  <c r="D33" i="1"/>
  <c r="F33" i="1"/>
  <c r="E33" i="1"/>
  <c r="F51" i="1"/>
  <c r="E51" i="1"/>
  <c r="D51" i="1"/>
  <c r="D43" i="1"/>
  <c r="E43" i="1"/>
  <c r="F43" i="1"/>
  <c r="E62" i="1"/>
  <c r="D62" i="1"/>
  <c r="F62" i="1"/>
  <c r="F39" i="1"/>
  <c r="E39" i="1"/>
  <c r="D39" i="1"/>
  <c r="D56" i="1"/>
  <c r="E56" i="1"/>
  <c r="F56" i="1"/>
  <c r="E60" i="1"/>
  <c r="D60" i="1"/>
  <c r="F60" i="1"/>
  <c r="F29" i="1"/>
  <c r="E29" i="1"/>
  <c r="D29" i="1"/>
  <c r="F93" i="1"/>
  <c r="D93" i="1"/>
  <c r="E93" i="1"/>
  <c r="D95" i="1"/>
  <c r="E95" i="1"/>
  <c r="F95" i="1"/>
  <c r="E61" i="1"/>
  <c r="F61" i="1"/>
  <c r="D61" i="1"/>
  <c r="F57" i="1"/>
  <c r="D57" i="1"/>
  <c r="E57" i="1"/>
  <c r="D31" i="1"/>
  <c r="E31" i="1"/>
  <c r="F31" i="1"/>
  <c r="D83" i="1"/>
  <c r="E83" i="1"/>
  <c r="F83" i="1"/>
  <c r="F73" i="1"/>
  <c r="E73" i="1"/>
  <c r="D73" i="1"/>
  <c r="F89" i="1"/>
  <c r="D89" i="1"/>
  <c r="E89" i="1"/>
  <c r="E82" i="1"/>
  <c r="F82" i="1"/>
  <c r="D82" i="1"/>
  <c r="E65" i="1"/>
  <c r="F65" i="1"/>
  <c r="D65" i="1"/>
  <c r="D25" i="1"/>
  <c r="F25" i="1"/>
  <c r="E25" i="1"/>
  <c r="D92" i="1"/>
  <c r="E92" i="1"/>
  <c r="F92" i="1"/>
  <c r="D35" i="1"/>
  <c r="E35" i="1"/>
  <c r="F35" i="1"/>
  <c r="E72" i="1"/>
  <c r="F72" i="1"/>
  <c r="D72" i="1"/>
  <c r="E38" i="1"/>
  <c r="D38" i="1"/>
  <c r="F38" i="1"/>
  <c r="E48" i="1"/>
  <c r="D48" i="1"/>
  <c r="F48" i="1"/>
  <c r="D23" i="1"/>
  <c r="E23" i="1"/>
  <c r="F23" i="1"/>
  <c r="D36" i="1"/>
  <c r="F36" i="1"/>
  <c r="E36" i="1"/>
  <c r="D99" i="1"/>
  <c r="E99" i="1"/>
  <c r="F99" i="1"/>
  <c r="D28" i="1"/>
  <c r="E28" i="1"/>
  <c r="F28" i="1"/>
  <c r="D40" i="1"/>
  <c r="E40" i="1"/>
  <c r="F40" i="1"/>
  <c r="E88" i="1"/>
  <c r="F88" i="1"/>
  <c r="D88" i="1"/>
  <c r="E37" i="1"/>
  <c r="D37" i="1"/>
  <c r="F37" i="1"/>
  <c r="F97" i="1"/>
  <c r="E97" i="1"/>
  <c r="D97" i="1"/>
  <c r="F26" i="1"/>
  <c r="E26" i="1"/>
  <c r="D26" i="1"/>
  <c r="F69" i="1"/>
  <c r="D69" i="1"/>
  <c r="E69" i="1"/>
  <c r="D94" i="1"/>
  <c r="F94" i="1"/>
  <c r="E94" i="1"/>
  <c r="E85" i="1"/>
  <c r="D85" i="1"/>
  <c r="F85" i="1"/>
  <c r="F52" i="1"/>
  <c r="D52" i="1"/>
  <c r="E52" i="1"/>
  <c r="D53" i="1"/>
  <c r="F53" i="1"/>
  <c r="E53" i="1"/>
  <c r="E66" i="1"/>
  <c r="D66" i="1"/>
  <c r="F66" i="1"/>
  <c r="E96" i="1"/>
  <c r="D96" i="1"/>
  <c r="F96" i="1"/>
  <c r="E78" i="1"/>
  <c r="F78" i="1"/>
  <c r="D78" i="1"/>
  <c r="D45" i="1"/>
  <c r="E45" i="1"/>
  <c r="F45" i="1"/>
  <c r="D74" i="1"/>
  <c r="E74" i="1"/>
  <c r="F74" i="1"/>
  <c r="E11" i="1"/>
  <c r="F19" i="1"/>
  <c r="E13" i="1"/>
  <c r="E7" i="1"/>
  <c r="D7" i="1"/>
  <c r="F7" i="1"/>
  <c r="D18" i="1"/>
  <c r="E18" i="1"/>
  <c r="F18" i="1"/>
  <c r="E15" i="1"/>
  <c r="F15" i="1"/>
  <c r="D15" i="1"/>
  <c r="D9" i="1"/>
  <c r="E9" i="1"/>
  <c r="F9" i="1"/>
  <c r="D16" i="1"/>
  <c r="F16" i="1"/>
  <c r="E20" i="1"/>
  <c r="F20" i="1"/>
  <c r="D17" i="1"/>
  <c r="F17" i="1"/>
  <c r="E17" i="1"/>
  <c r="D10" i="1"/>
  <c r="E10" i="1"/>
  <c r="F10" i="1"/>
  <c r="E14" i="1"/>
  <c r="F14" i="1"/>
  <c r="D14" i="1"/>
  <c r="D20" i="1"/>
  <c r="E6" i="1"/>
  <c r="D6" i="1"/>
  <c r="F6" i="1"/>
  <c r="D13" i="1"/>
  <c r="F13" i="1"/>
  <c r="F8" i="1"/>
  <c r="E8" i="1"/>
  <c r="D8" i="1"/>
  <c r="E16" i="1"/>
  <c r="E19" i="1"/>
  <c r="D19" i="1"/>
  <c r="D11" i="1"/>
  <c r="F11" i="1"/>
  <c r="F12" i="1"/>
  <c r="D12" i="1"/>
  <c r="E12" i="1"/>
  <c r="X2" i="1" l="1"/>
  <c r="P2" i="1"/>
  <c r="H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Indama, Ghislain</author>
  </authors>
  <commentList>
    <comment ref="N35" authorId="0" shapeId="0" xr:uid="{DBEDA037-DEE5-4B6D-A546-EBE9C8668E11}">
      <text>
        <r>
          <rPr>
            <b/>
            <sz val="12"/>
            <color indexed="33"/>
            <rFont val="Tahoma"/>
            <family val="2"/>
          </rPr>
          <t>Tier 1 Metrics
Avg. Handle Time &lt;/= 15min
Avg. Hold Time &lt;/= 15min
Contacts Handled &gt;/= 17/Day
Production Time &gt;/= 6.5hrs/day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12"/>
            <rFont val="Tahoma"/>
            <family val="2"/>
          </rPr>
          <t>Tier 2 Metrics
Incorrect AUX Usage = 0
Idle Time = 0
Break/Lunch Time = 1hr/day
Missed Calls = 0
SNOW After Call Work &lt;/= 30min/day
Training/Coaching Aux = 30min/TL discretion
Team Meeting  Aux = 30min/day (+30min Brain Break – 1 per week)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62"/>
            <rFont val="Tahoma"/>
            <family val="2"/>
          </rPr>
          <t>Tier 3 Metrics
Utilization &gt;/= 76.47%/day
Occupancy &gt;/= 98%/day
Schedule Conformance &gt;/= 95%/day
QA Score &gt;/= 80%</t>
        </r>
      </text>
    </comment>
    <comment ref="N36" authorId="0" shapeId="0" xr:uid="{F95B9986-A8A0-4125-9F3D-C9A3FBBA73C7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53"/>
            <rFont val="Tahoma"/>
            <family val="2"/>
          </rPr>
          <t xml:space="preserve">
Unhide columns: 
Select the adjacent columns for the hidden columns.
Right-click the selected columns, and then select Unhide.
    Or double-click the double line between the two columns where hidden columns exist.
Column is located Between AF and AH .
Select both column, right click and unhide.</t>
        </r>
      </text>
    </comment>
    <comment ref="N37" authorId="0" shapeId="0" xr:uid="{FDF2FFDF-732B-4EEA-84C2-0FF25E689F27}">
      <text>
        <r>
          <rPr>
            <b/>
            <sz val="12"/>
            <color indexed="57"/>
            <rFont val="Tahoma"/>
            <family val="2"/>
          </rPr>
          <t>Unprotect the file by clicking on the unprotect button before resubmitting another report.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CB967B-5472-491C-A75C-4EE57EF7C0B9}" keepAlive="1" name="Query - Historical Metrics Report (2)" description="Connection to the 'Historical Metrics Report (2)' query in the workbook." type="5" refreshedVersion="6" background="1" saveData="1">
    <dbPr connection="Provider=Microsoft.Mashup.OleDb.1;Data Source=$Workbook$;Location=&quot;Historical Metrics Report (2)&quot;;Extended Properties=&quot;&quot;" command="SELECT * FROM [Historical Metrics Report (2)]"/>
  </connection>
</connections>
</file>

<file path=xl/sharedStrings.xml><?xml version="1.0" encoding="utf-8"?>
<sst xmlns="http://schemas.openxmlformats.org/spreadsheetml/2006/main" count="573" uniqueCount="259">
  <si>
    <t xml:space="preserve"> Attendance  Tracker</t>
  </si>
  <si>
    <t>OTHER TRACKER</t>
  </si>
  <si>
    <t>TEAM LEAD TOOLS</t>
  </si>
  <si>
    <t>Name</t>
  </si>
  <si>
    <t>Wave</t>
  </si>
  <si>
    <t>Personal Phone Number</t>
  </si>
  <si>
    <t>Emergency Contact</t>
  </si>
  <si>
    <t>Personal Email Address</t>
  </si>
  <si>
    <t>Note</t>
  </si>
  <si>
    <t>brianna.mercer</t>
  </si>
  <si>
    <t>Wave 46</t>
  </si>
  <si>
    <t>252-955-7776</t>
  </si>
  <si>
    <t xml:space="preserve"> Tresha Vick (Sister) 252-955-7756</t>
  </si>
  <si>
    <t>briannasmercer@gmail.com</t>
  </si>
  <si>
    <t>catera.clark</t>
  </si>
  <si>
    <t>Wave 57</t>
  </si>
  <si>
    <t>901-336-7822</t>
  </si>
  <si>
    <t>kristie Colbert (Mom) 901-484-8718</t>
  </si>
  <si>
    <t>Catera.078@gmail.com</t>
  </si>
  <si>
    <t>judy.gombert</t>
  </si>
  <si>
    <t>586-701-0492</t>
  </si>
  <si>
    <t>586-770-4298 Shirley Gombert (mom)</t>
  </si>
  <si>
    <t>judygombert@gmail.com</t>
  </si>
  <si>
    <t>makaylin.baker</t>
  </si>
  <si>
    <t>Wave 56</t>
  </si>
  <si>
    <t>769-237-2276</t>
  </si>
  <si>
    <t>Sequitta Thompson (MOM) 601-209-6206</t>
  </si>
  <si>
    <t>makaylin9@gmail.com</t>
  </si>
  <si>
    <t>naomi.bush</t>
  </si>
  <si>
    <t>225-441-5064</t>
  </si>
  <si>
    <t>Arthur Bush (father) 225-772-6197</t>
  </si>
  <si>
    <t>naomimonye8@gmail.com</t>
  </si>
  <si>
    <t>raledja.pruitt</t>
  </si>
  <si>
    <t>Wave 63</t>
  </si>
  <si>
    <t>334-419-7003</t>
  </si>
  <si>
    <t>Paris Solomon 334-267-6352</t>
  </si>
  <si>
    <t>praldeja@yahoo.com</t>
  </si>
  <si>
    <t>sharron.watley</t>
  </si>
  <si>
    <t>913.488.5472</t>
  </si>
  <si>
    <t>Shauntae Ellis Frady (Sister) 913.709.9900</t>
  </si>
  <si>
    <t>Sha8684@gmail.com</t>
  </si>
  <si>
    <t>shunta.fincher</t>
  </si>
  <si>
    <t>Wave59</t>
  </si>
  <si>
    <t>205-215-9251</t>
  </si>
  <si>
    <t>LaTasha Sanders (Spouse) 205-919-1743</t>
  </si>
  <si>
    <t>shunta.fincher@gmail.com</t>
  </si>
  <si>
    <t>stanford.antoine</t>
  </si>
  <si>
    <t>Linetta  Bulze (Mom) 404 259 9342</t>
  </si>
  <si>
    <t>kevinalmighty24@gmail.com</t>
  </si>
  <si>
    <t>t.railey</t>
  </si>
  <si>
    <t>wave 62</t>
  </si>
  <si>
    <t>870-308-1981</t>
  </si>
  <si>
    <t>Rosie Christian (Granny) 870-308-1981</t>
  </si>
  <si>
    <t>raileytahlor@gmail.com</t>
  </si>
  <si>
    <t>ghislain.indama</t>
  </si>
  <si>
    <t>Wave48</t>
  </si>
  <si>
    <t>301-920-4537</t>
  </si>
  <si>
    <t>ulrich@iqcodec.tech</t>
  </si>
  <si>
    <t>alexis.abeyta</t>
  </si>
  <si>
    <t>Wave64</t>
  </si>
  <si>
    <t>817-448-1674</t>
  </si>
  <si>
    <t>pamela sneed ( mom) 817-344-9107</t>
  </si>
  <si>
    <t>alexissabeyta24@gmail.com</t>
  </si>
  <si>
    <t>dyasia.downing</t>
  </si>
  <si>
    <t>Wave66</t>
  </si>
  <si>
    <t>443-741-0446</t>
  </si>
  <si>
    <t>Brenda Mitchell (Grandma) 443-529-5866</t>
  </si>
  <si>
    <t>dyasiadavis54@gmail.com</t>
  </si>
  <si>
    <t>jacqueline.hope</t>
  </si>
  <si>
    <t>wave66</t>
  </si>
  <si>
    <t>803-915-4275</t>
  </si>
  <si>
    <t>803-448-4786-mom</t>
  </si>
  <si>
    <t>jackie.hope3@gmail.com</t>
  </si>
  <si>
    <t>irene.hurtado</t>
  </si>
  <si>
    <t>703-402-4894</t>
  </si>
  <si>
    <t>Roberto Johnson (Spouse) 703-254-7247</t>
  </si>
  <si>
    <t>irene.hurt92@gmail.com</t>
  </si>
  <si>
    <t>elizabeth.greig</t>
  </si>
  <si>
    <t>248-635-7484</t>
  </si>
  <si>
    <t>Allison Greig (Sister) 248-635-6892</t>
  </si>
  <si>
    <t>elizabethgg9@yahoo.com</t>
  </si>
  <si>
    <t>irene.davison</t>
  </si>
  <si>
    <t>347-314-4590</t>
  </si>
  <si>
    <t>Regina Davison (Mom) 484-725-0255</t>
  </si>
  <si>
    <t>irenedvsn@yahoo.com</t>
  </si>
  <si>
    <t>eric.johnson</t>
  </si>
  <si>
    <t>678-230-7794</t>
  </si>
  <si>
    <t>paris.fisher</t>
  </si>
  <si>
    <t>Wave 68</t>
  </si>
  <si>
    <t>706-304-2773</t>
  </si>
  <si>
    <t xml:space="preserve">Mamie Smith </t>
  </si>
  <si>
    <t>opal.watson</t>
  </si>
  <si>
    <t>469-509-2501</t>
  </si>
  <si>
    <t>Shawn Deslandes - 512-745-3322</t>
  </si>
  <si>
    <t>opwat1@msn.com</t>
  </si>
  <si>
    <t>ramone.horst</t>
  </si>
  <si>
    <t>248-991-4171</t>
  </si>
  <si>
    <t>Brenetta Horst (Mom) 313-804-7938</t>
  </si>
  <si>
    <t>ramonehorst@att.net</t>
  </si>
  <si>
    <t>Emp ID</t>
  </si>
  <si>
    <t>Wave-64</t>
  </si>
  <si>
    <t>P</t>
  </si>
  <si>
    <t>A</t>
  </si>
  <si>
    <t>Wave-46</t>
  </si>
  <si>
    <t>Wave-57</t>
  </si>
  <si>
    <t>Wave-66</t>
  </si>
  <si>
    <t>ernest.hunter</t>
  </si>
  <si>
    <t>Wave-56</t>
  </si>
  <si>
    <t>Wave-68</t>
  </si>
  <si>
    <t>Wave-63</t>
  </si>
  <si>
    <t>samara.elliott</t>
  </si>
  <si>
    <t>Wave-59</t>
  </si>
  <si>
    <t>Wave-62</t>
  </si>
  <si>
    <t>Unique ID</t>
  </si>
  <si>
    <t>Date</t>
  </si>
  <si>
    <t>Attendance</t>
  </si>
  <si>
    <t>10001_44539</t>
  </si>
  <si>
    <t>10002_44539</t>
  </si>
  <si>
    <t>10003_44539</t>
  </si>
  <si>
    <t>10004_44539</t>
  </si>
  <si>
    <t>10005_44539</t>
  </si>
  <si>
    <t>10006_44539</t>
  </si>
  <si>
    <t>10007_44539</t>
  </si>
  <si>
    <t>10008_44539</t>
  </si>
  <si>
    <t>10009_44539</t>
  </si>
  <si>
    <t>10010_44539</t>
  </si>
  <si>
    <t>10011_44539</t>
  </si>
  <si>
    <t>10012_44539</t>
  </si>
  <si>
    <t>10013_44539</t>
  </si>
  <si>
    <t>10014_44539</t>
  </si>
  <si>
    <t>10015_44539</t>
  </si>
  <si>
    <t>10001_44540</t>
  </si>
  <si>
    <t>10002_44540</t>
  </si>
  <si>
    <t>10003_44540</t>
  </si>
  <si>
    <t>10004_44540</t>
  </si>
  <si>
    <t>10005_44540</t>
  </si>
  <si>
    <t>10006_44540</t>
  </si>
  <si>
    <t>10007_44540</t>
  </si>
  <si>
    <t>10008_44540</t>
  </si>
  <si>
    <t>10009_44540</t>
  </si>
  <si>
    <t>10010_44540</t>
  </si>
  <si>
    <t>10011_44540</t>
  </si>
  <si>
    <t>10012_44540</t>
  </si>
  <si>
    <t>10013_44540</t>
  </si>
  <si>
    <t>10014_44540</t>
  </si>
  <si>
    <t>10015_44540</t>
  </si>
  <si>
    <t>Month:-</t>
  </si>
  <si>
    <t>Present</t>
  </si>
  <si>
    <t>Absent</t>
  </si>
  <si>
    <t>Leave</t>
  </si>
  <si>
    <t>Attendance List</t>
  </si>
  <si>
    <t>Month</t>
  </si>
  <si>
    <t>Highlight</t>
  </si>
  <si>
    <t>Sunday</t>
  </si>
  <si>
    <t>Saturday</t>
  </si>
  <si>
    <t>L</t>
  </si>
  <si>
    <t>WO</t>
  </si>
  <si>
    <t>Total Hours</t>
  </si>
  <si>
    <t>Agent EID</t>
  </si>
  <si>
    <t>Online Time</t>
  </si>
  <si>
    <t>Lunch Time</t>
  </si>
  <si>
    <t>Monday</t>
  </si>
  <si>
    <t>Tuesday</t>
  </si>
  <si>
    <t>Wednesday</t>
  </si>
  <si>
    <t>Thursday</t>
  </si>
  <si>
    <t>Friday</t>
  </si>
  <si>
    <t>Phone/Chat</t>
  </si>
  <si>
    <t>Total Hours Cal</t>
  </si>
  <si>
    <t>Phone</t>
  </si>
  <si>
    <t>Legend</t>
  </si>
  <si>
    <t>Bereavement</t>
  </si>
  <si>
    <t>B</t>
  </si>
  <si>
    <t>Leave Early</t>
  </si>
  <si>
    <t>LE</t>
  </si>
  <si>
    <t>No Show</t>
  </si>
  <si>
    <t>N</t>
  </si>
  <si>
    <t>PTO Approved</t>
  </si>
  <si>
    <t>Tardy</t>
  </si>
  <si>
    <t>T</t>
  </si>
  <si>
    <t>Tech Issue</t>
  </si>
  <si>
    <t>TI</t>
  </si>
  <si>
    <t>Unapproved Absence</t>
  </si>
  <si>
    <t>Excused (Dr, Court, Etc)</t>
  </si>
  <si>
    <t>E</t>
  </si>
  <si>
    <t>Date Earned</t>
  </si>
  <si>
    <t>Roll Off Date</t>
  </si>
  <si>
    <t>Full Occurences</t>
  </si>
  <si>
    <t>Half Occurences</t>
  </si>
  <si>
    <t>Total # Occurences</t>
  </si>
  <si>
    <t># NCNS in 30 Days</t>
  </si>
  <si>
    <t>romane.horst</t>
  </si>
  <si>
    <t>PTO</t>
  </si>
  <si>
    <t>10001_44542</t>
  </si>
  <si>
    <t>Total</t>
  </si>
  <si>
    <t>Team Lead/Agent Name</t>
  </si>
  <si>
    <t>Shift_Time (manually adjusted)</t>
  </si>
  <si>
    <t xml:space="preserve"> Agent on contact time</t>
  </si>
  <si>
    <t xml:space="preserve"> Agent contact avg (BO)</t>
  </si>
  <si>
    <t xml:space="preserve"> Agent idle time</t>
  </si>
  <si>
    <t>Contact Handled</t>
  </si>
  <si>
    <t>No of Calls missed</t>
  </si>
  <si>
    <t xml:space="preserve"> AHT</t>
  </si>
  <si>
    <t xml:space="preserve"> Agent Total Interaction Time</t>
  </si>
  <si>
    <t xml:space="preserve"> Agent contact after work time(Total)</t>
  </si>
  <si>
    <t xml:space="preserve"> Avg. Hold Time</t>
  </si>
  <si>
    <t xml:space="preserve"> No of calls on Hold</t>
  </si>
  <si>
    <t xml:space="preserve"> Team Meeting time</t>
  </si>
  <si>
    <t xml:space="preserve"> Super User / TL Support time</t>
  </si>
  <si>
    <t xml:space="preserve"> Training / Coaching time</t>
  </si>
  <si>
    <t xml:space="preserve"> Dial Out time</t>
  </si>
  <si>
    <t xml:space="preserve"> Break Time time</t>
  </si>
  <si>
    <t xml:space="preserve"> Lunch Time</t>
  </si>
  <si>
    <t xml:space="preserve"> Technical Issue time</t>
  </si>
  <si>
    <t xml:space="preserve">  Fraud time</t>
  </si>
  <si>
    <t xml:space="preserve"> Development time</t>
  </si>
  <si>
    <t xml:space="preserve"> SNOW After-Call Work time</t>
  </si>
  <si>
    <t>Salesforce</t>
  </si>
  <si>
    <t>PUA</t>
  </si>
  <si>
    <t xml:space="preserve"> NJT</t>
  </si>
  <si>
    <t xml:space="preserve"> WeCare</t>
  </si>
  <si>
    <t xml:space="preserve"> Schedule Conformance (% of full shift, incl. breaks)</t>
  </si>
  <si>
    <t>Productive Time</t>
  </si>
  <si>
    <t>Individual Utilization (%)</t>
  </si>
  <si>
    <t xml:space="preserve"> Occupancy%</t>
  </si>
  <si>
    <t xml:space="preserve"> Total Login Time - AUX OffPhone Time</t>
  </si>
  <si>
    <t>Comments</t>
  </si>
  <si>
    <t>Settings</t>
  </si>
  <si>
    <t>Resigned</t>
  </si>
  <si>
    <t>LOA</t>
  </si>
  <si>
    <t>Tech issues</t>
  </si>
  <si>
    <t xml:space="preserve">Met all performance </t>
  </si>
  <si>
    <t>Met 2 out of 3 performance metrices</t>
  </si>
  <si>
    <t>Met 1 out of 3 performance metrices</t>
  </si>
  <si>
    <t>Did not meet any performance metrics</t>
  </si>
  <si>
    <t>Training</t>
  </si>
  <si>
    <t>Super User/TL Support</t>
  </si>
  <si>
    <t>Agent did not meet metrics due to Beacon Password Reset Issue</t>
  </si>
  <si>
    <t>Approved Early leave</t>
  </si>
  <si>
    <t>Brain Breaks time Allotment decreased On Contact Time</t>
  </si>
  <si>
    <t>Rolled Off</t>
  </si>
  <si>
    <t>Early Leave</t>
  </si>
  <si>
    <t>Late Login</t>
  </si>
  <si>
    <t>1x1 with TL</t>
  </si>
  <si>
    <t>Tech issues AWS decreased on contact time</t>
  </si>
  <si>
    <t>Tech issues SNOW/Beacon decreased on contact time</t>
  </si>
  <si>
    <t>Asset issue</t>
  </si>
  <si>
    <t>Low call Volume affecting on contact time</t>
  </si>
  <si>
    <t>STL</t>
  </si>
  <si>
    <t>2STL</t>
  </si>
  <si>
    <t>Approved Absence</t>
  </si>
  <si>
    <t>NCNS</t>
  </si>
  <si>
    <t>Transfer to another project</t>
  </si>
  <si>
    <t>New Agent</t>
  </si>
  <si>
    <t>Switch to another Team</t>
  </si>
  <si>
    <t>Help</t>
  </si>
  <si>
    <t>Agent Name</t>
  </si>
  <si>
    <t>TL Feedback</t>
  </si>
  <si>
    <t>Keys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</si>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</sst>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"/>
    <numFmt numFmtId="165" formatCode="mmm\-yyyy"/>
    <numFmt numFmtId="166" formatCode="0.00;[Red]0.00"/>
    <numFmt numFmtId="167" formatCode="0.0"/>
  </numFmts>
  <fonts count="3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Wide Latin"/>
      <family val="1"/>
    </font>
    <font>
      <sz val="8"/>
      <name val="Calibri"/>
      <family val="2"/>
      <scheme val="minor"/>
    </font>
    <font>
      <b/>
      <sz val="12"/>
      <color theme="0"/>
      <name val="Arial Rounded MT Bold"/>
      <family val="2"/>
    </font>
    <font>
      <b/>
      <sz val="16"/>
      <color theme="0"/>
      <name val="Arial Rounded MT Bold"/>
      <family val="2"/>
    </font>
    <font>
      <b/>
      <sz val="18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Segoe UI"/>
      <family val="2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indexed="81"/>
      <name val="Tahoma"/>
      <family val="2"/>
    </font>
    <font>
      <b/>
      <sz val="12"/>
      <color indexed="33"/>
      <name val="Tahoma"/>
      <family val="2"/>
    </font>
    <font>
      <b/>
      <sz val="12"/>
      <color indexed="12"/>
      <name val="Tahoma"/>
      <family val="2"/>
    </font>
    <font>
      <b/>
      <sz val="12"/>
      <color indexed="62"/>
      <name val="Tahoma"/>
      <family val="2"/>
    </font>
    <font>
      <b/>
      <sz val="12"/>
      <color indexed="53"/>
      <name val="Tahoma"/>
      <family val="2"/>
    </font>
    <font>
      <b/>
      <sz val="12"/>
      <color indexed="57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7E00FF"/>
        <bgColor rgb="FF4472C4"/>
      </patternFill>
    </fill>
    <fill>
      <patternFill patternType="solid">
        <fgColor rgb="FFFF00FF"/>
        <bgColor rgb="FF4472C4"/>
      </patternFill>
    </fill>
    <fill>
      <patternFill patternType="solid">
        <fgColor rgb="FF0041F0"/>
        <bgColor rgb="FF4472C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EA9DB"/>
      </left>
      <right style="thin">
        <color rgb="FF8EA9DB"/>
      </right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3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15" fontId="1" fillId="0" borderId="0" xfId="0" applyNumberFormat="1" applyFont="1" applyAlignment="1">
      <alignment horizontal="center"/>
    </xf>
    <xf numFmtId="15" fontId="3" fillId="2" borderId="1" xfId="0" applyNumberFormat="1" applyFont="1" applyFill="1" applyBorder="1" applyAlignment="1">
      <alignment horizontal="center" vertical="center"/>
    </xf>
    <xf numFmtId="17" fontId="2" fillId="0" borderId="1" xfId="0" applyNumberFormat="1" applyFont="1" applyBorder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5" fontId="6" fillId="3" borderId="0" xfId="0" applyNumberFormat="1" applyFont="1" applyFill="1" applyAlignment="1">
      <alignment horizontal="center" vertical="center"/>
    </xf>
    <xf numFmtId="0" fontId="5" fillId="0" borderId="0" xfId="0" applyFont="1"/>
    <xf numFmtId="0" fontId="1" fillId="0" borderId="0" xfId="0" applyFont="1" applyAlignment="1">
      <alignment vertical="top"/>
    </xf>
    <xf numFmtId="0" fontId="6" fillId="4" borderId="4" xfId="0" applyFont="1" applyFill="1" applyBorder="1"/>
    <xf numFmtId="0" fontId="6" fillId="4" borderId="5" xfId="0" applyFont="1" applyFill="1" applyBorder="1"/>
    <xf numFmtId="164" fontId="6" fillId="0" borderId="0" xfId="0" applyNumberFormat="1" applyFont="1" applyAlignment="1">
      <alignment horizontal="center" vertical="center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8" fillId="0" borderId="0" xfId="0" applyFont="1" applyAlignment="1" applyProtection="1">
      <alignment horizontal="right" vertical="center" inden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12" fillId="0" borderId="0" xfId="0" applyFont="1" applyAlignment="1">
      <alignment vertical="center"/>
    </xf>
    <xf numFmtId="0" fontId="0" fillId="9" borderId="0" xfId="0" applyFill="1"/>
    <xf numFmtId="0" fontId="12" fillId="9" borderId="0" xfId="0" applyFont="1" applyFill="1" applyAlignment="1">
      <alignment vertical="center"/>
    </xf>
    <xf numFmtId="0" fontId="13" fillId="9" borderId="0" xfId="0" applyFont="1" applyFill="1" applyAlignment="1">
      <alignment vertical="center"/>
    </xf>
    <xf numFmtId="0" fontId="0" fillId="10" borderId="0" xfId="0" applyFill="1"/>
    <xf numFmtId="0" fontId="12" fillId="10" borderId="0" xfId="0" applyFont="1" applyFill="1" applyAlignment="1">
      <alignment vertical="center"/>
    </xf>
    <xf numFmtId="0" fontId="14" fillId="11" borderId="0" xfId="0" applyFont="1" applyFill="1" applyAlignment="1">
      <alignment horizontal="center"/>
    </xf>
    <xf numFmtId="0" fontId="14" fillId="11" borderId="0" xfId="0" applyFont="1" applyFill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8" xfId="0" applyBorder="1" applyAlignment="1">
      <alignment horizontal="left"/>
    </xf>
    <xf numFmtId="0" fontId="15" fillId="0" borderId="8" xfId="1" applyBorder="1"/>
    <xf numFmtId="0" fontId="0" fillId="12" borderId="9" xfId="0" applyFill="1" applyBorder="1"/>
    <xf numFmtId="0" fontId="15" fillId="0" borderId="8" xfId="1" applyBorder="1" applyAlignment="1"/>
    <xf numFmtId="0" fontId="16" fillId="0" borderId="9" xfId="0" applyFont="1" applyBorder="1"/>
    <xf numFmtId="0" fontId="15" fillId="0" borderId="9" xfId="1" applyFill="1" applyBorder="1" applyAlignment="1"/>
    <xf numFmtId="0" fontId="0" fillId="0" borderId="10" xfId="0" applyBorder="1"/>
    <xf numFmtId="0" fontId="0" fillId="0" borderId="10" xfId="0" applyBorder="1" applyAlignment="1">
      <alignment horizontal="left"/>
    </xf>
    <xf numFmtId="0" fontId="15" fillId="0" borderId="10" xfId="1" applyBorder="1" applyAlignment="1"/>
    <xf numFmtId="0" fontId="17" fillId="0" borderId="0" xfId="0" applyFont="1"/>
    <xf numFmtId="0" fontId="15" fillId="0" borderId="9" xfId="1" applyBorder="1"/>
    <xf numFmtId="166" fontId="0" fillId="0" borderId="0" xfId="0" applyNumberFormat="1"/>
    <xf numFmtId="0" fontId="22" fillId="4" borderId="6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/>
    </xf>
    <xf numFmtId="166" fontId="22" fillId="4" borderId="6" xfId="0" applyNumberFormat="1" applyFont="1" applyFill="1" applyBorder="1" applyAlignment="1">
      <alignment horizontal="center" vertical="center"/>
    </xf>
    <xf numFmtId="166" fontId="0" fillId="0" borderId="6" xfId="0" applyNumberFormat="1" applyBorder="1"/>
    <xf numFmtId="166" fontId="19" fillId="4" borderId="0" xfId="0" applyNumberFormat="1" applyFont="1" applyFill="1" applyAlignment="1">
      <alignment horizontal="center"/>
    </xf>
    <xf numFmtId="0" fontId="0" fillId="0" borderId="6" xfId="0" applyBorder="1" applyAlignment="1">
      <alignment wrapText="1"/>
    </xf>
    <xf numFmtId="0" fontId="24" fillId="14" borderId="6" xfId="0" applyFont="1" applyFill="1" applyBorder="1" applyAlignment="1">
      <alignment horizontal="center"/>
    </xf>
    <xf numFmtId="0" fontId="25" fillId="13" borderId="6" xfId="0" applyFont="1" applyFill="1" applyBorder="1" applyAlignment="1">
      <alignment horizontal="center"/>
    </xf>
    <xf numFmtId="0" fontId="20" fillId="15" borderId="6" xfId="0" applyFont="1" applyFill="1" applyBorder="1" applyAlignment="1">
      <alignment horizontal="center"/>
    </xf>
    <xf numFmtId="0" fontId="21" fillId="13" borderId="11" xfId="0" applyFont="1" applyFill="1" applyBorder="1" applyAlignment="1">
      <alignment vertical="center"/>
    </xf>
    <xf numFmtId="0" fontId="0" fillId="13" borderId="12" xfId="0" applyFill="1" applyBorder="1" applyAlignment="1">
      <alignment horizontal="center"/>
    </xf>
    <xf numFmtId="14" fontId="0" fillId="13" borderId="6" xfId="0" applyNumberFormat="1" applyFill="1" applyBorder="1" applyAlignment="1">
      <alignment horizontal="center"/>
    </xf>
    <xf numFmtId="0" fontId="21" fillId="13" borderId="11" xfId="0" applyFont="1" applyFill="1" applyBorder="1" applyAlignment="1">
      <alignment horizontal="center" vertical="center"/>
    </xf>
    <xf numFmtId="0" fontId="0" fillId="13" borderId="6" xfId="0" applyFill="1" applyBorder="1" applyAlignment="1">
      <alignment horizontal="center"/>
    </xf>
    <xf numFmtId="14" fontId="0" fillId="13" borderId="13" xfId="0" applyNumberFormat="1" applyFill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14" fillId="16" borderId="6" xfId="0" applyFont="1" applyFill="1" applyBorder="1" applyAlignment="1">
      <alignment horizontal="center" vertical="center" wrapText="1"/>
    </xf>
    <xf numFmtId="0" fontId="14" fillId="17" borderId="6" xfId="0" applyFont="1" applyFill="1" applyBorder="1" applyAlignment="1">
      <alignment horizontal="center" vertical="center" wrapText="1"/>
    </xf>
    <xf numFmtId="0" fontId="14" fillId="18" borderId="6" xfId="0" applyFont="1" applyFill="1" applyBorder="1" applyAlignment="1">
      <alignment horizontal="center" vertical="center" wrapText="1"/>
    </xf>
    <xf numFmtId="45" fontId="14" fillId="18" borderId="6" xfId="0" applyNumberFormat="1" applyFont="1" applyFill="1" applyBorder="1" applyAlignment="1">
      <alignment horizontal="center" vertical="center" wrapText="1"/>
    </xf>
    <xf numFmtId="0" fontId="14" fillId="16" borderId="13" xfId="0" applyFont="1" applyFill="1" applyBorder="1" applyAlignment="1">
      <alignment horizontal="center" vertical="center" wrapText="1"/>
    </xf>
    <xf numFmtId="0" fontId="14" fillId="19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27" fillId="0" borderId="6" xfId="0" applyFont="1" applyBorder="1" applyAlignment="1">
      <alignment horizontal="center" wrapText="1"/>
    </xf>
    <xf numFmtId="2" fontId="21" fillId="0" borderId="6" xfId="0" applyNumberFormat="1" applyFont="1" applyBorder="1" applyAlignment="1" applyProtection="1">
      <alignment horizontal="center" wrapText="1"/>
      <protection locked="0"/>
    </xf>
    <xf numFmtId="0" fontId="21" fillId="0" borderId="6" xfId="0" applyFont="1" applyBorder="1" applyAlignment="1" applyProtection="1">
      <alignment horizontal="center" wrapText="1"/>
      <protection locked="0"/>
    </xf>
    <xf numFmtId="2" fontId="21" fillId="0" borderId="6" xfId="0" applyNumberFormat="1" applyFont="1" applyBorder="1" applyAlignment="1">
      <alignment horizontal="center" wrapText="1"/>
    </xf>
    <xf numFmtId="45" fontId="0" fillId="0" borderId="6" xfId="0" applyNumberFormat="1" applyBorder="1" applyAlignment="1" applyProtection="1">
      <alignment wrapText="1"/>
      <protection locked="0"/>
    </xf>
    <xf numFmtId="167" fontId="21" fillId="0" borderId="6" xfId="0" applyNumberFormat="1" applyFont="1" applyBorder="1" applyAlignment="1" applyProtection="1">
      <alignment horizontal="center" wrapText="1"/>
      <protection locked="0"/>
    </xf>
    <xf numFmtId="0" fontId="28" fillId="0" borderId="6" xfId="0" applyFont="1" applyBorder="1" applyAlignment="1">
      <alignment horizontal="center" wrapText="1"/>
    </xf>
    <xf numFmtId="10" fontId="21" fillId="0" borderId="6" xfId="0" applyNumberFormat="1" applyFont="1" applyBorder="1" applyAlignment="1" applyProtection="1">
      <alignment horizontal="center" wrapText="1"/>
      <protection locked="0"/>
    </xf>
    <xf numFmtId="0" fontId="0" fillId="22" borderId="0" xfId="0" applyFill="1" applyAlignment="1">
      <alignment wrapText="1"/>
    </xf>
    <xf numFmtId="0" fontId="27" fillId="0" borderId="0" xfId="0" applyFont="1" applyAlignment="1">
      <alignment horizontal="center" wrapText="1"/>
    </xf>
    <xf numFmtId="0" fontId="29" fillId="0" borderId="0" xfId="0" applyFont="1" applyAlignment="1">
      <alignment horizontal="center" wrapText="1"/>
    </xf>
    <xf numFmtId="21" fontId="27" fillId="0" borderId="0" xfId="0" applyNumberFormat="1" applyFont="1" applyAlignment="1">
      <alignment horizontal="center" wrapText="1"/>
    </xf>
    <xf numFmtId="0" fontId="28" fillId="0" borderId="0" xfId="0" applyFont="1" applyAlignment="1">
      <alignment horizontal="center" wrapText="1"/>
    </xf>
    <xf numFmtId="0" fontId="28" fillId="0" borderId="14" xfId="0" applyFont="1" applyBorder="1" applyAlignment="1">
      <alignment horizontal="center" wrapText="1"/>
    </xf>
    <xf numFmtId="0" fontId="28" fillId="0" borderId="15" xfId="0" applyFont="1" applyBorder="1" applyAlignment="1">
      <alignment horizontal="center" wrapText="1"/>
    </xf>
    <xf numFmtId="0" fontId="28" fillId="0" borderId="16" xfId="0" applyFont="1" applyBorder="1" applyAlignment="1">
      <alignment horizontal="center" wrapText="1"/>
    </xf>
    <xf numFmtId="10" fontId="27" fillId="0" borderId="0" xfId="0" applyNumberFormat="1" applyFont="1" applyAlignment="1">
      <alignment horizontal="center" wrapText="1"/>
    </xf>
    <xf numFmtId="0" fontId="30" fillId="0" borderId="0" xfId="0" applyFont="1" applyAlignment="1">
      <alignment wrapText="1"/>
    </xf>
    <xf numFmtId="0" fontId="31" fillId="20" borderId="6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2" fillId="4" borderId="6" xfId="0" applyNumberFormat="1" applyFont="1" applyFill="1" applyBorder="1" applyAlignment="1">
      <alignment horizontal="center" vertical="center"/>
    </xf>
    <xf numFmtId="0" fontId="0" fillId="0" borderId="6" xfId="0" applyNumberFormat="1" applyBorder="1"/>
    <xf numFmtId="0" fontId="0" fillId="0" borderId="0" xfId="0" applyNumberFormat="1"/>
    <xf numFmtId="0" fontId="19" fillId="4" borderId="0" xfId="0" applyNumberFormat="1" applyFont="1" applyFill="1" applyAlignment="1">
      <alignment horizontal="center"/>
    </xf>
    <xf numFmtId="0" fontId="0" fillId="0" borderId="6" xfId="0" applyBorder="1" applyAlignment="1" applyProtection="1">
      <alignment wrapText="1"/>
    </xf>
    <xf numFmtId="0" fontId="26" fillId="23" borderId="6" xfId="0" applyFont="1" applyFill="1" applyBorder="1" applyAlignment="1" applyProtection="1">
      <alignment wrapText="1"/>
    </xf>
    <xf numFmtId="0" fontId="12" fillId="9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30" fillId="0" borderId="17" xfId="0" applyFont="1" applyBorder="1" applyAlignment="1">
      <alignment wrapText="1"/>
    </xf>
    <xf numFmtId="0" fontId="30" fillId="0" borderId="0" xfId="0" applyFont="1" applyAlignment="1">
      <alignment wrapText="1"/>
    </xf>
    <xf numFmtId="0" fontId="6" fillId="20" borderId="6" xfId="0" applyFont="1" applyFill="1" applyBorder="1" applyAlignment="1">
      <alignment horizontal="center" wrapText="1"/>
    </xf>
    <xf numFmtId="0" fontId="7" fillId="21" borderId="18" xfId="0" applyFont="1" applyFill="1" applyBorder="1" applyAlignment="1">
      <alignment horizontal="left" vertical="top" wrapText="1"/>
    </xf>
    <xf numFmtId="0" fontId="7" fillId="21" borderId="19" xfId="0" applyFont="1" applyFill="1" applyBorder="1" applyAlignment="1">
      <alignment horizontal="left" vertical="top" wrapText="1"/>
    </xf>
    <xf numFmtId="0" fontId="1" fillId="21" borderId="19" xfId="0" applyFont="1" applyFill="1" applyBorder="1" applyAlignment="1">
      <alignment horizontal="left" vertical="top" wrapText="1"/>
    </xf>
    <xf numFmtId="0" fontId="1" fillId="21" borderId="20" xfId="0" applyFont="1" applyFill="1" applyBorder="1" applyAlignment="1">
      <alignment horizontal="left" vertical="top" wrapText="1"/>
    </xf>
    <xf numFmtId="0" fontId="1" fillId="21" borderId="21" xfId="0" applyFont="1" applyFill="1" applyBorder="1" applyAlignment="1">
      <alignment horizontal="left" vertical="top" wrapText="1"/>
    </xf>
    <xf numFmtId="0" fontId="1" fillId="21" borderId="0" xfId="0" applyFont="1" applyFill="1" applyAlignment="1">
      <alignment horizontal="left" vertical="top" wrapText="1"/>
    </xf>
    <xf numFmtId="0" fontId="1" fillId="21" borderId="22" xfId="0" applyFont="1" applyFill="1" applyBorder="1" applyAlignment="1">
      <alignment horizontal="left" vertical="top" wrapText="1"/>
    </xf>
    <xf numFmtId="0" fontId="1" fillId="21" borderId="23" xfId="0" applyFont="1" applyFill="1" applyBorder="1" applyAlignment="1">
      <alignment horizontal="left" vertical="top" wrapText="1"/>
    </xf>
    <xf numFmtId="0" fontId="1" fillId="21" borderId="17" xfId="0" applyFont="1" applyFill="1" applyBorder="1" applyAlignment="1">
      <alignment horizontal="left" vertical="top" wrapText="1"/>
    </xf>
    <xf numFmtId="0" fontId="1" fillId="21" borderId="24" xfId="0" applyFont="1" applyFill="1" applyBorder="1" applyAlignment="1">
      <alignment horizontal="left" vertical="top" wrapText="1"/>
    </xf>
    <xf numFmtId="0" fontId="1" fillId="0" borderId="6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26" fillId="4" borderId="6" xfId="0" applyFont="1" applyFill="1" applyBorder="1" applyAlignment="1" applyProtection="1">
      <alignment horizontal="center" wrapText="1"/>
    </xf>
    <xf numFmtId="0" fontId="7" fillId="21" borderId="20" xfId="0" applyFont="1" applyFill="1" applyBorder="1" applyAlignment="1">
      <alignment horizontal="left" vertical="top" wrapText="1"/>
    </xf>
    <xf numFmtId="0" fontId="7" fillId="21" borderId="21" xfId="0" applyFont="1" applyFill="1" applyBorder="1" applyAlignment="1">
      <alignment horizontal="left" vertical="top" wrapText="1"/>
    </xf>
    <xf numFmtId="0" fontId="7" fillId="21" borderId="0" xfId="0" applyFont="1" applyFill="1" applyBorder="1" applyAlignment="1">
      <alignment horizontal="left" vertical="top" wrapText="1"/>
    </xf>
    <xf numFmtId="0" fontId="7" fillId="21" borderId="22" xfId="0" applyFont="1" applyFill="1" applyBorder="1" applyAlignment="1">
      <alignment horizontal="left" vertical="top" wrapText="1"/>
    </xf>
    <xf numFmtId="0" fontId="7" fillId="21" borderId="23" xfId="0" applyFont="1" applyFill="1" applyBorder="1" applyAlignment="1">
      <alignment horizontal="left" vertical="top" wrapText="1"/>
    </xf>
    <xf numFmtId="0" fontId="7" fillId="21" borderId="17" xfId="0" applyFont="1" applyFill="1" applyBorder="1" applyAlignment="1">
      <alignment horizontal="left" vertical="top" wrapText="1"/>
    </xf>
    <xf numFmtId="0" fontId="7" fillId="21" borderId="24" xfId="0" applyFont="1" applyFill="1" applyBorder="1" applyAlignment="1">
      <alignment horizontal="left" vertical="top" wrapText="1"/>
    </xf>
    <xf numFmtId="0" fontId="23" fillId="13" borderId="6" xfId="0" applyFont="1" applyFill="1" applyBorder="1" applyAlignment="1">
      <alignment horizontal="center"/>
    </xf>
    <xf numFmtId="165" fontId="11" fillId="8" borderId="2" xfId="0" applyNumberFormat="1" applyFont="1" applyFill="1" applyBorder="1" applyAlignment="1" applyProtection="1">
      <alignment horizontal="center" vertical="center"/>
      <protection locked="0"/>
    </xf>
    <xf numFmtId="165" fontId="11" fillId="8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9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1">
    <dxf>
      <font>
        <color theme="0"/>
      </font>
      <fill>
        <patternFill>
          <bgColor theme="2" tint="-0.499984740745262"/>
        </patternFill>
      </fill>
      <border>
        <left/>
        <right/>
        <top/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8" formatCode=";;;"/>
    </dxf>
    <dxf>
      <font>
        <b/>
        <i val="0"/>
        <color theme="0"/>
      </font>
      <fill>
        <patternFill>
          <bgColor theme="8" tint="-0.49998474074526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F0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ill>
        <patternFill>
          <bgColor theme="0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 tint="-0.499984740745262"/>
      </font>
      <fill>
        <patternFill>
          <bgColor rgb="FFFFFF99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7" tint="-0.24994659260841701"/>
      </font>
      <fill>
        <patternFill>
          <bgColor rgb="FFFFFF99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7" tint="-0.24994659260841701"/>
      </font>
      <fill>
        <patternFill>
          <bgColor rgb="FFFFFF99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$D$1" lockText="1" noThreeD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Mark Attendance'!A1"/><Relationship Id="rId18" Type="http://schemas.openxmlformats.org/officeDocument/2006/relationships/image" Target="../media/image12.svg"/><Relationship Id="rId26" Type="http://schemas.openxmlformats.org/officeDocument/2006/relationships/image" Target="../media/image18.svg"/><Relationship Id="rId39" Type="http://schemas.openxmlformats.org/officeDocument/2006/relationships/hyperlink" Target="https://myoffice.accenture.com/personal/ghislain_indama_accenture_com/Documents/Documents/Doc/Universal%20tracker%20project/etc/Automated%20To%20do%20list.xlsb" TargetMode="External"/><Relationship Id="rId21" Type="http://schemas.openxmlformats.org/officeDocument/2006/relationships/hyperlink" Target="#WeekEnd_SignUp!A1"/><Relationship Id="rId34" Type="http://schemas.openxmlformats.org/officeDocument/2006/relationships/image" Target="../media/image23.png"/><Relationship Id="rId42" Type="http://schemas.openxmlformats.org/officeDocument/2006/relationships/image" Target="../media/image29.png"/><Relationship Id="rId47" Type="http://schemas.openxmlformats.org/officeDocument/2006/relationships/image" Target="../media/image34.png"/><Relationship Id="rId50" Type="http://schemas.openxmlformats.org/officeDocument/2006/relationships/image" Target="../media/image36.png"/><Relationship Id="rId55" Type="http://schemas.openxmlformats.org/officeDocument/2006/relationships/hyperlink" Target="#Metrics!A1"/><Relationship Id="rId7" Type="http://schemas.openxmlformats.org/officeDocument/2006/relationships/hyperlink" Target="#'Attendance Sheet'!A1"/><Relationship Id="rId2" Type="http://schemas.openxmlformats.org/officeDocument/2006/relationships/image" Target="../media/image1.png"/><Relationship Id="rId16" Type="http://schemas.openxmlformats.org/officeDocument/2006/relationships/hyperlink" Target="#Occurances!A1"/><Relationship Id="rId29" Type="http://schemas.openxmlformats.org/officeDocument/2006/relationships/image" Target="../media/image20.svg"/><Relationship Id="rId11" Type="http://schemas.openxmlformats.org/officeDocument/2006/relationships/image" Target="../media/image7.png"/><Relationship Id="rId24" Type="http://schemas.openxmlformats.org/officeDocument/2006/relationships/hyperlink" Target="#Training!A1"/><Relationship Id="rId32" Type="http://schemas.openxmlformats.org/officeDocument/2006/relationships/image" Target="../media/image22.svg"/><Relationship Id="rId37" Type="http://schemas.openxmlformats.org/officeDocument/2006/relationships/image" Target="../media/image25.png"/><Relationship Id="rId40" Type="http://schemas.openxmlformats.org/officeDocument/2006/relationships/image" Target="../media/image27.png"/><Relationship Id="rId45" Type="http://schemas.openxmlformats.org/officeDocument/2006/relationships/image" Target="../media/image32.svg"/><Relationship Id="rId53" Type="http://schemas.openxmlformats.org/officeDocument/2006/relationships/image" Target="../media/image38.png"/><Relationship Id="rId5" Type="http://schemas.openxmlformats.org/officeDocument/2006/relationships/image" Target="../media/image3.png"/><Relationship Id="rId19" Type="http://schemas.openxmlformats.org/officeDocument/2006/relationships/image" Target="../media/image13.png"/><Relationship Id="rId4" Type="http://schemas.openxmlformats.org/officeDocument/2006/relationships/hyperlink" Target="#Database!A1"/><Relationship Id="rId9" Type="http://schemas.openxmlformats.org/officeDocument/2006/relationships/image" Target="../media/image6.svg"/><Relationship Id="rId14" Type="http://schemas.openxmlformats.org/officeDocument/2006/relationships/image" Target="../media/image9.png"/><Relationship Id="rId22" Type="http://schemas.openxmlformats.org/officeDocument/2006/relationships/image" Target="../media/image15.png"/><Relationship Id="rId27" Type="http://schemas.openxmlformats.org/officeDocument/2006/relationships/hyperlink" Target="#Time_Card!A1"/><Relationship Id="rId30" Type="http://schemas.openxmlformats.org/officeDocument/2006/relationships/hyperlink" Target="#Contact_Info!A1"/><Relationship Id="rId35" Type="http://schemas.openxmlformats.org/officeDocument/2006/relationships/image" Target="../media/image24.svg"/><Relationship Id="rId43" Type="http://schemas.openxmlformats.org/officeDocument/2006/relationships/image" Target="../media/image30.svg"/><Relationship Id="rId48" Type="http://schemas.openxmlformats.org/officeDocument/2006/relationships/image" Target="../media/image35.svg"/><Relationship Id="rId56" Type="http://schemas.openxmlformats.org/officeDocument/2006/relationships/image" Target="../media/image40.png"/><Relationship Id="rId8" Type="http://schemas.openxmlformats.org/officeDocument/2006/relationships/image" Target="../media/image5.png"/><Relationship Id="rId51" Type="http://schemas.openxmlformats.org/officeDocument/2006/relationships/image" Target="../media/image37.svg"/><Relationship Id="rId3" Type="http://schemas.openxmlformats.org/officeDocument/2006/relationships/image" Target="../media/image2.svg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5" Type="http://schemas.openxmlformats.org/officeDocument/2006/relationships/image" Target="../media/image17.png"/><Relationship Id="rId33" Type="http://schemas.openxmlformats.org/officeDocument/2006/relationships/hyperlink" Target="https://myoffice.accenture.com/personal/ghislain_indama_accenture_com/Documents/Documents/Doc/Universal%20tracker%20project/etc/Quality%20Assessment%20Form_MD%20Front%20Office%20-%20Voice_v6.1.xlsm" TargetMode="External"/><Relationship Id="rId38" Type="http://schemas.openxmlformats.org/officeDocument/2006/relationships/image" Target="../media/image26.svg"/><Relationship Id="rId46" Type="http://schemas.openxmlformats.org/officeDocument/2006/relationships/image" Target="../media/image33.svg"/><Relationship Id="rId20" Type="http://schemas.openxmlformats.org/officeDocument/2006/relationships/image" Target="../media/image14.svg"/><Relationship Id="rId41" Type="http://schemas.openxmlformats.org/officeDocument/2006/relationships/image" Target="../media/image28.svg"/><Relationship Id="rId54" Type="http://schemas.openxmlformats.org/officeDocument/2006/relationships/image" Target="../media/image39.svg"/><Relationship Id="rId1" Type="http://schemas.openxmlformats.org/officeDocument/2006/relationships/hyperlink" Target="#Setting!A1"/><Relationship Id="rId6" Type="http://schemas.openxmlformats.org/officeDocument/2006/relationships/image" Target="../media/image4.svg"/><Relationship Id="rId15" Type="http://schemas.openxmlformats.org/officeDocument/2006/relationships/image" Target="../media/image10.svg"/><Relationship Id="rId23" Type="http://schemas.openxmlformats.org/officeDocument/2006/relationships/image" Target="../media/image16.svg"/><Relationship Id="rId28" Type="http://schemas.openxmlformats.org/officeDocument/2006/relationships/image" Target="../media/image19.png"/><Relationship Id="rId36" Type="http://schemas.openxmlformats.org/officeDocument/2006/relationships/hyperlink" Target="#'One on One'!A1"/><Relationship Id="rId49" Type="http://schemas.openxmlformats.org/officeDocument/2006/relationships/hyperlink" Target="https://myoffice.accenture.com/personal/ghislain_indama_accenture_com/Documents/Documents/Doc/Universal%20tracker%20project/etc/Issue%20Tracker.xlsm" TargetMode="External"/><Relationship Id="rId57" Type="http://schemas.openxmlformats.org/officeDocument/2006/relationships/image" Target="../media/image41.svg"/><Relationship Id="rId10" Type="http://schemas.openxmlformats.org/officeDocument/2006/relationships/hyperlink" Target="#'Employee Master'!A1"/><Relationship Id="rId31" Type="http://schemas.openxmlformats.org/officeDocument/2006/relationships/image" Target="../media/image21.png"/><Relationship Id="rId44" Type="http://schemas.openxmlformats.org/officeDocument/2006/relationships/image" Target="../media/image31.png"/><Relationship Id="rId52" Type="http://schemas.openxmlformats.org/officeDocument/2006/relationships/hyperlink" Target="#Time_card_calcula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Time_Card!A1"/><Relationship Id="rId1" Type="http://schemas.openxmlformats.org/officeDocument/2006/relationships/hyperlink" Target="#Index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svg"/><Relationship Id="rId2" Type="http://schemas.openxmlformats.org/officeDocument/2006/relationships/image" Target="../media/image42.png"/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svg"/><Relationship Id="rId2" Type="http://schemas.openxmlformats.org/officeDocument/2006/relationships/image" Target="../media/image42.png"/><Relationship Id="rId1" Type="http://schemas.openxmlformats.org/officeDocument/2006/relationships/hyperlink" Target="#Index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svg"/><Relationship Id="rId2" Type="http://schemas.openxmlformats.org/officeDocument/2006/relationships/image" Target="../media/image42.png"/><Relationship Id="rId1" Type="http://schemas.openxmlformats.org/officeDocument/2006/relationships/hyperlink" Target="#Ind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svg"/><Relationship Id="rId2" Type="http://schemas.openxmlformats.org/officeDocument/2006/relationships/image" Target="../media/image42.png"/><Relationship Id="rId1" Type="http://schemas.openxmlformats.org/officeDocument/2006/relationships/hyperlink" Target="#Index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svg"/><Relationship Id="rId2" Type="http://schemas.openxmlformats.org/officeDocument/2006/relationships/image" Target="../media/image42.png"/><Relationship Id="rId1" Type="http://schemas.openxmlformats.org/officeDocument/2006/relationships/hyperlink" Target="#Index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492050</xdr:colOff>
      <xdr:row>20</xdr:row>
      <xdr:rowOff>114300</xdr:rowOff>
    </xdr:from>
    <xdr:to>
      <xdr:col>4</xdr:col>
      <xdr:colOff>463250</xdr:colOff>
      <xdr:row>23</xdr:row>
      <xdr:rowOff>101600</xdr:rowOff>
    </xdr:to>
    <xdr:grpSp>
      <xdr:nvGrpSpPr>
        <xdr:cNvPr id="32" name="Group 31">
          <a:hlinkClick xmlns:r="http://schemas.openxmlformats.org/officeDocument/2006/relationships" r:id="rId1" tooltip="Setting Sheet (Manage Attendance List and Month List)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1600" y="4171950"/>
          <a:ext cx="1714275" cy="558800"/>
          <a:chOff x="2686050" y="1670050"/>
          <a:chExt cx="1800000" cy="53975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86050" y="1670050"/>
            <a:ext cx="1800000" cy="53975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Setting             </a:t>
            </a:r>
            <a:r>
              <a:rPr lang="en-IN" sz="1100">
                <a:solidFill>
                  <a:srgbClr val="0070C0"/>
                </a:solidFill>
                <a:latin typeface="+mn-lt"/>
                <a:ea typeface="+mn-ea"/>
                <a:cs typeface="+mn-cs"/>
              </a:rPr>
              <a:t>.</a:t>
            </a:r>
          </a:p>
        </xdr:txBody>
      </xdr:sp>
      <xdr:pic>
        <xdr:nvPicPr>
          <xdr:cNvPr id="21" name="Graphic 20" descr="Gears with solid fill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736850" y="1682750"/>
            <a:ext cx="563549" cy="5143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492050</xdr:colOff>
      <xdr:row>16</xdr:row>
      <xdr:rowOff>166686</xdr:rowOff>
    </xdr:from>
    <xdr:to>
      <xdr:col>4</xdr:col>
      <xdr:colOff>463250</xdr:colOff>
      <xdr:row>19</xdr:row>
      <xdr:rowOff>154236</xdr:rowOff>
    </xdr:to>
    <xdr:grpSp>
      <xdr:nvGrpSpPr>
        <xdr:cNvPr id="31" name="Group 30">
          <a:hlinkClick xmlns:r="http://schemas.openxmlformats.org/officeDocument/2006/relationships" r:id="rId4" tooltip="Database Sheet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701600" y="3462336"/>
          <a:ext cx="1714275" cy="559050"/>
          <a:chOff x="2851150" y="596900"/>
          <a:chExt cx="1800000" cy="5400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851150" y="5969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Database          </a:t>
            </a:r>
            <a:r>
              <a:rPr lang="en-IN" sz="1100">
                <a:solidFill>
                  <a:srgbClr val="0070C0"/>
                </a:solidFill>
                <a:latin typeface="+mn-lt"/>
                <a:ea typeface="+mn-ea"/>
                <a:cs typeface="+mn-cs"/>
              </a:rPr>
              <a:t>.</a:t>
            </a:r>
          </a:p>
        </xdr:txBody>
      </xdr:sp>
      <xdr:pic>
        <xdr:nvPicPr>
          <xdr:cNvPr id="23" name="Graphic 22" descr="Database with solid fill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 l="16929" t="7207" r="15710" b="10154"/>
          <a:stretch/>
        </xdr:blipFill>
        <xdr:spPr>
          <a:xfrm>
            <a:off x="2946401" y="609600"/>
            <a:ext cx="393380" cy="482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492050</xdr:colOff>
      <xdr:row>9</xdr:row>
      <xdr:rowOff>58737</xdr:rowOff>
    </xdr:from>
    <xdr:to>
      <xdr:col>4</xdr:col>
      <xdr:colOff>463250</xdr:colOff>
      <xdr:row>12</xdr:row>
      <xdr:rowOff>46287</xdr:rowOff>
    </xdr:to>
    <xdr:grpSp>
      <xdr:nvGrpSpPr>
        <xdr:cNvPr id="30" name="Group 29">
          <a:hlinkClick xmlns:r="http://schemas.openxmlformats.org/officeDocument/2006/relationships" r:id="rId7" tooltip="View Attendance Sheet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701600" y="2020887"/>
          <a:ext cx="1714275" cy="559050"/>
          <a:chOff x="5505450" y="927100"/>
          <a:chExt cx="1800000" cy="540000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505450" y="9271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Attendance Sheet</a:t>
            </a:r>
          </a:p>
        </xdr:txBody>
      </xdr:sp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 l="14414" t="4692" r="15447" b="6420"/>
          <a:stretch/>
        </xdr:blipFill>
        <xdr:spPr>
          <a:xfrm>
            <a:off x="5537201" y="965200"/>
            <a:ext cx="370780" cy="4699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501575</xdr:colOff>
      <xdr:row>12</xdr:row>
      <xdr:rowOff>190499</xdr:rowOff>
    </xdr:from>
    <xdr:to>
      <xdr:col>4</xdr:col>
      <xdr:colOff>472775</xdr:colOff>
      <xdr:row>16</xdr:row>
      <xdr:rowOff>9525</xdr:rowOff>
    </xdr:to>
    <xdr:grpSp>
      <xdr:nvGrpSpPr>
        <xdr:cNvPr id="34" name="Group 33">
          <a:hlinkClick xmlns:r="http://schemas.openxmlformats.org/officeDocument/2006/relationships" r:id="rId10" tooltip="Employee Master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711125" y="2724149"/>
          <a:ext cx="1714275" cy="581026"/>
          <a:chOff x="431799" y="1416050"/>
          <a:chExt cx="1800000" cy="559050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31799" y="14351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Employee Master</a:t>
            </a:r>
          </a:p>
        </xdr:txBody>
      </xdr:sp>
      <xdr:pic>
        <xdr:nvPicPr>
          <xdr:cNvPr id="27" name="Graphic 26" descr="Employee badge with solid fill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 l="-1" t="10925" r="3878" b="10535"/>
          <a:stretch/>
        </xdr:blipFill>
        <xdr:spPr>
          <a:xfrm>
            <a:off x="437300" y="1416050"/>
            <a:ext cx="629500" cy="5143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501575</xdr:colOff>
      <xdr:row>5</xdr:row>
      <xdr:rowOff>85650</xdr:rowOff>
    </xdr:from>
    <xdr:to>
      <xdr:col>4</xdr:col>
      <xdr:colOff>472775</xdr:colOff>
      <xdr:row>8</xdr:row>
      <xdr:rowOff>89150</xdr:rowOff>
    </xdr:to>
    <xdr:grpSp>
      <xdr:nvGrpSpPr>
        <xdr:cNvPr id="33" name="Group 32">
          <a:hlinkClick xmlns:r="http://schemas.openxmlformats.org/officeDocument/2006/relationships" r:id="rId13" tooltip="Mark Attendance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711125" y="1285800"/>
          <a:ext cx="1714275" cy="575000"/>
          <a:chOff x="419100" y="612700"/>
          <a:chExt cx="1800000" cy="55595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19100" y="62865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IN" sz="1100"/>
              <a:t>Mark Attendance</a:t>
            </a:r>
          </a:p>
        </xdr:txBody>
      </xdr:sp>
      <xdr:pic>
        <xdr:nvPicPr>
          <xdr:cNvPr id="29" name="Graphic 28" descr="Clipboard Mixed with solid fill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22200" y="612700"/>
            <a:ext cx="549350" cy="5493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366713</xdr:colOff>
      <xdr:row>5</xdr:row>
      <xdr:rowOff>104775</xdr:rowOff>
    </xdr:from>
    <xdr:to>
      <xdr:col>11</xdr:col>
      <xdr:colOff>347663</xdr:colOff>
      <xdr:row>8</xdr:row>
      <xdr:rowOff>104774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4214813" y="1304925"/>
          <a:ext cx="1724025" cy="571499"/>
          <a:chOff x="4214813" y="1247775"/>
          <a:chExt cx="1724025" cy="571499"/>
        </a:xfrm>
      </xdr:grpSpPr>
      <xdr:sp macro="" textlink="">
        <xdr:nvSpPr>
          <xdr:cNvPr id="4" name="Rectangle 3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214813" y="1266825"/>
            <a:ext cx="1724025" cy="5524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Occurances</a:t>
            </a:r>
          </a:p>
        </xdr:txBody>
      </xdr:sp>
      <xdr:pic>
        <xdr:nvPicPr>
          <xdr:cNvPr id="3" name="Graphic 2" descr="Briefcase with solid fill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276725" y="1247775"/>
            <a:ext cx="552450" cy="5524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457200</xdr:colOff>
      <xdr:row>9</xdr:row>
      <xdr:rowOff>104775</xdr:rowOff>
    </xdr:from>
    <xdr:to>
      <xdr:col>9</xdr:col>
      <xdr:colOff>390525</xdr:colOff>
      <xdr:row>12</xdr:row>
      <xdr:rowOff>47625</xdr:rowOff>
    </xdr:to>
    <xdr:pic>
      <xdr:nvPicPr>
        <xdr:cNvPr id="86" name="Graphic 10" descr="Mining tools with solid fill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4305300" y="2066925"/>
          <a:ext cx="514350" cy="514350"/>
        </a:xfrm>
        <a:prstGeom prst="rect">
          <a:avLst/>
        </a:prstGeom>
      </xdr:spPr>
    </xdr:pic>
    <xdr:clientData/>
  </xdr:twoCellAnchor>
  <xdr:twoCellAnchor>
    <xdr:from>
      <xdr:col>8</xdr:col>
      <xdr:colOff>314326</xdr:colOff>
      <xdr:row>15</xdr:row>
      <xdr:rowOff>142875</xdr:rowOff>
    </xdr:from>
    <xdr:to>
      <xdr:col>11</xdr:col>
      <xdr:colOff>357189</xdr:colOff>
      <xdr:row>18</xdr:row>
      <xdr:rowOff>161924</xdr:rowOff>
    </xdr:to>
    <xdr:grpSp>
      <xdr:nvGrpSpPr>
        <xdr:cNvPr id="90" name="Group 1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pSpPr/>
      </xdr:nvGrpSpPr>
      <xdr:grpSpPr>
        <a:xfrm>
          <a:off x="4162426" y="3248025"/>
          <a:ext cx="1785938" cy="590549"/>
          <a:chOff x="4191001" y="3514725"/>
          <a:chExt cx="1785938" cy="590549"/>
        </a:xfrm>
      </xdr:grpSpPr>
      <xdr:sp macro="" textlink="">
        <xdr:nvSpPr>
          <xdr:cNvPr id="91" name="Rectangle 2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/>
        </xdr:nvSpPr>
        <xdr:spPr>
          <a:xfrm>
            <a:off x="4191001" y="3514725"/>
            <a:ext cx="1785938" cy="5905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WeekEnd_SignUp</a:t>
            </a:r>
          </a:p>
        </xdr:txBody>
      </xdr:sp>
      <xdr:pic>
        <xdr:nvPicPr>
          <xdr:cNvPr id="92" name="Graphic 14" descr="Daily calendar with solid fill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4276725" y="3552825"/>
            <a:ext cx="523875" cy="5238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314326</xdr:colOff>
      <xdr:row>20</xdr:row>
      <xdr:rowOff>104775</xdr:rowOff>
    </xdr:from>
    <xdr:to>
      <xdr:col>11</xdr:col>
      <xdr:colOff>357189</xdr:colOff>
      <xdr:row>24</xdr:row>
      <xdr:rowOff>85725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62426" y="4162425"/>
          <a:ext cx="1785938" cy="742950"/>
          <a:chOff x="4191001" y="4238625"/>
          <a:chExt cx="1785938" cy="742950"/>
        </a:xfrm>
      </xdr:grpSpPr>
      <xdr:sp macro="" textlink="">
        <xdr:nvSpPr>
          <xdr:cNvPr id="35" name="Rectangle 34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4191001" y="4286251"/>
            <a:ext cx="1785938" cy="600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Training</a:t>
            </a:r>
          </a:p>
        </xdr:txBody>
      </xdr:sp>
      <xdr:pic>
        <xdr:nvPicPr>
          <xdr:cNvPr id="17" name="Graphic 16" descr="Teacher with solid fill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4276724" y="4238625"/>
            <a:ext cx="714375" cy="7429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42863</xdr:colOff>
      <xdr:row>5</xdr:row>
      <xdr:rowOff>76199</xdr:rowOff>
    </xdr:from>
    <xdr:to>
      <xdr:col>18</xdr:col>
      <xdr:colOff>23813</xdr:colOff>
      <xdr:row>9</xdr:row>
      <xdr:rowOff>38100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7586663" y="1276349"/>
          <a:ext cx="1724025" cy="723901"/>
          <a:chOff x="7586663" y="1276349"/>
          <a:chExt cx="1724025" cy="638175"/>
        </a:xfrm>
      </xdr:grpSpPr>
      <xdr:sp macro="" textlink="">
        <xdr:nvSpPr>
          <xdr:cNvPr id="43" name="Rectangle 42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7586663" y="1295401"/>
            <a:ext cx="1724025" cy="5619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Time_Card</a:t>
            </a:r>
          </a:p>
        </xdr:txBody>
      </xdr:sp>
      <xdr:pic>
        <xdr:nvPicPr>
          <xdr:cNvPr id="38" name="Graphic 37" descr="Stopwatch 66% with solid fill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9"/>
              </a:ext>
            </a:extLst>
          </a:blip>
          <a:stretch>
            <a:fillRect/>
          </a:stretch>
        </xdr:blipFill>
        <xdr:spPr>
          <a:xfrm>
            <a:off x="7724775" y="1276349"/>
            <a:ext cx="638175" cy="63817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71438</xdr:colOff>
      <xdr:row>10</xdr:row>
      <xdr:rowOff>152400</xdr:rowOff>
    </xdr:from>
    <xdr:to>
      <xdr:col>18</xdr:col>
      <xdr:colOff>52388</xdr:colOff>
      <xdr:row>14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7615238" y="2305050"/>
          <a:ext cx="1724025" cy="609600"/>
          <a:chOff x="7596188" y="2352675"/>
          <a:chExt cx="1724025" cy="609600"/>
        </a:xfrm>
      </xdr:grpSpPr>
      <xdr:sp macro="" textlink="">
        <xdr:nvSpPr>
          <xdr:cNvPr id="44" name="Rectangle 43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596188" y="2352675"/>
            <a:ext cx="1724025" cy="60959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Contact_Info</a:t>
            </a:r>
          </a:p>
        </xdr:txBody>
      </xdr:sp>
      <xdr:pic>
        <xdr:nvPicPr>
          <xdr:cNvPr id="41" name="Graphic 40" descr="Speaker phone with solid fill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>
            <a:off x="7686675" y="2371725"/>
            <a:ext cx="590550" cy="5905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14288</xdr:colOff>
      <xdr:row>15</xdr:row>
      <xdr:rowOff>133350</xdr:rowOff>
    </xdr:from>
    <xdr:to>
      <xdr:col>17</xdr:col>
      <xdr:colOff>576263</xdr:colOff>
      <xdr:row>19</xdr:row>
      <xdr:rowOff>0</xdr:rowOff>
    </xdr:to>
    <xdr:grpSp>
      <xdr:nvGrpSpPr>
        <xdr:cNvPr id="47" name="Group 46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7558088" y="3238500"/>
          <a:ext cx="1724025" cy="628650"/>
          <a:chOff x="7558088" y="2895600"/>
          <a:chExt cx="1724025" cy="62865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7558088" y="2895600"/>
            <a:ext cx="1724025" cy="6286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QA_Tracker</a:t>
            </a:r>
          </a:p>
        </xdr:txBody>
      </xdr:sp>
      <xdr:pic>
        <xdr:nvPicPr>
          <xdr:cNvPr id="46" name="Graphic 45" descr="Lightbulb and gear with solid fill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7677150" y="2933700"/>
            <a:ext cx="590550" cy="5905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28575</xdr:colOff>
      <xdr:row>20</xdr:row>
      <xdr:rowOff>123825</xdr:rowOff>
    </xdr:from>
    <xdr:to>
      <xdr:col>18</xdr:col>
      <xdr:colOff>9525</xdr:colOff>
      <xdr:row>23</xdr:row>
      <xdr:rowOff>180974</xdr:rowOff>
    </xdr:to>
    <xdr:grpSp>
      <xdr:nvGrpSpPr>
        <xdr:cNvPr id="51" name="Group 5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7572375" y="4181475"/>
          <a:ext cx="1724025" cy="628649"/>
          <a:chOff x="7562850" y="3733800"/>
          <a:chExt cx="1724025" cy="628649"/>
        </a:xfrm>
      </xdr:grpSpPr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7562850" y="3733800"/>
            <a:ext cx="1724025" cy="6286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One</a:t>
            </a:r>
            <a:r>
              <a:rPr lang="en-US" sz="1100" baseline="0"/>
              <a:t> on One</a:t>
            </a:r>
            <a:endParaRPr lang="en-US" sz="1100"/>
          </a:p>
        </xdr:txBody>
      </xdr:sp>
      <xdr:pic>
        <xdr:nvPicPr>
          <xdr:cNvPr id="50" name="Graphic 49" descr="Stethoscope with solid fill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>
            <a:off x="7781925" y="3819524"/>
            <a:ext cx="581025" cy="46672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42863</xdr:colOff>
      <xdr:row>30</xdr:row>
      <xdr:rowOff>104775</xdr:rowOff>
    </xdr:from>
    <xdr:to>
      <xdr:col>18</xdr:col>
      <xdr:colOff>23813</xdr:colOff>
      <xdr:row>33</xdr:row>
      <xdr:rowOff>95249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586663" y="6124575"/>
          <a:ext cx="1724025" cy="561974"/>
          <a:chOff x="7577138" y="6096000"/>
          <a:chExt cx="1724025" cy="561974"/>
        </a:xfrm>
      </xdr:grpSpPr>
      <xdr:sp macro="" textlink="">
        <xdr:nvSpPr>
          <xdr:cNvPr id="71" name="Rectangle 70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7577138" y="6105525"/>
            <a:ext cx="1724025" cy="5524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Todo List</a:t>
            </a:r>
          </a:p>
        </xdr:txBody>
      </xdr:sp>
      <xdr:pic>
        <xdr:nvPicPr>
          <xdr:cNvPr id="53" name="Graphic 52" descr="Clipboard Checked with solid fill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1"/>
              </a:ext>
            </a:extLst>
          </a:blip>
          <a:stretch>
            <a:fillRect/>
          </a:stretch>
        </xdr:blipFill>
        <xdr:spPr>
          <a:xfrm>
            <a:off x="7896225" y="6096000"/>
            <a:ext cx="533400" cy="5334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33338</xdr:colOff>
      <xdr:row>34</xdr:row>
      <xdr:rowOff>66674</xdr:rowOff>
    </xdr:from>
    <xdr:to>
      <xdr:col>18</xdr:col>
      <xdr:colOff>14288</xdr:colOff>
      <xdr:row>37</xdr:row>
      <xdr:rowOff>57149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pSpPr/>
      </xdr:nvGrpSpPr>
      <xdr:grpSpPr>
        <a:xfrm>
          <a:off x="7577138" y="6848474"/>
          <a:ext cx="1724025" cy="561975"/>
          <a:chOff x="7567613" y="6829424"/>
          <a:chExt cx="1724025" cy="561975"/>
        </a:xfrm>
      </xdr:grpSpPr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7567613" y="6858000"/>
            <a:ext cx="1724025" cy="51434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Performance</a:t>
            </a:r>
          </a:p>
        </xdr:txBody>
      </xdr:sp>
      <xdr:pic>
        <xdr:nvPicPr>
          <xdr:cNvPr id="61" name="Graphic 60" descr="Pie chart with solid fill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3"/>
              </a:ext>
            </a:extLst>
          </a:blip>
          <a:stretch>
            <a:fillRect/>
          </a:stretch>
        </xdr:blipFill>
        <xdr:spPr>
          <a:xfrm>
            <a:off x="7791450" y="6829424"/>
            <a:ext cx="561975" cy="56197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33338</xdr:colOff>
      <xdr:row>38</xdr:row>
      <xdr:rowOff>66676</xdr:rowOff>
    </xdr:from>
    <xdr:to>
      <xdr:col>18</xdr:col>
      <xdr:colOff>14288</xdr:colOff>
      <xdr:row>41</xdr:row>
      <xdr:rowOff>47626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7577138" y="7610476"/>
          <a:ext cx="1724025" cy="552450"/>
          <a:chOff x="7577138" y="7610476"/>
          <a:chExt cx="1724025" cy="552450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7577138" y="7610476"/>
            <a:ext cx="1724025" cy="55245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Report</a:t>
            </a:r>
            <a:r>
              <a:rPr lang="en-US" sz="1100" baseline="0"/>
              <a:t> Generator</a:t>
            </a:r>
            <a:endParaRPr lang="en-US" sz="1100"/>
          </a:p>
        </xdr:txBody>
      </xdr:sp>
      <xdr:pic>
        <xdr:nvPicPr>
          <xdr:cNvPr id="77" name="Graphic 76" descr="Photocopier with solid fill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5"/>
              </a:ext>
            </a:extLst>
          </a:blip>
          <a:stretch>
            <a:fillRect/>
          </a:stretch>
        </xdr:blipFill>
        <xdr:spPr>
          <a:xfrm>
            <a:off x="7600950" y="7629524"/>
            <a:ext cx="523875" cy="52387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23813</xdr:colOff>
      <xdr:row>42</xdr:row>
      <xdr:rowOff>28574</xdr:rowOff>
    </xdr:from>
    <xdr:to>
      <xdr:col>18</xdr:col>
      <xdr:colOff>4763</xdr:colOff>
      <xdr:row>45</xdr:row>
      <xdr:rowOff>76199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7567613" y="8334374"/>
          <a:ext cx="1724025" cy="619125"/>
          <a:chOff x="7567613" y="8334374"/>
          <a:chExt cx="1724025" cy="619125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>
            <a:off x="7567613" y="8353426"/>
            <a:ext cx="1724025" cy="571499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DataBase</a:t>
            </a:r>
          </a:p>
        </xdr:txBody>
      </xdr:sp>
      <xdr:pic>
        <xdr:nvPicPr>
          <xdr:cNvPr id="80" name="Graphic 79" descr="Database with solid fill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6"/>
              </a:ext>
            </a:extLst>
          </a:blip>
          <a:stretch>
            <a:fillRect/>
          </a:stretch>
        </xdr:blipFill>
        <xdr:spPr>
          <a:xfrm>
            <a:off x="7820025" y="83343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42863</xdr:colOff>
      <xdr:row>45</xdr:row>
      <xdr:rowOff>142874</xdr:rowOff>
    </xdr:from>
    <xdr:to>
      <xdr:col>18</xdr:col>
      <xdr:colOff>23813</xdr:colOff>
      <xdr:row>49</xdr:row>
      <xdr:rowOff>57149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pSpPr/>
      </xdr:nvGrpSpPr>
      <xdr:grpSpPr>
        <a:xfrm>
          <a:off x="7586663" y="9020174"/>
          <a:ext cx="1724025" cy="676275"/>
          <a:chOff x="7586663" y="9048749"/>
          <a:chExt cx="1724025" cy="676275"/>
        </a:xfrm>
      </xdr:grpSpPr>
      <xdr:sp macro="" textlink="">
        <xdr:nvSpPr>
          <xdr:cNvPr id="75" name="Rectangle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7586663" y="9115425"/>
            <a:ext cx="1724025" cy="542925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</a:t>
            </a:r>
            <a:r>
              <a:rPr lang="en-US" sz="1100" baseline="0"/>
              <a:t>   </a:t>
            </a:r>
            <a:r>
              <a:rPr lang="en-US" sz="1100"/>
              <a:t> Settings</a:t>
            </a:r>
          </a:p>
        </xdr:txBody>
      </xdr:sp>
      <xdr:pic>
        <xdr:nvPicPr>
          <xdr:cNvPr id="83" name="Graphic 82" descr="Single gear with solid fill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8"/>
              </a:ext>
            </a:extLst>
          </a:blip>
          <a:stretch>
            <a:fillRect/>
          </a:stretch>
        </xdr:blipFill>
        <xdr:spPr>
          <a:xfrm>
            <a:off x="7772400" y="9048749"/>
            <a:ext cx="676275" cy="6762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357188</xdr:colOff>
      <xdr:row>10</xdr:row>
      <xdr:rowOff>114301</xdr:rowOff>
    </xdr:from>
    <xdr:to>
      <xdr:col>11</xdr:col>
      <xdr:colOff>338138</xdr:colOff>
      <xdr:row>13</xdr:row>
      <xdr:rowOff>123825</xdr:rowOff>
    </xdr:to>
    <xdr:grpSp>
      <xdr:nvGrpSpPr>
        <xdr:cNvPr id="11" name="Group 10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4205288" y="2266951"/>
          <a:ext cx="1724025" cy="581024"/>
          <a:chOff x="4233863" y="2028826"/>
          <a:chExt cx="1724025" cy="581024"/>
        </a:xfrm>
      </xdr:grpSpPr>
      <xdr:sp macro="" textlink="">
        <xdr:nvSpPr>
          <xdr:cNvPr id="60" name="Rectangle 23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4233863" y="2028826"/>
            <a:ext cx="1724025" cy="58102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Tech_Issues</a:t>
            </a:r>
          </a:p>
        </xdr:txBody>
      </xdr:sp>
      <xdr:pic>
        <xdr:nvPicPr>
          <xdr:cNvPr id="10" name="Graphic 9" descr="Mining tools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1"/>
              </a:ext>
            </a:extLst>
          </a:blip>
          <a:stretch>
            <a:fillRect/>
          </a:stretch>
        </xdr:blipFill>
        <xdr:spPr>
          <a:xfrm>
            <a:off x="4352925" y="2047874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30</xdr:row>
      <xdr:rowOff>95250</xdr:rowOff>
    </xdr:from>
    <xdr:to>
      <xdr:col>11</xdr:col>
      <xdr:colOff>366713</xdr:colOff>
      <xdr:row>33</xdr:row>
      <xdr:rowOff>76200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4233863" y="6115050"/>
          <a:ext cx="1724025" cy="552450"/>
          <a:chOff x="4205288" y="6858000"/>
          <a:chExt cx="1724025" cy="552450"/>
        </a:xfrm>
      </xdr:grpSpPr>
      <xdr:sp macro="" textlink="">
        <xdr:nvSpPr>
          <xdr:cNvPr id="67" name="Rectangle 66">
            <a:hlinkClick xmlns:r="http://schemas.openxmlformats.org/officeDocument/2006/relationships" r:id="rId52"/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4205288" y="6858000"/>
            <a:ext cx="1724025" cy="55245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 TimeCard Calc</a:t>
            </a:r>
          </a:p>
        </xdr:txBody>
      </xdr:sp>
      <xdr:pic>
        <xdr:nvPicPr>
          <xdr:cNvPr id="13" name="Graphic 12" descr="Mathematics with solid fill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4"/>
              </a:ext>
            </a:extLst>
          </a:blip>
          <a:stretch>
            <a:fillRect/>
          </a:stretch>
        </xdr:blipFill>
        <xdr:spPr>
          <a:xfrm>
            <a:off x="4381500" y="6896099"/>
            <a:ext cx="504825" cy="50482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361950</xdr:colOff>
      <xdr:row>34</xdr:row>
      <xdr:rowOff>133350</xdr:rowOff>
    </xdr:from>
    <xdr:to>
      <xdr:col>11</xdr:col>
      <xdr:colOff>409575</xdr:colOff>
      <xdr:row>38</xdr:row>
      <xdr:rowOff>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210050" y="6915150"/>
          <a:ext cx="1790700" cy="628650"/>
          <a:chOff x="4238625" y="6991350"/>
          <a:chExt cx="1790700" cy="628650"/>
        </a:xfrm>
      </xdr:grpSpPr>
      <xdr:sp macro="" textlink="">
        <xdr:nvSpPr>
          <xdr:cNvPr id="85" name="Rectangle 84">
            <a:hlinkClick xmlns:r="http://schemas.openxmlformats.org/officeDocument/2006/relationships" r:id="rId55"/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4238625" y="6991350"/>
            <a:ext cx="1790700" cy="62865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            Metrics</a:t>
            </a:r>
            <a:r>
              <a:rPr lang="en-US" sz="1100" baseline="0"/>
              <a:t> Report</a:t>
            </a:r>
            <a:endParaRPr lang="en-US" sz="1100"/>
          </a:p>
        </xdr:txBody>
      </xdr:sp>
      <xdr:pic>
        <xdr:nvPicPr>
          <xdr:cNvPr id="20" name="Graphic 19" descr="Bar chart with solid fill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7"/>
              </a:ext>
            </a:extLst>
          </a:blip>
          <a:stretch>
            <a:fillRect/>
          </a:stretch>
        </xdr:blipFill>
        <xdr:spPr>
          <a:xfrm>
            <a:off x="4448175" y="7038974"/>
            <a:ext cx="571500" cy="57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309202</xdr:colOff>
      <xdr:row>33</xdr:row>
      <xdr:rowOff>48227</xdr:rowOff>
    </xdr:from>
    <xdr:to>
      <xdr:col>17</xdr:col>
      <xdr:colOff>116551</xdr:colOff>
      <xdr:row>35</xdr:row>
      <xdr:rowOff>138173</xdr:rowOff>
    </xdr:to>
    <xdr:sp macro="[0]!Send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581734" y="7161835"/>
          <a:ext cx="1796747" cy="5239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Send  </a:t>
          </a:r>
          <a:r>
            <a:rPr lang="en-US" sz="1800" b="1"/>
            <a:t>Email</a:t>
          </a:r>
        </a:p>
      </xdr:txBody>
    </xdr:sp>
    <xdr:clientData/>
  </xdr:twoCellAnchor>
  <xdr:twoCellAnchor>
    <xdr:from>
      <xdr:col>14</xdr:col>
      <xdr:colOff>325278</xdr:colOff>
      <xdr:row>36</xdr:row>
      <xdr:rowOff>163250</xdr:rowOff>
    </xdr:from>
    <xdr:to>
      <xdr:col>17</xdr:col>
      <xdr:colOff>132627</xdr:colOff>
      <xdr:row>39</xdr:row>
      <xdr:rowOff>96455</xdr:rowOff>
    </xdr:to>
    <xdr:sp macro="[0]!Clear_content_Metric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597810" y="7903820"/>
          <a:ext cx="1796747" cy="5239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/>
            <a:t>Clear</a:t>
          </a:r>
          <a:r>
            <a:rPr lang="en-US" sz="1800" b="0" baseline="0"/>
            <a:t> Content</a:t>
          </a:r>
          <a:endParaRPr lang="en-US" sz="1800" b="1"/>
        </a:p>
      </xdr:txBody>
    </xdr:sp>
    <xdr:clientData/>
  </xdr:twoCellAnchor>
  <xdr:twoCellAnchor>
    <xdr:from>
      <xdr:col>14</xdr:col>
      <xdr:colOff>349392</xdr:colOff>
      <xdr:row>40</xdr:row>
      <xdr:rowOff>168798</xdr:rowOff>
    </xdr:from>
    <xdr:to>
      <xdr:col>17</xdr:col>
      <xdr:colOff>156741</xdr:colOff>
      <xdr:row>43</xdr:row>
      <xdr:rowOff>114060</xdr:rowOff>
    </xdr:to>
    <xdr:sp macro="[0]!Unprotect_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621924" y="8705127"/>
          <a:ext cx="1796747" cy="5239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/>
            <a:t>Unprotect</a:t>
          </a:r>
          <a:endParaRPr lang="en-US" sz="1800" b="1"/>
        </a:p>
      </xdr:txBody>
    </xdr:sp>
    <xdr:clientData/>
  </xdr:twoCellAnchor>
  <xdr:twoCellAnchor>
    <xdr:from>
      <xdr:col>14</xdr:col>
      <xdr:colOff>337594</xdr:colOff>
      <xdr:row>45</xdr:row>
      <xdr:rowOff>54737</xdr:rowOff>
    </xdr:from>
    <xdr:to>
      <xdr:col>17</xdr:col>
      <xdr:colOff>144943</xdr:colOff>
      <xdr:row>47</xdr:row>
      <xdr:rowOff>204967</xdr:rowOff>
    </xdr:to>
    <xdr:sp macro="[0]!Samp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610126" y="9531509"/>
          <a:ext cx="1796747" cy="5360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/>
            <a:t>Export</a:t>
          </a:r>
          <a:endParaRPr lang="en-US" sz="1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31</xdr:row>
      <xdr:rowOff>104775</xdr:rowOff>
    </xdr:from>
    <xdr:to>
      <xdr:col>0</xdr:col>
      <xdr:colOff>1095375</xdr:colOff>
      <xdr:row>34</xdr:row>
      <xdr:rowOff>66675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4300" y="6210300"/>
          <a:ext cx="981075" cy="5334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0</xdr:row>
      <xdr:rowOff>180975</xdr:rowOff>
    </xdr:from>
    <xdr:to>
      <xdr:col>7</xdr:col>
      <xdr:colOff>180975</xdr:colOff>
      <xdr:row>3</xdr:row>
      <xdr:rowOff>114300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543925" y="180975"/>
          <a:ext cx="1162050" cy="5143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  <xdr:twoCellAnchor>
    <xdr:from>
      <xdr:col>5</xdr:col>
      <xdr:colOff>495300</xdr:colOff>
      <xdr:row>5</xdr:row>
      <xdr:rowOff>104775</xdr:rowOff>
    </xdr:from>
    <xdr:to>
      <xdr:col>9</xdr:col>
      <xdr:colOff>361950</xdr:colOff>
      <xdr:row>20</xdr:row>
      <xdr:rowOff>66675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8286750" y="1066800"/>
          <a:ext cx="2400300" cy="2819400"/>
          <a:chOff x="7743825" y="1533525"/>
          <a:chExt cx="2914650" cy="281940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7743825" y="1533525"/>
            <a:ext cx="291465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7753350" y="1543050"/>
            <a:ext cx="2886075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xdr:twoCellAnchor>
    <xdr:from>
      <xdr:col>6</xdr:col>
      <xdr:colOff>0</xdr:colOff>
      <xdr:row>12</xdr:row>
      <xdr:rowOff>152401</xdr:rowOff>
    </xdr:from>
    <xdr:to>
      <xdr:col>9</xdr:col>
      <xdr:colOff>95250</xdr:colOff>
      <xdr:row>15</xdr:row>
      <xdr:rowOff>19050</xdr:rowOff>
    </xdr:to>
    <xdr:sp macro="[0]!Export_column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010525" y="2447926"/>
          <a:ext cx="2314575" cy="43814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       EXPORT   </a:t>
          </a:r>
          <a:r>
            <a:rPr lang="en-US" sz="1100" baseline="0"/>
            <a:t> HOURS    TIMECARD</a:t>
          </a:r>
          <a:endParaRPr lang="en-US" sz="1100"/>
        </a:p>
      </xdr:txBody>
    </xdr:sp>
    <xdr:clientData/>
  </xdr:twoCellAnchor>
  <xdr:twoCellAnchor>
    <xdr:from>
      <xdr:col>12</xdr:col>
      <xdr:colOff>466725</xdr:colOff>
      <xdr:row>2</xdr:row>
      <xdr:rowOff>123825</xdr:rowOff>
    </xdr:from>
    <xdr:to>
      <xdr:col>19</xdr:col>
      <xdr:colOff>133350</xdr:colOff>
      <xdr:row>23</xdr:row>
      <xdr:rowOff>133350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3039725" y="514350"/>
          <a:ext cx="3933825" cy="40100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INSTRUCTIONS</a:t>
          </a:r>
          <a:r>
            <a:rPr lang="en-US" sz="1100"/>
            <a:t>:</a:t>
          </a:r>
        </a:p>
        <a:p>
          <a:pPr algn="l"/>
          <a:endParaRPr lang="en-US" sz="1100"/>
        </a:p>
        <a:p>
          <a:pPr algn="l"/>
          <a:r>
            <a:rPr lang="en-US" sz="1100"/>
            <a:t>1) Download</a:t>
          </a:r>
          <a:r>
            <a:rPr lang="en-US" sz="1100" baseline="0"/>
            <a:t> the History report from AWS . 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2) It will be downloaded  as csv file contain data 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3) Make sure you copy the exact data from that spreadsheet.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4) The calculator has been Made to do the neccessary conversion to give you accurate hours.</a:t>
          </a:r>
        </a:p>
        <a:p>
          <a:pPr algn="l"/>
          <a:r>
            <a:rPr lang="en-US" sz="1100" baseline="0"/>
            <a:t>5)Copy the data in the generated Hours on column D to E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6) Then click Export.</a:t>
          </a:r>
        </a:p>
      </xdr:txBody>
    </xdr:sp>
    <xdr:clientData/>
  </xdr:twoCellAnchor>
  <xdr:twoCellAnchor>
    <xdr:from>
      <xdr:col>6</xdr:col>
      <xdr:colOff>9525</xdr:colOff>
      <xdr:row>9</xdr:row>
      <xdr:rowOff>104775</xdr:rowOff>
    </xdr:from>
    <xdr:to>
      <xdr:col>9</xdr:col>
      <xdr:colOff>95250</xdr:colOff>
      <xdr:row>12</xdr:row>
      <xdr:rowOff>19050</xdr:rowOff>
    </xdr:to>
    <xdr:sp macro="[0]!Clear_conten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286625" y="1828800"/>
          <a:ext cx="1914525" cy="4857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Content</a:t>
          </a:r>
        </a:p>
      </xdr:txBody>
    </xdr:sp>
    <xdr:clientData/>
  </xdr:twoCellAnchor>
  <xdr:twoCellAnchor>
    <xdr:from>
      <xdr:col>7</xdr:col>
      <xdr:colOff>504825</xdr:colOff>
      <xdr:row>0</xdr:row>
      <xdr:rowOff>180975</xdr:rowOff>
    </xdr:from>
    <xdr:to>
      <xdr:col>9</xdr:col>
      <xdr:colOff>361950</xdr:colOff>
      <xdr:row>3</xdr:row>
      <xdr:rowOff>152400</xdr:rowOff>
    </xdr:to>
    <xdr:sp macro="" textlink="">
      <xdr:nvSpPr>
        <xdr:cNvPr id="9" name="Arrow: Right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0029825" y="180975"/>
          <a:ext cx="1076325" cy="552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Time_Card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0</xdr:row>
      <xdr:rowOff>76200</xdr:rowOff>
    </xdr:from>
    <xdr:to>
      <xdr:col>12</xdr:col>
      <xdr:colOff>6858</xdr:colOff>
      <xdr:row>2</xdr:row>
      <xdr:rowOff>179832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962775" y="76200"/>
          <a:ext cx="816483" cy="48463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  <xdr:twoCellAnchor>
    <xdr:from>
      <xdr:col>12</xdr:col>
      <xdr:colOff>142875</xdr:colOff>
      <xdr:row>4</xdr:row>
      <xdr:rowOff>133350</xdr:rowOff>
    </xdr:from>
    <xdr:to>
      <xdr:col>16</xdr:col>
      <xdr:colOff>104775</xdr:colOff>
      <xdr:row>19</xdr:row>
      <xdr:rowOff>95250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8972550" y="895350"/>
          <a:ext cx="2400300" cy="2819400"/>
          <a:chOff x="7743825" y="1533525"/>
          <a:chExt cx="2914650" cy="2819400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7743825" y="1533525"/>
            <a:ext cx="2914650" cy="2819400"/>
          </a:xfrm>
          <a:prstGeom prst="rect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7753350" y="1543050"/>
            <a:ext cx="2886075" cy="6381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/>
              <a:t>HELP</a:t>
            </a:r>
            <a:r>
              <a:rPr lang="en-US" sz="2400" b="1" baseline="0"/>
              <a:t> / </a:t>
            </a:r>
            <a:r>
              <a:rPr lang="en-US" sz="2400" b="1"/>
              <a:t>TOOLS</a:t>
            </a:r>
          </a:p>
        </xdr:txBody>
      </xdr:sp>
    </xdr:grpSp>
    <xdr:clientData/>
  </xdr:twoCellAnchor>
  <xdr:twoCellAnchor>
    <xdr:from>
      <xdr:col>12</xdr:col>
      <xdr:colOff>371475</xdr:colOff>
      <xdr:row>9</xdr:row>
      <xdr:rowOff>47625</xdr:rowOff>
    </xdr:from>
    <xdr:to>
      <xdr:col>15</xdr:col>
      <xdr:colOff>457200</xdr:colOff>
      <xdr:row>11</xdr:row>
      <xdr:rowOff>152400</xdr:rowOff>
    </xdr:to>
    <xdr:sp macro="[0]!Clear_content_two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201150" y="1762125"/>
          <a:ext cx="1914525" cy="4857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Content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104775</xdr:colOff>
      <xdr:row>0</xdr:row>
      <xdr:rowOff>142875</xdr:rowOff>
    </xdr:from>
    <xdr:to>
      <xdr:col>18</xdr:col>
      <xdr:colOff>514350</xdr:colOff>
      <xdr:row>3</xdr:row>
      <xdr:rowOff>133350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467975" y="142875"/>
          <a:ext cx="1019175" cy="5619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38099</xdr:rowOff>
    </xdr:from>
    <xdr:to>
      <xdr:col>8</xdr:col>
      <xdr:colOff>428625</xdr:colOff>
      <xdr:row>2</xdr:row>
      <xdr:rowOff>161924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478000" y="38099"/>
          <a:ext cx="1019175" cy="5048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Back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114300</xdr:colOff>
      <xdr:row>1</xdr:row>
      <xdr:rowOff>152400</xdr:rowOff>
    </xdr:from>
    <xdr:to>
      <xdr:col>17</xdr:col>
      <xdr:colOff>190500</xdr:colOff>
      <xdr:row>5</xdr:row>
      <xdr:rowOff>95250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58300" y="342900"/>
          <a:ext cx="129540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209550</xdr:colOff>
      <xdr:row>1</xdr:row>
      <xdr:rowOff>95251</xdr:rowOff>
    </xdr:from>
    <xdr:to>
      <xdr:col>17</xdr:col>
      <xdr:colOff>133349</xdr:colOff>
      <xdr:row>4</xdr:row>
      <xdr:rowOff>114301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353550" y="285751"/>
          <a:ext cx="1142999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76201</xdr:colOff>
      <xdr:row>1</xdr:row>
      <xdr:rowOff>123826</xdr:rowOff>
    </xdr:from>
    <xdr:to>
      <xdr:col>17</xdr:col>
      <xdr:colOff>38101</xdr:colOff>
      <xdr:row>5</xdr:row>
      <xdr:rowOff>47626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220201" y="314326"/>
          <a:ext cx="1181100" cy="685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69850</xdr:rowOff>
    </xdr:from>
    <xdr:to>
      <xdr:col>1</xdr:col>
      <xdr:colOff>370083</xdr:colOff>
      <xdr:row>1</xdr:row>
      <xdr:rowOff>158750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71450" y="69850"/>
          <a:ext cx="1068583" cy="292100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Refresh</a:t>
          </a:r>
        </a:p>
      </xdr:txBody>
    </xdr:sp>
    <xdr:clientData/>
  </xdr:twoCellAnchor>
  <xdr:twoCellAnchor editAs="absolute">
    <xdr:from>
      <xdr:col>1</xdr:col>
      <xdr:colOff>501650</xdr:colOff>
      <xdr:row>0</xdr:row>
      <xdr:rowOff>82550</xdr:rowOff>
    </xdr:from>
    <xdr:to>
      <xdr:col>2</xdr:col>
      <xdr:colOff>603250</xdr:colOff>
      <xdr:row>1</xdr:row>
      <xdr:rowOff>146050</xdr:rowOff>
    </xdr:to>
    <xdr:sp macro="[0]!Mark_Attendan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71600" y="82550"/>
          <a:ext cx="1225550" cy="266700"/>
        </a:xfrm>
        <a:prstGeom prst="roundRect">
          <a:avLst>
            <a:gd name="adj" fmla="val 5000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Mark Attendence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714375</xdr:colOff>
          <xdr:row>0</xdr:row>
          <xdr:rowOff>123825</xdr:rowOff>
        </xdr:from>
        <xdr:to>
          <xdr:col>5</xdr:col>
          <xdr:colOff>142875</xdr:colOff>
          <xdr:row>1</xdr:row>
          <xdr:rowOff>123825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A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Update data when already exist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628650</xdr:colOff>
      <xdr:row>0</xdr:row>
      <xdr:rowOff>63501</xdr:rowOff>
    </xdr:from>
    <xdr:to>
      <xdr:col>8</xdr:col>
      <xdr:colOff>337946</xdr:colOff>
      <xdr:row>1</xdr:row>
      <xdr:rowOff>184151</xdr:rowOff>
    </xdr:to>
    <xdr:pic>
      <xdr:nvPicPr>
        <xdr:cNvPr id="5" name="Graphic 4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6521450" y="63501"/>
          <a:ext cx="483996" cy="3238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31750</xdr:colOff>
      <xdr:row>0</xdr:row>
      <xdr:rowOff>25400</xdr:rowOff>
    </xdr:from>
    <xdr:to>
      <xdr:col>4</xdr:col>
      <xdr:colOff>515746</xdr:colOff>
      <xdr:row>0</xdr:row>
      <xdr:rowOff>349250</xdr:rowOff>
    </xdr:to>
    <xdr:pic>
      <xdr:nvPicPr>
        <xdr:cNvPr id="2" name="Graphic 1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3917950" y="25400"/>
          <a:ext cx="483996" cy="3238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12700</xdr:rowOff>
    </xdr:from>
    <xdr:to>
      <xdr:col>7</xdr:col>
      <xdr:colOff>522096</xdr:colOff>
      <xdr:row>0</xdr:row>
      <xdr:rowOff>336550</xdr:rowOff>
    </xdr:to>
    <xdr:pic>
      <xdr:nvPicPr>
        <xdr:cNvPr id="2" name="Graphic 1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7543800" y="12700"/>
          <a:ext cx="483996" cy="3238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69850</xdr:colOff>
      <xdr:row>0</xdr:row>
      <xdr:rowOff>25400</xdr:rowOff>
    </xdr:from>
    <xdr:to>
      <xdr:col>35</xdr:col>
      <xdr:colOff>71246</xdr:colOff>
      <xdr:row>2</xdr:row>
      <xdr:rowOff>76200</xdr:rowOff>
    </xdr:to>
    <xdr:pic>
      <xdr:nvPicPr>
        <xdr:cNvPr id="3" name="Graphic 2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10160000" y="25400"/>
          <a:ext cx="483996" cy="3238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31750</xdr:colOff>
      <xdr:row>0</xdr:row>
      <xdr:rowOff>31750</xdr:rowOff>
    </xdr:from>
    <xdr:to>
      <xdr:col>9</xdr:col>
      <xdr:colOff>515746</xdr:colOff>
      <xdr:row>1</xdr:row>
      <xdr:rowOff>165100</xdr:rowOff>
    </xdr:to>
    <xdr:pic>
      <xdr:nvPicPr>
        <xdr:cNvPr id="2" name="Graphic 1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5251450" y="31750"/>
          <a:ext cx="483996" cy="323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makaylin9@gmail.com" TargetMode="External"/><Relationship Id="rId13" Type="http://schemas.openxmlformats.org/officeDocument/2006/relationships/hyperlink" Target="mailto:jackie.hope3@gmail.com" TargetMode="External"/><Relationship Id="rId18" Type="http://schemas.openxmlformats.org/officeDocument/2006/relationships/hyperlink" Target="mailto:opwat1@msn.com" TargetMode="External"/><Relationship Id="rId3" Type="http://schemas.openxmlformats.org/officeDocument/2006/relationships/hyperlink" Target="mailto:judygombert@gmail.com" TargetMode="External"/><Relationship Id="rId21" Type="http://schemas.openxmlformats.org/officeDocument/2006/relationships/drawing" Target="../drawings/drawing7.xml"/><Relationship Id="rId7" Type="http://schemas.openxmlformats.org/officeDocument/2006/relationships/hyperlink" Target="mailto:naomimonye8@gmail.com" TargetMode="External"/><Relationship Id="rId12" Type="http://schemas.openxmlformats.org/officeDocument/2006/relationships/hyperlink" Target="mailto:alexissabeyta24@gmail.com" TargetMode="External"/><Relationship Id="rId17" Type="http://schemas.openxmlformats.org/officeDocument/2006/relationships/hyperlink" Target="mailto:irenedvsn@yahoo.com" TargetMode="External"/><Relationship Id="rId2" Type="http://schemas.openxmlformats.org/officeDocument/2006/relationships/hyperlink" Target="mailto:ulrich@iqcodec.tech" TargetMode="External"/><Relationship Id="rId16" Type="http://schemas.openxmlformats.org/officeDocument/2006/relationships/hyperlink" Target="mailto:elizabethgg9@yahoo.com" TargetMode="External"/><Relationship Id="rId20" Type="http://schemas.openxmlformats.org/officeDocument/2006/relationships/printerSettings" Target="../printerSettings/printerSettings7.bin"/><Relationship Id="rId1" Type="http://schemas.openxmlformats.org/officeDocument/2006/relationships/hyperlink" Target="mailto:briannasmercer@gmail.com" TargetMode="External"/><Relationship Id="rId6" Type="http://schemas.openxmlformats.org/officeDocument/2006/relationships/hyperlink" Target="mailto:Catera.078@gmail.com" TargetMode="External"/><Relationship Id="rId11" Type="http://schemas.openxmlformats.org/officeDocument/2006/relationships/hyperlink" Target="mailto:Sha8684@gmail.com" TargetMode="External"/><Relationship Id="rId5" Type="http://schemas.openxmlformats.org/officeDocument/2006/relationships/hyperlink" Target="mailto:kevinalmighty24@gmail.com" TargetMode="External"/><Relationship Id="rId15" Type="http://schemas.openxmlformats.org/officeDocument/2006/relationships/hyperlink" Target="mailto:dyasiadavis54@gmail.com" TargetMode="External"/><Relationship Id="rId10" Type="http://schemas.openxmlformats.org/officeDocument/2006/relationships/hyperlink" Target="mailto:praldeja@yahoo.com" TargetMode="External"/><Relationship Id="rId19" Type="http://schemas.openxmlformats.org/officeDocument/2006/relationships/hyperlink" Target="mailto:ramonehorst@att.net" TargetMode="External"/><Relationship Id="rId4" Type="http://schemas.openxmlformats.org/officeDocument/2006/relationships/hyperlink" Target="mailto:shunta.fincher@gmail.com" TargetMode="External"/><Relationship Id="rId9" Type="http://schemas.openxmlformats.org/officeDocument/2006/relationships/hyperlink" Target="mailto:raileytahlor@gmail.com" TargetMode="External"/><Relationship Id="rId14" Type="http://schemas.openxmlformats.org/officeDocument/2006/relationships/hyperlink" Target="mailto:irene.hurt92@gmail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20A9A-3E3C-4173-B495-210215DD925D}">
  <sheetPr codeName="Sheet6"/>
  <dimension ref="A1:BQ365"/>
  <sheetViews>
    <sheetView showGridLines="0" topLeftCell="A11" workbookViewId="0">
      <selection activeCell="K102" sqref="K102"/>
    </sheetView>
  </sheetViews>
  <sheetFormatPr defaultColWidth="8.7109375" defaultRowHeight="15" x14ac:dyDescent="0.25"/>
  <cols>
    <col min="1" max="1" width="3.140625" customWidth="1"/>
    <col min="2" max="6" width="8.7109375" customWidth="1"/>
    <col min="7" max="7" width="2.28515625" customWidth="1"/>
    <col min="14" max="14" width="3.140625" customWidth="1"/>
    <col min="20" max="20" width="3.42578125" customWidth="1"/>
  </cols>
  <sheetData>
    <row r="1" spans="1:6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</row>
    <row r="2" spans="1:69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</row>
    <row r="3" spans="1:69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</row>
    <row r="4" spans="1:69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</row>
    <row r="5" spans="1:69" s="26" customFormat="1" ht="35.1" customHeight="1" x14ac:dyDescent="0.25">
      <c r="A5" s="99" t="s">
        <v>0</v>
      </c>
      <c r="B5" s="99"/>
      <c r="C5" s="99"/>
      <c r="D5" s="99"/>
      <c r="E5" s="99"/>
      <c r="F5" s="99"/>
      <c r="G5" s="28"/>
      <c r="H5" s="99" t="s">
        <v>1</v>
      </c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28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</row>
    <row r="6" spans="1:69" x14ac:dyDescent="0.25">
      <c r="A6" s="27"/>
      <c r="G6" s="27"/>
      <c r="N6" s="27"/>
      <c r="T6" s="27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</row>
    <row r="7" spans="1:69" x14ac:dyDescent="0.25">
      <c r="A7" s="27"/>
      <c r="G7" s="27"/>
      <c r="N7" s="27"/>
      <c r="T7" s="27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</row>
    <row r="8" spans="1:69" x14ac:dyDescent="0.25">
      <c r="A8" s="27"/>
      <c r="G8" s="27"/>
      <c r="N8" s="27"/>
      <c r="T8" s="27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</row>
    <row r="9" spans="1:69" x14ac:dyDescent="0.25">
      <c r="A9" s="27"/>
      <c r="G9" s="27"/>
      <c r="N9" s="27"/>
      <c r="T9" s="27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</row>
    <row r="10" spans="1:69" x14ac:dyDescent="0.25">
      <c r="A10" s="27"/>
      <c r="G10" s="27"/>
      <c r="N10" s="27"/>
      <c r="T10" s="27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</row>
    <row r="11" spans="1:69" x14ac:dyDescent="0.25">
      <c r="A11" s="27"/>
      <c r="G11" s="27"/>
      <c r="N11" s="27"/>
      <c r="T11" s="27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</row>
    <row r="12" spans="1:69" x14ac:dyDescent="0.25">
      <c r="A12" s="27"/>
      <c r="G12" s="27"/>
      <c r="N12" s="27"/>
      <c r="T12" s="27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</row>
    <row r="13" spans="1:69" x14ac:dyDescent="0.25">
      <c r="A13" s="27"/>
      <c r="G13" s="27"/>
      <c r="N13" s="27"/>
      <c r="T13" s="27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</row>
    <row r="14" spans="1:69" x14ac:dyDescent="0.25">
      <c r="A14" s="27"/>
      <c r="G14" s="27"/>
      <c r="N14" s="27"/>
      <c r="T14" s="27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</row>
    <row r="15" spans="1:69" x14ac:dyDescent="0.25">
      <c r="A15" s="27"/>
      <c r="G15" s="27"/>
      <c r="N15" s="27"/>
      <c r="T15" s="27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</row>
    <row r="16" spans="1:69" x14ac:dyDescent="0.25">
      <c r="A16" s="27"/>
      <c r="G16" s="27"/>
      <c r="N16" s="27"/>
      <c r="T16" s="27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</row>
    <row r="17" spans="1:69" x14ac:dyDescent="0.25">
      <c r="A17" s="27"/>
      <c r="G17" s="27"/>
      <c r="N17" s="27"/>
      <c r="T17" s="27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</row>
    <row r="18" spans="1:69" x14ac:dyDescent="0.25">
      <c r="A18" s="27"/>
      <c r="G18" s="27"/>
      <c r="N18" s="27"/>
      <c r="T18" s="27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</row>
    <row r="19" spans="1:69" x14ac:dyDescent="0.25">
      <c r="A19" s="27"/>
      <c r="G19" s="27"/>
      <c r="N19" s="27"/>
      <c r="T19" s="27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</row>
    <row r="20" spans="1:69" x14ac:dyDescent="0.25">
      <c r="A20" s="27"/>
      <c r="G20" s="27"/>
      <c r="N20" s="27"/>
      <c r="T20" s="27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</row>
    <row r="21" spans="1:69" x14ac:dyDescent="0.25">
      <c r="A21" s="27"/>
      <c r="G21" s="27"/>
      <c r="N21" s="27"/>
      <c r="T21" s="27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</row>
    <row r="22" spans="1:69" x14ac:dyDescent="0.25">
      <c r="A22" s="27"/>
      <c r="G22" s="27"/>
      <c r="N22" s="27"/>
      <c r="T22" s="27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</row>
    <row r="23" spans="1:69" x14ac:dyDescent="0.25">
      <c r="A23" s="27"/>
      <c r="G23" s="27"/>
      <c r="N23" s="27"/>
      <c r="T23" s="27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</row>
    <row r="24" spans="1:69" x14ac:dyDescent="0.25">
      <c r="A24" s="27"/>
      <c r="G24" s="27"/>
      <c r="N24" s="27"/>
      <c r="T24" s="27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</row>
    <row r="25" spans="1:69" x14ac:dyDescent="0.25">
      <c r="A25" s="27"/>
      <c r="G25" s="27"/>
      <c r="N25" s="27"/>
      <c r="T25" s="27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</row>
    <row r="26" spans="1:69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</row>
    <row r="27" spans="1:69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</row>
    <row r="28" spans="1:69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</row>
    <row r="29" spans="1:69" ht="15" customHeight="1" x14ac:dyDescent="0.25">
      <c r="A29" s="100" t="s">
        <v>2</v>
      </c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29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</row>
    <row r="30" spans="1:69" ht="19.5" customHeight="1" x14ac:dyDescent="0.25">
      <c r="A30" s="100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29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</row>
    <row r="31" spans="1:69" x14ac:dyDescent="0.25">
      <c r="A31" s="27"/>
      <c r="T31" s="27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</row>
    <row r="32" spans="1:69" x14ac:dyDescent="0.25">
      <c r="A32" s="27"/>
      <c r="T32" s="27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</row>
    <row r="33" spans="1:69" x14ac:dyDescent="0.25">
      <c r="A33" s="27"/>
      <c r="T33" s="27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</row>
    <row r="34" spans="1:69" x14ac:dyDescent="0.25">
      <c r="A34" s="27"/>
      <c r="T34" s="27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</row>
    <row r="35" spans="1:69" x14ac:dyDescent="0.25">
      <c r="A35" s="27"/>
      <c r="T35" s="27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</row>
    <row r="36" spans="1:69" x14ac:dyDescent="0.25">
      <c r="A36" s="27"/>
      <c r="T36" s="27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</row>
    <row r="37" spans="1:69" x14ac:dyDescent="0.25">
      <c r="A37" s="27"/>
      <c r="T37" s="27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</row>
    <row r="38" spans="1:69" x14ac:dyDescent="0.25">
      <c r="A38" s="27"/>
      <c r="T38" s="27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</row>
    <row r="39" spans="1:69" x14ac:dyDescent="0.25">
      <c r="A39" s="27"/>
      <c r="T39" s="27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</row>
    <row r="40" spans="1:69" x14ac:dyDescent="0.25">
      <c r="A40" s="27"/>
      <c r="T40" s="27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</row>
    <row r="41" spans="1:69" x14ac:dyDescent="0.25">
      <c r="A41" s="27"/>
      <c r="T41" s="27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</row>
    <row r="42" spans="1:69" x14ac:dyDescent="0.25">
      <c r="A42" s="27"/>
      <c r="T42" s="27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</row>
    <row r="43" spans="1:69" x14ac:dyDescent="0.25">
      <c r="A43" s="27"/>
      <c r="T43" s="27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</row>
    <row r="44" spans="1:69" x14ac:dyDescent="0.25">
      <c r="A44" s="27"/>
      <c r="T44" s="27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</row>
    <row r="45" spans="1:69" x14ac:dyDescent="0.25">
      <c r="A45" s="27"/>
      <c r="T45" s="27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</row>
    <row r="46" spans="1:69" x14ac:dyDescent="0.25">
      <c r="A46" s="27"/>
      <c r="T46" s="27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</row>
    <row r="47" spans="1:69" x14ac:dyDescent="0.25">
      <c r="A47" s="27"/>
      <c r="T47" s="27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</row>
    <row r="48" spans="1:69" x14ac:dyDescent="0.25">
      <c r="A48" s="27"/>
      <c r="T48" s="27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</row>
    <row r="49" spans="1:69" x14ac:dyDescent="0.25">
      <c r="A49" s="27"/>
      <c r="T49" s="27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</row>
    <row r="50" spans="1:69" x14ac:dyDescent="0.25">
      <c r="A50" s="27"/>
      <c r="T50" s="27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</row>
    <row r="51" spans="1:69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</row>
    <row r="52" spans="1:69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</row>
    <row r="53" spans="1:69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</row>
    <row r="54" spans="1:69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</row>
    <row r="55" spans="1:69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</row>
    <row r="56" spans="1:69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</row>
    <row r="57" spans="1:69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</row>
    <row r="58" spans="1:69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</row>
    <row r="59" spans="1:69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</row>
    <row r="60" spans="1:69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</row>
    <row r="61" spans="1:69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</row>
    <row r="62" spans="1:69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</row>
    <row r="63" spans="1:69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</row>
    <row r="64" spans="1:69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</row>
    <row r="65" spans="1:69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</row>
    <row r="66" spans="1:69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</row>
    <row r="67" spans="1:69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</row>
    <row r="68" spans="1:69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</row>
    <row r="69" spans="1:69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</row>
    <row r="70" spans="1:69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</row>
    <row r="71" spans="1:69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</row>
    <row r="72" spans="1:69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</row>
    <row r="73" spans="1:69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</row>
    <row r="74" spans="1:69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</row>
    <row r="75" spans="1:69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</row>
    <row r="76" spans="1:69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</row>
    <row r="77" spans="1:69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</row>
    <row r="78" spans="1:69" x14ac:dyDescent="0.2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</row>
    <row r="79" spans="1:69" x14ac:dyDescent="0.2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</row>
    <row r="80" spans="1:69" x14ac:dyDescent="0.2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</row>
    <row r="81" spans="1:69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</row>
    <row r="82" spans="1:69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</row>
    <row r="83" spans="1:69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</row>
    <row r="84" spans="1:69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</row>
    <row r="85" spans="1:69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</row>
    <row r="86" spans="1:69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</row>
    <row r="87" spans="1:69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</row>
    <row r="88" spans="1:69" x14ac:dyDescent="0.2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</row>
    <row r="89" spans="1:69" x14ac:dyDescent="0.2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</row>
    <row r="90" spans="1:69" x14ac:dyDescent="0.2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</row>
    <row r="91" spans="1:69" x14ac:dyDescent="0.2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</row>
    <row r="92" spans="1:69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</row>
    <row r="93" spans="1:69" x14ac:dyDescent="0.2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</row>
    <row r="94" spans="1:69" x14ac:dyDescent="0.2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</row>
    <row r="95" spans="1:69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</row>
    <row r="96" spans="1:69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</row>
    <row r="97" spans="1:69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</row>
    <row r="98" spans="1:69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</row>
    <row r="99" spans="1:69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</row>
    <row r="100" spans="1:69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</row>
    <row r="101" spans="1:69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</row>
    <row r="102" spans="1:69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</row>
    <row r="103" spans="1:69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</row>
    <row r="104" spans="1:69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</row>
    <row r="105" spans="1:69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</row>
    <row r="106" spans="1:69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</row>
    <row r="107" spans="1:69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</row>
    <row r="108" spans="1:69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</row>
    <row r="109" spans="1:69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</row>
    <row r="110" spans="1:69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</row>
    <row r="111" spans="1:69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</row>
    <row r="112" spans="1:69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</row>
    <row r="113" spans="1:69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</row>
    <row r="114" spans="1:69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</row>
    <row r="115" spans="1:69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</row>
    <row r="116" spans="1:69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</row>
    <row r="117" spans="1:69" x14ac:dyDescent="0.2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</row>
    <row r="118" spans="1:69" x14ac:dyDescent="0.2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</row>
    <row r="119" spans="1:69" x14ac:dyDescent="0.2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</row>
    <row r="120" spans="1:69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</row>
    <row r="121" spans="1:69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</row>
    <row r="122" spans="1:69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</row>
    <row r="123" spans="1:69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</row>
    <row r="124" spans="1:69" x14ac:dyDescent="0.2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</row>
    <row r="125" spans="1:69" x14ac:dyDescent="0.2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</row>
    <row r="126" spans="1:69" x14ac:dyDescent="0.2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</row>
    <row r="127" spans="1:69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</row>
    <row r="128" spans="1:69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</row>
    <row r="129" spans="1:69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</row>
    <row r="130" spans="1:69" x14ac:dyDescent="0.2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</row>
    <row r="131" spans="1:69" x14ac:dyDescent="0.2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</row>
    <row r="132" spans="1:69" x14ac:dyDescent="0.2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</row>
    <row r="133" spans="1:69" x14ac:dyDescent="0.2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</row>
    <row r="134" spans="1:69" x14ac:dyDescent="0.2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</row>
    <row r="135" spans="1:69" x14ac:dyDescent="0.2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</row>
    <row r="136" spans="1:69" x14ac:dyDescent="0.2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</row>
    <row r="137" spans="1:69" x14ac:dyDescent="0.2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</row>
    <row r="138" spans="1:69" x14ac:dyDescent="0.2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</row>
    <row r="139" spans="1:69" x14ac:dyDescent="0.2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</row>
    <row r="140" spans="1:69" x14ac:dyDescent="0.2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</row>
    <row r="141" spans="1:69" x14ac:dyDescent="0.2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</row>
    <row r="142" spans="1:69" x14ac:dyDescent="0.2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</row>
    <row r="143" spans="1:69" x14ac:dyDescent="0.2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</row>
    <row r="144" spans="1:69" x14ac:dyDescent="0.2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</row>
    <row r="145" spans="1:69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</row>
    <row r="146" spans="1:69" x14ac:dyDescent="0.2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</row>
    <row r="147" spans="1:69" x14ac:dyDescent="0.2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</row>
    <row r="148" spans="1:69" x14ac:dyDescent="0.2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</row>
    <row r="149" spans="1:69" x14ac:dyDescent="0.2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</row>
    <row r="150" spans="1:69" x14ac:dyDescent="0.2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</row>
    <row r="151" spans="1:69" x14ac:dyDescent="0.2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</row>
    <row r="152" spans="1:69" x14ac:dyDescent="0.2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</row>
    <row r="153" spans="1:69" x14ac:dyDescent="0.2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</row>
    <row r="154" spans="1:69" x14ac:dyDescent="0.2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</row>
    <row r="155" spans="1:69" x14ac:dyDescent="0.2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</row>
    <row r="156" spans="1:69" x14ac:dyDescent="0.2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</row>
    <row r="157" spans="1:69" x14ac:dyDescent="0.2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</row>
    <row r="158" spans="1:69" x14ac:dyDescent="0.2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</row>
    <row r="159" spans="1:69" x14ac:dyDescent="0.2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</row>
    <row r="160" spans="1:69" x14ac:dyDescent="0.2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</row>
    <row r="161" spans="1:69" x14ac:dyDescent="0.2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30"/>
      <c r="BP161" s="30"/>
      <c r="BQ161" s="30"/>
    </row>
    <row r="162" spans="1:69" x14ac:dyDescent="0.2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0"/>
      <c r="BQ162" s="30"/>
    </row>
    <row r="163" spans="1:69" x14ac:dyDescent="0.2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0"/>
      <c r="BQ163" s="30"/>
    </row>
    <row r="164" spans="1:69" x14ac:dyDescent="0.2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</row>
    <row r="165" spans="1:69" x14ac:dyDescent="0.2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0"/>
      <c r="BQ165" s="30"/>
    </row>
    <row r="166" spans="1:69" x14ac:dyDescent="0.2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</row>
    <row r="167" spans="1:69" x14ac:dyDescent="0.2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</row>
    <row r="168" spans="1:69" x14ac:dyDescent="0.2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</row>
    <row r="169" spans="1:69" x14ac:dyDescent="0.2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</row>
    <row r="170" spans="1:69" x14ac:dyDescent="0.2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</row>
    <row r="171" spans="1:69" x14ac:dyDescent="0.2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</row>
    <row r="172" spans="1:69" x14ac:dyDescent="0.2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</row>
    <row r="173" spans="1:69" x14ac:dyDescent="0.2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</row>
    <row r="174" spans="1:69" x14ac:dyDescent="0.2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</row>
    <row r="175" spans="1:69" x14ac:dyDescent="0.2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</row>
    <row r="176" spans="1:69" x14ac:dyDescent="0.2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</row>
    <row r="177" spans="1:69" x14ac:dyDescent="0.2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</row>
    <row r="178" spans="1:69" x14ac:dyDescent="0.2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</row>
    <row r="179" spans="1:69" x14ac:dyDescent="0.2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</row>
    <row r="180" spans="1:69" x14ac:dyDescent="0.2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30"/>
      <c r="BP180" s="30"/>
      <c r="BQ180" s="30"/>
    </row>
    <row r="181" spans="1:69" x14ac:dyDescent="0.2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0"/>
      <c r="BQ181" s="30"/>
    </row>
    <row r="182" spans="1:69" x14ac:dyDescent="0.2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</row>
    <row r="183" spans="1:69" x14ac:dyDescent="0.2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</row>
    <row r="184" spans="1:69" x14ac:dyDescent="0.2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</row>
    <row r="185" spans="1:69" x14ac:dyDescent="0.2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30"/>
      <c r="BP185" s="30"/>
      <c r="BQ185" s="30"/>
    </row>
    <row r="186" spans="1:69" x14ac:dyDescent="0.2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30"/>
      <c r="BP186" s="30"/>
      <c r="BQ186" s="30"/>
    </row>
    <row r="187" spans="1:69" x14ac:dyDescent="0.2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</row>
    <row r="188" spans="1:69" x14ac:dyDescent="0.2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</row>
    <row r="189" spans="1:69" x14ac:dyDescent="0.2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</row>
    <row r="190" spans="1:69" x14ac:dyDescent="0.2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</row>
    <row r="191" spans="1:69" x14ac:dyDescent="0.2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</row>
    <row r="192" spans="1:69" x14ac:dyDescent="0.2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30"/>
      <c r="BP192" s="30"/>
      <c r="BQ192" s="30"/>
    </row>
    <row r="193" spans="1:69" x14ac:dyDescent="0.2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/>
      <c r="BM193" s="30"/>
      <c r="BN193" s="30"/>
      <c r="BO193" s="30"/>
      <c r="BP193" s="30"/>
      <c r="BQ193" s="30"/>
    </row>
    <row r="194" spans="1:69" x14ac:dyDescent="0.2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30"/>
      <c r="BP194" s="30"/>
      <c r="BQ194" s="30"/>
    </row>
    <row r="195" spans="1:69" x14ac:dyDescent="0.2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</row>
    <row r="196" spans="1:69" x14ac:dyDescent="0.2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</row>
    <row r="197" spans="1:69" x14ac:dyDescent="0.2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</row>
    <row r="198" spans="1:69" x14ac:dyDescent="0.2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</row>
    <row r="199" spans="1:69" x14ac:dyDescent="0.2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</row>
    <row r="200" spans="1:69" x14ac:dyDescent="0.2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</row>
    <row r="201" spans="1:69" x14ac:dyDescent="0.2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</row>
    <row r="202" spans="1:69" x14ac:dyDescent="0.2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</row>
    <row r="203" spans="1:69" x14ac:dyDescent="0.2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</row>
    <row r="204" spans="1:69" x14ac:dyDescent="0.2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</row>
    <row r="205" spans="1:69" x14ac:dyDescent="0.2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</row>
    <row r="206" spans="1:69" x14ac:dyDescent="0.2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</row>
    <row r="207" spans="1:69" x14ac:dyDescent="0.2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30"/>
      <c r="BP207" s="30"/>
      <c r="BQ207" s="30"/>
    </row>
    <row r="208" spans="1:69" x14ac:dyDescent="0.2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  <c r="BJ208" s="30"/>
      <c r="BK208" s="30"/>
      <c r="BL208" s="30"/>
      <c r="BM208" s="30"/>
      <c r="BN208" s="30"/>
      <c r="BO208" s="30"/>
      <c r="BP208" s="30"/>
      <c r="BQ208" s="30"/>
    </row>
    <row r="209" spans="1:69" x14ac:dyDescent="0.2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30"/>
      <c r="BP209" s="30"/>
      <c r="BQ209" s="30"/>
    </row>
    <row r="210" spans="1:69" x14ac:dyDescent="0.2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30"/>
      <c r="BP210" s="30"/>
      <c r="BQ210" s="30"/>
    </row>
    <row r="211" spans="1:69" x14ac:dyDescent="0.2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/>
      <c r="BM211" s="30"/>
      <c r="BN211" s="30"/>
      <c r="BO211" s="30"/>
      <c r="BP211" s="30"/>
      <c r="BQ211" s="30"/>
    </row>
    <row r="212" spans="1:69" x14ac:dyDescent="0.2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</row>
    <row r="213" spans="1:69" x14ac:dyDescent="0.2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</row>
    <row r="214" spans="1:69" x14ac:dyDescent="0.2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</row>
    <row r="215" spans="1:69" x14ac:dyDescent="0.2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</row>
    <row r="216" spans="1:69" x14ac:dyDescent="0.2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</row>
    <row r="217" spans="1:69" x14ac:dyDescent="0.2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</row>
    <row r="218" spans="1:69" x14ac:dyDescent="0.2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</row>
    <row r="219" spans="1:69" x14ac:dyDescent="0.2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</row>
    <row r="220" spans="1:69" x14ac:dyDescent="0.2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0"/>
      <c r="BQ220" s="30"/>
    </row>
    <row r="221" spans="1:69" x14ac:dyDescent="0.2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</row>
    <row r="222" spans="1:69" x14ac:dyDescent="0.2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0"/>
      <c r="BQ222" s="30"/>
    </row>
    <row r="223" spans="1:69" x14ac:dyDescent="0.2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  <c r="BJ223" s="30"/>
      <c r="BK223" s="30"/>
      <c r="BL223" s="30"/>
      <c r="BM223" s="30"/>
      <c r="BN223" s="30"/>
      <c r="BO223" s="30"/>
      <c r="BP223" s="30"/>
      <c r="BQ223" s="30"/>
    </row>
    <row r="224" spans="1:69" x14ac:dyDescent="0.2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30"/>
      <c r="BP224" s="30"/>
      <c r="BQ224" s="30"/>
    </row>
    <row r="225" spans="1:69" x14ac:dyDescent="0.2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/>
      <c r="BM225" s="30"/>
      <c r="BN225" s="30"/>
      <c r="BO225" s="30"/>
      <c r="BP225" s="30"/>
      <c r="BQ225" s="30"/>
    </row>
    <row r="226" spans="1:69" x14ac:dyDescent="0.2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  <c r="BJ226" s="30"/>
      <c r="BK226" s="30"/>
      <c r="BL226" s="30"/>
      <c r="BM226" s="30"/>
      <c r="BN226" s="30"/>
      <c r="BO226" s="30"/>
      <c r="BP226" s="30"/>
      <c r="BQ226" s="30"/>
    </row>
    <row r="227" spans="1:69" x14ac:dyDescent="0.2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30"/>
      <c r="BP227" s="30"/>
      <c r="BQ227" s="30"/>
    </row>
    <row r="228" spans="1:69" x14ac:dyDescent="0.2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30"/>
      <c r="BP228" s="30"/>
      <c r="BQ228" s="30"/>
    </row>
    <row r="229" spans="1:69" x14ac:dyDescent="0.2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  <c r="AP229" s="30"/>
      <c r="AQ229" s="30"/>
      <c r="AR229" s="30"/>
      <c r="AS229" s="30"/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0"/>
      <c r="BE229" s="30"/>
      <c r="BF229" s="30"/>
      <c r="BG229" s="30"/>
      <c r="BH229" s="30"/>
      <c r="BI229" s="30"/>
      <c r="BJ229" s="30"/>
      <c r="BK229" s="30"/>
      <c r="BL229" s="30"/>
      <c r="BM229" s="30"/>
      <c r="BN229" s="30"/>
      <c r="BO229" s="30"/>
      <c r="BP229" s="30"/>
      <c r="BQ229" s="30"/>
    </row>
    <row r="230" spans="1:69" x14ac:dyDescent="0.2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/>
      <c r="BM230" s="30"/>
      <c r="BN230" s="30"/>
      <c r="BO230" s="30"/>
      <c r="BP230" s="30"/>
      <c r="BQ230" s="30"/>
    </row>
    <row r="231" spans="1:69" x14ac:dyDescent="0.2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30"/>
      <c r="AV231" s="3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30"/>
      <c r="BP231" s="30"/>
      <c r="BQ231" s="30"/>
    </row>
    <row r="232" spans="1:69" x14ac:dyDescent="0.2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0"/>
      <c r="BE232" s="30"/>
      <c r="BF232" s="30"/>
      <c r="BG232" s="30"/>
      <c r="BH232" s="30"/>
      <c r="BI232" s="30"/>
      <c r="BJ232" s="30"/>
      <c r="BK232" s="30"/>
      <c r="BL232" s="30"/>
      <c r="BM232" s="30"/>
      <c r="BN232" s="30"/>
      <c r="BO232" s="30"/>
      <c r="BP232" s="30"/>
      <c r="BQ232" s="30"/>
    </row>
    <row r="233" spans="1:69" x14ac:dyDescent="0.2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/>
      <c r="BM233" s="30"/>
      <c r="BN233" s="30"/>
      <c r="BO233" s="30"/>
      <c r="BP233" s="30"/>
      <c r="BQ233" s="30"/>
    </row>
    <row r="234" spans="1:69" x14ac:dyDescent="0.2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30"/>
      <c r="BP234" s="30"/>
      <c r="BQ234" s="30"/>
    </row>
    <row r="235" spans="1:69" x14ac:dyDescent="0.2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  <c r="BJ235" s="30"/>
      <c r="BK235" s="30"/>
      <c r="BL235" s="30"/>
      <c r="BM235" s="30"/>
      <c r="BN235" s="30"/>
      <c r="BO235" s="30"/>
      <c r="BP235" s="30"/>
      <c r="BQ235" s="30"/>
    </row>
    <row r="236" spans="1:69" x14ac:dyDescent="0.2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/>
      <c r="BM236" s="30"/>
      <c r="BN236" s="30"/>
      <c r="BO236" s="30"/>
      <c r="BP236" s="30"/>
      <c r="BQ236" s="30"/>
    </row>
    <row r="237" spans="1:69" x14ac:dyDescent="0.2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30"/>
      <c r="BP237" s="30"/>
      <c r="BQ237" s="30"/>
    </row>
    <row r="238" spans="1:69" x14ac:dyDescent="0.2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0"/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0"/>
      <c r="BE238" s="30"/>
      <c r="BF238" s="30"/>
      <c r="BG238" s="30"/>
      <c r="BH238" s="30"/>
      <c r="BI238" s="30"/>
      <c r="BJ238" s="30"/>
      <c r="BK238" s="30"/>
      <c r="BL238" s="30"/>
      <c r="BM238" s="30"/>
      <c r="BN238" s="30"/>
      <c r="BO238" s="30"/>
      <c r="BP238" s="30"/>
      <c r="BQ238" s="30"/>
    </row>
    <row r="239" spans="1:69" x14ac:dyDescent="0.2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30"/>
      <c r="BP239" s="30"/>
      <c r="BQ239" s="30"/>
    </row>
    <row r="240" spans="1:69" x14ac:dyDescent="0.2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30"/>
      <c r="BP240" s="30"/>
      <c r="BQ240" s="30"/>
    </row>
    <row r="241" spans="1:69" x14ac:dyDescent="0.2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  <c r="BJ241" s="30"/>
      <c r="BK241" s="30"/>
      <c r="BL241" s="30"/>
      <c r="BM241" s="30"/>
      <c r="BN241" s="30"/>
      <c r="BO241" s="30"/>
      <c r="BP241" s="30"/>
      <c r="BQ241" s="30"/>
    </row>
    <row r="242" spans="1:69" x14ac:dyDescent="0.2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30"/>
      <c r="BP242" s="30"/>
      <c r="BQ242" s="30"/>
    </row>
    <row r="243" spans="1:69" x14ac:dyDescent="0.2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30"/>
      <c r="BP243" s="30"/>
      <c r="BQ243" s="30"/>
    </row>
    <row r="244" spans="1:69" x14ac:dyDescent="0.2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  <c r="BJ244" s="30"/>
      <c r="BK244" s="30"/>
      <c r="BL244" s="30"/>
      <c r="BM244" s="30"/>
      <c r="BN244" s="30"/>
      <c r="BO244" s="30"/>
      <c r="BP244" s="30"/>
      <c r="BQ244" s="30"/>
    </row>
    <row r="245" spans="1:69" x14ac:dyDescent="0.2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30"/>
      <c r="BP245" s="30"/>
      <c r="BQ245" s="30"/>
    </row>
    <row r="246" spans="1:69" x14ac:dyDescent="0.2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30"/>
      <c r="BP246" s="30"/>
      <c r="BQ246" s="30"/>
    </row>
    <row r="247" spans="1:69" x14ac:dyDescent="0.2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  <c r="BJ247" s="30"/>
      <c r="BK247" s="30"/>
      <c r="BL247" s="30"/>
      <c r="BM247" s="30"/>
      <c r="BN247" s="30"/>
      <c r="BO247" s="30"/>
      <c r="BP247" s="30"/>
      <c r="BQ247" s="30"/>
    </row>
    <row r="248" spans="1:69" x14ac:dyDescent="0.2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30"/>
      <c r="BP248" s="30"/>
      <c r="BQ248" s="30"/>
    </row>
    <row r="249" spans="1:69" x14ac:dyDescent="0.2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30"/>
      <c r="BP249" s="30"/>
      <c r="BQ249" s="30"/>
    </row>
    <row r="250" spans="1:69" x14ac:dyDescent="0.2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/>
      <c r="BM250" s="30"/>
      <c r="BN250" s="30"/>
      <c r="BO250" s="30"/>
      <c r="BP250" s="30"/>
      <c r="BQ250" s="30"/>
    </row>
    <row r="251" spans="1:69" x14ac:dyDescent="0.2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30"/>
      <c r="BP251" s="30"/>
      <c r="BQ251" s="30"/>
    </row>
    <row r="252" spans="1:69" x14ac:dyDescent="0.2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30"/>
      <c r="BP252" s="30"/>
      <c r="BQ252" s="30"/>
    </row>
    <row r="253" spans="1:69" x14ac:dyDescent="0.2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  <c r="BJ253" s="30"/>
      <c r="BK253" s="30"/>
      <c r="BL253" s="30"/>
      <c r="BM253" s="30"/>
      <c r="BN253" s="30"/>
      <c r="BO253" s="30"/>
      <c r="BP253" s="30"/>
      <c r="BQ253" s="30"/>
    </row>
    <row r="254" spans="1:69" x14ac:dyDescent="0.2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30"/>
      <c r="BP254" s="30"/>
      <c r="BQ254" s="30"/>
    </row>
    <row r="255" spans="1:69" x14ac:dyDescent="0.2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30"/>
      <c r="BP255" s="30"/>
      <c r="BQ255" s="30"/>
    </row>
    <row r="256" spans="1:69" x14ac:dyDescent="0.2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  <c r="BJ256" s="30"/>
      <c r="BK256" s="30"/>
      <c r="BL256" s="30"/>
      <c r="BM256" s="30"/>
      <c r="BN256" s="30"/>
      <c r="BO256" s="30"/>
      <c r="BP256" s="30"/>
      <c r="BQ256" s="30"/>
    </row>
    <row r="257" spans="1:69" x14ac:dyDescent="0.2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30"/>
      <c r="BP257" s="30"/>
      <c r="BQ257" s="30"/>
    </row>
    <row r="258" spans="1:69" x14ac:dyDescent="0.2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30"/>
      <c r="BP258" s="30"/>
      <c r="BQ258" s="30"/>
    </row>
    <row r="259" spans="1:69" x14ac:dyDescent="0.2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  <c r="BJ259" s="30"/>
      <c r="BK259" s="30"/>
      <c r="BL259" s="30"/>
      <c r="BM259" s="30"/>
      <c r="BN259" s="30"/>
      <c r="BO259" s="30"/>
      <c r="BP259" s="30"/>
      <c r="BQ259" s="30"/>
    </row>
    <row r="260" spans="1:69" x14ac:dyDescent="0.2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30"/>
      <c r="BP260" s="30"/>
      <c r="BQ260" s="30"/>
    </row>
    <row r="261" spans="1:69" x14ac:dyDescent="0.2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30"/>
      <c r="BP261" s="30"/>
      <c r="BQ261" s="30"/>
    </row>
    <row r="262" spans="1:69" x14ac:dyDescent="0.2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/>
      <c r="BM262" s="30"/>
      <c r="BN262" s="30"/>
      <c r="BO262" s="30"/>
      <c r="BP262" s="30"/>
      <c r="BQ262" s="30"/>
    </row>
    <row r="263" spans="1:69" x14ac:dyDescent="0.2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30"/>
      <c r="BP263" s="30"/>
      <c r="BQ263" s="30"/>
    </row>
    <row r="264" spans="1:69" x14ac:dyDescent="0.2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30"/>
      <c r="BP264" s="30"/>
      <c r="BQ264" s="30"/>
    </row>
    <row r="265" spans="1:69" x14ac:dyDescent="0.2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  <c r="BJ265" s="30"/>
      <c r="BK265" s="30"/>
      <c r="BL265" s="30"/>
      <c r="BM265" s="30"/>
      <c r="BN265" s="30"/>
      <c r="BO265" s="30"/>
      <c r="BP265" s="30"/>
      <c r="BQ265" s="30"/>
    </row>
    <row r="266" spans="1:69" x14ac:dyDescent="0.2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30"/>
      <c r="BP266" s="30"/>
      <c r="BQ266" s="30"/>
    </row>
    <row r="267" spans="1:69" x14ac:dyDescent="0.2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30"/>
      <c r="BP267" s="30"/>
      <c r="BQ267" s="30"/>
    </row>
    <row r="268" spans="1:69" x14ac:dyDescent="0.2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/>
      <c r="BM268" s="30"/>
      <c r="BN268" s="30"/>
      <c r="BO268" s="30"/>
      <c r="BP268" s="30"/>
      <c r="BQ268" s="30"/>
    </row>
    <row r="269" spans="1:69" x14ac:dyDescent="0.2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30"/>
      <c r="BP269" s="30"/>
      <c r="BQ269" s="30"/>
    </row>
    <row r="270" spans="1:69" x14ac:dyDescent="0.2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30"/>
      <c r="BP270" s="30"/>
      <c r="BQ270" s="30"/>
    </row>
    <row r="271" spans="1:69" x14ac:dyDescent="0.2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0"/>
      <c r="BE271" s="30"/>
      <c r="BF271" s="30"/>
      <c r="BG271" s="30"/>
      <c r="BH271" s="30"/>
      <c r="BI271" s="30"/>
      <c r="BJ271" s="30"/>
      <c r="BK271" s="30"/>
      <c r="BL271" s="30"/>
      <c r="BM271" s="30"/>
      <c r="BN271" s="30"/>
      <c r="BO271" s="30"/>
      <c r="BP271" s="30"/>
      <c r="BQ271" s="30"/>
    </row>
    <row r="272" spans="1:69" x14ac:dyDescent="0.2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30"/>
      <c r="BP272" s="30"/>
      <c r="BQ272" s="30"/>
    </row>
    <row r="273" spans="1:69" x14ac:dyDescent="0.2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30"/>
      <c r="BP273" s="30"/>
      <c r="BQ273" s="30"/>
    </row>
    <row r="274" spans="1:69" x14ac:dyDescent="0.2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  <c r="BL274" s="30"/>
      <c r="BM274" s="30"/>
      <c r="BN274" s="30"/>
      <c r="BO274" s="30"/>
      <c r="BP274" s="30"/>
      <c r="BQ274" s="30"/>
    </row>
    <row r="275" spans="1:69" x14ac:dyDescent="0.2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30"/>
      <c r="AV275" s="3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/>
      <c r="BM275" s="30"/>
      <c r="BN275" s="30"/>
      <c r="BO275" s="30"/>
      <c r="BP275" s="30"/>
      <c r="BQ275" s="30"/>
    </row>
    <row r="276" spans="1:69" x14ac:dyDescent="0.2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30"/>
      <c r="BP276" s="30"/>
      <c r="BQ276" s="30"/>
    </row>
    <row r="277" spans="1:69" x14ac:dyDescent="0.2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  <c r="BL277" s="30"/>
      <c r="BM277" s="30"/>
      <c r="BN277" s="30"/>
      <c r="BO277" s="30"/>
      <c r="BP277" s="30"/>
      <c r="BQ277" s="30"/>
    </row>
    <row r="278" spans="1:69" x14ac:dyDescent="0.2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</row>
    <row r="279" spans="1:69" x14ac:dyDescent="0.2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</row>
    <row r="280" spans="1:69" x14ac:dyDescent="0.2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</row>
    <row r="281" spans="1:69" x14ac:dyDescent="0.2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30"/>
      <c r="AV281" s="3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30"/>
      <c r="BP281" s="30"/>
      <c r="BQ281" s="30"/>
    </row>
    <row r="282" spans="1:69" x14ac:dyDescent="0.2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30"/>
      <c r="AV282" s="3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30"/>
      <c r="BP282" s="30"/>
      <c r="BQ282" s="30"/>
    </row>
    <row r="283" spans="1:69" x14ac:dyDescent="0.2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  <c r="AP283" s="30"/>
      <c r="AQ283" s="30"/>
      <c r="AR283" s="30"/>
      <c r="AS283" s="30"/>
      <c r="AT283" s="30"/>
      <c r="AU283" s="30"/>
      <c r="AV283" s="30"/>
      <c r="AW283" s="30"/>
      <c r="AX283" s="30"/>
      <c r="AY283" s="30"/>
      <c r="AZ283" s="30"/>
      <c r="BA283" s="30"/>
      <c r="BB283" s="30"/>
      <c r="BC283" s="30"/>
      <c r="BD283" s="30"/>
      <c r="BE283" s="30"/>
      <c r="BF283" s="30"/>
      <c r="BG283" s="30"/>
      <c r="BH283" s="30"/>
      <c r="BI283" s="30"/>
      <c r="BJ283" s="30"/>
      <c r="BK283" s="30"/>
      <c r="BL283" s="30"/>
      <c r="BM283" s="30"/>
      <c r="BN283" s="30"/>
      <c r="BO283" s="30"/>
      <c r="BP283" s="30"/>
      <c r="BQ283" s="30"/>
    </row>
    <row r="284" spans="1:69" x14ac:dyDescent="0.2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0"/>
      <c r="BQ284" s="30"/>
    </row>
    <row r="285" spans="1:69" x14ac:dyDescent="0.2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</row>
    <row r="286" spans="1:69" x14ac:dyDescent="0.2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  <c r="AP286" s="30"/>
      <c r="AQ286" s="30"/>
      <c r="AR286" s="30"/>
      <c r="AS286" s="30"/>
      <c r="AT286" s="30"/>
      <c r="AU286" s="30"/>
      <c r="AV286" s="30"/>
      <c r="AW286" s="30"/>
      <c r="AX286" s="30"/>
      <c r="AY286" s="30"/>
      <c r="AZ286" s="30"/>
      <c r="BA286" s="30"/>
      <c r="BB286" s="30"/>
      <c r="BC286" s="30"/>
      <c r="BD286" s="30"/>
      <c r="BE286" s="30"/>
      <c r="BF286" s="30"/>
      <c r="BG286" s="30"/>
      <c r="BH286" s="30"/>
      <c r="BI286" s="30"/>
      <c r="BJ286" s="30"/>
      <c r="BK286" s="30"/>
      <c r="BL286" s="30"/>
      <c r="BM286" s="30"/>
      <c r="BN286" s="30"/>
      <c r="BO286" s="30"/>
      <c r="BP286" s="30"/>
      <c r="BQ286" s="30"/>
    </row>
    <row r="287" spans="1:69" x14ac:dyDescent="0.2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  <c r="AP287" s="30"/>
      <c r="AQ287" s="30"/>
      <c r="AR287" s="30"/>
      <c r="AS287" s="30"/>
      <c r="AT287" s="30"/>
      <c r="AU287" s="30"/>
      <c r="AV287" s="3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30"/>
      <c r="BP287" s="30"/>
      <c r="BQ287" s="30"/>
    </row>
    <row r="288" spans="1:69" x14ac:dyDescent="0.2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30"/>
      <c r="AV288" s="3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30"/>
      <c r="BP288" s="30"/>
      <c r="BQ288" s="30"/>
    </row>
    <row r="289" spans="1:69" x14ac:dyDescent="0.2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  <c r="AP289" s="30"/>
      <c r="AQ289" s="30"/>
      <c r="AR289" s="30"/>
      <c r="AS289" s="30"/>
      <c r="AT289" s="30"/>
      <c r="AU289" s="30"/>
      <c r="AV289" s="30"/>
      <c r="AW289" s="30"/>
      <c r="AX289" s="30"/>
      <c r="AY289" s="30"/>
      <c r="AZ289" s="30"/>
      <c r="BA289" s="30"/>
      <c r="BB289" s="30"/>
      <c r="BC289" s="30"/>
      <c r="BD289" s="30"/>
      <c r="BE289" s="30"/>
      <c r="BF289" s="30"/>
      <c r="BG289" s="30"/>
      <c r="BH289" s="30"/>
      <c r="BI289" s="30"/>
      <c r="BJ289" s="30"/>
      <c r="BK289" s="30"/>
      <c r="BL289" s="30"/>
      <c r="BM289" s="30"/>
      <c r="BN289" s="30"/>
      <c r="BO289" s="30"/>
      <c r="BP289" s="30"/>
      <c r="BQ289" s="30"/>
    </row>
    <row r="290" spans="1:69" x14ac:dyDescent="0.2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0"/>
      <c r="AS290" s="30"/>
      <c r="AT290" s="30"/>
      <c r="AU290" s="30"/>
      <c r="AV290" s="30"/>
      <c r="AW290" s="30"/>
      <c r="AX290" s="30"/>
      <c r="AY290" s="30"/>
      <c r="AZ290" s="30"/>
      <c r="BA290" s="30"/>
      <c r="BB290" s="30"/>
      <c r="BC290" s="30"/>
      <c r="BD290" s="30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30"/>
      <c r="BP290" s="30"/>
      <c r="BQ290" s="30"/>
    </row>
    <row r="291" spans="1:69" x14ac:dyDescent="0.2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30"/>
      <c r="AV291" s="3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30"/>
      <c r="BP291" s="30"/>
      <c r="BQ291" s="30"/>
    </row>
    <row r="292" spans="1:69" x14ac:dyDescent="0.2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  <c r="AP292" s="30"/>
      <c r="AQ292" s="30"/>
      <c r="AR292" s="30"/>
      <c r="AS292" s="30"/>
      <c r="AT292" s="30"/>
      <c r="AU292" s="30"/>
      <c r="AV292" s="30"/>
      <c r="AW292" s="30"/>
      <c r="AX292" s="30"/>
      <c r="AY292" s="30"/>
      <c r="AZ292" s="30"/>
      <c r="BA292" s="30"/>
      <c r="BB292" s="30"/>
      <c r="BC292" s="30"/>
      <c r="BD292" s="30"/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0"/>
      <c r="BQ292" s="30"/>
    </row>
    <row r="293" spans="1:69" x14ac:dyDescent="0.2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0"/>
      <c r="AS293" s="30"/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0"/>
      <c r="BQ293" s="30"/>
    </row>
    <row r="294" spans="1:69" x14ac:dyDescent="0.2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0"/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0"/>
      <c r="BQ294" s="30"/>
    </row>
    <row r="295" spans="1:69" x14ac:dyDescent="0.2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</row>
    <row r="296" spans="1:69" x14ac:dyDescent="0.2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</row>
    <row r="297" spans="1:69" x14ac:dyDescent="0.2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</row>
    <row r="298" spans="1:69" x14ac:dyDescent="0.2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</row>
    <row r="299" spans="1:69" x14ac:dyDescent="0.2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</row>
    <row r="300" spans="1:69" x14ac:dyDescent="0.2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0"/>
      <c r="AT300" s="30"/>
      <c r="AU300" s="30"/>
      <c r="AV300" s="3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/>
      <c r="BM300" s="30"/>
      <c r="BN300" s="30"/>
      <c r="BO300" s="30"/>
      <c r="BP300" s="30"/>
      <c r="BQ300" s="30"/>
    </row>
    <row r="301" spans="1:69" x14ac:dyDescent="0.2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0"/>
      <c r="AT301" s="30"/>
      <c r="AU301" s="30"/>
      <c r="AV301" s="30"/>
      <c r="AW301" s="30"/>
      <c r="AX301" s="30"/>
      <c r="AY301" s="30"/>
      <c r="AZ301" s="30"/>
      <c r="BA301" s="30"/>
      <c r="BB301" s="30"/>
      <c r="BC301" s="30"/>
      <c r="BD301" s="30"/>
      <c r="BE301" s="30"/>
      <c r="BF301" s="30"/>
      <c r="BG301" s="30"/>
      <c r="BH301" s="30"/>
      <c r="BI301" s="30"/>
      <c r="BJ301" s="30"/>
      <c r="BK301" s="30"/>
      <c r="BL301" s="30"/>
      <c r="BM301" s="30"/>
      <c r="BN301" s="30"/>
      <c r="BO301" s="30"/>
      <c r="BP301" s="30"/>
      <c r="BQ301" s="30"/>
    </row>
    <row r="302" spans="1:69" x14ac:dyDescent="0.2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  <c r="AP302" s="30"/>
      <c r="AQ302" s="30"/>
      <c r="AR302" s="30"/>
      <c r="AS302" s="30"/>
      <c r="AT302" s="30"/>
      <c r="AU302" s="30"/>
      <c r="AV302" s="3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30"/>
      <c r="BP302" s="30"/>
      <c r="BQ302" s="30"/>
    </row>
    <row r="303" spans="1:69" x14ac:dyDescent="0.2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0"/>
      <c r="AT303" s="30"/>
      <c r="AU303" s="30"/>
      <c r="AV303" s="3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30"/>
      <c r="BP303" s="30"/>
      <c r="BQ303" s="30"/>
    </row>
    <row r="304" spans="1:69" x14ac:dyDescent="0.2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0"/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0"/>
      <c r="BE304" s="30"/>
      <c r="BF304" s="30"/>
      <c r="BG304" s="30"/>
      <c r="BH304" s="30"/>
      <c r="BI304" s="30"/>
      <c r="BJ304" s="30"/>
      <c r="BK304" s="30"/>
      <c r="BL304" s="30"/>
      <c r="BM304" s="30"/>
      <c r="BN304" s="30"/>
      <c r="BO304" s="30"/>
      <c r="BP304" s="30"/>
      <c r="BQ304" s="30"/>
    </row>
    <row r="305" spans="1:69" x14ac:dyDescent="0.2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0"/>
      <c r="BQ305" s="30"/>
    </row>
    <row r="306" spans="1:69" x14ac:dyDescent="0.2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  <c r="AP306" s="30"/>
      <c r="AQ306" s="30"/>
      <c r="AR306" s="30"/>
      <c r="AS306" s="30"/>
      <c r="AT306" s="30"/>
      <c r="AU306" s="30"/>
      <c r="AV306" s="3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30"/>
      <c r="BP306" s="30"/>
      <c r="BQ306" s="30"/>
    </row>
    <row r="307" spans="1:69" x14ac:dyDescent="0.2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  <c r="AP307" s="30"/>
      <c r="AQ307" s="30"/>
      <c r="AR307" s="30"/>
      <c r="AS307" s="30"/>
      <c r="AT307" s="30"/>
      <c r="AU307" s="30"/>
      <c r="AV307" s="30"/>
      <c r="AW307" s="30"/>
      <c r="AX307" s="30"/>
      <c r="AY307" s="30"/>
      <c r="AZ307" s="30"/>
      <c r="BA307" s="30"/>
      <c r="BB307" s="30"/>
      <c r="BC307" s="30"/>
      <c r="BD307" s="30"/>
      <c r="BE307" s="30"/>
      <c r="BF307" s="30"/>
      <c r="BG307" s="30"/>
      <c r="BH307" s="30"/>
      <c r="BI307" s="30"/>
      <c r="BJ307" s="30"/>
      <c r="BK307" s="30"/>
      <c r="BL307" s="30"/>
      <c r="BM307" s="30"/>
      <c r="BN307" s="30"/>
      <c r="BO307" s="30"/>
      <c r="BP307" s="30"/>
      <c r="BQ307" s="30"/>
    </row>
    <row r="308" spans="1:69" x14ac:dyDescent="0.2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  <c r="AP308" s="30"/>
      <c r="AQ308" s="30"/>
      <c r="AR308" s="30"/>
      <c r="AS308" s="30"/>
      <c r="AT308" s="30"/>
      <c r="AU308" s="30"/>
      <c r="AV308" s="3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30"/>
      <c r="BP308" s="30"/>
      <c r="BQ308" s="30"/>
    </row>
    <row r="309" spans="1:69" x14ac:dyDescent="0.2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0"/>
      <c r="AS309" s="30"/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0"/>
      <c r="BQ309" s="30"/>
    </row>
    <row r="310" spans="1:69" x14ac:dyDescent="0.2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  <c r="AP310" s="30"/>
      <c r="AQ310" s="30"/>
      <c r="AR310" s="30"/>
      <c r="AS310" s="30"/>
      <c r="AT310" s="30"/>
      <c r="AU310" s="30"/>
      <c r="AV310" s="30"/>
      <c r="AW310" s="30"/>
      <c r="AX310" s="30"/>
      <c r="AY310" s="30"/>
      <c r="AZ310" s="30"/>
      <c r="BA310" s="30"/>
      <c r="BB310" s="30"/>
      <c r="BC310" s="30"/>
      <c r="BD310" s="30"/>
      <c r="BE310" s="30"/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0"/>
      <c r="BQ310" s="30"/>
    </row>
    <row r="311" spans="1:69" x14ac:dyDescent="0.2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0"/>
      <c r="AT311" s="30"/>
      <c r="AU311" s="30"/>
      <c r="AV311" s="3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0"/>
      <c r="BQ311" s="30"/>
    </row>
    <row r="312" spans="1:69" x14ac:dyDescent="0.2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0"/>
      <c r="AT312" s="30"/>
      <c r="AU312" s="30"/>
      <c r="AV312" s="3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30"/>
      <c r="BP312" s="30"/>
      <c r="BQ312" s="30"/>
    </row>
    <row r="313" spans="1:69" x14ac:dyDescent="0.2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0"/>
      <c r="AT313" s="30"/>
      <c r="AU313" s="30"/>
      <c r="AV313" s="30"/>
      <c r="AW313" s="30"/>
      <c r="AX313" s="30"/>
      <c r="AY313" s="30"/>
      <c r="AZ313" s="30"/>
      <c r="BA313" s="30"/>
      <c r="BB313" s="30"/>
      <c r="BC313" s="30"/>
      <c r="BD313" s="30"/>
      <c r="BE313" s="30"/>
      <c r="BF313" s="30"/>
      <c r="BG313" s="30"/>
      <c r="BH313" s="30"/>
      <c r="BI313" s="30"/>
      <c r="BJ313" s="30"/>
      <c r="BK313" s="30"/>
      <c r="BL313" s="30"/>
      <c r="BM313" s="30"/>
      <c r="BN313" s="30"/>
      <c r="BO313" s="30"/>
      <c r="BP313" s="30"/>
      <c r="BQ313" s="30"/>
    </row>
    <row r="314" spans="1:69" x14ac:dyDescent="0.2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0"/>
      <c r="AT314" s="30"/>
      <c r="AU314" s="30"/>
      <c r="AV314" s="3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30"/>
      <c r="BP314" s="30"/>
      <c r="BQ314" s="30"/>
    </row>
    <row r="315" spans="1:69" x14ac:dyDescent="0.2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0"/>
      <c r="AT315" s="30"/>
      <c r="AU315" s="30"/>
      <c r="AV315" s="30"/>
      <c r="AW315" s="30"/>
      <c r="AX315" s="30"/>
      <c r="AY315" s="30"/>
      <c r="AZ315" s="30"/>
      <c r="BA315" s="30"/>
      <c r="BB315" s="30"/>
      <c r="BC315" s="30"/>
      <c r="BD315" s="30"/>
      <c r="BE315" s="30"/>
      <c r="BF315" s="30"/>
      <c r="BG315" s="30"/>
      <c r="BH315" s="30"/>
      <c r="BI315" s="30"/>
      <c r="BJ315" s="30"/>
      <c r="BK315" s="30"/>
      <c r="BL315" s="30"/>
      <c r="BM315" s="30"/>
      <c r="BN315" s="30"/>
      <c r="BO315" s="30"/>
      <c r="BP315" s="30"/>
      <c r="BQ315" s="30"/>
    </row>
    <row r="316" spans="1:69" x14ac:dyDescent="0.2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  <c r="AP316" s="30"/>
      <c r="AQ316" s="30"/>
      <c r="AR316" s="30"/>
      <c r="AS316" s="30"/>
      <c r="AT316" s="30"/>
      <c r="AU316" s="30"/>
      <c r="AV316" s="30"/>
      <c r="AW316" s="30"/>
      <c r="AX316" s="30"/>
      <c r="AY316" s="30"/>
      <c r="AZ316" s="30"/>
      <c r="BA316" s="30"/>
      <c r="BB316" s="30"/>
      <c r="BC316" s="30"/>
      <c r="BD316" s="30"/>
      <c r="BE316" s="30"/>
      <c r="BF316" s="30"/>
      <c r="BG316" s="30"/>
      <c r="BH316" s="30"/>
      <c r="BI316" s="30"/>
      <c r="BJ316" s="30"/>
      <c r="BK316" s="30"/>
      <c r="BL316" s="30"/>
      <c r="BM316" s="30"/>
      <c r="BN316" s="30"/>
      <c r="BO316" s="30"/>
      <c r="BP316" s="30"/>
      <c r="BQ316" s="30"/>
    </row>
    <row r="317" spans="1:69" x14ac:dyDescent="0.2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  <c r="AP317" s="30"/>
      <c r="AQ317" s="30"/>
      <c r="AR317" s="30"/>
      <c r="AS317" s="30"/>
      <c r="AT317" s="30"/>
      <c r="AU317" s="30"/>
      <c r="AV317" s="30"/>
      <c r="AW317" s="30"/>
      <c r="AX317" s="30"/>
      <c r="AY317" s="30"/>
      <c r="AZ317" s="30"/>
      <c r="BA317" s="30"/>
      <c r="BB317" s="30"/>
      <c r="BC317" s="30"/>
      <c r="BD317" s="30"/>
      <c r="BE317" s="30"/>
      <c r="BF317" s="30"/>
      <c r="BG317" s="30"/>
      <c r="BH317" s="30"/>
      <c r="BI317" s="30"/>
      <c r="BJ317" s="30"/>
      <c r="BK317" s="30"/>
      <c r="BL317" s="30"/>
      <c r="BM317" s="30"/>
      <c r="BN317" s="30"/>
      <c r="BO317" s="30"/>
      <c r="BP317" s="30"/>
      <c r="BQ317" s="30"/>
    </row>
    <row r="318" spans="1:69" x14ac:dyDescent="0.2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  <c r="AP318" s="30"/>
      <c r="AQ318" s="30"/>
      <c r="AR318" s="30"/>
      <c r="AS318" s="30"/>
      <c r="AT318" s="30"/>
      <c r="AU318" s="30"/>
      <c r="AV318" s="30"/>
      <c r="AW318" s="30"/>
      <c r="AX318" s="30"/>
      <c r="AY318" s="30"/>
      <c r="AZ318" s="30"/>
      <c r="BA318" s="30"/>
      <c r="BB318" s="30"/>
      <c r="BC318" s="30"/>
      <c r="BD318" s="30"/>
      <c r="BE318" s="30"/>
      <c r="BF318" s="30"/>
      <c r="BG318" s="30"/>
      <c r="BH318" s="30"/>
      <c r="BI318" s="30"/>
      <c r="BJ318" s="30"/>
      <c r="BK318" s="30"/>
      <c r="BL318" s="30"/>
      <c r="BM318" s="30"/>
      <c r="BN318" s="30"/>
      <c r="BO318" s="30"/>
      <c r="BP318" s="30"/>
      <c r="BQ318" s="30"/>
    </row>
    <row r="319" spans="1:69" x14ac:dyDescent="0.2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  <c r="AP319" s="30"/>
      <c r="AQ319" s="30"/>
      <c r="AR319" s="30"/>
      <c r="AS319" s="30"/>
      <c r="AT319" s="30"/>
      <c r="AU319" s="30"/>
      <c r="AV319" s="30"/>
      <c r="AW319" s="30"/>
      <c r="AX319" s="30"/>
      <c r="AY319" s="30"/>
      <c r="AZ319" s="30"/>
      <c r="BA319" s="30"/>
      <c r="BB319" s="30"/>
      <c r="BC319" s="30"/>
      <c r="BD319" s="30"/>
      <c r="BE319" s="30"/>
      <c r="BF319" s="30"/>
      <c r="BG319" s="30"/>
      <c r="BH319" s="30"/>
      <c r="BI319" s="30"/>
      <c r="BJ319" s="30"/>
      <c r="BK319" s="30"/>
      <c r="BL319" s="30"/>
      <c r="BM319" s="30"/>
      <c r="BN319" s="30"/>
      <c r="BO319" s="30"/>
      <c r="BP319" s="30"/>
      <c r="BQ319" s="30"/>
    </row>
    <row r="320" spans="1:69" x14ac:dyDescent="0.2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  <c r="AP320" s="30"/>
      <c r="AQ320" s="30"/>
      <c r="AR320" s="30"/>
      <c r="AS320" s="30"/>
      <c r="AT320" s="30"/>
      <c r="AU320" s="30"/>
      <c r="AV320" s="3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30"/>
      <c r="BP320" s="30"/>
      <c r="BQ320" s="30"/>
    </row>
    <row r="321" spans="1:69" x14ac:dyDescent="0.2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  <c r="AP321" s="30"/>
      <c r="AQ321" s="30"/>
      <c r="AR321" s="30"/>
      <c r="AS321" s="30"/>
      <c r="AT321" s="30"/>
      <c r="AU321" s="30"/>
      <c r="AV321" s="30"/>
      <c r="AW321" s="30"/>
      <c r="AX321" s="30"/>
      <c r="AY321" s="30"/>
      <c r="AZ321" s="30"/>
      <c r="BA321" s="30"/>
      <c r="BB321" s="30"/>
      <c r="BC321" s="30"/>
      <c r="BD321" s="30"/>
      <c r="BE321" s="30"/>
      <c r="BF321" s="30"/>
      <c r="BG321" s="30"/>
      <c r="BH321" s="30"/>
      <c r="BI321" s="30"/>
      <c r="BJ321" s="30"/>
      <c r="BK321" s="30"/>
      <c r="BL321" s="30"/>
      <c r="BM321" s="30"/>
      <c r="BN321" s="30"/>
      <c r="BO321" s="30"/>
      <c r="BP321" s="30"/>
      <c r="BQ321" s="30"/>
    </row>
    <row r="322" spans="1:69" x14ac:dyDescent="0.2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  <c r="AP322" s="30"/>
      <c r="AQ322" s="30"/>
      <c r="AR322" s="30"/>
      <c r="AS322" s="30"/>
      <c r="AT322" s="30"/>
      <c r="AU322" s="30"/>
      <c r="AV322" s="30"/>
      <c r="AW322" s="30"/>
      <c r="AX322" s="30"/>
      <c r="AY322" s="30"/>
      <c r="AZ322" s="30"/>
      <c r="BA322" s="30"/>
      <c r="BB322" s="30"/>
      <c r="BC322" s="30"/>
      <c r="BD322" s="30"/>
      <c r="BE322" s="30"/>
      <c r="BF322" s="30"/>
      <c r="BG322" s="30"/>
      <c r="BH322" s="30"/>
      <c r="BI322" s="30"/>
      <c r="BJ322" s="30"/>
      <c r="BK322" s="30"/>
      <c r="BL322" s="30"/>
      <c r="BM322" s="30"/>
      <c r="BN322" s="30"/>
      <c r="BO322" s="30"/>
      <c r="BP322" s="30"/>
      <c r="BQ322" s="30"/>
    </row>
    <row r="323" spans="1:69" x14ac:dyDescent="0.2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  <c r="AP323" s="30"/>
      <c r="AQ323" s="30"/>
      <c r="AR323" s="30"/>
      <c r="AS323" s="30"/>
      <c r="AT323" s="30"/>
      <c r="AU323" s="30"/>
      <c r="AV323" s="30"/>
      <c r="AW323" s="30"/>
      <c r="AX323" s="30"/>
      <c r="AY323" s="30"/>
      <c r="AZ323" s="30"/>
      <c r="BA323" s="30"/>
      <c r="BB323" s="30"/>
      <c r="BC323" s="30"/>
      <c r="BD323" s="30"/>
      <c r="BE323" s="30"/>
      <c r="BF323" s="30"/>
      <c r="BG323" s="30"/>
      <c r="BH323" s="30"/>
      <c r="BI323" s="30"/>
      <c r="BJ323" s="30"/>
      <c r="BK323" s="30"/>
      <c r="BL323" s="30"/>
      <c r="BM323" s="30"/>
      <c r="BN323" s="30"/>
      <c r="BO323" s="30"/>
      <c r="BP323" s="30"/>
      <c r="BQ323" s="30"/>
    </row>
    <row r="324" spans="1:69" x14ac:dyDescent="0.2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  <c r="AP324" s="30"/>
      <c r="AQ324" s="30"/>
      <c r="AR324" s="30"/>
      <c r="AS324" s="30"/>
      <c r="AT324" s="30"/>
      <c r="AU324" s="30"/>
      <c r="AV324" s="30"/>
      <c r="AW324" s="30"/>
      <c r="AX324" s="30"/>
      <c r="AY324" s="30"/>
      <c r="AZ324" s="30"/>
      <c r="BA324" s="30"/>
      <c r="BB324" s="30"/>
      <c r="BC324" s="30"/>
      <c r="BD324" s="30"/>
      <c r="BE324" s="30"/>
      <c r="BF324" s="30"/>
      <c r="BG324" s="30"/>
      <c r="BH324" s="30"/>
      <c r="BI324" s="30"/>
      <c r="BJ324" s="30"/>
      <c r="BK324" s="30"/>
      <c r="BL324" s="30"/>
      <c r="BM324" s="30"/>
      <c r="BN324" s="30"/>
      <c r="BO324" s="30"/>
      <c r="BP324" s="30"/>
      <c r="BQ324" s="30"/>
    </row>
    <row r="325" spans="1:69" x14ac:dyDescent="0.2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  <c r="AP325" s="30"/>
      <c r="AQ325" s="30"/>
      <c r="AR325" s="30"/>
      <c r="AS325" s="30"/>
      <c r="AT325" s="30"/>
      <c r="AU325" s="30"/>
      <c r="AV325" s="30"/>
      <c r="AW325" s="30"/>
      <c r="AX325" s="30"/>
      <c r="AY325" s="30"/>
      <c r="AZ325" s="30"/>
      <c r="BA325" s="30"/>
      <c r="BB325" s="30"/>
      <c r="BC325" s="30"/>
      <c r="BD325" s="30"/>
      <c r="BE325" s="30"/>
      <c r="BF325" s="30"/>
      <c r="BG325" s="30"/>
      <c r="BH325" s="30"/>
      <c r="BI325" s="30"/>
      <c r="BJ325" s="30"/>
      <c r="BK325" s="30"/>
      <c r="BL325" s="30"/>
      <c r="BM325" s="30"/>
      <c r="BN325" s="30"/>
      <c r="BO325" s="30"/>
      <c r="BP325" s="30"/>
      <c r="BQ325" s="30"/>
    </row>
    <row r="326" spans="1:69" x14ac:dyDescent="0.2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  <c r="AP326" s="30"/>
      <c r="AQ326" s="30"/>
      <c r="AR326" s="30"/>
      <c r="AS326" s="30"/>
      <c r="AT326" s="30"/>
      <c r="AU326" s="30"/>
      <c r="AV326" s="30"/>
      <c r="AW326" s="30"/>
      <c r="AX326" s="30"/>
      <c r="AY326" s="30"/>
      <c r="AZ326" s="30"/>
      <c r="BA326" s="30"/>
      <c r="BB326" s="30"/>
      <c r="BC326" s="30"/>
      <c r="BD326" s="30"/>
      <c r="BE326" s="30"/>
      <c r="BF326" s="30"/>
      <c r="BG326" s="30"/>
      <c r="BH326" s="30"/>
      <c r="BI326" s="30"/>
      <c r="BJ326" s="30"/>
      <c r="BK326" s="30"/>
      <c r="BL326" s="30"/>
      <c r="BM326" s="30"/>
      <c r="BN326" s="30"/>
      <c r="BO326" s="30"/>
      <c r="BP326" s="30"/>
      <c r="BQ326" s="30"/>
    </row>
    <row r="327" spans="1:69" x14ac:dyDescent="0.2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  <c r="AP327" s="30"/>
      <c r="AQ327" s="30"/>
      <c r="AR327" s="30"/>
      <c r="AS327" s="30"/>
      <c r="AT327" s="30"/>
      <c r="AU327" s="30"/>
      <c r="AV327" s="30"/>
      <c r="AW327" s="30"/>
      <c r="AX327" s="30"/>
      <c r="AY327" s="30"/>
      <c r="AZ327" s="30"/>
      <c r="BA327" s="30"/>
      <c r="BB327" s="30"/>
      <c r="BC327" s="30"/>
      <c r="BD327" s="30"/>
      <c r="BE327" s="30"/>
      <c r="BF327" s="30"/>
      <c r="BG327" s="30"/>
      <c r="BH327" s="30"/>
      <c r="BI327" s="30"/>
      <c r="BJ327" s="30"/>
      <c r="BK327" s="30"/>
      <c r="BL327" s="30"/>
      <c r="BM327" s="30"/>
      <c r="BN327" s="30"/>
      <c r="BO327" s="30"/>
      <c r="BP327" s="30"/>
      <c r="BQ327" s="30"/>
    </row>
    <row r="328" spans="1:69" x14ac:dyDescent="0.2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  <c r="AP328" s="30"/>
      <c r="AQ328" s="30"/>
      <c r="AR328" s="30"/>
      <c r="AS328" s="30"/>
      <c r="AT328" s="30"/>
      <c r="AU328" s="30"/>
      <c r="AV328" s="30"/>
      <c r="AW328" s="30"/>
      <c r="AX328" s="30"/>
      <c r="AY328" s="30"/>
      <c r="AZ328" s="30"/>
      <c r="BA328" s="30"/>
      <c r="BB328" s="30"/>
      <c r="BC328" s="30"/>
      <c r="BD328" s="30"/>
      <c r="BE328" s="30"/>
      <c r="BF328" s="30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</row>
    <row r="329" spans="1:69" x14ac:dyDescent="0.2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  <c r="AP329" s="30"/>
      <c r="AQ329" s="30"/>
      <c r="AR329" s="30"/>
      <c r="AS329" s="30"/>
      <c r="AT329" s="30"/>
      <c r="AU329" s="30"/>
      <c r="AV329" s="30"/>
      <c r="AW329" s="30"/>
      <c r="AX329" s="30"/>
      <c r="AY329" s="30"/>
      <c r="AZ329" s="30"/>
      <c r="BA329" s="30"/>
      <c r="BB329" s="30"/>
      <c r="BC329" s="30"/>
      <c r="BD329" s="30"/>
      <c r="BE329" s="30"/>
      <c r="BF329" s="30"/>
      <c r="BG329" s="30"/>
      <c r="BH329" s="30"/>
      <c r="BI329" s="30"/>
      <c r="BJ329" s="30"/>
      <c r="BK329" s="30"/>
      <c r="BL329" s="30"/>
      <c r="BM329" s="30"/>
      <c r="BN329" s="30"/>
      <c r="BO329" s="30"/>
      <c r="BP329" s="30"/>
      <c r="BQ329" s="30"/>
    </row>
    <row r="330" spans="1:69" x14ac:dyDescent="0.2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  <c r="AP330" s="30"/>
      <c r="AQ330" s="30"/>
      <c r="AR330" s="30"/>
      <c r="AS330" s="30"/>
      <c r="AT330" s="30"/>
      <c r="AU330" s="30"/>
      <c r="AV330" s="30"/>
      <c r="AW330" s="30"/>
      <c r="AX330" s="30"/>
      <c r="AY330" s="30"/>
      <c r="AZ330" s="30"/>
      <c r="BA330" s="30"/>
      <c r="BB330" s="30"/>
      <c r="BC330" s="30"/>
      <c r="BD330" s="30"/>
      <c r="BE330" s="30"/>
      <c r="BF330" s="30"/>
      <c r="BG330" s="30"/>
      <c r="BH330" s="30"/>
      <c r="BI330" s="30"/>
      <c r="BJ330" s="30"/>
      <c r="BK330" s="30"/>
      <c r="BL330" s="30"/>
      <c r="BM330" s="30"/>
      <c r="BN330" s="30"/>
      <c r="BO330" s="30"/>
      <c r="BP330" s="30"/>
      <c r="BQ330" s="30"/>
    </row>
    <row r="331" spans="1:69" x14ac:dyDescent="0.2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  <c r="AP331" s="30"/>
      <c r="AQ331" s="30"/>
      <c r="AR331" s="30"/>
      <c r="AS331" s="30"/>
      <c r="AT331" s="30"/>
      <c r="AU331" s="30"/>
      <c r="AV331" s="30"/>
      <c r="AW331" s="30"/>
      <c r="AX331" s="30"/>
      <c r="AY331" s="30"/>
      <c r="AZ331" s="30"/>
      <c r="BA331" s="30"/>
      <c r="BB331" s="30"/>
      <c r="BC331" s="30"/>
      <c r="BD331" s="30"/>
      <c r="BE331" s="30"/>
      <c r="BF331" s="30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</row>
    <row r="332" spans="1:69" x14ac:dyDescent="0.2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  <c r="AP332" s="30"/>
      <c r="AQ332" s="30"/>
      <c r="AR332" s="30"/>
      <c r="AS332" s="30"/>
      <c r="AT332" s="30"/>
      <c r="AU332" s="30"/>
      <c r="AV332" s="3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</row>
    <row r="333" spans="1:69" x14ac:dyDescent="0.2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  <c r="AP333" s="30"/>
      <c r="AQ333" s="30"/>
      <c r="AR333" s="30"/>
      <c r="AS333" s="30"/>
      <c r="AT333" s="30"/>
      <c r="AU333" s="30"/>
      <c r="AV333" s="3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</row>
    <row r="334" spans="1:69" x14ac:dyDescent="0.2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  <c r="AP334" s="30"/>
      <c r="AQ334" s="30"/>
      <c r="AR334" s="30"/>
      <c r="AS334" s="30"/>
      <c r="AT334" s="30"/>
      <c r="AU334" s="30"/>
      <c r="AV334" s="30"/>
      <c r="AW334" s="30"/>
      <c r="AX334" s="30"/>
      <c r="AY334" s="30"/>
      <c r="AZ334" s="30"/>
      <c r="BA334" s="30"/>
      <c r="BB334" s="30"/>
      <c r="BC334" s="30"/>
      <c r="BD334" s="30"/>
      <c r="BE334" s="30"/>
      <c r="BF334" s="30"/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</row>
    <row r="335" spans="1:69" x14ac:dyDescent="0.2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  <c r="AP335" s="30"/>
      <c r="AQ335" s="30"/>
      <c r="AR335" s="30"/>
      <c r="AS335" s="30"/>
      <c r="AT335" s="30"/>
      <c r="AU335" s="30"/>
      <c r="AV335" s="30"/>
      <c r="AW335" s="30"/>
      <c r="AX335" s="30"/>
      <c r="AY335" s="30"/>
      <c r="AZ335" s="30"/>
      <c r="BA335" s="30"/>
      <c r="BB335" s="30"/>
      <c r="BC335" s="30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</row>
    <row r="336" spans="1:69" x14ac:dyDescent="0.2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  <c r="AP336" s="30"/>
      <c r="AQ336" s="30"/>
      <c r="AR336" s="30"/>
      <c r="AS336" s="30"/>
      <c r="AT336" s="30"/>
      <c r="AU336" s="30"/>
      <c r="AV336" s="30"/>
      <c r="AW336" s="30"/>
      <c r="AX336" s="30"/>
      <c r="AY336" s="30"/>
      <c r="AZ336" s="30"/>
      <c r="BA336" s="30"/>
      <c r="BB336" s="30"/>
      <c r="BC336" s="30"/>
      <c r="BD336" s="30"/>
      <c r="BE336" s="30"/>
      <c r="BF336" s="30"/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</row>
    <row r="337" spans="1:69" x14ac:dyDescent="0.2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  <c r="AP337" s="30"/>
      <c r="AQ337" s="30"/>
      <c r="AR337" s="30"/>
      <c r="AS337" s="30"/>
      <c r="AT337" s="30"/>
      <c r="AU337" s="30"/>
      <c r="AV337" s="30"/>
      <c r="AW337" s="30"/>
      <c r="AX337" s="30"/>
      <c r="AY337" s="30"/>
      <c r="AZ337" s="30"/>
      <c r="BA337" s="30"/>
      <c r="BB337" s="30"/>
      <c r="BC337" s="30"/>
      <c r="BD337" s="30"/>
      <c r="BE337" s="30"/>
      <c r="BF337" s="30"/>
      <c r="BG337" s="30"/>
      <c r="BH337" s="30"/>
      <c r="BI337" s="30"/>
      <c r="BJ337" s="30"/>
      <c r="BK337" s="30"/>
      <c r="BL337" s="30"/>
      <c r="BM337" s="30"/>
      <c r="BN337" s="30"/>
      <c r="BO337" s="30"/>
      <c r="BP337" s="30"/>
      <c r="BQ337" s="30"/>
    </row>
    <row r="338" spans="1:69" x14ac:dyDescent="0.2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  <c r="AP338" s="30"/>
      <c r="AQ338" s="30"/>
      <c r="AR338" s="30"/>
      <c r="AS338" s="30"/>
      <c r="AT338" s="30"/>
      <c r="AU338" s="30"/>
      <c r="AV338" s="30"/>
      <c r="AW338" s="30"/>
      <c r="AX338" s="30"/>
      <c r="AY338" s="30"/>
      <c r="AZ338" s="30"/>
      <c r="BA338" s="30"/>
      <c r="BB338" s="30"/>
      <c r="BC338" s="30"/>
      <c r="BD338" s="30"/>
      <c r="BE338" s="30"/>
      <c r="BF338" s="30"/>
      <c r="BG338" s="30"/>
      <c r="BH338" s="30"/>
      <c r="BI338" s="30"/>
      <c r="BJ338" s="30"/>
      <c r="BK338" s="30"/>
      <c r="BL338" s="30"/>
      <c r="BM338" s="30"/>
      <c r="BN338" s="30"/>
      <c r="BO338" s="30"/>
      <c r="BP338" s="30"/>
      <c r="BQ338" s="30"/>
    </row>
    <row r="339" spans="1:69" x14ac:dyDescent="0.2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  <c r="AP339" s="30"/>
      <c r="AQ339" s="30"/>
      <c r="AR339" s="30"/>
      <c r="AS339" s="30"/>
      <c r="AT339" s="30"/>
      <c r="AU339" s="30"/>
      <c r="AV339" s="30"/>
      <c r="AW339" s="30"/>
      <c r="AX339" s="30"/>
      <c r="AY339" s="30"/>
      <c r="AZ339" s="30"/>
      <c r="BA339" s="30"/>
      <c r="BB339" s="30"/>
      <c r="BC339" s="30"/>
      <c r="BD339" s="30"/>
      <c r="BE339" s="30"/>
      <c r="BF339" s="30"/>
      <c r="BG339" s="30"/>
      <c r="BH339" s="30"/>
      <c r="BI339" s="30"/>
      <c r="BJ339" s="30"/>
      <c r="BK339" s="30"/>
      <c r="BL339" s="30"/>
      <c r="BM339" s="30"/>
      <c r="BN339" s="30"/>
      <c r="BO339" s="30"/>
      <c r="BP339" s="30"/>
      <c r="BQ339" s="30"/>
    </row>
    <row r="340" spans="1:69" x14ac:dyDescent="0.2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  <c r="AP340" s="30"/>
      <c r="AQ340" s="30"/>
      <c r="AR340" s="30"/>
      <c r="AS340" s="30"/>
      <c r="AT340" s="30"/>
      <c r="AU340" s="30"/>
      <c r="AV340" s="30"/>
      <c r="AW340" s="30"/>
      <c r="AX340" s="30"/>
      <c r="AY340" s="30"/>
      <c r="AZ340" s="30"/>
      <c r="BA340" s="30"/>
      <c r="BB340" s="30"/>
      <c r="BC340" s="30"/>
      <c r="BD340" s="30"/>
      <c r="BE340" s="30"/>
      <c r="BF340" s="30"/>
      <c r="BG340" s="30"/>
      <c r="BH340" s="30"/>
      <c r="BI340" s="30"/>
      <c r="BJ340" s="30"/>
      <c r="BK340" s="30"/>
      <c r="BL340" s="30"/>
      <c r="BM340" s="30"/>
      <c r="BN340" s="30"/>
      <c r="BO340" s="30"/>
      <c r="BP340" s="30"/>
      <c r="BQ340" s="30"/>
    </row>
    <row r="341" spans="1:69" x14ac:dyDescent="0.2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  <c r="AP341" s="30"/>
      <c r="AQ341" s="30"/>
      <c r="AR341" s="30"/>
      <c r="AS341" s="30"/>
      <c r="AT341" s="30"/>
      <c r="AU341" s="30"/>
      <c r="AV341" s="30"/>
      <c r="AW341" s="30"/>
      <c r="AX341" s="30"/>
      <c r="AY341" s="30"/>
      <c r="AZ341" s="30"/>
      <c r="BA341" s="30"/>
      <c r="BB341" s="30"/>
      <c r="BC341" s="30"/>
      <c r="BD341" s="30"/>
      <c r="BE341" s="30"/>
      <c r="BF341" s="30"/>
      <c r="BG341" s="30"/>
      <c r="BH341" s="30"/>
      <c r="BI341" s="30"/>
      <c r="BJ341" s="30"/>
      <c r="BK341" s="30"/>
      <c r="BL341" s="30"/>
      <c r="BM341" s="30"/>
      <c r="BN341" s="30"/>
      <c r="BO341" s="30"/>
      <c r="BP341" s="30"/>
      <c r="BQ341" s="30"/>
    </row>
    <row r="342" spans="1:69" x14ac:dyDescent="0.2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  <c r="AP342" s="30"/>
      <c r="AQ342" s="30"/>
      <c r="AR342" s="30"/>
      <c r="AS342" s="30"/>
      <c r="AT342" s="30"/>
      <c r="AU342" s="30"/>
      <c r="AV342" s="30"/>
      <c r="AW342" s="30"/>
      <c r="AX342" s="30"/>
      <c r="AY342" s="30"/>
      <c r="AZ342" s="30"/>
      <c r="BA342" s="30"/>
      <c r="BB342" s="30"/>
      <c r="BC342" s="30"/>
      <c r="BD342" s="30"/>
      <c r="BE342" s="30"/>
      <c r="BF342" s="30"/>
      <c r="BG342" s="30"/>
      <c r="BH342" s="30"/>
      <c r="BI342" s="30"/>
      <c r="BJ342" s="30"/>
      <c r="BK342" s="30"/>
      <c r="BL342" s="30"/>
      <c r="BM342" s="30"/>
      <c r="BN342" s="30"/>
      <c r="BO342" s="30"/>
      <c r="BP342" s="30"/>
      <c r="BQ342" s="30"/>
    </row>
    <row r="343" spans="1:69" x14ac:dyDescent="0.2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  <c r="AP343" s="30"/>
      <c r="AQ343" s="30"/>
      <c r="AR343" s="30"/>
      <c r="AS343" s="30"/>
      <c r="AT343" s="30"/>
      <c r="AU343" s="30"/>
      <c r="AV343" s="30"/>
      <c r="AW343" s="30"/>
      <c r="AX343" s="30"/>
      <c r="AY343" s="30"/>
      <c r="AZ343" s="30"/>
      <c r="BA343" s="30"/>
      <c r="BB343" s="30"/>
      <c r="BC343" s="30"/>
      <c r="BD343" s="30"/>
      <c r="BE343" s="30"/>
      <c r="BF343" s="30"/>
      <c r="BG343" s="30"/>
      <c r="BH343" s="30"/>
      <c r="BI343" s="30"/>
      <c r="BJ343" s="30"/>
      <c r="BK343" s="30"/>
      <c r="BL343" s="30"/>
      <c r="BM343" s="30"/>
      <c r="BN343" s="30"/>
      <c r="BO343" s="30"/>
      <c r="BP343" s="30"/>
      <c r="BQ343" s="30"/>
    </row>
    <row r="344" spans="1:69" x14ac:dyDescent="0.2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  <c r="AP344" s="30"/>
      <c r="AQ344" s="30"/>
      <c r="AR344" s="30"/>
      <c r="AS344" s="30"/>
      <c r="AT344" s="30"/>
      <c r="AU344" s="30"/>
      <c r="AV344" s="30"/>
      <c r="AW344" s="30"/>
      <c r="AX344" s="30"/>
      <c r="AY344" s="30"/>
      <c r="AZ344" s="30"/>
      <c r="BA344" s="30"/>
      <c r="BB344" s="30"/>
      <c r="BC344" s="30"/>
      <c r="BD344" s="30"/>
      <c r="BE344" s="30"/>
      <c r="BF344" s="30"/>
      <c r="BG344" s="30"/>
      <c r="BH344" s="30"/>
      <c r="BI344" s="30"/>
      <c r="BJ344" s="30"/>
      <c r="BK344" s="30"/>
      <c r="BL344" s="30"/>
      <c r="BM344" s="30"/>
      <c r="BN344" s="30"/>
      <c r="BO344" s="30"/>
      <c r="BP344" s="30"/>
      <c r="BQ344" s="30"/>
    </row>
    <row r="345" spans="1:69" x14ac:dyDescent="0.2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  <c r="AP345" s="30"/>
      <c r="AQ345" s="30"/>
      <c r="AR345" s="30"/>
      <c r="AS345" s="30"/>
      <c r="AT345" s="30"/>
      <c r="AU345" s="30"/>
      <c r="AV345" s="30"/>
      <c r="AW345" s="30"/>
      <c r="AX345" s="30"/>
      <c r="AY345" s="30"/>
      <c r="AZ345" s="30"/>
      <c r="BA345" s="30"/>
      <c r="BB345" s="30"/>
      <c r="BC345" s="30"/>
      <c r="BD345" s="30"/>
      <c r="BE345" s="30"/>
      <c r="BF345" s="30"/>
      <c r="BG345" s="30"/>
      <c r="BH345" s="30"/>
      <c r="BI345" s="30"/>
      <c r="BJ345" s="30"/>
      <c r="BK345" s="30"/>
      <c r="BL345" s="30"/>
      <c r="BM345" s="30"/>
      <c r="BN345" s="30"/>
      <c r="BO345" s="30"/>
      <c r="BP345" s="30"/>
      <c r="BQ345" s="30"/>
    </row>
    <row r="346" spans="1:69" x14ac:dyDescent="0.2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  <c r="AP346" s="30"/>
      <c r="AQ346" s="30"/>
      <c r="AR346" s="30"/>
      <c r="AS346" s="30"/>
      <c r="AT346" s="30"/>
      <c r="AU346" s="30"/>
      <c r="AV346" s="30"/>
      <c r="AW346" s="30"/>
      <c r="AX346" s="30"/>
      <c r="AY346" s="30"/>
      <c r="AZ346" s="30"/>
      <c r="BA346" s="30"/>
      <c r="BB346" s="30"/>
      <c r="BC346" s="30"/>
      <c r="BD346" s="30"/>
      <c r="BE346" s="30"/>
      <c r="BF346" s="30"/>
      <c r="BG346" s="30"/>
      <c r="BH346" s="30"/>
      <c r="BI346" s="30"/>
      <c r="BJ346" s="30"/>
      <c r="BK346" s="30"/>
      <c r="BL346" s="30"/>
      <c r="BM346" s="30"/>
      <c r="BN346" s="30"/>
      <c r="BO346" s="30"/>
      <c r="BP346" s="30"/>
      <c r="BQ346" s="30"/>
    </row>
    <row r="347" spans="1:69" x14ac:dyDescent="0.2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  <c r="AP347" s="30"/>
      <c r="AQ347" s="30"/>
      <c r="AR347" s="30"/>
      <c r="AS347" s="30"/>
      <c r="AT347" s="30"/>
      <c r="AU347" s="30"/>
      <c r="AV347" s="30"/>
      <c r="AW347" s="30"/>
      <c r="AX347" s="30"/>
      <c r="AY347" s="30"/>
      <c r="AZ347" s="30"/>
      <c r="BA347" s="30"/>
      <c r="BB347" s="30"/>
      <c r="BC347" s="30"/>
      <c r="BD347" s="30"/>
      <c r="BE347" s="30"/>
      <c r="BF347" s="30"/>
      <c r="BG347" s="30"/>
      <c r="BH347" s="30"/>
      <c r="BI347" s="30"/>
      <c r="BJ347" s="30"/>
      <c r="BK347" s="30"/>
      <c r="BL347" s="30"/>
      <c r="BM347" s="30"/>
      <c r="BN347" s="30"/>
      <c r="BO347" s="30"/>
      <c r="BP347" s="30"/>
      <c r="BQ347" s="30"/>
    </row>
    <row r="348" spans="1:69" x14ac:dyDescent="0.2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  <c r="AP348" s="30"/>
      <c r="AQ348" s="30"/>
      <c r="AR348" s="30"/>
      <c r="AS348" s="30"/>
      <c r="AT348" s="30"/>
      <c r="AU348" s="30"/>
      <c r="AV348" s="30"/>
      <c r="AW348" s="30"/>
      <c r="AX348" s="30"/>
      <c r="AY348" s="30"/>
      <c r="AZ348" s="30"/>
      <c r="BA348" s="30"/>
      <c r="BB348" s="30"/>
      <c r="BC348" s="30"/>
      <c r="BD348" s="30"/>
      <c r="BE348" s="30"/>
      <c r="BF348" s="30"/>
      <c r="BG348" s="30"/>
      <c r="BH348" s="30"/>
      <c r="BI348" s="30"/>
      <c r="BJ348" s="30"/>
      <c r="BK348" s="30"/>
      <c r="BL348" s="30"/>
      <c r="BM348" s="30"/>
      <c r="BN348" s="30"/>
      <c r="BO348" s="30"/>
      <c r="BP348" s="30"/>
      <c r="BQ348" s="30"/>
    </row>
    <row r="349" spans="1:69" x14ac:dyDescent="0.2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  <c r="AP349" s="30"/>
      <c r="AQ349" s="30"/>
      <c r="AR349" s="30"/>
      <c r="AS349" s="30"/>
      <c r="AT349" s="30"/>
      <c r="AU349" s="30"/>
      <c r="AV349" s="30"/>
      <c r="AW349" s="30"/>
      <c r="AX349" s="30"/>
      <c r="AY349" s="30"/>
      <c r="AZ349" s="30"/>
      <c r="BA349" s="30"/>
      <c r="BB349" s="30"/>
      <c r="BC349" s="30"/>
      <c r="BD349" s="30"/>
      <c r="BE349" s="30"/>
      <c r="BF349" s="30"/>
      <c r="BG349" s="30"/>
      <c r="BH349" s="30"/>
      <c r="BI349" s="30"/>
      <c r="BJ349" s="30"/>
      <c r="BK349" s="30"/>
      <c r="BL349" s="30"/>
      <c r="BM349" s="30"/>
      <c r="BN349" s="30"/>
      <c r="BO349" s="30"/>
      <c r="BP349" s="30"/>
      <c r="BQ349" s="30"/>
    </row>
    <row r="350" spans="1:69" x14ac:dyDescent="0.2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  <c r="AP350" s="30"/>
      <c r="AQ350" s="30"/>
      <c r="AR350" s="30"/>
      <c r="AS350" s="30"/>
      <c r="AT350" s="30"/>
      <c r="AU350" s="30"/>
      <c r="AV350" s="30"/>
      <c r="AW350" s="30"/>
      <c r="AX350" s="30"/>
      <c r="AY350" s="30"/>
      <c r="AZ350" s="30"/>
      <c r="BA350" s="30"/>
      <c r="BB350" s="30"/>
      <c r="BC350" s="30"/>
      <c r="BD350" s="30"/>
      <c r="BE350" s="30"/>
      <c r="BF350" s="30"/>
      <c r="BG350" s="30"/>
      <c r="BH350" s="30"/>
      <c r="BI350" s="30"/>
      <c r="BJ350" s="30"/>
      <c r="BK350" s="30"/>
      <c r="BL350" s="30"/>
      <c r="BM350" s="30"/>
      <c r="BN350" s="30"/>
      <c r="BO350" s="30"/>
      <c r="BP350" s="30"/>
      <c r="BQ350" s="30"/>
    </row>
    <row r="351" spans="1:69" x14ac:dyDescent="0.2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  <c r="AP351" s="30"/>
      <c r="AQ351" s="30"/>
      <c r="AR351" s="30"/>
      <c r="AS351" s="30"/>
      <c r="AT351" s="30"/>
      <c r="AU351" s="30"/>
      <c r="AV351" s="30"/>
      <c r="AW351" s="30"/>
      <c r="AX351" s="30"/>
      <c r="AY351" s="30"/>
      <c r="AZ351" s="30"/>
      <c r="BA351" s="30"/>
      <c r="BB351" s="30"/>
      <c r="BC351" s="30"/>
      <c r="BD351" s="30"/>
      <c r="BE351" s="30"/>
      <c r="BF351" s="30"/>
      <c r="BG351" s="30"/>
      <c r="BH351" s="30"/>
      <c r="BI351" s="30"/>
      <c r="BJ351" s="30"/>
      <c r="BK351" s="30"/>
      <c r="BL351" s="30"/>
      <c r="BM351" s="30"/>
      <c r="BN351" s="30"/>
      <c r="BO351" s="30"/>
      <c r="BP351" s="30"/>
      <c r="BQ351" s="30"/>
    </row>
    <row r="352" spans="1:69" x14ac:dyDescent="0.2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  <c r="AP352" s="30"/>
      <c r="AQ352" s="30"/>
      <c r="AR352" s="30"/>
      <c r="AS352" s="30"/>
      <c r="AT352" s="30"/>
      <c r="AU352" s="30"/>
      <c r="AV352" s="30"/>
      <c r="AW352" s="30"/>
      <c r="AX352" s="30"/>
      <c r="AY352" s="30"/>
      <c r="AZ352" s="30"/>
      <c r="BA352" s="30"/>
      <c r="BB352" s="30"/>
      <c r="BC352" s="30"/>
      <c r="BD352" s="30"/>
      <c r="BE352" s="30"/>
      <c r="BF352" s="30"/>
      <c r="BG352" s="30"/>
      <c r="BH352" s="30"/>
      <c r="BI352" s="30"/>
      <c r="BJ352" s="30"/>
      <c r="BK352" s="30"/>
      <c r="BL352" s="30"/>
      <c r="BM352" s="30"/>
      <c r="BN352" s="30"/>
      <c r="BO352" s="30"/>
      <c r="BP352" s="30"/>
      <c r="BQ352" s="30"/>
    </row>
    <row r="353" spans="1:69" x14ac:dyDescent="0.2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  <c r="AP353" s="30"/>
      <c r="AQ353" s="30"/>
      <c r="AR353" s="30"/>
      <c r="AS353" s="30"/>
      <c r="AT353" s="30"/>
      <c r="AU353" s="30"/>
      <c r="AV353" s="30"/>
      <c r="AW353" s="30"/>
      <c r="AX353" s="30"/>
      <c r="AY353" s="30"/>
      <c r="AZ353" s="30"/>
      <c r="BA353" s="30"/>
      <c r="BB353" s="30"/>
      <c r="BC353" s="30"/>
      <c r="BD353" s="30"/>
      <c r="BE353" s="30"/>
      <c r="BF353" s="30"/>
      <c r="BG353" s="30"/>
      <c r="BH353" s="30"/>
      <c r="BI353" s="30"/>
      <c r="BJ353" s="30"/>
      <c r="BK353" s="30"/>
      <c r="BL353" s="30"/>
      <c r="BM353" s="30"/>
      <c r="BN353" s="30"/>
      <c r="BO353" s="30"/>
      <c r="BP353" s="30"/>
      <c r="BQ353" s="30"/>
    </row>
    <row r="354" spans="1:69" x14ac:dyDescent="0.2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  <c r="AP354" s="30"/>
      <c r="AQ354" s="30"/>
      <c r="AR354" s="30"/>
      <c r="AS354" s="30"/>
      <c r="AT354" s="30"/>
      <c r="AU354" s="30"/>
      <c r="AV354" s="30"/>
      <c r="AW354" s="30"/>
      <c r="AX354" s="30"/>
      <c r="AY354" s="30"/>
      <c r="AZ354" s="30"/>
      <c r="BA354" s="30"/>
      <c r="BB354" s="30"/>
      <c r="BC354" s="30"/>
      <c r="BD354" s="30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30"/>
      <c r="BP354" s="30"/>
      <c r="BQ354" s="30"/>
    </row>
    <row r="355" spans="1:69" x14ac:dyDescent="0.2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  <c r="AP355" s="30"/>
      <c r="AQ355" s="30"/>
      <c r="AR355" s="30"/>
      <c r="AS355" s="30"/>
      <c r="AT355" s="30"/>
      <c r="AU355" s="30"/>
      <c r="AV355" s="30"/>
      <c r="AW355" s="30"/>
      <c r="AX355" s="30"/>
      <c r="AY355" s="30"/>
      <c r="AZ355" s="30"/>
      <c r="BA355" s="30"/>
      <c r="BB355" s="30"/>
      <c r="BC355" s="30"/>
      <c r="BD355" s="30"/>
      <c r="BE355" s="30"/>
      <c r="BF355" s="30"/>
      <c r="BG355" s="30"/>
      <c r="BH355" s="30"/>
      <c r="BI355" s="30"/>
      <c r="BJ355" s="30"/>
      <c r="BK355" s="30"/>
      <c r="BL355" s="30"/>
      <c r="BM355" s="30"/>
      <c r="BN355" s="30"/>
      <c r="BO355" s="30"/>
      <c r="BP355" s="30"/>
      <c r="BQ355" s="30"/>
    </row>
    <row r="356" spans="1:69" x14ac:dyDescent="0.2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  <c r="AP356" s="30"/>
      <c r="AQ356" s="30"/>
      <c r="AR356" s="30"/>
      <c r="AS356" s="30"/>
      <c r="AT356" s="30"/>
      <c r="AU356" s="30"/>
      <c r="AV356" s="30"/>
      <c r="AW356" s="30"/>
      <c r="AX356" s="30"/>
      <c r="AY356" s="30"/>
      <c r="AZ356" s="30"/>
      <c r="BA356" s="30"/>
      <c r="BB356" s="30"/>
      <c r="BC356" s="30"/>
      <c r="BD356" s="30"/>
      <c r="BE356" s="30"/>
      <c r="BF356" s="30"/>
      <c r="BG356" s="30"/>
      <c r="BH356" s="30"/>
      <c r="BI356" s="30"/>
      <c r="BJ356" s="30"/>
      <c r="BK356" s="30"/>
      <c r="BL356" s="30"/>
      <c r="BM356" s="30"/>
      <c r="BN356" s="30"/>
      <c r="BO356" s="30"/>
      <c r="BP356" s="30"/>
      <c r="BQ356" s="30"/>
    </row>
    <row r="357" spans="1:69" x14ac:dyDescent="0.2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  <c r="AP357" s="30"/>
      <c r="AQ357" s="30"/>
      <c r="AR357" s="30"/>
      <c r="AS357" s="30"/>
      <c r="AT357" s="30"/>
      <c r="AU357" s="30"/>
      <c r="AV357" s="30"/>
      <c r="AW357" s="30"/>
      <c r="AX357" s="30"/>
      <c r="AY357" s="30"/>
      <c r="AZ357" s="30"/>
      <c r="BA357" s="30"/>
      <c r="BB357" s="30"/>
      <c r="BC357" s="30"/>
      <c r="BD357" s="30"/>
      <c r="BE357" s="30"/>
      <c r="BF357" s="30"/>
      <c r="BG357" s="30"/>
      <c r="BH357" s="30"/>
      <c r="BI357" s="30"/>
      <c r="BJ357" s="30"/>
      <c r="BK357" s="30"/>
      <c r="BL357" s="30"/>
      <c r="BM357" s="30"/>
      <c r="BN357" s="30"/>
      <c r="BO357" s="30"/>
      <c r="BP357" s="30"/>
      <c r="BQ357" s="30"/>
    </row>
    <row r="358" spans="1:69" x14ac:dyDescent="0.2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  <c r="AP358" s="30"/>
      <c r="AQ358" s="30"/>
      <c r="AR358" s="30"/>
      <c r="AS358" s="30"/>
      <c r="AT358" s="30"/>
      <c r="AU358" s="30"/>
      <c r="AV358" s="30"/>
      <c r="AW358" s="30"/>
      <c r="AX358" s="30"/>
      <c r="AY358" s="30"/>
      <c r="AZ358" s="30"/>
      <c r="BA358" s="30"/>
      <c r="BB358" s="30"/>
      <c r="BC358" s="30"/>
      <c r="BD358" s="30"/>
      <c r="BE358" s="30"/>
      <c r="BF358" s="30"/>
      <c r="BG358" s="30"/>
      <c r="BH358" s="30"/>
      <c r="BI358" s="30"/>
      <c r="BJ358" s="30"/>
      <c r="BK358" s="30"/>
      <c r="BL358" s="30"/>
      <c r="BM358" s="30"/>
      <c r="BN358" s="30"/>
      <c r="BO358" s="30"/>
      <c r="BP358" s="30"/>
      <c r="BQ358" s="30"/>
    </row>
    <row r="359" spans="1:69" x14ac:dyDescent="0.2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  <c r="AP359" s="30"/>
      <c r="AQ359" s="30"/>
      <c r="AR359" s="30"/>
      <c r="AS359" s="30"/>
      <c r="AT359" s="30"/>
      <c r="AU359" s="30"/>
      <c r="AV359" s="30"/>
      <c r="AW359" s="30"/>
      <c r="AX359" s="30"/>
      <c r="AY359" s="30"/>
      <c r="AZ359" s="30"/>
      <c r="BA359" s="30"/>
      <c r="BB359" s="30"/>
      <c r="BC359" s="30"/>
      <c r="BD359" s="30"/>
      <c r="BE359" s="30"/>
      <c r="BF359" s="30"/>
      <c r="BG359" s="30"/>
      <c r="BH359" s="30"/>
      <c r="BI359" s="30"/>
      <c r="BJ359" s="30"/>
      <c r="BK359" s="30"/>
      <c r="BL359" s="30"/>
      <c r="BM359" s="30"/>
      <c r="BN359" s="30"/>
      <c r="BO359" s="30"/>
      <c r="BP359" s="30"/>
      <c r="BQ359" s="30"/>
    </row>
    <row r="360" spans="1:69" x14ac:dyDescent="0.2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  <c r="AP360" s="30"/>
      <c r="AQ360" s="30"/>
      <c r="AR360" s="30"/>
      <c r="AS360" s="30"/>
      <c r="AT360" s="30"/>
      <c r="AU360" s="30"/>
      <c r="AV360" s="30"/>
      <c r="AW360" s="30"/>
      <c r="AX360" s="30"/>
      <c r="AY360" s="30"/>
      <c r="AZ360" s="30"/>
      <c r="BA360" s="30"/>
      <c r="BB360" s="30"/>
      <c r="BC360" s="30"/>
      <c r="BD360" s="30"/>
      <c r="BE360" s="30"/>
      <c r="BF360" s="30"/>
      <c r="BG360" s="30"/>
      <c r="BH360" s="30"/>
      <c r="BI360" s="30"/>
      <c r="BJ360" s="30"/>
      <c r="BK360" s="30"/>
      <c r="BL360" s="30"/>
      <c r="BM360" s="30"/>
      <c r="BN360" s="30"/>
      <c r="BO360" s="30"/>
      <c r="BP360" s="30"/>
      <c r="BQ360" s="30"/>
    </row>
    <row r="361" spans="1:69" x14ac:dyDescent="0.2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  <c r="AP361" s="30"/>
      <c r="AQ361" s="30"/>
      <c r="AR361" s="30"/>
      <c r="AS361" s="30"/>
      <c r="AT361" s="30"/>
      <c r="AU361" s="30"/>
      <c r="AV361" s="30"/>
      <c r="AW361" s="30"/>
      <c r="AX361" s="30"/>
      <c r="AY361" s="30"/>
      <c r="AZ361" s="30"/>
      <c r="BA361" s="30"/>
      <c r="BB361" s="30"/>
      <c r="BC361" s="30"/>
      <c r="BD361" s="30"/>
      <c r="BE361" s="30"/>
      <c r="BF361" s="30"/>
      <c r="BG361" s="30"/>
      <c r="BH361" s="30"/>
      <c r="BI361" s="30"/>
      <c r="BJ361" s="30"/>
      <c r="BK361" s="30"/>
      <c r="BL361" s="30"/>
      <c r="BM361" s="30"/>
      <c r="BN361" s="30"/>
      <c r="BO361" s="30"/>
      <c r="BP361" s="30"/>
      <c r="BQ361" s="30"/>
    </row>
    <row r="362" spans="1:69" x14ac:dyDescent="0.2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  <c r="AP362" s="30"/>
      <c r="AQ362" s="30"/>
      <c r="AR362" s="30"/>
      <c r="AS362" s="30"/>
      <c r="AT362" s="30"/>
      <c r="AU362" s="30"/>
      <c r="AV362" s="30"/>
      <c r="AW362" s="30"/>
      <c r="AX362" s="30"/>
      <c r="AY362" s="30"/>
      <c r="AZ362" s="30"/>
      <c r="BA362" s="30"/>
      <c r="BB362" s="30"/>
      <c r="BC362" s="30"/>
      <c r="BD362" s="30"/>
      <c r="BE362" s="30"/>
      <c r="BF362" s="30"/>
      <c r="BG362" s="30"/>
      <c r="BH362" s="30"/>
      <c r="BI362" s="30"/>
      <c r="BJ362" s="30"/>
      <c r="BK362" s="30"/>
      <c r="BL362" s="30"/>
      <c r="BM362" s="30"/>
      <c r="BN362" s="30"/>
      <c r="BO362" s="30"/>
      <c r="BP362" s="30"/>
      <c r="BQ362" s="30"/>
    </row>
    <row r="363" spans="1:69" x14ac:dyDescent="0.2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  <c r="AP363" s="30"/>
      <c r="AQ363" s="30"/>
      <c r="AR363" s="30"/>
      <c r="AS363" s="30"/>
      <c r="AT363" s="30"/>
      <c r="AU363" s="30"/>
      <c r="AV363" s="30"/>
      <c r="AW363" s="30"/>
      <c r="AX363" s="30"/>
      <c r="AY363" s="30"/>
      <c r="AZ363" s="30"/>
      <c r="BA363" s="30"/>
      <c r="BB363" s="30"/>
      <c r="BC363" s="30"/>
      <c r="BD363" s="30"/>
      <c r="BE363" s="30"/>
      <c r="BF363" s="30"/>
      <c r="BG363" s="30"/>
      <c r="BH363" s="30"/>
      <c r="BI363" s="30"/>
      <c r="BJ363" s="30"/>
      <c r="BK363" s="30"/>
      <c r="BL363" s="30"/>
      <c r="BM363" s="30"/>
      <c r="BN363" s="30"/>
      <c r="BO363" s="30"/>
      <c r="BP363" s="30"/>
      <c r="BQ363" s="30"/>
    </row>
    <row r="364" spans="1:69" x14ac:dyDescent="0.2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  <c r="AP364" s="30"/>
      <c r="AQ364" s="30"/>
      <c r="AR364" s="30"/>
      <c r="AS364" s="30"/>
      <c r="AT364" s="30"/>
      <c r="AU364" s="30"/>
      <c r="AV364" s="30"/>
      <c r="AW364" s="30"/>
      <c r="AX364" s="30"/>
      <c r="AY364" s="30"/>
      <c r="AZ364" s="30"/>
      <c r="BA364" s="30"/>
      <c r="BB364" s="30"/>
      <c r="BC364" s="30"/>
      <c r="BD364" s="30"/>
      <c r="BE364" s="30"/>
      <c r="BF364" s="30"/>
      <c r="BG364" s="30"/>
      <c r="BH364" s="30"/>
      <c r="BI364" s="30"/>
      <c r="BJ364" s="30"/>
      <c r="BK364" s="30"/>
      <c r="BL364" s="30"/>
      <c r="BM364" s="30"/>
      <c r="BN364" s="30"/>
      <c r="BO364" s="30"/>
      <c r="BP364" s="30"/>
      <c r="BQ364" s="30"/>
    </row>
    <row r="365" spans="1:69" x14ac:dyDescent="0.25"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  <c r="AP365" s="30"/>
      <c r="AQ365" s="30"/>
      <c r="AR365" s="30"/>
      <c r="AS365" s="30"/>
      <c r="AT365" s="30"/>
      <c r="AU365" s="30"/>
      <c r="AV365" s="30"/>
      <c r="AW365" s="30"/>
      <c r="AX365" s="30"/>
      <c r="AY365" s="30"/>
      <c r="AZ365" s="30"/>
      <c r="BA365" s="30"/>
      <c r="BB365" s="30"/>
      <c r="BC365" s="30"/>
      <c r="BD365" s="30"/>
      <c r="BE365" s="30"/>
      <c r="BF365" s="30"/>
      <c r="BG365" s="30"/>
      <c r="BH365" s="30"/>
      <c r="BI365" s="30"/>
      <c r="BJ365" s="30"/>
      <c r="BK365" s="30"/>
      <c r="BL365" s="30"/>
      <c r="BM365" s="30"/>
      <c r="BN365" s="30"/>
      <c r="BO365" s="30"/>
      <c r="BP365" s="30"/>
      <c r="BQ365" s="30"/>
    </row>
  </sheetData>
  <mergeCells count="3">
    <mergeCell ref="A5:F5"/>
    <mergeCell ref="H5:S5"/>
    <mergeCell ref="A29:S30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41EE-0B1E-4324-9ACE-1616FE04A63D}">
  <sheetPr codeName="Sheet7"/>
  <dimension ref="A1:AG61"/>
  <sheetViews>
    <sheetView tabSelected="1" topLeftCell="A28" zoomScale="79" zoomScaleNormal="79" workbookViewId="0">
      <pane xSplit="1" topLeftCell="B1" activePane="topRight" state="frozen"/>
      <selection pane="topRight" activeCell="T45" sqref="T45"/>
    </sheetView>
  </sheetViews>
  <sheetFormatPr defaultColWidth="12.5703125" defaultRowHeight="15" x14ac:dyDescent="0.25"/>
  <cols>
    <col min="1" max="1" width="21.140625" style="72" customWidth="1"/>
    <col min="2" max="4" width="12.5703125" style="72"/>
    <col min="5" max="5" width="8.5703125" style="72" customWidth="1"/>
    <col min="6" max="6" width="9.28515625" style="72" customWidth="1"/>
    <col min="7" max="7" width="8.5703125" style="72" customWidth="1"/>
    <col min="8" max="8" width="8.42578125" style="72" customWidth="1"/>
    <col min="9" max="9" width="12" style="72" customWidth="1"/>
    <col min="10" max="10" width="12.5703125" style="72"/>
    <col min="11" max="11" width="8.42578125" style="72" customWidth="1"/>
    <col min="12" max="12" width="8.28515625" style="72" customWidth="1"/>
    <col min="13" max="13" width="8.85546875" style="72" customWidth="1"/>
    <col min="14" max="14" width="9.85546875" style="72" customWidth="1"/>
    <col min="15" max="15" width="10.28515625" style="72" customWidth="1"/>
    <col min="16" max="16" width="11.140625" style="72" customWidth="1"/>
    <col min="17" max="17" width="8.28515625" style="72" customWidth="1"/>
    <col min="18" max="18" width="7.28515625" style="72" customWidth="1"/>
    <col min="19" max="19" width="9.42578125" style="72" customWidth="1"/>
    <col min="20" max="20" width="6.85546875" style="72" customWidth="1"/>
    <col min="21" max="21" width="13.42578125" style="72" customWidth="1"/>
    <col min="22" max="22" width="11.42578125" style="72" customWidth="1"/>
    <col min="23" max="23" width="10.140625" style="72" customWidth="1"/>
    <col min="24" max="24" width="6.85546875" style="72" customWidth="1"/>
    <col min="25" max="25" width="5.85546875" style="70" customWidth="1"/>
    <col min="26" max="26" width="8.28515625" style="70" customWidth="1"/>
    <col min="27" max="27" width="12.5703125" style="72"/>
    <col min="28" max="28" width="10.5703125" style="72" customWidth="1"/>
    <col min="29" max="29" width="11" style="72" customWidth="1"/>
    <col min="30" max="31" width="12.5703125" style="72"/>
    <col min="32" max="32" width="53.7109375" style="72" customWidth="1"/>
    <col min="33" max="33" width="59.140625" style="72" hidden="1" customWidth="1"/>
    <col min="34" max="16384" width="12.5703125" style="72"/>
  </cols>
  <sheetData>
    <row r="1" spans="1:33" s="70" customFormat="1" ht="75" x14ac:dyDescent="0.25">
      <c r="A1" s="64" t="s">
        <v>194</v>
      </c>
      <c r="B1" s="64" t="s">
        <v>195</v>
      </c>
      <c r="C1" s="64" t="s">
        <v>196</v>
      </c>
      <c r="D1" s="64" t="s">
        <v>197</v>
      </c>
      <c r="E1" s="65" t="s">
        <v>198</v>
      </c>
      <c r="F1" s="66" t="s">
        <v>199</v>
      </c>
      <c r="G1" s="65" t="s">
        <v>200</v>
      </c>
      <c r="H1" s="67" t="s">
        <v>201</v>
      </c>
      <c r="I1" s="64" t="s">
        <v>202</v>
      </c>
      <c r="J1" s="64" t="s">
        <v>203</v>
      </c>
      <c r="K1" s="66" t="s">
        <v>204</v>
      </c>
      <c r="L1" s="64" t="s">
        <v>205</v>
      </c>
      <c r="M1" s="65" t="s">
        <v>206</v>
      </c>
      <c r="N1" s="64" t="s">
        <v>207</v>
      </c>
      <c r="O1" s="65" t="s">
        <v>208</v>
      </c>
      <c r="P1" s="64" t="s">
        <v>209</v>
      </c>
      <c r="Q1" s="65" t="s">
        <v>210</v>
      </c>
      <c r="R1" s="65" t="s">
        <v>211</v>
      </c>
      <c r="S1" s="64" t="s">
        <v>212</v>
      </c>
      <c r="T1" s="64" t="s">
        <v>213</v>
      </c>
      <c r="U1" s="64" t="s">
        <v>214</v>
      </c>
      <c r="V1" s="65" t="s">
        <v>215</v>
      </c>
      <c r="W1" s="64" t="s">
        <v>216</v>
      </c>
      <c r="X1" s="64" t="s">
        <v>217</v>
      </c>
      <c r="Y1" s="68" t="s">
        <v>218</v>
      </c>
      <c r="Z1" s="68" t="s">
        <v>219</v>
      </c>
      <c r="AA1" s="69" t="s">
        <v>220</v>
      </c>
      <c r="AB1" s="66" t="s">
        <v>221</v>
      </c>
      <c r="AC1" s="69" t="s">
        <v>222</v>
      </c>
      <c r="AD1" s="69" t="s">
        <v>223</v>
      </c>
      <c r="AE1" s="64" t="s">
        <v>224</v>
      </c>
      <c r="AF1" s="64" t="s">
        <v>225</v>
      </c>
    </row>
    <row r="2" spans="1:33" x14ac:dyDescent="0.25">
      <c r="A2" s="73"/>
      <c r="B2" s="73"/>
      <c r="C2" s="74"/>
      <c r="D2" s="74"/>
      <c r="E2" s="74"/>
      <c r="F2" s="75"/>
      <c r="G2" s="71"/>
      <c r="H2" s="76"/>
      <c r="I2" s="77"/>
      <c r="J2" s="77"/>
      <c r="K2" s="77"/>
      <c r="L2" s="71"/>
      <c r="M2" s="74"/>
      <c r="N2" s="74"/>
      <c r="O2" s="74"/>
      <c r="P2" s="74"/>
      <c r="Q2" s="74"/>
      <c r="R2" s="74"/>
      <c r="S2" s="74"/>
      <c r="T2" s="78"/>
      <c r="U2" s="78"/>
      <c r="V2" s="74"/>
      <c r="W2" s="74"/>
      <c r="X2" s="74"/>
      <c r="Y2" s="79"/>
      <c r="Z2" s="79"/>
      <c r="AA2" s="80"/>
      <c r="AB2" s="74"/>
      <c r="AC2" s="80"/>
      <c r="AD2" s="80"/>
      <c r="AE2" s="74"/>
      <c r="AF2" s="71"/>
      <c r="AG2" s="81" t="s">
        <v>226</v>
      </c>
    </row>
    <row r="3" spans="1:33" ht="13.9" customHeight="1" x14ac:dyDescent="0.25">
      <c r="A3" s="73"/>
      <c r="B3" s="73"/>
      <c r="C3" s="74"/>
      <c r="D3" s="74"/>
      <c r="E3" s="74"/>
      <c r="F3" s="75"/>
      <c r="G3" s="71"/>
      <c r="H3" s="76"/>
      <c r="I3" s="77"/>
      <c r="J3" s="77"/>
      <c r="K3" s="77"/>
      <c r="L3" s="71"/>
      <c r="M3" s="74"/>
      <c r="N3" s="74"/>
      <c r="O3" s="74"/>
      <c r="P3" s="74"/>
      <c r="Q3" s="74"/>
      <c r="R3" s="74"/>
      <c r="S3" s="74"/>
      <c r="T3" s="78"/>
      <c r="U3" s="78"/>
      <c r="V3" s="74"/>
      <c r="W3" s="74"/>
      <c r="X3" s="74"/>
      <c r="Y3" s="79"/>
      <c r="Z3" s="79"/>
      <c r="AA3" s="80"/>
      <c r="AB3" s="74"/>
      <c r="AC3" s="80"/>
      <c r="AD3" s="80"/>
      <c r="AE3" s="74"/>
      <c r="AF3" s="71"/>
      <c r="AG3" s="72" t="s">
        <v>227</v>
      </c>
    </row>
    <row r="4" spans="1:33" x14ac:dyDescent="0.25">
      <c r="A4" s="73"/>
      <c r="B4" s="73"/>
      <c r="C4" s="74"/>
      <c r="D4" s="74"/>
      <c r="E4" s="74"/>
      <c r="F4" s="75"/>
      <c r="G4" s="71"/>
      <c r="H4" s="76"/>
      <c r="I4" s="77"/>
      <c r="J4" s="77"/>
      <c r="K4" s="77"/>
      <c r="L4" s="71"/>
      <c r="M4" s="74"/>
      <c r="N4" s="74"/>
      <c r="O4" s="74"/>
      <c r="P4" s="74"/>
      <c r="Q4" s="74"/>
      <c r="R4" s="74"/>
      <c r="S4" s="74"/>
      <c r="T4" s="78"/>
      <c r="U4" s="78"/>
      <c r="V4" s="74"/>
      <c r="W4" s="74"/>
      <c r="X4" s="74"/>
      <c r="Y4" s="79"/>
      <c r="Z4" s="79"/>
      <c r="AA4" s="80"/>
      <c r="AB4" s="74"/>
      <c r="AC4" s="80"/>
      <c r="AD4" s="80"/>
      <c r="AE4" s="74"/>
      <c r="AF4" s="71"/>
      <c r="AG4" s="72" t="s">
        <v>228</v>
      </c>
    </row>
    <row r="5" spans="1:33" x14ac:dyDescent="0.25">
      <c r="A5" s="73"/>
      <c r="B5" s="73"/>
      <c r="C5" s="74"/>
      <c r="D5" s="74"/>
      <c r="E5" s="74"/>
      <c r="F5" s="75"/>
      <c r="G5" s="71"/>
      <c r="H5" s="76"/>
      <c r="I5" s="77"/>
      <c r="J5" s="77"/>
      <c r="K5" s="77"/>
      <c r="L5" s="71"/>
      <c r="M5" s="74"/>
      <c r="N5" s="74"/>
      <c r="O5" s="74"/>
      <c r="P5" s="74"/>
      <c r="Q5" s="74"/>
      <c r="R5" s="74"/>
      <c r="S5" s="74"/>
      <c r="T5" s="78"/>
      <c r="U5" s="78"/>
      <c r="V5" s="74"/>
      <c r="W5" s="74"/>
      <c r="X5" s="74"/>
      <c r="Y5" s="79"/>
      <c r="Z5" s="79"/>
      <c r="AA5" s="80"/>
      <c r="AB5" s="74"/>
      <c r="AC5" s="80"/>
      <c r="AD5" s="80"/>
      <c r="AE5" s="74"/>
      <c r="AF5" s="71"/>
      <c r="AG5" s="72" t="s">
        <v>229</v>
      </c>
    </row>
    <row r="6" spans="1:33" x14ac:dyDescent="0.25">
      <c r="A6" s="73"/>
      <c r="B6" s="73"/>
      <c r="C6" s="74"/>
      <c r="D6" s="74"/>
      <c r="E6" s="74"/>
      <c r="F6" s="75"/>
      <c r="G6" s="71"/>
      <c r="H6" s="76"/>
      <c r="I6" s="77"/>
      <c r="J6" s="77"/>
      <c r="K6" s="77"/>
      <c r="L6" s="71"/>
      <c r="M6" s="74"/>
      <c r="N6" s="74"/>
      <c r="O6" s="74"/>
      <c r="P6" s="74"/>
      <c r="Q6" s="74"/>
      <c r="R6" s="74"/>
      <c r="S6" s="74"/>
      <c r="T6" s="78"/>
      <c r="U6" s="78"/>
      <c r="V6" s="74"/>
      <c r="W6" s="74"/>
      <c r="X6" s="74"/>
      <c r="Y6" s="79"/>
      <c r="Z6" s="79"/>
      <c r="AA6" s="80"/>
      <c r="AB6" s="74"/>
      <c r="AC6" s="80"/>
      <c r="AD6" s="80"/>
      <c r="AE6" s="74"/>
      <c r="AF6" s="71"/>
      <c r="AG6" s="72" t="s">
        <v>230</v>
      </c>
    </row>
    <row r="7" spans="1:33" x14ac:dyDescent="0.25">
      <c r="A7" s="73"/>
      <c r="B7" s="73"/>
      <c r="C7" s="74"/>
      <c r="D7" s="74"/>
      <c r="E7" s="74"/>
      <c r="F7" s="75"/>
      <c r="G7" s="71"/>
      <c r="H7" s="76"/>
      <c r="I7" s="77"/>
      <c r="J7" s="77"/>
      <c r="K7" s="77"/>
      <c r="L7" s="71"/>
      <c r="M7" s="74"/>
      <c r="N7" s="74"/>
      <c r="O7" s="74"/>
      <c r="P7" s="74"/>
      <c r="Q7" s="74"/>
      <c r="R7" s="74"/>
      <c r="S7" s="74"/>
      <c r="T7" s="78"/>
      <c r="U7" s="78"/>
      <c r="V7" s="74"/>
      <c r="W7" s="74"/>
      <c r="X7" s="74"/>
      <c r="Y7" s="79"/>
      <c r="Z7" s="79"/>
      <c r="AA7" s="80"/>
      <c r="AB7" s="74"/>
      <c r="AC7" s="80"/>
      <c r="AD7" s="80"/>
      <c r="AE7" s="74"/>
      <c r="AF7" s="71"/>
      <c r="AG7" s="72" t="s">
        <v>231</v>
      </c>
    </row>
    <row r="8" spans="1:33" x14ac:dyDescent="0.25">
      <c r="A8" s="73"/>
      <c r="B8" s="73"/>
      <c r="C8" s="74"/>
      <c r="D8" s="74"/>
      <c r="E8" s="74"/>
      <c r="F8" s="75"/>
      <c r="G8" s="71"/>
      <c r="H8" s="76"/>
      <c r="I8" s="77"/>
      <c r="J8" s="77"/>
      <c r="K8" s="77"/>
      <c r="L8" s="71"/>
      <c r="M8" s="74"/>
      <c r="N8" s="74"/>
      <c r="O8" s="74"/>
      <c r="P8" s="74"/>
      <c r="Q8" s="74"/>
      <c r="R8" s="74"/>
      <c r="S8" s="74"/>
      <c r="T8" s="78"/>
      <c r="U8" s="78"/>
      <c r="V8" s="74"/>
      <c r="W8" s="74"/>
      <c r="X8" s="74"/>
      <c r="Y8" s="79"/>
      <c r="Z8" s="79"/>
      <c r="AA8" s="80"/>
      <c r="AB8" s="74"/>
      <c r="AC8" s="80"/>
      <c r="AD8" s="80"/>
      <c r="AE8" s="74"/>
      <c r="AF8" s="71"/>
      <c r="AG8" s="72" t="s">
        <v>232</v>
      </c>
    </row>
    <row r="9" spans="1:33" x14ac:dyDescent="0.25">
      <c r="A9" s="73"/>
      <c r="B9" s="73"/>
      <c r="C9" s="74"/>
      <c r="D9" s="74"/>
      <c r="E9" s="74"/>
      <c r="F9" s="75"/>
      <c r="G9" s="71"/>
      <c r="H9" s="76"/>
      <c r="I9" s="77"/>
      <c r="J9" s="77"/>
      <c r="K9" s="77"/>
      <c r="L9" s="71"/>
      <c r="M9" s="74"/>
      <c r="N9" s="74"/>
      <c r="O9" s="74"/>
      <c r="P9" s="74"/>
      <c r="Q9" s="74"/>
      <c r="R9" s="74"/>
      <c r="S9" s="74"/>
      <c r="T9" s="78"/>
      <c r="U9" s="78"/>
      <c r="V9" s="74"/>
      <c r="W9" s="74"/>
      <c r="X9" s="74"/>
      <c r="Y9" s="79"/>
      <c r="Z9" s="79"/>
      <c r="AA9" s="80"/>
      <c r="AB9" s="74"/>
      <c r="AC9" s="80"/>
      <c r="AD9" s="80"/>
      <c r="AE9" s="74"/>
      <c r="AF9" s="71"/>
      <c r="AG9" s="72" t="s">
        <v>233</v>
      </c>
    </row>
    <row r="10" spans="1:33" x14ac:dyDescent="0.25">
      <c r="A10" s="73"/>
      <c r="B10" s="73"/>
      <c r="C10" s="74"/>
      <c r="D10" s="74"/>
      <c r="E10" s="74"/>
      <c r="F10" s="75"/>
      <c r="G10" s="71"/>
      <c r="H10" s="76"/>
      <c r="I10" s="77"/>
      <c r="J10" s="77"/>
      <c r="K10" s="77"/>
      <c r="L10" s="71"/>
      <c r="M10" s="74"/>
      <c r="N10" s="74"/>
      <c r="O10" s="74"/>
      <c r="P10" s="74"/>
      <c r="Q10" s="74"/>
      <c r="R10" s="74"/>
      <c r="S10" s="74"/>
      <c r="T10" s="78"/>
      <c r="U10" s="78"/>
      <c r="V10" s="74"/>
      <c r="W10" s="74"/>
      <c r="X10" s="74"/>
      <c r="Y10" s="79"/>
      <c r="Z10" s="79"/>
      <c r="AA10" s="80"/>
      <c r="AB10" s="74"/>
      <c r="AC10" s="80"/>
      <c r="AD10" s="80"/>
      <c r="AE10" s="74"/>
      <c r="AF10" s="71"/>
      <c r="AG10" s="72" t="s">
        <v>234</v>
      </c>
    </row>
    <row r="11" spans="1:33" x14ac:dyDescent="0.25">
      <c r="A11" s="73"/>
      <c r="B11" s="73"/>
      <c r="C11" s="74"/>
      <c r="D11" s="74"/>
      <c r="E11" s="74"/>
      <c r="F11" s="75"/>
      <c r="G11" s="71"/>
      <c r="H11" s="76"/>
      <c r="I11" s="77"/>
      <c r="J11" s="77"/>
      <c r="K11" s="77"/>
      <c r="L11" s="71"/>
      <c r="M11" s="74"/>
      <c r="N11" s="74"/>
      <c r="O11" s="74"/>
      <c r="P11" s="74"/>
      <c r="Q11" s="74"/>
      <c r="R11" s="74"/>
      <c r="S11" s="74"/>
      <c r="T11" s="78"/>
      <c r="U11" s="78"/>
      <c r="V11" s="74"/>
      <c r="W11" s="74"/>
      <c r="X11" s="74"/>
      <c r="Y11" s="79"/>
      <c r="Z11" s="79"/>
      <c r="AA11" s="80"/>
      <c r="AB11" s="74"/>
      <c r="AC11" s="80"/>
      <c r="AD11" s="80"/>
      <c r="AE11" s="74"/>
      <c r="AF11" s="71"/>
      <c r="AG11" s="72" t="s">
        <v>235</v>
      </c>
    </row>
    <row r="12" spans="1:33" x14ac:dyDescent="0.25">
      <c r="A12" s="73"/>
      <c r="B12" s="73"/>
      <c r="C12" s="74"/>
      <c r="D12" s="74"/>
      <c r="E12" s="74"/>
      <c r="F12" s="75"/>
      <c r="G12" s="71"/>
      <c r="H12" s="76"/>
      <c r="I12" s="77"/>
      <c r="J12" s="77"/>
      <c r="K12" s="77"/>
      <c r="L12" s="71"/>
      <c r="M12" s="74"/>
      <c r="N12" s="74"/>
      <c r="O12" s="74"/>
      <c r="P12" s="74"/>
      <c r="Q12" s="74"/>
      <c r="R12" s="74"/>
      <c r="S12" s="74"/>
      <c r="T12" s="78"/>
      <c r="U12" s="78"/>
      <c r="V12" s="74"/>
      <c r="W12" s="74"/>
      <c r="X12" s="74"/>
      <c r="Y12" s="79"/>
      <c r="Z12" s="79"/>
      <c r="AA12" s="80"/>
      <c r="AB12" s="74"/>
      <c r="AC12" s="80"/>
      <c r="AD12" s="80"/>
      <c r="AE12" s="74"/>
      <c r="AF12" s="71"/>
      <c r="AG12" s="72" t="s">
        <v>236</v>
      </c>
    </row>
    <row r="13" spans="1:33" x14ac:dyDescent="0.25">
      <c r="A13" s="73"/>
      <c r="B13" s="73"/>
      <c r="C13" s="74"/>
      <c r="D13" s="74"/>
      <c r="E13" s="74"/>
      <c r="F13" s="75"/>
      <c r="G13" s="71"/>
      <c r="H13" s="76"/>
      <c r="I13" s="77"/>
      <c r="J13" s="77"/>
      <c r="K13" s="77"/>
      <c r="L13" s="71"/>
      <c r="M13" s="74"/>
      <c r="N13" s="74"/>
      <c r="O13" s="74"/>
      <c r="P13" s="74"/>
      <c r="Q13" s="74"/>
      <c r="R13" s="74"/>
      <c r="S13" s="74"/>
      <c r="T13" s="78"/>
      <c r="U13" s="78"/>
      <c r="V13" s="74"/>
      <c r="W13" s="74"/>
      <c r="X13" s="74"/>
      <c r="Y13" s="79"/>
      <c r="Z13" s="79"/>
      <c r="AA13" s="80"/>
      <c r="AB13" s="74"/>
      <c r="AC13" s="80"/>
      <c r="AD13" s="80"/>
      <c r="AE13" s="74"/>
      <c r="AF13" s="71"/>
      <c r="AG13" s="72" t="s">
        <v>237</v>
      </c>
    </row>
    <row r="14" spans="1:33" x14ac:dyDescent="0.25">
      <c r="A14" s="73"/>
      <c r="B14" s="73"/>
      <c r="C14" s="74"/>
      <c r="D14" s="74"/>
      <c r="E14" s="74"/>
      <c r="F14" s="75"/>
      <c r="G14" s="71"/>
      <c r="H14" s="76"/>
      <c r="I14" s="77"/>
      <c r="J14" s="77"/>
      <c r="K14" s="77"/>
      <c r="L14" s="71"/>
      <c r="M14" s="74"/>
      <c r="N14" s="74"/>
      <c r="O14" s="74"/>
      <c r="P14" s="74"/>
      <c r="Q14" s="74"/>
      <c r="R14" s="74"/>
      <c r="S14" s="74"/>
      <c r="T14" s="78"/>
      <c r="U14" s="78"/>
      <c r="V14" s="74"/>
      <c r="W14" s="74"/>
      <c r="X14" s="74"/>
      <c r="Y14" s="79"/>
      <c r="Z14" s="79"/>
      <c r="AA14" s="80"/>
      <c r="AB14" s="74"/>
      <c r="AC14" s="80"/>
      <c r="AD14" s="80"/>
      <c r="AE14" s="74"/>
      <c r="AF14" s="71"/>
      <c r="AG14" s="72" t="s">
        <v>238</v>
      </c>
    </row>
    <row r="15" spans="1:33" x14ac:dyDescent="0.25">
      <c r="A15" s="73"/>
      <c r="B15" s="73"/>
      <c r="C15" s="74"/>
      <c r="D15" s="74"/>
      <c r="E15" s="74"/>
      <c r="F15" s="75"/>
      <c r="G15" s="71"/>
      <c r="H15" s="76"/>
      <c r="I15" s="77"/>
      <c r="J15" s="77"/>
      <c r="K15" s="77"/>
      <c r="L15" s="71"/>
      <c r="M15" s="74"/>
      <c r="N15" s="74"/>
      <c r="O15" s="74"/>
      <c r="P15" s="74"/>
      <c r="Q15" s="74"/>
      <c r="R15" s="74"/>
      <c r="S15" s="74"/>
      <c r="T15" s="78"/>
      <c r="U15" s="78"/>
      <c r="V15" s="74"/>
      <c r="W15" s="74"/>
      <c r="X15" s="74"/>
      <c r="Y15" s="79"/>
      <c r="Z15" s="79"/>
      <c r="AA15" s="80"/>
      <c r="AB15" s="74"/>
      <c r="AC15" s="80"/>
      <c r="AD15" s="80"/>
      <c r="AE15" s="74"/>
      <c r="AF15" s="71"/>
      <c r="AG15" s="72" t="s">
        <v>239</v>
      </c>
    </row>
    <row r="16" spans="1:33" x14ac:dyDescent="0.25">
      <c r="A16" s="73"/>
      <c r="B16" s="73"/>
      <c r="C16" s="74"/>
      <c r="D16" s="74"/>
      <c r="E16" s="74"/>
      <c r="F16" s="75"/>
      <c r="G16" s="71"/>
      <c r="H16" s="76"/>
      <c r="I16" s="77"/>
      <c r="J16" s="77"/>
      <c r="K16" s="77"/>
      <c r="L16" s="71"/>
      <c r="M16" s="74"/>
      <c r="N16" s="74"/>
      <c r="O16" s="74"/>
      <c r="P16" s="74"/>
      <c r="Q16" s="74"/>
      <c r="R16" s="74"/>
      <c r="S16" s="74"/>
      <c r="T16" s="78"/>
      <c r="U16" s="78"/>
      <c r="V16" s="74"/>
      <c r="W16" s="74"/>
      <c r="X16" s="74"/>
      <c r="Y16" s="79"/>
      <c r="Z16" s="79"/>
      <c r="AA16" s="80"/>
      <c r="AB16" s="74"/>
      <c r="AC16" s="80"/>
      <c r="AD16" s="80"/>
      <c r="AE16" s="74"/>
      <c r="AF16" s="71"/>
      <c r="AG16" s="72" t="s">
        <v>191</v>
      </c>
    </row>
    <row r="17" spans="1:33" x14ac:dyDescent="0.25">
      <c r="A17" s="73"/>
      <c r="B17" s="73"/>
      <c r="C17" s="74"/>
      <c r="D17" s="74"/>
      <c r="E17" s="74"/>
      <c r="F17" s="75"/>
      <c r="G17" s="71"/>
      <c r="H17" s="76"/>
      <c r="I17" s="77"/>
      <c r="J17" s="77"/>
      <c r="K17" s="77"/>
      <c r="L17" s="71"/>
      <c r="M17" s="74"/>
      <c r="N17" s="74"/>
      <c r="O17" s="74"/>
      <c r="P17" s="74"/>
      <c r="Q17" s="74"/>
      <c r="R17" s="74"/>
      <c r="S17" s="74"/>
      <c r="T17" s="78"/>
      <c r="U17" s="78"/>
      <c r="V17" s="74"/>
      <c r="W17" s="74"/>
      <c r="X17" s="74"/>
      <c r="Y17" s="79"/>
      <c r="Z17" s="79"/>
      <c r="AA17" s="80"/>
      <c r="AB17" s="74"/>
      <c r="AC17" s="80"/>
      <c r="AD17" s="80"/>
      <c r="AE17" s="74"/>
      <c r="AF17" s="71"/>
      <c r="AG17" s="72" t="s">
        <v>240</v>
      </c>
    </row>
    <row r="18" spans="1:33" x14ac:dyDescent="0.25">
      <c r="A18" s="73"/>
      <c r="B18" s="73"/>
      <c r="C18" s="74"/>
      <c r="D18" s="74"/>
      <c r="E18" s="74"/>
      <c r="F18" s="75"/>
      <c r="G18" s="71"/>
      <c r="H18" s="76"/>
      <c r="I18" s="77"/>
      <c r="J18" s="77"/>
      <c r="K18" s="77"/>
      <c r="L18" s="71"/>
      <c r="M18" s="74"/>
      <c r="N18" s="74"/>
      <c r="O18" s="74"/>
      <c r="P18" s="74"/>
      <c r="Q18" s="74"/>
      <c r="R18" s="74"/>
      <c r="S18" s="74"/>
      <c r="T18" s="78"/>
      <c r="U18" s="78"/>
      <c r="V18" s="74"/>
      <c r="W18" s="74"/>
      <c r="X18" s="74"/>
      <c r="Y18" s="79"/>
      <c r="Z18" s="79"/>
      <c r="AA18" s="80"/>
      <c r="AB18" s="74"/>
      <c r="AC18" s="80"/>
      <c r="AD18" s="80"/>
      <c r="AE18" s="74"/>
      <c r="AF18" s="71"/>
      <c r="AG18" s="72" t="s">
        <v>241</v>
      </c>
    </row>
    <row r="19" spans="1:33" x14ac:dyDescent="0.25">
      <c r="A19" s="73"/>
      <c r="B19" s="73"/>
      <c r="C19" s="74"/>
      <c r="D19" s="74"/>
      <c r="E19" s="74"/>
      <c r="F19" s="75"/>
      <c r="G19" s="71"/>
      <c r="H19" s="76"/>
      <c r="I19" s="77"/>
      <c r="J19" s="77"/>
      <c r="K19" s="77"/>
      <c r="L19" s="71"/>
      <c r="M19" s="74"/>
      <c r="N19" s="74"/>
      <c r="O19" s="74"/>
      <c r="P19" s="74"/>
      <c r="Q19" s="74"/>
      <c r="R19" s="74"/>
      <c r="S19" s="74"/>
      <c r="T19" s="78"/>
      <c r="U19" s="78"/>
      <c r="V19" s="74"/>
      <c r="W19" s="74"/>
      <c r="X19" s="74"/>
      <c r="Y19" s="79"/>
      <c r="Z19" s="79"/>
      <c r="AA19" s="80"/>
      <c r="AB19" s="74"/>
      <c r="AC19" s="80"/>
      <c r="AD19" s="80"/>
      <c r="AE19" s="74"/>
      <c r="AF19" s="71"/>
      <c r="AG19" s="72" t="s">
        <v>148</v>
      </c>
    </row>
    <row r="20" spans="1:33" x14ac:dyDescent="0.25">
      <c r="A20" s="73"/>
      <c r="B20" s="73"/>
      <c r="C20" s="74"/>
      <c r="D20" s="74"/>
      <c r="E20" s="74"/>
      <c r="F20" s="75"/>
      <c r="G20" s="71"/>
      <c r="H20" s="76"/>
      <c r="I20" s="77"/>
      <c r="J20" s="77"/>
      <c r="K20" s="77"/>
      <c r="L20" s="71"/>
      <c r="M20" s="74"/>
      <c r="N20" s="74"/>
      <c r="O20" s="74"/>
      <c r="P20" s="74"/>
      <c r="Q20" s="74"/>
      <c r="R20" s="74"/>
      <c r="S20" s="74"/>
      <c r="T20" s="78"/>
      <c r="U20" s="78"/>
      <c r="V20" s="74"/>
      <c r="W20" s="74"/>
      <c r="X20" s="74"/>
      <c r="Y20" s="79"/>
      <c r="Z20" s="79"/>
      <c r="AA20" s="80"/>
      <c r="AB20" s="74"/>
      <c r="AC20" s="80"/>
      <c r="AD20" s="80"/>
      <c r="AE20" s="74"/>
      <c r="AF20" s="71"/>
      <c r="AG20" s="72" t="s">
        <v>242</v>
      </c>
    </row>
    <row r="21" spans="1:33" x14ac:dyDescent="0.25">
      <c r="A21" s="73"/>
      <c r="B21" s="73"/>
      <c r="C21" s="74"/>
      <c r="D21" s="74"/>
      <c r="E21" s="74"/>
      <c r="F21" s="75"/>
      <c r="G21" s="71"/>
      <c r="H21" s="76"/>
      <c r="I21" s="77"/>
      <c r="J21" s="77"/>
      <c r="K21" s="77"/>
      <c r="L21" s="71"/>
      <c r="M21" s="74"/>
      <c r="N21" s="74"/>
      <c r="O21" s="74"/>
      <c r="P21" s="74"/>
      <c r="Q21" s="74"/>
      <c r="R21" s="74"/>
      <c r="S21" s="74"/>
      <c r="T21" s="78"/>
      <c r="U21" s="78"/>
      <c r="V21" s="74"/>
      <c r="W21" s="74"/>
      <c r="X21" s="74"/>
      <c r="Y21" s="79"/>
      <c r="Z21" s="79"/>
      <c r="AA21" s="80"/>
      <c r="AB21" s="74"/>
      <c r="AC21" s="80"/>
      <c r="AD21" s="80"/>
      <c r="AE21" s="74"/>
      <c r="AF21" s="71"/>
      <c r="AG21" s="72" t="s">
        <v>243</v>
      </c>
    </row>
    <row r="22" spans="1:33" x14ac:dyDescent="0.25">
      <c r="A22" s="73"/>
      <c r="B22" s="73"/>
      <c r="C22" s="74"/>
      <c r="D22" s="74"/>
      <c r="E22" s="74"/>
      <c r="F22" s="75"/>
      <c r="G22" s="71"/>
      <c r="H22" s="76"/>
      <c r="I22" s="77"/>
      <c r="J22" s="77"/>
      <c r="K22" s="77"/>
      <c r="L22" s="71"/>
      <c r="M22" s="74"/>
      <c r="N22" s="74"/>
      <c r="O22" s="74"/>
      <c r="P22" s="74"/>
      <c r="Q22" s="74"/>
      <c r="R22" s="74"/>
      <c r="S22" s="74"/>
      <c r="T22" s="78"/>
      <c r="U22" s="78"/>
      <c r="V22" s="74"/>
      <c r="W22" s="74"/>
      <c r="X22" s="74"/>
      <c r="Y22" s="79"/>
      <c r="Z22" s="79"/>
      <c r="AA22" s="80"/>
      <c r="AB22" s="74"/>
      <c r="AC22" s="80"/>
      <c r="AD22" s="80"/>
      <c r="AE22" s="74"/>
      <c r="AF22" s="71"/>
      <c r="AG22" s="72" t="s">
        <v>244</v>
      </c>
    </row>
    <row r="23" spans="1:33" x14ac:dyDescent="0.25">
      <c r="A23" s="73"/>
      <c r="B23" s="73"/>
      <c r="C23" s="74"/>
      <c r="D23" s="74"/>
      <c r="E23" s="74"/>
      <c r="F23" s="75"/>
      <c r="G23" s="71"/>
      <c r="H23" s="76"/>
      <c r="I23" s="77"/>
      <c r="J23" s="77"/>
      <c r="K23" s="77"/>
      <c r="L23" s="71"/>
      <c r="M23" s="74"/>
      <c r="N23" s="74"/>
      <c r="O23" s="74"/>
      <c r="P23" s="74"/>
      <c r="Q23" s="74"/>
      <c r="R23" s="74"/>
      <c r="S23" s="74"/>
      <c r="T23" s="78"/>
      <c r="U23" s="78"/>
      <c r="V23" s="74"/>
      <c r="W23" s="74"/>
      <c r="X23" s="74"/>
      <c r="Y23" s="79"/>
      <c r="Z23" s="79"/>
      <c r="AA23" s="80"/>
      <c r="AB23" s="74"/>
      <c r="AC23" s="80"/>
      <c r="AD23" s="80"/>
      <c r="AE23" s="74"/>
      <c r="AF23" s="71"/>
      <c r="AG23" s="72" t="s">
        <v>245</v>
      </c>
    </row>
    <row r="24" spans="1:33" x14ac:dyDescent="0.25">
      <c r="A24" s="73"/>
      <c r="B24" s="73"/>
      <c r="C24" s="74"/>
      <c r="D24" s="74"/>
      <c r="E24" s="74"/>
      <c r="F24" s="75"/>
      <c r="G24" s="71"/>
      <c r="H24" s="76"/>
      <c r="I24" s="77"/>
      <c r="J24" s="77"/>
      <c r="K24" s="77"/>
      <c r="L24" s="71"/>
      <c r="M24" s="74"/>
      <c r="N24" s="74"/>
      <c r="O24" s="74"/>
      <c r="P24" s="74"/>
      <c r="Q24" s="74"/>
      <c r="R24" s="74"/>
      <c r="S24" s="74"/>
      <c r="T24" s="78"/>
      <c r="U24" s="78"/>
      <c r="V24" s="74"/>
      <c r="W24" s="74"/>
      <c r="X24" s="74"/>
      <c r="Y24" s="79"/>
      <c r="Z24" s="79"/>
      <c r="AA24" s="80"/>
      <c r="AB24" s="74"/>
      <c r="AC24" s="80"/>
      <c r="AD24" s="80"/>
      <c r="AE24" s="74"/>
      <c r="AF24" s="71"/>
      <c r="AG24" s="72" t="s">
        <v>246</v>
      </c>
    </row>
    <row r="25" spans="1:33" x14ac:dyDescent="0.25">
      <c r="A25" s="73"/>
      <c r="B25" s="73"/>
      <c r="C25" s="74"/>
      <c r="D25" s="74"/>
      <c r="E25" s="74"/>
      <c r="F25" s="75"/>
      <c r="G25" s="71"/>
      <c r="H25" s="76"/>
      <c r="I25" s="77"/>
      <c r="J25" s="77"/>
      <c r="K25" s="77"/>
      <c r="L25" s="71"/>
      <c r="M25" s="74"/>
      <c r="N25" s="74"/>
      <c r="O25" s="74"/>
      <c r="P25" s="74"/>
      <c r="Q25" s="74"/>
      <c r="R25" s="74"/>
      <c r="S25" s="74"/>
      <c r="T25" s="78"/>
      <c r="U25" s="78"/>
      <c r="V25" s="74"/>
      <c r="W25" s="74"/>
      <c r="X25" s="74"/>
      <c r="Y25" s="79"/>
      <c r="Z25" s="79"/>
      <c r="AA25" s="80"/>
      <c r="AB25" s="74"/>
      <c r="AC25" s="80"/>
      <c r="AD25" s="80"/>
      <c r="AE25" s="74"/>
      <c r="AF25" s="71"/>
      <c r="AG25" s="72" t="s">
        <v>238</v>
      </c>
    </row>
    <row r="26" spans="1:33" x14ac:dyDescent="0.25">
      <c r="A26" s="73"/>
      <c r="B26" s="73"/>
      <c r="C26" s="74"/>
      <c r="D26" s="74"/>
      <c r="E26" s="74"/>
      <c r="F26" s="75"/>
      <c r="G26" s="71"/>
      <c r="H26" s="76"/>
      <c r="I26" s="77"/>
      <c r="J26" s="77"/>
      <c r="K26" s="77"/>
      <c r="L26" s="71"/>
      <c r="M26" s="74"/>
      <c r="N26" s="74"/>
      <c r="O26" s="74"/>
      <c r="P26" s="74"/>
      <c r="Q26" s="74"/>
      <c r="R26" s="74"/>
      <c r="S26" s="74"/>
      <c r="T26" s="78"/>
      <c r="U26" s="78"/>
      <c r="V26" s="74"/>
      <c r="W26" s="74"/>
      <c r="X26" s="74"/>
      <c r="Y26" s="79"/>
      <c r="Z26" s="79"/>
      <c r="AA26" s="80"/>
      <c r="AB26" s="74"/>
      <c r="AC26" s="80"/>
      <c r="AD26" s="80"/>
      <c r="AE26" s="74"/>
      <c r="AF26" s="71"/>
      <c r="AG26" s="72" t="s">
        <v>237</v>
      </c>
    </row>
    <row r="27" spans="1:33" x14ac:dyDescent="0.25">
      <c r="A27" s="73"/>
      <c r="B27" s="73"/>
      <c r="C27" s="74"/>
      <c r="D27" s="74"/>
      <c r="E27" s="74"/>
      <c r="F27" s="75"/>
      <c r="G27" s="71"/>
      <c r="H27" s="76"/>
      <c r="I27" s="77"/>
      <c r="J27" s="77"/>
      <c r="K27" s="77"/>
      <c r="L27" s="71"/>
      <c r="M27" s="74"/>
      <c r="N27" s="74"/>
      <c r="O27" s="74"/>
      <c r="P27" s="74"/>
      <c r="Q27" s="74"/>
      <c r="R27" s="74"/>
      <c r="S27" s="74"/>
      <c r="T27" s="78"/>
      <c r="U27" s="78"/>
      <c r="V27" s="74"/>
      <c r="W27" s="74"/>
      <c r="X27" s="74"/>
      <c r="Y27" s="79"/>
      <c r="Z27" s="79"/>
      <c r="AA27" s="80"/>
      <c r="AB27" s="74"/>
      <c r="AC27" s="80"/>
      <c r="AD27" s="80"/>
      <c r="AE27" s="74"/>
      <c r="AF27" s="71"/>
      <c r="AG27" s="72" t="s">
        <v>247</v>
      </c>
    </row>
    <row r="28" spans="1:33" x14ac:dyDescent="0.25">
      <c r="A28" s="73"/>
      <c r="B28" s="73"/>
      <c r="C28" s="74"/>
      <c r="D28" s="74"/>
      <c r="E28" s="74"/>
      <c r="F28" s="75"/>
      <c r="G28" s="71"/>
      <c r="H28" s="76"/>
      <c r="I28" s="77"/>
      <c r="J28" s="77"/>
      <c r="K28" s="77"/>
      <c r="L28" s="71"/>
      <c r="M28" s="74"/>
      <c r="N28" s="74"/>
      <c r="O28" s="74"/>
      <c r="P28" s="74"/>
      <c r="Q28" s="74"/>
      <c r="R28" s="74"/>
      <c r="S28" s="74"/>
      <c r="T28" s="78"/>
      <c r="U28" s="78"/>
      <c r="V28" s="74"/>
      <c r="W28" s="74"/>
      <c r="X28" s="74"/>
      <c r="Y28" s="79"/>
      <c r="Z28" s="79"/>
      <c r="AA28" s="80"/>
      <c r="AB28" s="74"/>
      <c r="AC28" s="80"/>
      <c r="AD28" s="80"/>
      <c r="AE28" s="74"/>
      <c r="AF28" s="71"/>
      <c r="AG28" s="72" t="s">
        <v>248</v>
      </c>
    </row>
    <row r="29" spans="1:33" x14ac:dyDescent="0.25">
      <c r="A29" s="73"/>
      <c r="B29" s="73"/>
      <c r="C29" s="74"/>
      <c r="D29" s="74"/>
      <c r="E29" s="74"/>
      <c r="F29" s="75"/>
      <c r="G29" s="71"/>
      <c r="H29" s="76"/>
      <c r="I29" s="77"/>
      <c r="J29" s="77"/>
      <c r="K29" s="77"/>
      <c r="L29" s="71"/>
      <c r="M29" s="74"/>
      <c r="N29" s="74"/>
      <c r="O29" s="74"/>
      <c r="P29" s="74"/>
      <c r="Q29" s="74"/>
      <c r="R29" s="74"/>
      <c r="S29" s="74"/>
      <c r="T29" s="78"/>
      <c r="U29" s="78"/>
      <c r="V29" s="74"/>
      <c r="W29" s="74"/>
      <c r="X29" s="74"/>
      <c r="Y29" s="79"/>
      <c r="Z29" s="79"/>
      <c r="AA29" s="80"/>
      <c r="AB29" s="74"/>
      <c r="AC29" s="80"/>
      <c r="AD29" s="80"/>
      <c r="AE29" s="74"/>
      <c r="AF29" s="71"/>
      <c r="AG29" s="72" t="s">
        <v>249</v>
      </c>
    </row>
    <row r="30" spans="1:33" x14ac:dyDescent="0.25">
      <c r="A30" s="73"/>
      <c r="B30" s="73"/>
      <c r="C30" s="74"/>
      <c r="D30" s="74"/>
      <c r="E30" s="74"/>
      <c r="F30" s="75"/>
      <c r="G30" s="71"/>
      <c r="H30" s="76"/>
      <c r="I30" s="77"/>
      <c r="J30" s="77"/>
      <c r="K30" s="77"/>
      <c r="L30" s="71"/>
      <c r="M30" s="74"/>
      <c r="N30" s="74"/>
      <c r="O30" s="74"/>
      <c r="P30" s="74"/>
      <c r="Q30" s="74"/>
      <c r="R30" s="74"/>
      <c r="S30" s="74"/>
      <c r="T30" s="78"/>
      <c r="U30" s="78"/>
      <c r="V30" s="74"/>
      <c r="W30" s="74"/>
      <c r="X30" s="74"/>
      <c r="Y30" s="79"/>
      <c r="Z30" s="79"/>
      <c r="AA30" s="80"/>
      <c r="AB30" s="74"/>
      <c r="AC30" s="80"/>
      <c r="AD30" s="80"/>
      <c r="AE30" s="74"/>
      <c r="AF30" s="71"/>
      <c r="AG30" s="72" t="s">
        <v>181</v>
      </c>
    </row>
    <row r="31" spans="1:33" x14ac:dyDescent="0.25">
      <c r="A31" s="82"/>
      <c r="B31" s="82"/>
      <c r="C31" s="82"/>
      <c r="D31" s="83"/>
      <c r="E31" s="82"/>
      <c r="F31" s="82"/>
      <c r="G31" s="82"/>
      <c r="H31" s="84"/>
      <c r="I31" s="82"/>
      <c r="J31" s="82"/>
      <c r="K31" s="84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5"/>
      <c r="Z31" s="86"/>
      <c r="AA31" s="82"/>
      <c r="AB31" s="82"/>
      <c r="AC31" s="82"/>
      <c r="AD31" s="82"/>
      <c r="AE31" s="82"/>
      <c r="AG31" s="72" t="s">
        <v>250</v>
      </c>
    </row>
    <row r="32" spans="1:33" x14ac:dyDescent="0.25">
      <c r="A32" s="82"/>
      <c r="B32" s="82"/>
      <c r="C32" s="82"/>
      <c r="D32" s="83"/>
      <c r="E32" s="82"/>
      <c r="F32" s="82"/>
      <c r="G32" s="82"/>
      <c r="H32" s="84"/>
      <c r="I32" s="82"/>
      <c r="J32" s="82"/>
      <c r="K32" s="84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7"/>
      <c r="Z32" s="88"/>
      <c r="AA32" s="89"/>
      <c r="AB32" s="82"/>
      <c r="AC32" s="89"/>
      <c r="AD32" s="89"/>
      <c r="AE32" s="82"/>
      <c r="AG32" s="72" t="s">
        <v>251</v>
      </c>
    </row>
    <row r="33" spans="1:33" ht="15.75" thickBot="1" x14ac:dyDescent="0.3">
      <c r="A33" s="90"/>
      <c r="B33" s="90"/>
      <c r="C33" s="90"/>
      <c r="D33" s="90"/>
      <c r="E33" s="90"/>
      <c r="F33" s="90"/>
      <c r="G33" s="101"/>
      <c r="H33" s="101"/>
      <c r="I33" s="90"/>
      <c r="J33" s="90"/>
      <c r="K33" s="90"/>
      <c r="L33" s="90"/>
      <c r="O33" s="90"/>
      <c r="P33" s="90"/>
      <c r="Q33" s="90"/>
      <c r="R33" s="90"/>
      <c r="S33" s="90"/>
      <c r="T33" s="102"/>
      <c r="U33" s="102"/>
      <c r="V33" s="90"/>
      <c r="W33" s="90"/>
      <c r="X33" s="90"/>
      <c r="Y33" s="85"/>
      <c r="Z33" s="86"/>
      <c r="AA33" s="90"/>
      <c r="AB33" s="90"/>
      <c r="AC33" s="90"/>
      <c r="AD33" s="90"/>
      <c r="AE33" s="90"/>
      <c r="AG33" s="72" t="s">
        <v>252</v>
      </c>
    </row>
    <row r="34" spans="1:33" ht="18" customHeight="1" x14ac:dyDescent="0.25">
      <c r="A34" s="91" t="s">
        <v>255</v>
      </c>
      <c r="B34" s="103" t="s">
        <v>256</v>
      </c>
      <c r="C34" s="103"/>
      <c r="D34" s="103"/>
      <c r="G34" s="104"/>
      <c r="H34" s="105"/>
      <c r="I34" s="106"/>
      <c r="J34" s="106"/>
      <c r="K34" s="107"/>
      <c r="M34" s="121" t="s">
        <v>254</v>
      </c>
      <c r="N34" s="121"/>
      <c r="AG34" s="72" t="s">
        <v>253</v>
      </c>
    </row>
    <row r="35" spans="1:33" ht="16.5" customHeight="1" x14ac:dyDescent="0.25">
      <c r="A35" s="73"/>
      <c r="B35" s="114"/>
      <c r="C35" s="114"/>
      <c r="D35" s="114"/>
      <c r="G35" s="108"/>
      <c r="H35" s="109"/>
      <c r="I35" s="109"/>
      <c r="J35" s="109"/>
      <c r="K35" s="110"/>
      <c r="M35" s="97">
        <v>1</v>
      </c>
      <c r="N35" s="98" t="s">
        <v>257</v>
      </c>
    </row>
    <row r="36" spans="1:33" x14ac:dyDescent="0.25">
      <c r="A36" s="73"/>
      <c r="B36" s="114"/>
      <c r="C36" s="114"/>
      <c r="D36" s="114"/>
      <c r="G36" s="108"/>
      <c r="H36" s="109"/>
      <c r="I36" s="109"/>
      <c r="J36" s="109"/>
      <c r="K36" s="110"/>
      <c r="M36" s="97">
        <v>2</v>
      </c>
      <c r="N36" s="98" t="s">
        <v>226</v>
      </c>
    </row>
    <row r="37" spans="1:33" x14ac:dyDescent="0.25">
      <c r="A37" s="73"/>
      <c r="B37" s="114"/>
      <c r="C37" s="114"/>
      <c r="D37" s="114"/>
      <c r="G37" s="108"/>
      <c r="H37" s="109"/>
      <c r="I37" s="109"/>
      <c r="J37" s="109"/>
      <c r="K37" s="110"/>
      <c r="M37" s="97">
        <v>3</v>
      </c>
      <c r="N37" s="98" t="s">
        <v>258</v>
      </c>
    </row>
    <row r="38" spans="1:33" x14ac:dyDescent="0.25">
      <c r="A38" s="73"/>
      <c r="B38" s="114"/>
      <c r="C38" s="114"/>
      <c r="D38" s="114"/>
      <c r="G38" s="108"/>
      <c r="H38" s="109"/>
      <c r="I38" s="109"/>
      <c r="J38" s="109"/>
      <c r="K38" s="110"/>
    </row>
    <row r="39" spans="1:33" ht="15.75" thickBot="1" x14ac:dyDescent="0.3">
      <c r="A39" s="73"/>
      <c r="B39" s="114"/>
      <c r="C39" s="114"/>
      <c r="D39" s="114"/>
      <c r="G39" s="111"/>
      <c r="H39" s="112"/>
      <c r="I39" s="112"/>
      <c r="J39" s="112"/>
      <c r="K39" s="113"/>
    </row>
    <row r="40" spans="1:33" ht="15.75" thickBot="1" x14ac:dyDescent="0.3">
      <c r="A40" s="73"/>
      <c r="B40" s="114"/>
      <c r="C40" s="114"/>
      <c r="D40" s="114"/>
      <c r="G40" s="92"/>
      <c r="H40" s="92"/>
      <c r="I40" s="92"/>
      <c r="J40" s="92"/>
      <c r="K40" s="92"/>
    </row>
    <row r="41" spans="1:33" x14ac:dyDescent="0.25">
      <c r="A41" s="73"/>
      <c r="B41" s="114"/>
      <c r="C41" s="114"/>
      <c r="D41" s="114"/>
      <c r="G41" s="104"/>
      <c r="H41" s="105"/>
      <c r="I41" s="106"/>
      <c r="J41" s="106"/>
      <c r="K41" s="107"/>
    </row>
    <row r="42" spans="1:33" x14ac:dyDescent="0.25">
      <c r="A42" s="73"/>
      <c r="B42" s="114"/>
      <c r="C42" s="114"/>
      <c r="D42" s="114"/>
      <c r="G42" s="108"/>
      <c r="H42" s="109"/>
      <c r="I42" s="109"/>
      <c r="J42" s="109"/>
      <c r="K42" s="110"/>
    </row>
    <row r="43" spans="1:33" x14ac:dyDescent="0.25">
      <c r="A43" s="73"/>
      <c r="B43" s="114"/>
      <c r="C43" s="114"/>
      <c r="D43" s="114"/>
      <c r="G43" s="108"/>
      <c r="H43" s="109"/>
      <c r="I43" s="109"/>
      <c r="J43" s="109"/>
      <c r="K43" s="110"/>
    </row>
    <row r="44" spans="1:33" ht="14.1" customHeight="1" x14ac:dyDescent="0.25">
      <c r="A44" s="73"/>
      <c r="B44" s="114"/>
      <c r="C44" s="114"/>
      <c r="D44" s="114"/>
      <c r="G44" s="108"/>
      <c r="H44" s="109"/>
      <c r="I44" s="109"/>
      <c r="J44" s="109"/>
      <c r="K44" s="110"/>
    </row>
    <row r="45" spans="1:33" x14ac:dyDescent="0.25">
      <c r="A45" s="73"/>
      <c r="B45" s="114"/>
      <c r="C45" s="114"/>
      <c r="D45" s="114"/>
      <c r="G45" s="108"/>
      <c r="H45" s="109"/>
      <c r="I45" s="109"/>
      <c r="J45" s="109"/>
      <c r="K45" s="110"/>
    </row>
    <row r="46" spans="1:33" x14ac:dyDescent="0.25">
      <c r="A46" s="73"/>
      <c r="B46" s="114"/>
      <c r="C46" s="114"/>
      <c r="D46" s="114"/>
      <c r="G46" s="108"/>
      <c r="H46" s="109"/>
      <c r="I46" s="109"/>
      <c r="J46" s="109"/>
      <c r="K46" s="110"/>
    </row>
    <row r="47" spans="1:33" x14ac:dyDescent="0.25">
      <c r="A47" s="73"/>
      <c r="B47" s="114"/>
      <c r="C47" s="114"/>
      <c r="D47" s="114"/>
      <c r="G47" s="108"/>
      <c r="H47" s="109"/>
      <c r="I47" s="109"/>
      <c r="J47" s="109"/>
      <c r="K47" s="110"/>
    </row>
    <row r="48" spans="1:33" ht="15.75" thickBot="1" x14ac:dyDescent="0.3">
      <c r="A48" s="73"/>
      <c r="B48" s="114"/>
      <c r="C48" s="114"/>
      <c r="D48" s="114"/>
      <c r="G48" s="111"/>
      <c r="H48" s="112"/>
      <c r="I48" s="112"/>
      <c r="J48" s="112"/>
      <c r="K48" s="113"/>
    </row>
    <row r="49" spans="1:11" ht="15.75" thickBot="1" x14ac:dyDescent="0.3">
      <c r="A49" s="73"/>
      <c r="B49" s="114"/>
      <c r="C49" s="114"/>
      <c r="D49" s="114"/>
      <c r="G49" s="92"/>
      <c r="H49" s="92"/>
      <c r="I49" s="92"/>
      <c r="J49" s="92"/>
      <c r="K49" s="92"/>
    </row>
    <row r="50" spans="1:11" ht="14.45" customHeight="1" x14ac:dyDescent="0.25">
      <c r="A50" s="73"/>
      <c r="B50" s="115"/>
      <c r="C50" s="116"/>
      <c r="D50" s="117"/>
      <c r="G50" s="104"/>
      <c r="H50" s="105"/>
      <c r="I50" s="105"/>
      <c r="J50" s="105"/>
      <c r="K50" s="122"/>
    </row>
    <row r="51" spans="1:11" x14ac:dyDescent="0.25">
      <c r="A51" s="73"/>
      <c r="B51" s="115"/>
      <c r="C51" s="116"/>
      <c r="D51" s="117"/>
      <c r="G51" s="123"/>
      <c r="H51" s="124"/>
      <c r="I51" s="124"/>
      <c r="J51" s="124"/>
      <c r="K51" s="125"/>
    </row>
    <row r="52" spans="1:11" x14ac:dyDescent="0.25">
      <c r="A52" s="73"/>
      <c r="B52" s="115"/>
      <c r="C52" s="116"/>
      <c r="D52" s="117"/>
      <c r="G52" s="123"/>
      <c r="H52" s="124"/>
      <c r="I52" s="124"/>
      <c r="J52" s="124"/>
      <c r="K52" s="125"/>
    </row>
    <row r="53" spans="1:11" x14ac:dyDescent="0.25">
      <c r="A53" s="73"/>
      <c r="B53" s="115"/>
      <c r="C53" s="116"/>
      <c r="D53" s="117"/>
      <c r="G53" s="123"/>
      <c r="H53" s="124"/>
      <c r="I53" s="124"/>
      <c r="J53" s="124"/>
      <c r="K53" s="125"/>
    </row>
    <row r="54" spans="1:11" x14ac:dyDescent="0.25">
      <c r="A54" s="73"/>
      <c r="B54" s="115"/>
      <c r="C54" s="116"/>
      <c r="D54" s="117"/>
      <c r="G54" s="123"/>
      <c r="H54" s="124"/>
      <c r="I54" s="124"/>
      <c r="J54" s="124"/>
      <c r="K54" s="125"/>
    </row>
    <row r="55" spans="1:11" x14ac:dyDescent="0.25">
      <c r="A55" s="73"/>
      <c r="B55" s="115"/>
      <c r="C55" s="116"/>
      <c r="D55" s="117"/>
      <c r="G55" s="123"/>
      <c r="H55" s="124"/>
      <c r="I55" s="124"/>
      <c r="J55" s="124"/>
      <c r="K55" s="125"/>
    </row>
    <row r="56" spans="1:11" x14ac:dyDescent="0.25">
      <c r="A56" s="73"/>
      <c r="B56" s="115"/>
      <c r="C56" s="116"/>
      <c r="D56" s="117"/>
      <c r="G56" s="123"/>
      <c r="H56" s="124"/>
      <c r="I56" s="124"/>
      <c r="J56" s="124"/>
      <c r="K56" s="125"/>
    </row>
    <row r="57" spans="1:11" x14ac:dyDescent="0.25">
      <c r="A57" s="73"/>
      <c r="B57" s="115"/>
      <c r="C57" s="116"/>
      <c r="D57" s="117"/>
      <c r="G57" s="123"/>
      <c r="H57" s="124"/>
      <c r="I57" s="124"/>
      <c r="J57" s="124"/>
      <c r="K57" s="125"/>
    </row>
    <row r="58" spans="1:11" x14ac:dyDescent="0.25">
      <c r="A58" s="73"/>
      <c r="B58" s="115"/>
      <c r="C58" s="116"/>
      <c r="D58" s="117"/>
      <c r="G58" s="123"/>
      <c r="H58" s="124"/>
      <c r="I58" s="124"/>
      <c r="J58" s="124"/>
      <c r="K58" s="125"/>
    </row>
    <row r="59" spans="1:11" x14ac:dyDescent="0.25">
      <c r="A59" s="73"/>
      <c r="B59" s="115"/>
      <c r="C59" s="116"/>
      <c r="D59" s="117"/>
      <c r="G59" s="123"/>
      <c r="H59" s="124"/>
      <c r="I59" s="124"/>
      <c r="J59" s="124"/>
      <c r="K59" s="125"/>
    </row>
    <row r="60" spans="1:11" x14ac:dyDescent="0.25">
      <c r="A60" s="53"/>
      <c r="B60" s="115"/>
      <c r="C60" s="116"/>
      <c r="D60" s="117"/>
      <c r="G60" s="123"/>
      <c r="H60" s="124"/>
      <c r="I60" s="124"/>
      <c r="J60" s="124"/>
      <c r="K60" s="125"/>
    </row>
    <row r="61" spans="1:11" ht="15.75" thickBot="1" x14ac:dyDescent="0.3">
      <c r="A61" s="53"/>
      <c r="B61" s="118"/>
      <c r="C61" s="119"/>
      <c r="D61" s="120"/>
      <c r="G61" s="126"/>
      <c r="H61" s="127"/>
      <c r="I61" s="127"/>
      <c r="J61" s="127"/>
      <c r="K61" s="128"/>
    </row>
  </sheetData>
  <mergeCells count="34">
    <mergeCell ref="B58:D58"/>
    <mergeCell ref="B59:D59"/>
    <mergeCell ref="B60:D60"/>
    <mergeCell ref="B61:D61"/>
    <mergeCell ref="M34:N34"/>
    <mergeCell ref="B49:D49"/>
    <mergeCell ref="B50:D50"/>
    <mergeCell ref="G50:K61"/>
    <mergeCell ref="B51:D51"/>
    <mergeCell ref="B52:D52"/>
    <mergeCell ref="B53:D53"/>
    <mergeCell ref="B54:D54"/>
    <mergeCell ref="B55:D55"/>
    <mergeCell ref="B56:D56"/>
    <mergeCell ref="B57:D57"/>
    <mergeCell ref="B40:D40"/>
    <mergeCell ref="B41:D41"/>
    <mergeCell ref="G41:K48"/>
    <mergeCell ref="B42:D42"/>
    <mergeCell ref="B43:D43"/>
    <mergeCell ref="B44:D44"/>
    <mergeCell ref="B45:D45"/>
    <mergeCell ref="B46:D46"/>
    <mergeCell ref="B47:D47"/>
    <mergeCell ref="B48:D48"/>
    <mergeCell ref="G33:H33"/>
    <mergeCell ref="T33:U33"/>
    <mergeCell ref="B34:D34"/>
    <mergeCell ref="G34:K39"/>
    <mergeCell ref="B35:D35"/>
    <mergeCell ref="B36:D36"/>
    <mergeCell ref="B37:D37"/>
    <mergeCell ref="B38:D38"/>
    <mergeCell ref="B39:D39"/>
  </mergeCells>
  <conditionalFormatting sqref="C2:C30">
    <cfRule type="containsBlanks" dxfId="60" priority="26">
      <formula>LEN(TRIM(C2))=0</formula>
    </cfRule>
  </conditionalFormatting>
  <conditionalFormatting sqref="E2:E30">
    <cfRule type="cellIs" dxfId="59" priority="25" operator="greaterThan">
      <formula>0</formula>
    </cfRule>
  </conditionalFormatting>
  <conditionalFormatting sqref="Q2:Q30">
    <cfRule type="cellIs" dxfId="58" priority="24" operator="greaterThanOrEqual">
      <formula>0.6</formula>
    </cfRule>
  </conditionalFormatting>
  <conditionalFormatting sqref="M2:P30">
    <cfRule type="cellIs" dxfId="57" priority="23" operator="greaterThanOrEqual">
      <formula>0.5</formula>
    </cfRule>
  </conditionalFormatting>
  <conditionalFormatting sqref="P2:P30">
    <cfRule type="cellIs" dxfId="56" priority="22" operator="greaterThanOrEqual">
      <formula>0.5</formula>
    </cfRule>
  </conditionalFormatting>
  <conditionalFormatting sqref="R2:R30">
    <cfRule type="cellIs" dxfId="55" priority="21" operator="greaterThanOrEqual">
      <formula>0.6</formula>
    </cfRule>
  </conditionalFormatting>
  <conditionalFormatting sqref="F2:F30">
    <cfRule type="cellIs" dxfId="54" priority="19" operator="between">
      <formula>0</formula>
      <formula>17</formula>
    </cfRule>
    <cfRule type="cellIs" dxfId="53" priority="20" operator="greaterThan">
      <formula>30</formula>
    </cfRule>
  </conditionalFormatting>
  <conditionalFormatting sqref="D2:F30 M2:S30">
    <cfRule type="containsBlanks" dxfId="52" priority="18">
      <formula>LEN(TRIM(D2))=0</formula>
    </cfRule>
  </conditionalFormatting>
  <conditionalFormatting sqref="F2:F30">
    <cfRule type="cellIs" dxfId="51" priority="17" operator="between">
      <formula>17</formula>
      <formula>30</formula>
    </cfRule>
  </conditionalFormatting>
  <conditionalFormatting sqref="G2:G30">
    <cfRule type="cellIs" dxfId="50" priority="16" operator="greaterThan">
      <formula>0</formula>
    </cfRule>
  </conditionalFormatting>
  <conditionalFormatting sqref="K2:K30">
    <cfRule type="cellIs" dxfId="49" priority="15" operator="greaterThan">
      <formula>0.0104166666666667</formula>
    </cfRule>
  </conditionalFormatting>
  <conditionalFormatting sqref="V2:V30">
    <cfRule type="cellIs" dxfId="48" priority="14" operator="greaterThan">
      <formula>0.5</formula>
    </cfRule>
  </conditionalFormatting>
  <conditionalFormatting sqref="T2:X30">
    <cfRule type="containsBlanks" dxfId="47" priority="13">
      <formula>LEN(TRIM(T2))=0</formula>
    </cfRule>
  </conditionalFormatting>
  <conditionalFormatting sqref="AB2:AB30">
    <cfRule type="cellIs" dxfId="46" priority="7" operator="greaterThanOrEqual">
      <formula>6.5</formula>
    </cfRule>
    <cfRule type="cellIs" dxfId="45" priority="12" operator="lessThan">
      <formula>6</formula>
    </cfRule>
  </conditionalFormatting>
  <conditionalFormatting sqref="AC2:AC30">
    <cfRule type="cellIs" dxfId="44" priority="9" operator="between">
      <formula>0.7647</formula>
      <formula>0.8235</formula>
    </cfRule>
    <cfRule type="cellIs" dxfId="43" priority="10" operator="between">
      <formula>0.7059</formula>
      <formula>0.7646</formula>
    </cfRule>
    <cfRule type="cellIs" dxfId="42" priority="11" operator="between">
      <formula>0</formula>
      <formula>0.7058</formula>
    </cfRule>
  </conditionalFormatting>
  <conditionalFormatting sqref="AA2:AE30">
    <cfRule type="containsBlanks" dxfId="41" priority="8">
      <formula>LEN(TRIM(AA2))=0</formula>
    </cfRule>
  </conditionalFormatting>
  <conditionalFormatting sqref="H2:H30">
    <cfRule type="cellIs" dxfId="40" priority="6" operator="greaterThan">
      <formula>15</formula>
    </cfRule>
  </conditionalFormatting>
  <conditionalFormatting sqref="AB1:AB1048576">
    <cfRule type="cellIs" dxfId="39" priority="5" operator="between">
      <formula>6</formula>
      <formula>6.5</formula>
    </cfRule>
  </conditionalFormatting>
  <conditionalFormatting sqref="AD2:AD1048576">
    <cfRule type="cellIs" dxfId="38" priority="4" operator="greaterThanOrEqual">
      <formula>0.98</formula>
    </cfRule>
  </conditionalFormatting>
  <conditionalFormatting sqref="AA2:AA1048576">
    <cfRule type="cellIs" dxfId="37" priority="3" operator="greaterThanOrEqual">
      <formula>0.95</formula>
    </cfRule>
  </conditionalFormatting>
  <conditionalFormatting sqref="AA1:AA1048576">
    <cfRule type="containsBlanks" dxfId="36" priority="1">
      <formula>LEN(TRIM(AA1))=0</formula>
    </cfRule>
    <cfRule type="cellIs" dxfId="35" priority="2" operator="lessThan">
      <formula>0.95</formula>
    </cfRule>
  </conditionalFormatting>
  <dataValidations count="1">
    <dataValidation type="list" allowBlank="1" showInputMessage="1" showErrorMessage="1" sqref="B35:D60" xr:uid="{C61AEDFD-280E-4C42-A6C1-C440E2299D18}">
      <formula1>$AG$3:$AG$34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2B10-4051-43AF-89D0-0C58668C95FE}">
  <sheetPr codeName="Sheet22"/>
  <dimension ref="A1:EX63"/>
  <sheetViews>
    <sheetView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BR23" sqref="BR23"/>
    </sheetView>
  </sheetViews>
  <sheetFormatPr defaultRowHeight="15" x14ac:dyDescent="0.25"/>
  <cols>
    <col min="1" max="1" width="20.42578125" bestFit="1" customWidth="1"/>
    <col min="2" max="2" width="15.85546875" style="21" bestFit="1" customWidth="1"/>
    <col min="3" max="3" width="14" style="21" hidden="1" customWidth="1"/>
    <col min="4" max="12" width="13" style="21" hidden="1" customWidth="1"/>
    <col min="13" max="34" width="14" style="21" hidden="1" customWidth="1"/>
    <col min="35" max="43" width="13" style="21" hidden="1" customWidth="1"/>
    <col min="44" max="55" width="14" style="21" hidden="1" customWidth="1"/>
    <col min="56" max="64" width="14" style="21" bestFit="1" customWidth="1"/>
    <col min="65" max="65" width="14" style="21" customWidth="1"/>
    <col min="66" max="74" width="13" style="21" customWidth="1"/>
    <col min="75" max="118" width="14" style="21" customWidth="1"/>
    <col min="119" max="138" width="10.7109375" style="21" bestFit="1" customWidth="1"/>
    <col min="139" max="148" width="10.7109375" style="21" customWidth="1"/>
    <col min="149" max="149" width="10.7109375" style="21" bestFit="1" customWidth="1"/>
    <col min="150" max="150" width="18.5703125" style="21" customWidth="1"/>
    <col min="151" max="151" width="14.42578125" style="21" customWidth="1"/>
    <col min="152" max="152" width="18.85546875" style="21" bestFit="1" customWidth="1"/>
    <col min="153" max="153" width="21.140625" style="21" bestFit="1" customWidth="1"/>
    <col min="154" max="154" width="16.7109375" bestFit="1" customWidth="1"/>
  </cols>
  <sheetData>
    <row r="1" spans="1:154" ht="15.75" x14ac:dyDescent="0.25">
      <c r="A1" s="129" t="s">
        <v>169</v>
      </c>
      <c r="B1" s="129"/>
    </row>
    <row r="2" spans="1:154" x14ac:dyDescent="0.25">
      <c r="A2" s="53" t="s">
        <v>170</v>
      </c>
      <c r="B2" s="54" t="s">
        <v>171</v>
      </c>
    </row>
    <row r="3" spans="1:154" x14ac:dyDescent="0.25">
      <c r="A3" s="53" t="s">
        <v>172</v>
      </c>
      <c r="B3" s="55" t="s">
        <v>173</v>
      </c>
    </row>
    <row r="4" spans="1:154" x14ac:dyDescent="0.25">
      <c r="A4" s="53" t="s">
        <v>174</v>
      </c>
      <c r="B4" s="56" t="s">
        <v>175</v>
      </c>
    </row>
    <row r="5" spans="1:154" x14ac:dyDescent="0.25">
      <c r="A5" s="53" t="s">
        <v>176</v>
      </c>
      <c r="B5" s="54" t="s">
        <v>101</v>
      </c>
    </row>
    <row r="6" spans="1:154" x14ac:dyDescent="0.25">
      <c r="A6" s="53" t="s">
        <v>177</v>
      </c>
      <c r="B6" s="55" t="s">
        <v>178</v>
      </c>
    </row>
    <row r="7" spans="1:154" x14ac:dyDescent="0.25">
      <c r="A7" s="53" t="s">
        <v>179</v>
      </c>
      <c r="B7" s="24" t="s">
        <v>180</v>
      </c>
    </row>
    <row r="8" spans="1:154" x14ac:dyDescent="0.25">
      <c r="A8" s="53" t="s">
        <v>181</v>
      </c>
      <c r="B8" s="56" t="s">
        <v>102</v>
      </c>
    </row>
    <row r="9" spans="1:154" ht="30" x14ac:dyDescent="0.25">
      <c r="A9" s="53" t="s">
        <v>182</v>
      </c>
      <c r="B9" s="54" t="s">
        <v>183</v>
      </c>
    </row>
    <row r="10" spans="1:154" x14ac:dyDescent="0.25">
      <c r="A10" s="57"/>
      <c r="B10" s="58" t="s">
        <v>184</v>
      </c>
      <c r="C10" s="59">
        <v>44424</v>
      </c>
      <c r="D10" s="59">
        <v>44425</v>
      </c>
      <c r="E10" s="59">
        <v>44426</v>
      </c>
      <c r="F10" s="59">
        <v>44427</v>
      </c>
      <c r="G10" s="59">
        <v>44428</v>
      </c>
      <c r="H10" s="59">
        <v>44429</v>
      </c>
      <c r="I10" s="59">
        <v>44430</v>
      </c>
      <c r="J10" s="59">
        <v>44431</v>
      </c>
      <c r="K10" s="59">
        <v>44432</v>
      </c>
      <c r="L10" s="59">
        <v>44433</v>
      </c>
      <c r="M10" s="59">
        <v>44434</v>
      </c>
      <c r="N10" s="59">
        <v>44435</v>
      </c>
      <c r="O10" s="59">
        <v>44436</v>
      </c>
      <c r="P10" s="59">
        <v>44437</v>
      </c>
      <c r="Q10" s="59">
        <v>44438</v>
      </c>
      <c r="R10" s="59">
        <v>44439</v>
      </c>
      <c r="S10" s="59">
        <v>44440</v>
      </c>
      <c r="T10" s="59">
        <v>44441</v>
      </c>
      <c r="U10" s="59">
        <v>44442</v>
      </c>
      <c r="V10" s="59">
        <v>44443</v>
      </c>
      <c r="W10" s="59">
        <v>44444</v>
      </c>
      <c r="X10" s="59">
        <v>44445</v>
      </c>
      <c r="Y10" s="59">
        <v>44446</v>
      </c>
      <c r="Z10" s="59">
        <v>44447</v>
      </c>
      <c r="AA10" s="59">
        <v>44448</v>
      </c>
      <c r="AB10" s="59">
        <v>44449</v>
      </c>
      <c r="AC10" s="59">
        <v>44450</v>
      </c>
      <c r="AD10" s="59">
        <v>44451</v>
      </c>
      <c r="AE10" s="59">
        <v>44452</v>
      </c>
      <c r="AF10" s="59">
        <v>44453</v>
      </c>
      <c r="AG10" s="59">
        <v>44454</v>
      </c>
      <c r="AH10" s="59">
        <v>44455</v>
      </c>
      <c r="AI10" s="59">
        <v>44456</v>
      </c>
      <c r="AJ10" s="59">
        <v>44457</v>
      </c>
      <c r="AK10" s="59">
        <v>44458</v>
      </c>
      <c r="AL10" s="59">
        <v>44459</v>
      </c>
      <c r="AM10" s="59">
        <v>44460</v>
      </c>
      <c r="AN10" s="59">
        <v>44461</v>
      </c>
      <c r="AO10" s="59">
        <v>44462</v>
      </c>
      <c r="AP10" s="59">
        <v>44463</v>
      </c>
      <c r="AQ10" s="59">
        <v>44464</v>
      </c>
      <c r="AR10" s="59">
        <v>44465</v>
      </c>
      <c r="AS10" s="59">
        <v>44466</v>
      </c>
      <c r="AT10" s="59">
        <v>44467</v>
      </c>
      <c r="AU10" s="59">
        <v>44468</v>
      </c>
      <c r="AV10" s="59">
        <v>44469</v>
      </c>
      <c r="AW10" s="59">
        <v>44470</v>
      </c>
      <c r="AX10" s="59">
        <v>44471</v>
      </c>
      <c r="AY10" s="59">
        <v>44472</v>
      </c>
      <c r="AZ10" s="59">
        <v>44473</v>
      </c>
      <c r="BA10" s="59">
        <v>44474</v>
      </c>
      <c r="BB10" s="59">
        <v>44475</v>
      </c>
      <c r="BC10" s="59">
        <v>44476</v>
      </c>
      <c r="BD10" s="59">
        <v>44477</v>
      </c>
      <c r="BE10" s="59">
        <v>44478</v>
      </c>
      <c r="BF10" s="59">
        <v>44479</v>
      </c>
      <c r="BG10" s="59">
        <v>44480</v>
      </c>
      <c r="BH10" s="59">
        <v>44481</v>
      </c>
      <c r="BI10" s="59">
        <v>44482</v>
      </c>
      <c r="BJ10" s="59">
        <v>44483</v>
      </c>
      <c r="BK10" s="59">
        <v>44484</v>
      </c>
      <c r="BL10" s="59">
        <v>44485</v>
      </c>
      <c r="BM10" s="59">
        <v>44486</v>
      </c>
      <c r="BN10" s="59">
        <v>44487</v>
      </c>
      <c r="BO10" s="59">
        <v>44488</v>
      </c>
      <c r="BP10" s="59">
        <v>44489</v>
      </c>
      <c r="BQ10" s="59">
        <v>44490</v>
      </c>
      <c r="BR10" s="59">
        <v>44491</v>
      </c>
      <c r="BS10" s="59">
        <v>44492</v>
      </c>
      <c r="BT10" s="59">
        <v>44493</v>
      </c>
      <c r="BU10" s="59">
        <v>44494</v>
      </c>
      <c r="BV10" s="59">
        <v>44495</v>
      </c>
      <c r="BW10" s="59">
        <v>44496</v>
      </c>
      <c r="BX10" s="59">
        <v>44497</v>
      </c>
      <c r="BY10" s="59">
        <v>44498</v>
      </c>
      <c r="BZ10" s="59">
        <v>44499</v>
      </c>
      <c r="CA10" s="59">
        <v>44500</v>
      </c>
      <c r="CB10" s="59">
        <v>44501</v>
      </c>
      <c r="CC10" s="59">
        <v>44502</v>
      </c>
      <c r="CD10" s="59">
        <v>44503</v>
      </c>
      <c r="CE10" s="59">
        <v>44504</v>
      </c>
      <c r="CF10" s="59">
        <v>44505</v>
      </c>
      <c r="CG10" s="59">
        <v>44506</v>
      </c>
      <c r="CH10" s="59">
        <v>44507</v>
      </c>
      <c r="CI10" s="59">
        <v>44508</v>
      </c>
      <c r="CJ10" s="59">
        <v>44509</v>
      </c>
      <c r="CK10" s="59">
        <v>44510</v>
      </c>
      <c r="CL10" s="59">
        <v>44511</v>
      </c>
      <c r="CM10" s="59">
        <v>44512</v>
      </c>
      <c r="CN10" s="59">
        <v>44513</v>
      </c>
      <c r="CO10" s="59">
        <v>44514</v>
      </c>
      <c r="CP10" s="59">
        <v>44515</v>
      </c>
      <c r="CQ10" s="59">
        <v>44516</v>
      </c>
      <c r="CR10" s="59">
        <v>44517</v>
      </c>
      <c r="CS10" s="59">
        <v>44518</v>
      </c>
      <c r="CT10" s="59">
        <v>44519</v>
      </c>
      <c r="CU10" s="59">
        <v>44520</v>
      </c>
      <c r="CV10" s="59">
        <v>44521</v>
      </c>
      <c r="CW10" s="59">
        <v>44522</v>
      </c>
      <c r="CX10" s="59">
        <v>44523</v>
      </c>
      <c r="CY10" s="59">
        <v>44524</v>
      </c>
      <c r="CZ10" s="59">
        <v>44525</v>
      </c>
      <c r="DA10" s="59">
        <v>44526</v>
      </c>
      <c r="DB10" s="59">
        <v>44527</v>
      </c>
      <c r="DC10" s="59">
        <v>44528</v>
      </c>
      <c r="DD10" s="59">
        <v>44529</v>
      </c>
      <c r="DE10" s="59">
        <v>44530</v>
      </c>
      <c r="DF10" s="59">
        <v>44531</v>
      </c>
      <c r="DG10" s="59">
        <v>44532</v>
      </c>
      <c r="DH10" s="59">
        <v>44533</v>
      </c>
      <c r="DI10" s="59">
        <v>44534</v>
      </c>
      <c r="DJ10" s="59">
        <v>44535</v>
      </c>
      <c r="DK10" s="59">
        <v>44536</v>
      </c>
      <c r="DL10" s="59">
        <v>44537</v>
      </c>
      <c r="DM10" s="59">
        <v>44538</v>
      </c>
      <c r="DN10" s="59">
        <v>44539</v>
      </c>
      <c r="DO10" s="59">
        <v>44540</v>
      </c>
      <c r="DP10" s="59">
        <v>44541</v>
      </c>
      <c r="DQ10" s="59">
        <v>44542</v>
      </c>
      <c r="DR10" s="59">
        <v>44543</v>
      </c>
      <c r="DS10" s="59">
        <v>44544</v>
      </c>
      <c r="DT10" s="59">
        <v>44545</v>
      </c>
      <c r="DU10" s="59">
        <v>44546</v>
      </c>
      <c r="DV10" s="59">
        <v>44547</v>
      </c>
      <c r="DW10" s="59">
        <v>44548</v>
      </c>
      <c r="DX10" s="59">
        <v>44549</v>
      </c>
      <c r="DY10" s="59">
        <v>44550</v>
      </c>
      <c r="DZ10" s="59">
        <v>44551</v>
      </c>
      <c r="EA10" s="59">
        <v>44552</v>
      </c>
      <c r="EB10" s="59">
        <v>44553</v>
      </c>
      <c r="EC10" s="59">
        <v>44554</v>
      </c>
      <c r="ED10" s="59">
        <v>44555</v>
      </c>
      <c r="EE10" s="59">
        <v>44556</v>
      </c>
      <c r="EF10" s="59">
        <v>44557</v>
      </c>
      <c r="EG10" s="59">
        <v>44558</v>
      </c>
      <c r="EH10" s="59">
        <v>44559</v>
      </c>
      <c r="EI10" s="59">
        <v>44560</v>
      </c>
      <c r="EJ10" s="59">
        <v>44561</v>
      </c>
      <c r="EK10" s="59">
        <v>44562</v>
      </c>
      <c r="EL10" s="59">
        <v>44563</v>
      </c>
      <c r="EM10" s="59">
        <v>44564</v>
      </c>
      <c r="EN10" s="59">
        <v>44565</v>
      </c>
      <c r="EO10" s="59">
        <v>44566</v>
      </c>
      <c r="EP10" s="59">
        <v>44567</v>
      </c>
      <c r="EQ10" s="59">
        <v>44568</v>
      </c>
      <c r="ER10" s="59">
        <v>44569</v>
      </c>
      <c r="ES10" s="59">
        <v>44570</v>
      </c>
      <c r="ET10" s="59">
        <v>44571</v>
      </c>
      <c r="EU10" s="59"/>
      <c r="EV10" s="59"/>
      <c r="EW10" s="59"/>
      <c r="EX10" s="59"/>
    </row>
    <row r="11" spans="1:154" x14ac:dyDescent="0.25">
      <c r="A11" s="60" t="s">
        <v>3</v>
      </c>
      <c r="B11" s="61" t="s">
        <v>185</v>
      </c>
      <c r="C11" s="62">
        <f>C10+60</f>
        <v>44484</v>
      </c>
      <c r="D11" s="62">
        <f t="shared" ref="D11:BO11" si="0">D10+60</f>
        <v>44485</v>
      </c>
      <c r="E11" s="62">
        <f t="shared" si="0"/>
        <v>44486</v>
      </c>
      <c r="F11" s="62">
        <f t="shared" si="0"/>
        <v>44487</v>
      </c>
      <c r="G11" s="62">
        <f t="shared" si="0"/>
        <v>44488</v>
      </c>
      <c r="H11" s="62">
        <f t="shared" si="0"/>
        <v>44489</v>
      </c>
      <c r="I11" s="62">
        <f t="shared" si="0"/>
        <v>44490</v>
      </c>
      <c r="J11" s="62">
        <f t="shared" si="0"/>
        <v>44491</v>
      </c>
      <c r="K11" s="62">
        <f t="shared" si="0"/>
        <v>44492</v>
      </c>
      <c r="L11" s="62">
        <f t="shared" si="0"/>
        <v>44493</v>
      </c>
      <c r="M11" s="62">
        <f t="shared" si="0"/>
        <v>44494</v>
      </c>
      <c r="N11" s="62">
        <f t="shared" si="0"/>
        <v>44495</v>
      </c>
      <c r="O11" s="62">
        <f t="shared" si="0"/>
        <v>44496</v>
      </c>
      <c r="P11" s="62">
        <f t="shared" si="0"/>
        <v>44497</v>
      </c>
      <c r="Q11" s="62">
        <f t="shared" si="0"/>
        <v>44498</v>
      </c>
      <c r="R11" s="62">
        <f t="shared" si="0"/>
        <v>44499</v>
      </c>
      <c r="S11" s="62">
        <f t="shared" si="0"/>
        <v>44500</v>
      </c>
      <c r="T11" s="62">
        <f t="shared" si="0"/>
        <v>44501</v>
      </c>
      <c r="U11" s="62">
        <f t="shared" si="0"/>
        <v>44502</v>
      </c>
      <c r="V11" s="62">
        <f t="shared" si="0"/>
        <v>44503</v>
      </c>
      <c r="W11" s="62">
        <f t="shared" si="0"/>
        <v>44504</v>
      </c>
      <c r="X11" s="62">
        <f t="shared" si="0"/>
        <v>44505</v>
      </c>
      <c r="Y11" s="62">
        <f t="shared" si="0"/>
        <v>44506</v>
      </c>
      <c r="Z11" s="62">
        <f t="shared" si="0"/>
        <v>44507</v>
      </c>
      <c r="AA11" s="62">
        <f t="shared" si="0"/>
        <v>44508</v>
      </c>
      <c r="AB11" s="62">
        <f t="shared" si="0"/>
        <v>44509</v>
      </c>
      <c r="AC11" s="62">
        <f t="shared" si="0"/>
        <v>44510</v>
      </c>
      <c r="AD11" s="62">
        <f t="shared" si="0"/>
        <v>44511</v>
      </c>
      <c r="AE11" s="62">
        <f t="shared" si="0"/>
        <v>44512</v>
      </c>
      <c r="AF11" s="62">
        <f t="shared" si="0"/>
        <v>44513</v>
      </c>
      <c r="AG11" s="62">
        <f t="shared" si="0"/>
        <v>44514</v>
      </c>
      <c r="AH11" s="62">
        <f t="shared" si="0"/>
        <v>44515</v>
      </c>
      <c r="AI11" s="62">
        <f t="shared" si="0"/>
        <v>44516</v>
      </c>
      <c r="AJ11" s="62">
        <f t="shared" si="0"/>
        <v>44517</v>
      </c>
      <c r="AK11" s="62">
        <f t="shared" si="0"/>
        <v>44518</v>
      </c>
      <c r="AL11" s="62">
        <f t="shared" si="0"/>
        <v>44519</v>
      </c>
      <c r="AM11" s="62">
        <f t="shared" si="0"/>
        <v>44520</v>
      </c>
      <c r="AN11" s="62">
        <f t="shared" si="0"/>
        <v>44521</v>
      </c>
      <c r="AO11" s="62">
        <f t="shared" si="0"/>
        <v>44522</v>
      </c>
      <c r="AP11" s="62">
        <f t="shared" si="0"/>
        <v>44523</v>
      </c>
      <c r="AQ11" s="62">
        <f t="shared" si="0"/>
        <v>44524</v>
      </c>
      <c r="AR11" s="62">
        <f t="shared" si="0"/>
        <v>44525</v>
      </c>
      <c r="AS11" s="62">
        <f t="shared" si="0"/>
        <v>44526</v>
      </c>
      <c r="AT11" s="62">
        <f t="shared" si="0"/>
        <v>44527</v>
      </c>
      <c r="AU11" s="62">
        <f t="shared" si="0"/>
        <v>44528</v>
      </c>
      <c r="AV11" s="62">
        <f t="shared" si="0"/>
        <v>44529</v>
      </c>
      <c r="AW11" s="62">
        <f t="shared" si="0"/>
        <v>44530</v>
      </c>
      <c r="AX11" s="62">
        <f t="shared" si="0"/>
        <v>44531</v>
      </c>
      <c r="AY11" s="62">
        <f t="shared" si="0"/>
        <v>44532</v>
      </c>
      <c r="AZ11" s="62">
        <f t="shared" si="0"/>
        <v>44533</v>
      </c>
      <c r="BA11" s="62">
        <f t="shared" si="0"/>
        <v>44534</v>
      </c>
      <c r="BB11" s="62">
        <f t="shared" si="0"/>
        <v>44535</v>
      </c>
      <c r="BC11" s="62">
        <f t="shared" si="0"/>
        <v>44536</v>
      </c>
      <c r="BD11" s="62">
        <f t="shared" si="0"/>
        <v>44537</v>
      </c>
      <c r="BE11" s="62">
        <f t="shared" si="0"/>
        <v>44538</v>
      </c>
      <c r="BF11" s="62">
        <f t="shared" si="0"/>
        <v>44539</v>
      </c>
      <c r="BG11" s="62">
        <f t="shared" si="0"/>
        <v>44540</v>
      </c>
      <c r="BH11" s="62">
        <f t="shared" si="0"/>
        <v>44541</v>
      </c>
      <c r="BI11" s="62">
        <f t="shared" si="0"/>
        <v>44542</v>
      </c>
      <c r="BJ11" s="62">
        <f t="shared" si="0"/>
        <v>44543</v>
      </c>
      <c r="BK11" s="62">
        <f t="shared" si="0"/>
        <v>44544</v>
      </c>
      <c r="BL11" s="62">
        <f t="shared" si="0"/>
        <v>44545</v>
      </c>
      <c r="BM11" s="62">
        <f t="shared" si="0"/>
        <v>44546</v>
      </c>
      <c r="BN11" s="62">
        <f t="shared" si="0"/>
        <v>44547</v>
      </c>
      <c r="BO11" s="62">
        <f t="shared" si="0"/>
        <v>44548</v>
      </c>
      <c r="BP11" s="62">
        <f t="shared" ref="BP11:EA11" si="1">BP10+60</f>
        <v>44549</v>
      </c>
      <c r="BQ11" s="62">
        <f t="shared" si="1"/>
        <v>44550</v>
      </c>
      <c r="BR11" s="62">
        <f t="shared" si="1"/>
        <v>44551</v>
      </c>
      <c r="BS11" s="62">
        <f t="shared" si="1"/>
        <v>44552</v>
      </c>
      <c r="BT11" s="62">
        <f t="shared" si="1"/>
        <v>44553</v>
      </c>
      <c r="BU11" s="62">
        <f t="shared" si="1"/>
        <v>44554</v>
      </c>
      <c r="BV11" s="62">
        <f t="shared" si="1"/>
        <v>44555</v>
      </c>
      <c r="BW11" s="62">
        <f t="shared" si="1"/>
        <v>44556</v>
      </c>
      <c r="BX11" s="62">
        <f t="shared" si="1"/>
        <v>44557</v>
      </c>
      <c r="BY11" s="62">
        <f>BY10+60</f>
        <v>44558</v>
      </c>
      <c r="BZ11" s="62">
        <f t="shared" si="1"/>
        <v>44559</v>
      </c>
      <c r="CA11" s="62">
        <f t="shared" si="1"/>
        <v>44560</v>
      </c>
      <c r="CB11" s="62">
        <f t="shared" si="1"/>
        <v>44561</v>
      </c>
      <c r="CC11" s="62">
        <f t="shared" si="1"/>
        <v>44562</v>
      </c>
      <c r="CD11" s="62">
        <f t="shared" si="1"/>
        <v>44563</v>
      </c>
      <c r="CE11" s="62">
        <f t="shared" si="1"/>
        <v>44564</v>
      </c>
      <c r="CF11" s="62">
        <f t="shared" si="1"/>
        <v>44565</v>
      </c>
      <c r="CG11" s="62">
        <f t="shared" si="1"/>
        <v>44566</v>
      </c>
      <c r="CH11" s="62">
        <f t="shared" si="1"/>
        <v>44567</v>
      </c>
      <c r="CI11" s="62">
        <f t="shared" si="1"/>
        <v>44568</v>
      </c>
      <c r="CJ11" s="62">
        <f t="shared" si="1"/>
        <v>44569</v>
      </c>
      <c r="CK11" s="62">
        <f t="shared" si="1"/>
        <v>44570</v>
      </c>
      <c r="CL11" s="62">
        <f t="shared" si="1"/>
        <v>44571</v>
      </c>
      <c r="CM11" s="62">
        <f t="shared" si="1"/>
        <v>44572</v>
      </c>
      <c r="CN11" s="62">
        <f t="shared" si="1"/>
        <v>44573</v>
      </c>
      <c r="CO11" s="62">
        <f t="shared" si="1"/>
        <v>44574</v>
      </c>
      <c r="CP11" s="62">
        <f t="shared" si="1"/>
        <v>44575</v>
      </c>
      <c r="CQ11" s="62">
        <f t="shared" si="1"/>
        <v>44576</v>
      </c>
      <c r="CR11" s="62">
        <f t="shared" si="1"/>
        <v>44577</v>
      </c>
      <c r="CS11" s="62">
        <f t="shared" si="1"/>
        <v>44578</v>
      </c>
      <c r="CT11" s="62">
        <f t="shared" si="1"/>
        <v>44579</v>
      </c>
      <c r="CU11" s="62">
        <f t="shared" si="1"/>
        <v>44580</v>
      </c>
      <c r="CV11" s="62">
        <f t="shared" si="1"/>
        <v>44581</v>
      </c>
      <c r="CW11" s="62">
        <f t="shared" si="1"/>
        <v>44582</v>
      </c>
      <c r="CX11" s="62">
        <f t="shared" si="1"/>
        <v>44583</v>
      </c>
      <c r="CY11" s="62">
        <f t="shared" si="1"/>
        <v>44584</v>
      </c>
      <c r="CZ11" s="62">
        <f t="shared" si="1"/>
        <v>44585</v>
      </c>
      <c r="DA11" s="62">
        <f t="shared" si="1"/>
        <v>44586</v>
      </c>
      <c r="DB11" s="62">
        <f t="shared" si="1"/>
        <v>44587</v>
      </c>
      <c r="DC11" s="62">
        <f t="shared" si="1"/>
        <v>44588</v>
      </c>
      <c r="DD11" s="62">
        <f t="shared" si="1"/>
        <v>44589</v>
      </c>
      <c r="DE11" s="62">
        <f t="shared" si="1"/>
        <v>44590</v>
      </c>
      <c r="DF11" s="62">
        <f t="shared" si="1"/>
        <v>44591</v>
      </c>
      <c r="DG11" s="62">
        <f t="shared" si="1"/>
        <v>44592</v>
      </c>
      <c r="DH11" s="62">
        <f t="shared" si="1"/>
        <v>44593</v>
      </c>
      <c r="DI11" s="62">
        <f t="shared" si="1"/>
        <v>44594</v>
      </c>
      <c r="DJ11" s="62">
        <f t="shared" si="1"/>
        <v>44595</v>
      </c>
      <c r="DK11" s="62">
        <f t="shared" si="1"/>
        <v>44596</v>
      </c>
      <c r="DL11" s="62">
        <f t="shared" si="1"/>
        <v>44597</v>
      </c>
      <c r="DM11" s="62">
        <f t="shared" si="1"/>
        <v>44598</v>
      </c>
      <c r="DN11" s="62">
        <f t="shared" si="1"/>
        <v>44599</v>
      </c>
      <c r="DO11" s="62">
        <f t="shared" si="1"/>
        <v>44600</v>
      </c>
      <c r="DP11" s="62">
        <f t="shared" si="1"/>
        <v>44601</v>
      </c>
      <c r="DQ11" s="62">
        <f t="shared" si="1"/>
        <v>44602</v>
      </c>
      <c r="DR11" s="62">
        <f t="shared" si="1"/>
        <v>44603</v>
      </c>
      <c r="DS11" s="62">
        <f t="shared" si="1"/>
        <v>44604</v>
      </c>
      <c r="DT11" s="62">
        <f t="shared" si="1"/>
        <v>44605</v>
      </c>
      <c r="DU11" s="62">
        <f t="shared" si="1"/>
        <v>44606</v>
      </c>
      <c r="DV11" s="62">
        <f t="shared" si="1"/>
        <v>44607</v>
      </c>
      <c r="DW11" s="62">
        <f t="shared" si="1"/>
        <v>44608</v>
      </c>
      <c r="DX11" s="62">
        <f t="shared" si="1"/>
        <v>44609</v>
      </c>
      <c r="DY11" s="62">
        <f t="shared" si="1"/>
        <v>44610</v>
      </c>
      <c r="DZ11" s="62">
        <f t="shared" si="1"/>
        <v>44611</v>
      </c>
      <c r="EA11" s="62">
        <f t="shared" si="1"/>
        <v>44612</v>
      </c>
      <c r="EB11" s="62">
        <f t="shared" ref="EB11:ET11" si="2">EB10+60</f>
        <v>44613</v>
      </c>
      <c r="EC11" s="62">
        <f t="shared" si="2"/>
        <v>44614</v>
      </c>
      <c r="ED11" s="62">
        <f t="shared" si="2"/>
        <v>44615</v>
      </c>
      <c r="EE11" s="62">
        <f t="shared" si="2"/>
        <v>44616</v>
      </c>
      <c r="EF11" s="62">
        <f t="shared" si="2"/>
        <v>44617</v>
      </c>
      <c r="EG11" s="62">
        <f t="shared" si="2"/>
        <v>44618</v>
      </c>
      <c r="EH11" s="62">
        <f t="shared" si="2"/>
        <v>44619</v>
      </c>
      <c r="EI11" s="62">
        <f t="shared" si="2"/>
        <v>44620</v>
      </c>
      <c r="EJ11" s="62">
        <f t="shared" si="2"/>
        <v>44621</v>
      </c>
      <c r="EK11" s="62">
        <f t="shared" si="2"/>
        <v>44622</v>
      </c>
      <c r="EL11" s="62">
        <f t="shared" si="2"/>
        <v>44623</v>
      </c>
      <c r="EM11" s="62">
        <f t="shared" si="2"/>
        <v>44624</v>
      </c>
      <c r="EN11" s="62">
        <f t="shared" si="2"/>
        <v>44625</v>
      </c>
      <c r="EO11" s="62">
        <f t="shared" si="2"/>
        <v>44626</v>
      </c>
      <c r="EP11" s="62">
        <f t="shared" si="2"/>
        <v>44627</v>
      </c>
      <c r="EQ11" s="62">
        <f t="shared" si="2"/>
        <v>44628</v>
      </c>
      <c r="ER11" s="62">
        <f t="shared" si="2"/>
        <v>44629</v>
      </c>
      <c r="ES11" s="62">
        <f t="shared" si="2"/>
        <v>44630</v>
      </c>
      <c r="ET11" s="62">
        <f t="shared" si="2"/>
        <v>44631</v>
      </c>
      <c r="EU11" s="62" t="s">
        <v>186</v>
      </c>
      <c r="EV11" s="62" t="s">
        <v>187</v>
      </c>
      <c r="EW11" s="62" t="s">
        <v>188</v>
      </c>
      <c r="EX11" s="62" t="s">
        <v>189</v>
      </c>
    </row>
    <row r="12" spans="1:154" x14ac:dyDescent="0.25">
      <c r="A12" s="25" t="s">
        <v>58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 t="s">
        <v>178</v>
      </c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>
        <f>COUNTIF(BD12:ET12, "A")+  COUNTIF(BD12:ET12, "N")</f>
        <v>0</v>
      </c>
      <c r="EV12" s="63">
        <f>(COUNTIF(BD12:EU12,"LE")+COUNTIF(BD12:EU12,"T"))*0.5</f>
        <v>0.5</v>
      </c>
      <c r="EW12" s="63">
        <f t="shared" ref="EW12:EW63" si="3">EU12+EV12</f>
        <v>0.5</v>
      </c>
      <c r="EX12" s="24">
        <f xml:space="preserve"> COUNTIF(CB12:ET12, "N")</f>
        <v>0</v>
      </c>
    </row>
    <row r="13" spans="1:154" x14ac:dyDescent="0.25">
      <c r="A13" s="25" t="s">
        <v>9</v>
      </c>
      <c r="B13" s="24"/>
      <c r="C13" s="24"/>
      <c r="D13" s="24"/>
      <c r="E13" s="24"/>
      <c r="F13" s="24"/>
      <c r="G13" s="24"/>
      <c r="H13" s="24" t="s">
        <v>180</v>
      </c>
      <c r="I13" s="24" t="s">
        <v>180</v>
      </c>
      <c r="J13" s="24" t="s">
        <v>175</v>
      </c>
      <c r="K13" s="24"/>
      <c r="L13" s="24"/>
      <c r="M13" s="24" t="s">
        <v>175</v>
      </c>
      <c r="N13" s="24" t="s">
        <v>175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 t="s">
        <v>180</v>
      </c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 t="s">
        <v>178</v>
      </c>
      <c r="CU13" s="24"/>
      <c r="CV13" s="24"/>
      <c r="CW13" s="24"/>
      <c r="CX13" s="24" t="s">
        <v>178</v>
      </c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>
        <f t="shared" ref="EU13:EU63" si="4">COUNTIF(BD13:ET13, "A")+  COUNTIF(BD13:ET13, "N")</f>
        <v>0</v>
      </c>
      <c r="EV13" s="63">
        <f t="shared" ref="EV13:EV63" si="5">(COUNTIF(BD13:EU13,"LE")+COUNTIF(BD13:EU13,"T"))*0.5</f>
        <v>1</v>
      </c>
      <c r="EW13" s="63">
        <f t="shared" si="3"/>
        <v>1</v>
      </c>
      <c r="EX13" s="24">
        <f t="shared" ref="EX13:EX63" si="6" xml:space="preserve"> COUNTIF(CB13:ET13, "N")</f>
        <v>0</v>
      </c>
    </row>
    <row r="14" spans="1:154" x14ac:dyDescent="0.25">
      <c r="A14" s="25" t="s">
        <v>14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>
        <f t="shared" si="4"/>
        <v>0</v>
      </c>
      <c r="EV14" s="63">
        <f t="shared" si="5"/>
        <v>0</v>
      </c>
      <c r="EW14" s="63">
        <f t="shared" si="3"/>
        <v>0</v>
      </c>
      <c r="EX14" s="24">
        <f t="shared" si="6"/>
        <v>0</v>
      </c>
    </row>
    <row r="15" spans="1:154" x14ac:dyDescent="0.25">
      <c r="A15" s="25" t="s">
        <v>19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 t="s">
        <v>178</v>
      </c>
      <c r="CE15" s="24"/>
      <c r="CF15" s="24"/>
      <c r="CG15" s="24"/>
      <c r="CH15" s="24"/>
      <c r="CI15" s="24"/>
      <c r="CJ15" s="24" t="s">
        <v>175</v>
      </c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24">
        <f t="shared" si="4"/>
        <v>1</v>
      </c>
      <c r="EV15" s="63">
        <f t="shared" si="5"/>
        <v>0.5</v>
      </c>
      <c r="EW15" s="63">
        <f t="shared" si="3"/>
        <v>1.5</v>
      </c>
      <c r="EX15" s="24">
        <f t="shared" si="6"/>
        <v>1</v>
      </c>
    </row>
    <row r="16" spans="1:154" x14ac:dyDescent="0.25">
      <c r="A16" s="25" t="s">
        <v>23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 t="s">
        <v>102</v>
      </c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>
        <f t="shared" si="4"/>
        <v>1</v>
      </c>
      <c r="EV16" s="63">
        <f t="shared" si="5"/>
        <v>0</v>
      </c>
      <c r="EW16" s="63">
        <f t="shared" si="3"/>
        <v>1</v>
      </c>
      <c r="EX16" s="24">
        <f t="shared" si="6"/>
        <v>0</v>
      </c>
    </row>
    <row r="17" spans="1:154" x14ac:dyDescent="0.25">
      <c r="A17" s="25" t="s">
        <v>28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 t="s">
        <v>178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 t="s">
        <v>102</v>
      </c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>
        <f t="shared" si="4"/>
        <v>1</v>
      </c>
      <c r="EV17" s="63">
        <f t="shared" si="5"/>
        <v>0</v>
      </c>
      <c r="EW17" s="63">
        <f t="shared" si="3"/>
        <v>1</v>
      </c>
      <c r="EX17" s="24">
        <f t="shared" si="6"/>
        <v>0</v>
      </c>
    </row>
    <row r="18" spans="1:154" ht="15" customHeight="1" x14ac:dyDescent="0.25">
      <c r="A18" s="25" t="s">
        <v>32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>
        <f t="shared" si="4"/>
        <v>0</v>
      </c>
      <c r="EV18" s="63">
        <f t="shared" si="5"/>
        <v>0</v>
      </c>
      <c r="EW18" s="63">
        <f t="shared" si="3"/>
        <v>0</v>
      </c>
      <c r="EX18" s="24">
        <f t="shared" si="6"/>
        <v>0</v>
      </c>
    </row>
    <row r="19" spans="1:154" x14ac:dyDescent="0.25">
      <c r="A19" s="25" t="s">
        <v>37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 t="s">
        <v>178</v>
      </c>
      <c r="AU19" s="24"/>
      <c r="AV19" s="24" t="s">
        <v>101</v>
      </c>
      <c r="AW19" s="24" t="s">
        <v>101</v>
      </c>
      <c r="AX19" s="24"/>
      <c r="AY19" s="24"/>
      <c r="AZ19" s="24"/>
      <c r="BA19" s="24"/>
      <c r="BB19" s="24" t="s">
        <v>173</v>
      </c>
      <c r="BC19" s="24" t="s">
        <v>173</v>
      </c>
      <c r="BD19" s="24" t="s">
        <v>171</v>
      </c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 t="s">
        <v>180</v>
      </c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24"/>
      <c r="EC19" s="24"/>
      <c r="ED19" s="24"/>
      <c r="EE19" s="24"/>
      <c r="EF19" s="24"/>
      <c r="EG19" s="24"/>
      <c r="EH19" s="24"/>
      <c r="EI19" s="24"/>
      <c r="EJ19" s="24"/>
      <c r="EK19" s="24"/>
      <c r="EL19" s="24"/>
      <c r="EM19" s="24"/>
      <c r="EN19" s="24"/>
      <c r="EO19" s="24"/>
      <c r="EP19" s="24"/>
      <c r="EQ19" s="24"/>
      <c r="ER19" s="24"/>
      <c r="ES19" s="24"/>
      <c r="ET19" s="24"/>
      <c r="EU19" s="24">
        <f t="shared" si="4"/>
        <v>0</v>
      </c>
      <c r="EV19" s="63">
        <f t="shared" si="5"/>
        <v>0</v>
      </c>
      <c r="EW19" s="63">
        <f t="shared" si="3"/>
        <v>0</v>
      </c>
      <c r="EX19" s="24">
        <f t="shared" si="6"/>
        <v>0</v>
      </c>
    </row>
    <row r="20" spans="1:154" x14ac:dyDescent="0.25">
      <c r="A20" s="25" t="s">
        <v>41</v>
      </c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>
        <f t="shared" si="4"/>
        <v>0</v>
      </c>
      <c r="EV20" s="63">
        <f t="shared" si="5"/>
        <v>0</v>
      </c>
      <c r="EW20" s="63">
        <f t="shared" si="3"/>
        <v>0</v>
      </c>
      <c r="EX20" s="24">
        <f t="shared" si="6"/>
        <v>0</v>
      </c>
    </row>
    <row r="21" spans="1:154" x14ac:dyDescent="0.25">
      <c r="A21" s="25" t="s">
        <v>46</v>
      </c>
      <c r="B21" s="24"/>
      <c r="C21" s="24"/>
      <c r="D21" s="24"/>
      <c r="E21" s="24"/>
      <c r="F21" s="24"/>
      <c r="G21" s="24"/>
      <c r="H21" s="24"/>
      <c r="I21" s="24" t="s">
        <v>101</v>
      </c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 t="s">
        <v>180</v>
      </c>
      <c r="AV21" s="24" t="s">
        <v>180</v>
      </c>
      <c r="AW21" s="24" t="s">
        <v>180</v>
      </c>
      <c r="AX21" s="24"/>
      <c r="AY21" s="24"/>
      <c r="AZ21" s="24"/>
      <c r="BA21" s="24"/>
      <c r="BB21" s="24" t="s">
        <v>102</v>
      </c>
      <c r="BC21" s="24" t="s">
        <v>175</v>
      </c>
      <c r="BD21" s="24"/>
      <c r="BE21" s="24"/>
      <c r="BF21" s="24"/>
      <c r="BG21" s="24"/>
      <c r="BH21" s="24"/>
      <c r="BI21" s="24"/>
      <c r="BJ21" s="24" t="s">
        <v>173</v>
      </c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2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24">
        <f t="shared" si="4"/>
        <v>0</v>
      </c>
      <c r="EV21" s="63">
        <f t="shared" si="5"/>
        <v>0.5</v>
      </c>
      <c r="EW21" s="63">
        <f t="shared" si="3"/>
        <v>0.5</v>
      </c>
      <c r="EX21" s="24">
        <f t="shared" si="6"/>
        <v>0</v>
      </c>
    </row>
    <row r="22" spans="1:154" x14ac:dyDescent="0.25">
      <c r="A22" s="25" t="s">
        <v>49</v>
      </c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 t="s">
        <v>178</v>
      </c>
      <c r="BK22" s="24" t="s">
        <v>178</v>
      </c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 t="s">
        <v>178</v>
      </c>
      <c r="CU22" s="24"/>
      <c r="CV22" s="24"/>
      <c r="CW22" s="24"/>
      <c r="CX22" s="24"/>
      <c r="CY22" s="24"/>
      <c r="CZ22" s="24"/>
      <c r="DA22" s="24"/>
      <c r="DB22" s="24"/>
      <c r="DC22" s="24"/>
      <c r="DD22" s="24" t="s">
        <v>178</v>
      </c>
      <c r="DE22" s="24"/>
      <c r="DF22" s="24"/>
      <c r="DG22" s="24"/>
      <c r="DH22" s="24"/>
      <c r="DI22" s="24"/>
      <c r="DJ22" s="24"/>
      <c r="DK22" s="24"/>
      <c r="DL22" s="24" t="s">
        <v>173</v>
      </c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>
        <f>COUNTIF(BD22:ET22, "A")+  COUNTIF(BD22:ET22, "N")</f>
        <v>0</v>
      </c>
      <c r="EV22" s="63">
        <f>(COUNTIF(BD22:EU22,"LE")+COUNTIF(BD22:EU22,"T"))*0.5</f>
        <v>2.5</v>
      </c>
      <c r="EW22" s="63">
        <f t="shared" si="3"/>
        <v>2.5</v>
      </c>
      <c r="EX22" s="24">
        <f t="shared" si="6"/>
        <v>0</v>
      </c>
    </row>
    <row r="23" spans="1:154" x14ac:dyDescent="0.25">
      <c r="A23" s="25" t="s">
        <v>63</v>
      </c>
      <c r="B23" s="24"/>
      <c r="C23" s="24"/>
      <c r="D23" s="24"/>
      <c r="E23" s="24"/>
      <c r="F23" s="24" t="s">
        <v>101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24"/>
      <c r="EC23" s="24"/>
      <c r="ED23" s="24"/>
      <c r="EE23" s="24"/>
      <c r="EF23" s="24"/>
      <c r="EG23" s="24"/>
      <c r="EH23" s="24"/>
      <c r="EI23" s="24"/>
      <c r="EJ23" s="24"/>
      <c r="EK23" s="24"/>
      <c r="EL23" s="24"/>
      <c r="EM23" s="24"/>
      <c r="EN23" s="24"/>
      <c r="EO23" s="24"/>
      <c r="EP23" s="24"/>
      <c r="EQ23" s="24"/>
      <c r="ER23" s="24"/>
      <c r="ES23" s="24"/>
      <c r="ET23" s="24"/>
      <c r="EU23" s="24">
        <f t="shared" si="4"/>
        <v>0</v>
      </c>
      <c r="EV23" s="63">
        <f t="shared" si="5"/>
        <v>0</v>
      </c>
      <c r="EW23" s="63">
        <f t="shared" si="3"/>
        <v>0</v>
      </c>
      <c r="EX23" s="24">
        <f t="shared" si="6"/>
        <v>0</v>
      </c>
    </row>
    <row r="24" spans="1:154" x14ac:dyDescent="0.25">
      <c r="A24" s="25" t="s">
        <v>77</v>
      </c>
      <c r="B24" s="24"/>
      <c r="C24" s="24"/>
      <c r="D24" s="24"/>
      <c r="E24" s="24"/>
      <c r="F24" s="24" t="s">
        <v>178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 t="s">
        <v>101</v>
      </c>
      <c r="AW24" s="24"/>
      <c r="AX24" s="24"/>
      <c r="AY24" s="24"/>
      <c r="AZ24" s="24"/>
      <c r="BA24" s="24" t="s">
        <v>102</v>
      </c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24">
        <f t="shared" si="4"/>
        <v>0</v>
      </c>
      <c r="EV24" s="63">
        <f t="shared" si="5"/>
        <v>0</v>
      </c>
      <c r="EW24" s="63">
        <f t="shared" si="3"/>
        <v>0</v>
      </c>
      <c r="EX24" s="24">
        <f t="shared" si="6"/>
        <v>0</v>
      </c>
    </row>
    <row r="25" spans="1:154" x14ac:dyDescent="0.25">
      <c r="A25" s="25" t="s">
        <v>85</v>
      </c>
      <c r="B25" s="24"/>
      <c r="C25" s="24"/>
      <c r="D25" s="24"/>
      <c r="E25" s="24"/>
      <c r="F25" s="24"/>
      <c r="G25" s="25"/>
      <c r="H25" s="24"/>
      <c r="I25" s="24" t="s">
        <v>178</v>
      </c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 t="s">
        <v>178</v>
      </c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 t="s">
        <v>102</v>
      </c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24"/>
      <c r="EC25" s="24"/>
      <c r="ED25" s="24"/>
      <c r="EE25" s="24"/>
      <c r="EF25" s="24"/>
      <c r="EG25" s="24"/>
      <c r="EH25" s="24"/>
      <c r="EI25" s="24"/>
      <c r="EJ25" s="24"/>
      <c r="EK25" s="24"/>
      <c r="EL25" s="24"/>
      <c r="EM25" s="24"/>
      <c r="EN25" s="24"/>
      <c r="EO25" s="24"/>
      <c r="EP25" s="24"/>
      <c r="EQ25" s="24"/>
      <c r="ER25" s="24"/>
      <c r="ES25" s="24"/>
      <c r="ET25" s="24"/>
      <c r="EU25" s="24">
        <f t="shared" si="4"/>
        <v>1</v>
      </c>
      <c r="EV25" s="63">
        <f t="shared" si="5"/>
        <v>0</v>
      </c>
      <c r="EW25" s="63">
        <f t="shared" si="3"/>
        <v>1</v>
      </c>
      <c r="EX25" s="24">
        <f t="shared" si="6"/>
        <v>0</v>
      </c>
    </row>
    <row r="26" spans="1:154" x14ac:dyDescent="0.25">
      <c r="A26" s="25" t="s">
        <v>106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 t="s">
        <v>178</v>
      </c>
      <c r="BK26" s="24" t="s">
        <v>178</v>
      </c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24">
        <f t="shared" si="4"/>
        <v>0</v>
      </c>
      <c r="EV26" s="63">
        <f t="shared" si="5"/>
        <v>1</v>
      </c>
      <c r="EW26" s="63">
        <f t="shared" si="3"/>
        <v>1</v>
      </c>
      <c r="EX26" s="24">
        <f t="shared" si="6"/>
        <v>0</v>
      </c>
    </row>
    <row r="27" spans="1:154" x14ac:dyDescent="0.25">
      <c r="A27" s="25" t="s">
        <v>81</v>
      </c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24"/>
      <c r="EC27" s="24"/>
      <c r="ED27" s="24"/>
      <c r="EE27" s="24"/>
      <c r="EF27" s="24"/>
      <c r="EG27" s="24"/>
      <c r="EH27" s="24"/>
      <c r="EI27" s="24"/>
      <c r="EJ27" s="24"/>
      <c r="EK27" s="24"/>
      <c r="EL27" s="24"/>
      <c r="EM27" s="24"/>
      <c r="EN27" s="24"/>
      <c r="EO27" s="24"/>
      <c r="EP27" s="24"/>
      <c r="EQ27" s="24"/>
      <c r="ER27" s="24"/>
      <c r="ES27" s="24"/>
      <c r="ET27" s="24"/>
      <c r="EU27" s="24">
        <f t="shared" si="4"/>
        <v>0</v>
      </c>
      <c r="EV27" s="63">
        <f t="shared" si="5"/>
        <v>0</v>
      </c>
      <c r="EW27" s="63">
        <f t="shared" si="3"/>
        <v>0</v>
      </c>
      <c r="EX27" s="24">
        <f t="shared" si="6"/>
        <v>0</v>
      </c>
    </row>
    <row r="28" spans="1:154" x14ac:dyDescent="0.25">
      <c r="A28" s="25" t="s">
        <v>73</v>
      </c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 t="s">
        <v>102</v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 t="s">
        <v>180</v>
      </c>
      <c r="CD28" s="24" t="s">
        <v>178</v>
      </c>
      <c r="CE28" s="24"/>
      <c r="CF28" s="24"/>
      <c r="CG28" s="24"/>
      <c r="CH28" s="24"/>
      <c r="CI28" s="24" t="s">
        <v>102</v>
      </c>
      <c r="CJ28" s="24" t="s">
        <v>102</v>
      </c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  <c r="ES28" s="24"/>
      <c r="ET28" s="24"/>
      <c r="EU28" s="24">
        <f t="shared" si="4"/>
        <v>2</v>
      </c>
      <c r="EV28" s="63">
        <f t="shared" si="5"/>
        <v>0.5</v>
      </c>
      <c r="EW28" s="63">
        <f t="shared" si="3"/>
        <v>2.5</v>
      </c>
      <c r="EX28" s="24">
        <f t="shared" si="6"/>
        <v>0</v>
      </c>
    </row>
    <row r="29" spans="1:154" x14ac:dyDescent="0.25">
      <c r="A29" s="25" t="s">
        <v>68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 t="s">
        <v>178</v>
      </c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 t="s">
        <v>178</v>
      </c>
      <c r="DL29" s="24" t="s">
        <v>178</v>
      </c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>
        <f t="shared" si="4"/>
        <v>0</v>
      </c>
      <c r="EV29" s="63">
        <f t="shared" si="5"/>
        <v>1.5</v>
      </c>
      <c r="EW29" s="63">
        <f t="shared" si="3"/>
        <v>1.5</v>
      </c>
      <c r="EX29" s="24">
        <f t="shared" si="6"/>
        <v>0</v>
      </c>
    </row>
    <row r="30" spans="1:154" x14ac:dyDescent="0.25">
      <c r="A30" s="25" t="s">
        <v>190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 t="s">
        <v>180</v>
      </c>
      <c r="CF30" s="24" t="s">
        <v>180</v>
      </c>
      <c r="CG30" s="24"/>
      <c r="CH30" s="24"/>
      <c r="CI30" s="24"/>
      <c r="CJ30" s="24"/>
      <c r="CK30" s="24"/>
      <c r="CL30" s="24"/>
      <c r="CM30" s="24" t="s">
        <v>175</v>
      </c>
      <c r="CN30" s="24"/>
      <c r="CO30" s="24"/>
      <c r="CP30" s="24"/>
      <c r="CQ30" s="24"/>
      <c r="CR30" s="24"/>
      <c r="CS30" s="24"/>
      <c r="CT30" s="24"/>
      <c r="CU30" s="24"/>
      <c r="CV30" s="24"/>
      <c r="CW30" s="24" t="s">
        <v>173</v>
      </c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>
        <f t="shared" si="4"/>
        <v>1</v>
      </c>
      <c r="EV30" s="63">
        <f t="shared" si="5"/>
        <v>0.5</v>
      </c>
      <c r="EW30" s="63">
        <f t="shared" si="3"/>
        <v>1.5</v>
      </c>
      <c r="EX30" s="24">
        <f t="shared" si="6"/>
        <v>1</v>
      </c>
    </row>
    <row r="31" spans="1:154" x14ac:dyDescent="0.25">
      <c r="A31" s="25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  <c r="ES31" s="24"/>
      <c r="ET31" s="24"/>
      <c r="EU31" s="24">
        <f t="shared" si="4"/>
        <v>0</v>
      </c>
      <c r="EV31" s="63">
        <f t="shared" si="5"/>
        <v>0</v>
      </c>
      <c r="EW31" s="63">
        <f t="shared" si="3"/>
        <v>0</v>
      </c>
      <c r="EX31" s="24">
        <f t="shared" si="6"/>
        <v>0</v>
      </c>
    </row>
    <row r="32" spans="1:154" x14ac:dyDescent="0.25">
      <c r="A32" s="25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>
        <f t="shared" si="4"/>
        <v>0</v>
      </c>
      <c r="EV32" s="63">
        <f t="shared" si="5"/>
        <v>0</v>
      </c>
      <c r="EW32" s="63">
        <f t="shared" si="3"/>
        <v>0</v>
      </c>
      <c r="EX32" s="24">
        <f t="shared" si="6"/>
        <v>0</v>
      </c>
    </row>
    <row r="33" spans="1:154" x14ac:dyDescent="0.25">
      <c r="A33" s="25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24">
        <f t="shared" si="4"/>
        <v>0</v>
      </c>
      <c r="EV33" s="63">
        <f t="shared" si="5"/>
        <v>0</v>
      </c>
      <c r="EW33" s="63">
        <f t="shared" si="3"/>
        <v>0</v>
      </c>
      <c r="EX33" s="24">
        <f t="shared" si="6"/>
        <v>0</v>
      </c>
    </row>
    <row r="34" spans="1:154" x14ac:dyDescent="0.25">
      <c r="A34" s="25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>
        <f t="shared" si="4"/>
        <v>0</v>
      </c>
      <c r="EV34" s="63">
        <f t="shared" si="5"/>
        <v>0</v>
      </c>
      <c r="EW34" s="63">
        <f t="shared" si="3"/>
        <v>0</v>
      </c>
      <c r="EX34" s="24">
        <f t="shared" si="6"/>
        <v>0</v>
      </c>
    </row>
    <row r="35" spans="1:154" x14ac:dyDescent="0.25">
      <c r="A35" s="2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24">
        <f t="shared" si="4"/>
        <v>0</v>
      </c>
      <c r="EV35" s="63">
        <f t="shared" si="5"/>
        <v>0</v>
      </c>
      <c r="EW35" s="63">
        <f t="shared" si="3"/>
        <v>0</v>
      </c>
      <c r="EX35" s="24">
        <f t="shared" si="6"/>
        <v>0</v>
      </c>
    </row>
    <row r="36" spans="1:154" x14ac:dyDescent="0.25">
      <c r="A36" s="25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24"/>
      <c r="EB36" s="2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24">
        <f t="shared" si="4"/>
        <v>0</v>
      </c>
      <c r="EV36" s="63">
        <f t="shared" si="5"/>
        <v>0</v>
      </c>
      <c r="EW36" s="63">
        <f t="shared" si="3"/>
        <v>0</v>
      </c>
      <c r="EX36" s="24">
        <f t="shared" si="6"/>
        <v>0</v>
      </c>
    </row>
    <row r="37" spans="1:154" x14ac:dyDescent="0.25">
      <c r="A37" s="25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 t="s">
        <v>183</v>
      </c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V37" s="24"/>
      <c r="DW37" s="24"/>
      <c r="DX37" s="24"/>
      <c r="DY37" s="24"/>
      <c r="DZ37" s="24"/>
      <c r="EA37" s="24"/>
      <c r="EB37" s="24"/>
      <c r="EC37" s="24"/>
      <c r="ED37" s="24"/>
      <c r="EE37" s="24"/>
      <c r="EF37" s="24"/>
      <c r="EG37" s="24"/>
      <c r="EH37" s="24"/>
      <c r="EI37" s="24"/>
      <c r="EJ37" s="24"/>
      <c r="EK37" s="24"/>
      <c r="EL37" s="24"/>
      <c r="EM37" s="24"/>
      <c r="EN37" s="24"/>
      <c r="EO37" s="24"/>
      <c r="EP37" s="24"/>
      <c r="EQ37" s="24"/>
      <c r="ER37" s="24"/>
      <c r="ES37" s="24"/>
      <c r="ET37" s="24"/>
      <c r="EU37" s="24">
        <f t="shared" si="4"/>
        <v>0</v>
      </c>
      <c r="EV37" s="63">
        <f t="shared" si="5"/>
        <v>0</v>
      </c>
      <c r="EW37" s="63">
        <f t="shared" si="3"/>
        <v>0</v>
      </c>
      <c r="EX37" s="24">
        <f t="shared" si="6"/>
        <v>0</v>
      </c>
    </row>
    <row r="38" spans="1:154" x14ac:dyDescent="0.25">
      <c r="A38" s="25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24">
        <f t="shared" si="4"/>
        <v>0</v>
      </c>
      <c r="EV38" s="63">
        <f t="shared" si="5"/>
        <v>0</v>
      </c>
      <c r="EW38" s="63">
        <f t="shared" si="3"/>
        <v>0</v>
      </c>
      <c r="EX38" s="24">
        <f t="shared" si="6"/>
        <v>0</v>
      </c>
    </row>
    <row r="39" spans="1:154" x14ac:dyDescent="0.25">
      <c r="A39" s="25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>
        <f t="shared" si="4"/>
        <v>0</v>
      </c>
      <c r="EV39" s="63">
        <f t="shared" si="5"/>
        <v>0</v>
      </c>
      <c r="EW39" s="63">
        <f t="shared" si="3"/>
        <v>0</v>
      </c>
      <c r="EX39" s="24">
        <f t="shared" si="6"/>
        <v>0</v>
      </c>
    </row>
    <row r="40" spans="1:154" x14ac:dyDescent="0.25">
      <c r="A40" s="25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/>
      <c r="DX40" s="24"/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  <c r="ES40" s="24"/>
      <c r="ET40" s="24"/>
      <c r="EU40" s="24">
        <f t="shared" si="4"/>
        <v>0</v>
      </c>
      <c r="EV40" s="63">
        <f t="shared" si="5"/>
        <v>0</v>
      </c>
      <c r="EW40" s="63">
        <f t="shared" si="3"/>
        <v>0</v>
      </c>
      <c r="EX40" s="24">
        <f t="shared" si="6"/>
        <v>0</v>
      </c>
    </row>
    <row r="41" spans="1:154" x14ac:dyDescent="0.25">
      <c r="A41" s="25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24"/>
      <c r="EB41" s="2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24">
        <f t="shared" si="4"/>
        <v>0</v>
      </c>
      <c r="EV41" s="63">
        <f t="shared" si="5"/>
        <v>0</v>
      </c>
      <c r="EW41" s="63">
        <f t="shared" si="3"/>
        <v>0</v>
      </c>
      <c r="EX41" s="24">
        <f t="shared" si="6"/>
        <v>0</v>
      </c>
    </row>
    <row r="42" spans="1:154" x14ac:dyDescent="0.25">
      <c r="A42" s="25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24">
        <f t="shared" si="4"/>
        <v>0</v>
      </c>
      <c r="EV42" s="63">
        <f t="shared" si="5"/>
        <v>0</v>
      </c>
      <c r="EW42" s="63">
        <f t="shared" si="3"/>
        <v>0</v>
      </c>
      <c r="EX42" s="24">
        <f t="shared" si="6"/>
        <v>0</v>
      </c>
    </row>
    <row r="43" spans="1:154" x14ac:dyDescent="0.25">
      <c r="A43" s="25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V43" s="24"/>
      <c r="DW43" s="24"/>
      <c r="DX43" s="24"/>
      <c r="DY43" s="24"/>
      <c r="DZ43" s="24"/>
      <c r="EA43" s="24"/>
      <c r="EB43" s="24"/>
      <c r="EC43" s="24"/>
      <c r="ED43" s="24"/>
      <c r="EE43" s="24"/>
      <c r="EF43" s="24"/>
      <c r="EG43" s="24"/>
      <c r="EH43" s="24"/>
      <c r="EI43" s="24"/>
      <c r="EJ43" s="24"/>
      <c r="EK43" s="24"/>
      <c r="EL43" s="24"/>
      <c r="EM43" s="24"/>
      <c r="EN43" s="24"/>
      <c r="EO43" s="24"/>
      <c r="EP43" s="24"/>
      <c r="EQ43" s="24"/>
      <c r="ER43" s="24"/>
      <c r="ES43" s="24"/>
      <c r="ET43" s="24"/>
      <c r="EU43" s="24">
        <f t="shared" si="4"/>
        <v>0</v>
      </c>
      <c r="EV43" s="63">
        <f t="shared" si="5"/>
        <v>0</v>
      </c>
      <c r="EW43" s="63">
        <f t="shared" si="3"/>
        <v>0</v>
      </c>
      <c r="EX43" s="24">
        <f t="shared" si="6"/>
        <v>0</v>
      </c>
    </row>
    <row r="44" spans="1:154" x14ac:dyDescent="0.25">
      <c r="A44" s="25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24">
        <f t="shared" si="4"/>
        <v>0</v>
      </c>
      <c r="EV44" s="63">
        <f t="shared" si="5"/>
        <v>0</v>
      </c>
      <c r="EW44" s="63">
        <f t="shared" si="3"/>
        <v>0</v>
      </c>
      <c r="EX44" s="24">
        <f t="shared" si="6"/>
        <v>0</v>
      </c>
    </row>
    <row r="45" spans="1:154" x14ac:dyDescent="0.25">
      <c r="A45" s="25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24"/>
      <c r="EB45" s="2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  <c r="ES45" s="24"/>
      <c r="ET45" s="24"/>
      <c r="EU45" s="24">
        <f t="shared" si="4"/>
        <v>0</v>
      </c>
      <c r="EV45" s="63">
        <f t="shared" si="5"/>
        <v>0</v>
      </c>
      <c r="EW45" s="63">
        <f t="shared" si="3"/>
        <v>0</v>
      </c>
      <c r="EX45" s="24">
        <f t="shared" si="6"/>
        <v>0</v>
      </c>
    </row>
    <row r="46" spans="1:154" x14ac:dyDescent="0.25">
      <c r="A46" s="2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24"/>
      <c r="DY46" s="24"/>
      <c r="DZ46" s="24"/>
      <c r="EA46" s="24"/>
      <c r="EB46" s="24"/>
      <c r="EC46" s="24"/>
      <c r="ED46" s="24"/>
      <c r="EE46" s="24"/>
      <c r="EF46" s="24"/>
      <c r="EG46" s="24"/>
      <c r="EH46" s="24"/>
      <c r="EI46" s="24"/>
      <c r="EJ46" s="24"/>
      <c r="EK46" s="24"/>
      <c r="EL46" s="24"/>
      <c r="EM46" s="24"/>
      <c r="EN46" s="24"/>
      <c r="EO46" s="24"/>
      <c r="EP46" s="24"/>
      <c r="EQ46" s="24"/>
      <c r="ER46" s="24"/>
      <c r="ES46" s="24"/>
      <c r="ET46" s="24"/>
      <c r="EU46" s="24">
        <f t="shared" si="4"/>
        <v>0</v>
      </c>
      <c r="EV46" s="63">
        <f t="shared" si="5"/>
        <v>0</v>
      </c>
      <c r="EW46" s="63">
        <f t="shared" si="3"/>
        <v>0</v>
      </c>
      <c r="EX46" s="24">
        <f t="shared" si="6"/>
        <v>0</v>
      </c>
    </row>
    <row r="47" spans="1:154" x14ac:dyDescent="0.25">
      <c r="A47" s="25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24"/>
      <c r="EB47" s="2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  <c r="ES47" s="24"/>
      <c r="ET47" s="24"/>
      <c r="EU47" s="24">
        <f t="shared" si="4"/>
        <v>0</v>
      </c>
      <c r="EV47" s="63">
        <f t="shared" si="5"/>
        <v>0</v>
      </c>
      <c r="EW47" s="63">
        <f t="shared" si="3"/>
        <v>0</v>
      </c>
      <c r="EX47" s="24">
        <f t="shared" si="6"/>
        <v>0</v>
      </c>
    </row>
    <row r="48" spans="1:154" x14ac:dyDescent="0.25">
      <c r="A48" s="25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24"/>
      <c r="EB48" s="2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24">
        <f t="shared" si="4"/>
        <v>0</v>
      </c>
      <c r="EV48" s="63">
        <f t="shared" si="5"/>
        <v>0</v>
      </c>
      <c r="EW48" s="63">
        <f t="shared" si="3"/>
        <v>0</v>
      </c>
      <c r="EX48" s="24">
        <f t="shared" si="6"/>
        <v>0</v>
      </c>
    </row>
    <row r="49" spans="1:154" x14ac:dyDescent="0.25">
      <c r="A49" s="25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4"/>
      <c r="DO49" s="24"/>
      <c r="DP49" s="24"/>
      <c r="DQ49" s="24"/>
      <c r="DR49" s="24"/>
      <c r="DS49" s="24"/>
      <c r="DT49" s="24"/>
      <c r="DU49" s="24"/>
      <c r="DV49" s="24"/>
      <c r="DW49" s="24"/>
      <c r="DX49" s="24"/>
      <c r="DY49" s="24"/>
      <c r="DZ49" s="24"/>
      <c r="EA49" s="24"/>
      <c r="EB49" s="24"/>
      <c r="EC49" s="24"/>
      <c r="ED49" s="24"/>
      <c r="EE49" s="24"/>
      <c r="EF49" s="24"/>
      <c r="EG49" s="24"/>
      <c r="EH49" s="24"/>
      <c r="EI49" s="24"/>
      <c r="EJ49" s="24"/>
      <c r="EK49" s="24"/>
      <c r="EL49" s="24"/>
      <c r="EM49" s="24"/>
      <c r="EN49" s="24"/>
      <c r="EO49" s="24"/>
      <c r="EP49" s="24"/>
      <c r="EQ49" s="24"/>
      <c r="ER49" s="24"/>
      <c r="ES49" s="24"/>
      <c r="ET49" s="24"/>
      <c r="EU49" s="24">
        <f t="shared" si="4"/>
        <v>0</v>
      </c>
      <c r="EV49" s="63">
        <f t="shared" si="5"/>
        <v>0</v>
      </c>
      <c r="EW49" s="63">
        <f t="shared" si="3"/>
        <v>0</v>
      </c>
      <c r="EX49" s="24">
        <f t="shared" si="6"/>
        <v>0</v>
      </c>
    </row>
    <row r="50" spans="1:154" x14ac:dyDescent="0.25">
      <c r="A50" s="25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24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/>
      <c r="DR50" s="24"/>
      <c r="DS50" s="24"/>
      <c r="DT50" s="24"/>
      <c r="DU50" s="24"/>
      <c r="DV50" s="24"/>
      <c r="DW50" s="24"/>
      <c r="DX50" s="24"/>
      <c r="DY50" s="24"/>
      <c r="DZ50" s="24"/>
      <c r="EA50" s="24"/>
      <c r="EB50" s="24"/>
      <c r="EC50" s="24"/>
      <c r="ED50" s="24"/>
      <c r="EE50" s="24"/>
      <c r="EF50" s="24"/>
      <c r="EG50" s="24"/>
      <c r="EH50" s="24"/>
      <c r="EI50" s="24"/>
      <c r="EJ50" s="24"/>
      <c r="EK50" s="24"/>
      <c r="EL50" s="24"/>
      <c r="EM50" s="24"/>
      <c r="EN50" s="24"/>
      <c r="EO50" s="24"/>
      <c r="EP50" s="24"/>
      <c r="EQ50" s="24"/>
      <c r="ER50" s="24"/>
      <c r="ES50" s="24"/>
      <c r="ET50" s="24"/>
      <c r="EU50" s="24">
        <f t="shared" si="4"/>
        <v>0</v>
      </c>
      <c r="EV50" s="63">
        <f t="shared" si="5"/>
        <v>0</v>
      </c>
      <c r="EW50" s="63">
        <f t="shared" si="3"/>
        <v>0</v>
      </c>
      <c r="EX50" s="24">
        <f t="shared" si="6"/>
        <v>0</v>
      </c>
    </row>
    <row r="51" spans="1:154" x14ac:dyDescent="0.25">
      <c r="A51" s="25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4"/>
      <c r="DC51" s="24"/>
      <c r="DD51" s="24"/>
      <c r="DE51" s="24"/>
      <c r="DF51" s="24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/>
      <c r="DX51" s="24"/>
      <c r="DY51" s="24"/>
      <c r="DZ51" s="24"/>
      <c r="EA51" s="24"/>
      <c r="EB51" s="24"/>
      <c r="EC51" s="24"/>
      <c r="ED51" s="24"/>
      <c r="EE51" s="24"/>
      <c r="EF51" s="24"/>
      <c r="EG51" s="24"/>
      <c r="EH51" s="24"/>
      <c r="EI51" s="24"/>
      <c r="EJ51" s="24"/>
      <c r="EK51" s="24"/>
      <c r="EL51" s="24"/>
      <c r="EM51" s="24"/>
      <c r="EN51" s="24"/>
      <c r="EO51" s="24"/>
      <c r="EP51" s="24"/>
      <c r="EQ51" s="24"/>
      <c r="ER51" s="24"/>
      <c r="ES51" s="24"/>
      <c r="ET51" s="24"/>
      <c r="EU51" s="24">
        <f t="shared" si="4"/>
        <v>0</v>
      </c>
      <c r="EV51" s="63">
        <f t="shared" si="5"/>
        <v>0</v>
      </c>
      <c r="EW51" s="63">
        <f t="shared" si="3"/>
        <v>0</v>
      </c>
      <c r="EX51" s="24">
        <f t="shared" si="6"/>
        <v>0</v>
      </c>
    </row>
    <row r="52" spans="1:154" x14ac:dyDescent="0.25">
      <c r="A52" s="25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4"/>
      <c r="DC52" s="24"/>
      <c r="DD52" s="24"/>
      <c r="DE52" s="24"/>
      <c r="DF52" s="24"/>
      <c r="DG52" s="24"/>
      <c r="DH52" s="24"/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/>
      <c r="DX52" s="24"/>
      <c r="DY52" s="24"/>
      <c r="DZ52" s="24"/>
      <c r="EA52" s="24"/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  <c r="ES52" s="24"/>
      <c r="ET52" s="24"/>
      <c r="EU52" s="24">
        <f t="shared" si="4"/>
        <v>0</v>
      </c>
      <c r="EV52" s="63">
        <f t="shared" si="5"/>
        <v>0</v>
      </c>
      <c r="EW52" s="63">
        <f t="shared" si="3"/>
        <v>0</v>
      </c>
      <c r="EX52" s="24">
        <f t="shared" si="6"/>
        <v>0</v>
      </c>
    </row>
    <row r="53" spans="1:154" x14ac:dyDescent="0.25">
      <c r="A53" s="25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24"/>
      <c r="DI53" s="24"/>
      <c r="DJ53" s="24"/>
      <c r="DK53" s="24"/>
      <c r="DL53" s="24"/>
      <c r="DM53" s="24"/>
      <c r="DN53" s="24"/>
      <c r="DO53" s="24"/>
      <c r="DP53" s="24"/>
      <c r="DQ53" s="24"/>
      <c r="DR53" s="24"/>
      <c r="DS53" s="24"/>
      <c r="DT53" s="24"/>
      <c r="DU53" s="24"/>
      <c r="DV53" s="24"/>
      <c r="DW53" s="24"/>
      <c r="DX53" s="24"/>
      <c r="DY53" s="24"/>
      <c r="DZ53" s="24"/>
      <c r="EA53" s="24"/>
      <c r="EB53" s="24"/>
      <c r="EC53" s="24"/>
      <c r="ED53" s="24"/>
      <c r="EE53" s="24"/>
      <c r="EF53" s="24"/>
      <c r="EG53" s="24"/>
      <c r="EH53" s="24"/>
      <c r="EI53" s="24"/>
      <c r="EJ53" s="24"/>
      <c r="EK53" s="24"/>
      <c r="EL53" s="24"/>
      <c r="EM53" s="24"/>
      <c r="EN53" s="24"/>
      <c r="EO53" s="24"/>
      <c r="EP53" s="24"/>
      <c r="EQ53" s="24"/>
      <c r="ER53" s="24"/>
      <c r="ES53" s="24"/>
      <c r="ET53" s="24"/>
      <c r="EU53" s="24">
        <f t="shared" si="4"/>
        <v>0</v>
      </c>
      <c r="EV53" s="63">
        <f t="shared" si="5"/>
        <v>0</v>
      </c>
      <c r="EW53" s="63">
        <f t="shared" si="3"/>
        <v>0</v>
      </c>
      <c r="EX53" s="24">
        <f t="shared" si="6"/>
        <v>0</v>
      </c>
    </row>
    <row r="54" spans="1:154" x14ac:dyDescent="0.25">
      <c r="A54" s="25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24"/>
      <c r="DI54" s="24"/>
      <c r="DJ54" s="24"/>
      <c r="DK54" s="24"/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/>
      <c r="DX54" s="24"/>
      <c r="DY54" s="24"/>
      <c r="DZ54" s="24"/>
      <c r="EA54" s="24"/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  <c r="ES54" s="24"/>
      <c r="ET54" s="24"/>
      <c r="EU54" s="24">
        <f t="shared" si="4"/>
        <v>0</v>
      </c>
      <c r="EV54" s="63">
        <f t="shared" si="5"/>
        <v>0</v>
      </c>
      <c r="EW54" s="63">
        <f t="shared" si="3"/>
        <v>0</v>
      </c>
      <c r="EX54" s="24">
        <f t="shared" si="6"/>
        <v>0</v>
      </c>
    </row>
    <row r="55" spans="1:154" x14ac:dyDescent="0.25">
      <c r="A55" s="25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24"/>
      <c r="DJ55" s="24"/>
      <c r="DK55" s="24"/>
      <c r="DL55" s="24"/>
      <c r="DM55" s="24"/>
      <c r="DN55" s="24"/>
      <c r="DO55" s="24"/>
      <c r="DP55" s="24"/>
      <c r="DQ55" s="24"/>
      <c r="DR55" s="24"/>
      <c r="DS55" s="24"/>
      <c r="DT55" s="24"/>
      <c r="DU55" s="24"/>
      <c r="DV55" s="24"/>
      <c r="DW55" s="24"/>
      <c r="DX55" s="24"/>
      <c r="DY55" s="24"/>
      <c r="DZ55" s="24"/>
      <c r="EA55" s="24"/>
      <c r="EB55" s="24"/>
      <c r="EC55" s="24"/>
      <c r="ED55" s="24"/>
      <c r="EE55" s="24"/>
      <c r="EF55" s="24"/>
      <c r="EG55" s="24"/>
      <c r="EH55" s="24"/>
      <c r="EI55" s="24"/>
      <c r="EJ55" s="24"/>
      <c r="EK55" s="24"/>
      <c r="EL55" s="24"/>
      <c r="EM55" s="24"/>
      <c r="EN55" s="24"/>
      <c r="EO55" s="24"/>
      <c r="EP55" s="24"/>
      <c r="EQ55" s="24"/>
      <c r="ER55" s="24"/>
      <c r="ES55" s="24"/>
      <c r="ET55" s="24"/>
      <c r="EU55" s="24">
        <f t="shared" si="4"/>
        <v>0</v>
      </c>
      <c r="EV55" s="63">
        <f t="shared" si="5"/>
        <v>0</v>
      </c>
      <c r="EW55" s="63">
        <f t="shared" si="3"/>
        <v>0</v>
      </c>
      <c r="EX55" s="24">
        <f t="shared" si="6"/>
        <v>0</v>
      </c>
    </row>
    <row r="56" spans="1:154" x14ac:dyDescent="0.25">
      <c r="A56" s="25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4"/>
      <c r="DC56" s="24"/>
      <c r="DD56" s="24"/>
      <c r="DE56" s="24"/>
      <c r="DF56" s="24"/>
      <c r="DG56" s="24"/>
      <c r="DH56" s="24"/>
      <c r="DI56" s="24"/>
      <c r="DJ56" s="24"/>
      <c r="DK56" s="24"/>
      <c r="DL56" s="24"/>
      <c r="DM56" s="24"/>
      <c r="DN56" s="24"/>
      <c r="DO56" s="24"/>
      <c r="DP56" s="24"/>
      <c r="DQ56" s="24"/>
      <c r="DR56" s="24"/>
      <c r="DS56" s="24"/>
      <c r="DT56" s="24"/>
      <c r="DU56" s="24"/>
      <c r="DV56" s="24"/>
      <c r="DW56" s="24"/>
      <c r="DX56" s="24"/>
      <c r="DY56" s="24"/>
      <c r="DZ56" s="24"/>
      <c r="EA56" s="24"/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  <c r="ES56" s="24"/>
      <c r="ET56" s="24"/>
      <c r="EU56" s="24">
        <f t="shared" si="4"/>
        <v>0</v>
      </c>
      <c r="EV56" s="63">
        <f t="shared" si="5"/>
        <v>0</v>
      </c>
      <c r="EW56" s="63">
        <f t="shared" si="3"/>
        <v>0</v>
      </c>
      <c r="EX56" s="24">
        <f t="shared" si="6"/>
        <v>0</v>
      </c>
    </row>
    <row r="57" spans="1:154" x14ac:dyDescent="0.25">
      <c r="A57" s="2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4"/>
      <c r="DA57" s="24"/>
      <c r="DB57" s="24"/>
      <c r="DC57" s="24"/>
      <c r="DD57" s="24"/>
      <c r="DE57" s="24"/>
      <c r="DF57" s="24"/>
      <c r="DG57" s="24"/>
      <c r="DH57" s="24"/>
      <c r="DI57" s="24"/>
      <c r="DJ57" s="24"/>
      <c r="DK57" s="24"/>
      <c r="DL57" s="24"/>
      <c r="DM57" s="24"/>
      <c r="DN57" s="24"/>
      <c r="DO57" s="24"/>
      <c r="DP57" s="24"/>
      <c r="DQ57" s="24"/>
      <c r="DR57" s="24"/>
      <c r="DS57" s="24"/>
      <c r="DT57" s="24"/>
      <c r="DU57" s="24"/>
      <c r="DV57" s="24"/>
      <c r="DW57" s="24"/>
      <c r="DX57" s="24"/>
      <c r="DY57" s="24"/>
      <c r="DZ57" s="24"/>
      <c r="EA57" s="24"/>
      <c r="EB57" s="24"/>
      <c r="EC57" s="24"/>
      <c r="ED57" s="24"/>
      <c r="EE57" s="24"/>
      <c r="EF57" s="24"/>
      <c r="EG57" s="24"/>
      <c r="EH57" s="24"/>
      <c r="EI57" s="24"/>
      <c r="EJ57" s="24"/>
      <c r="EK57" s="24"/>
      <c r="EL57" s="24"/>
      <c r="EM57" s="24"/>
      <c r="EN57" s="24"/>
      <c r="EO57" s="24"/>
      <c r="EP57" s="24"/>
      <c r="EQ57" s="24"/>
      <c r="ER57" s="24"/>
      <c r="ES57" s="24"/>
      <c r="ET57" s="24"/>
      <c r="EU57" s="24">
        <f t="shared" si="4"/>
        <v>0</v>
      </c>
      <c r="EV57" s="63">
        <f t="shared" si="5"/>
        <v>0</v>
      </c>
      <c r="EW57" s="63">
        <f t="shared" si="3"/>
        <v>0</v>
      </c>
      <c r="EX57" s="24">
        <f t="shared" si="6"/>
        <v>0</v>
      </c>
    </row>
    <row r="58" spans="1:154" x14ac:dyDescent="0.25">
      <c r="A58" s="25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4"/>
      <c r="DC58" s="24"/>
      <c r="DD58" s="24"/>
      <c r="DE58" s="24"/>
      <c r="DF58" s="24"/>
      <c r="DG58" s="24"/>
      <c r="DH58" s="24"/>
      <c r="DI58" s="24"/>
      <c r="DJ58" s="24"/>
      <c r="DK58" s="24"/>
      <c r="DL58" s="24"/>
      <c r="DM58" s="24"/>
      <c r="DN58" s="24"/>
      <c r="DO58" s="24"/>
      <c r="DP58" s="24"/>
      <c r="DQ58" s="24"/>
      <c r="DR58" s="24"/>
      <c r="DS58" s="24"/>
      <c r="DT58" s="24"/>
      <c r="DU58" s="24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  <c r="ES58" s="24"/>
      <c r="ET58" s="24"/>
      <c r="EU58" s="24">
        <f t="shared" si="4"/>
        <v>0</v>
      </c>
      <c r="EV58" s="63">
        <f t="shared" si="5"/>
        <v>0</v>
      </c>
      <c r="EW58" s="63">
        <f t="shared" si="3"/>
        <v>0</v>
      </c>
      <c r="EX58" s="24">
        <f t="shared" si="6"/>
        <v>0</v>
      </c>
    </row>
    <row r="59" spans="1:154" x14ac:dyDescent="0.25">
      <c r="A59" s="25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  <c r="EA59" s="24"/>
      <c r="EB59" s="24"/>
      <c r="EC59" s="24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  <c r="ES59" s="24"/>
      <c r="ET59" s="24"/>
      <c r="EU59" s="24">
        <f t="shared" si="4"/>
        <v>0</v>
      </c>
      <c r="EV59" s="63">
        <f t="shared" si="5"/>
        <v>0</v>
      </c>
      <c r="EW59" s="63">
        <f t="shared" si="3"/>
        <v>0</v>
      </c>
      <c r="EX59" s="24">
        <f t="shared" si="6"/>
        <v>0</v>
      </c>
    </row>
    <row r="60" spans="1:154" x14ac:dyDescent="0.25">
      <c r="A60" s="25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  <c r="DJ60" s="24"/>
      <c r="DK60" s="24"/>
      <c r="DL60" s="24"/>
      <c r="DM60" s="24"/>
      <c r="DN60" s="24"/>
      <c r="DO60" s="24"/>
      <c r="DP60" s="24"/>
      <c r="DQ60" s="24"/>
      <c r="DR60" s="24"/>
      <c r="DS60" s="24"/>
      <c r="DT60" s="24"/>
      <c r="DU60" s="24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>
        <f t="shared" si="4"/>
        <v>0</v>
      </c>
      <c r="EV60" s="63">
        <f t="shared" si="5"/>
        <v>0</v>
      </c>
      <c r="EW60" s="63">
        <f t="shared" si="3"/>
        <v>0</v>
      </c>
      <c r="EX60" s="24">
        <f t="shared" si="6"/>
        <v>0</v>
      </c>
    </row>
    <row r="61" spans="1:154" x14ac:dyDescent="0.25">
      <c r="A61" s="25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4"/>
      <c r="DC61" s="24"/>
      <c r="DD61" s="24"/>
      <c r="DE61" s="24"/>
      <c r="DF61" s="24"/>
      <c r="DG61" s="24"/>
      <c r="DH61" s="24"/>
      <c r="DI61" s="24"/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/>
      <c r="DX61" s="24"/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  <c r="ES61" s="24"/>
      <c r="ET61" s="24"/>
      <c r="EU61" s="24">
        <f t="shared" si="4"/>
        <v>0</v>
      </c>
      <c r="EV61" s="63">
        <f t="shared" si="5"/>
        <v>0</v>
      </c>
      <c r="EW61" s="63">
        <f t="shared" si="3"/>
        <v>0</v>
      </c>
      <c r="EX61" s="24">
        <f t="shared" si="6"/>
        <v>0</v>
      </c>
    </row>
    <row r="62" spans="1:154" x14ac:dyDescent="0.25">
      <c r="A62" s="25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>
        <f t="shared" si="4"/>
        <v>0</v>
      </c>
      <c r="EV62" s="63">
        <f t="shared" si="5"/>
        <v>0</v>
      </c>
      <c r="EW62" s="63">
        <f t="shared" si="3"/>
        <v>0</v>
      </c>
      <c r="EX62" s="24">
        <f t="shared" si="6"/>
        <v>0</v>
      </c>
    </row>
    <row r="63" spans="1:154" x14ac:dyDescent="0.25">
      <c r="A63" s="25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4"/>
      <c r="DA63" s="24"/>
      <c r="DB63" s="24"/>
      <c r="DC63" s="24"/>
      <c r="DD63" s="24"/>
      <c r="DE63" s="24"/>
      <c r="DF63" s="24"/>
      <c r="DG63" s="24"/>
      <c r="DH63" s="24"/>
      <c r="DI63" s="24"/>
      <c r="DJ63" s="24"/>
      <c r="DK63" s="24"/>
      <c r="DL63" s="24"/>
      <c r="DM63" s="24"/>
      <c r="DN63" s="24"/>
      <c r="DO63" s="24"/>
      <c r="DP63" s="24"/>
      <c r="DQ63" s="24"/>
      <c r="DR63" s="24"/>
      <c r="DS63" s="24"/>
      <c r="DT63" s="24"/>
      <c r="DU63" s="24"/>
      <c r="DV63" s="24"/>
      <c r="DW63" s="24"/>
      <c r="DX63" s="24"/>
      <c r="DY63" s="24"/>
      <c r="DZ63" s="24"/>
      <c r="EA63" s="24"/>
      <c r="EB63" s="24"/>
      <c r="EC63" s="24"/>
      <c r="ED63" s="24"/>
      <c r="EE63" s="24"/>
      <c r="EF63" s="24"/>
      <c r="EG63" s="24"/>
      <c r="EH63" s="24"/>
      <c r="EI63" s="24"/>
      <c r="EJ63" s="24"/>
      <c r="EK63" s="24"/>
      <c r="EL63" s="24"/>
      <c r="EM63" s="24"/>
      <c r="EN63" s="24"/>
      <c r="EO63" s="24"/>
      <c r="EP63" s="24"/>
      <c r="EQ63" s="24"/>
      <c r="ER63" s="24"/>
      <c r="ES63" s="24"/>
      <c r="ET63" s="24"/>
      <c r="EU63" s="24">
        <f t="shared" si="4"/>
        <v>0</v>
      </c>
      <c r="EV63" s="63">
        <f t="shared" si="5"/>
        <v>0</v>
      </c>
      <c r="EW63" s="63">
        <f t="shared" si="3"/>
        <v>0</v>
      </c>
      <c r="EX63" s="24">
        <f t="shared" si="6"/>
        <v>0</v>
      </c>
    </row>
  </sheetData>
  <mergeCells count="1">
    <mergeCell ref="A1:B1"/>
  </mergeCells>
  <conditionalFormatting sqref="A12:ET15 EY12:XFD32 A17:ET63 EU12:EX63">
    <cfRule type="cellIs" dxfId="34" priority="1" operator="equal">
      <formula>"E"</formula>
    </cfRule>
  </conditionalFormatting>
  <conditionalFormatting sqref="B7">
    <cfRule type="cellIs" dxfId="33" priority="21" operator="equal">
      <formula>"N"</formula>
    </cfRule>
    <cfRule type="cellIs" dxfId="32" priority="22" operator="equal">
      <formula>"B"</formula>
    </cfRule>
    <cfRule type="cellIs" dxfId="31" priority="23" operator="equal">
      <formula>"TI"</formula>
    </cfRule>
    <cfRule type="cellIs" dxfId="30" priority="24" operator="equal">
      <formula>"LE"</formula>
    </cfRule>
    <cfRule type="cellIs" dxfId="29" priority="25" operator="equal">
      <formula>"T"</formula>
    </cfRule>
    <cfRule type="cellIs" dxfId="28" priority="26" operator="equal">
      <formula>"A"</formula>
    </cfRule>
    <cfRule type="cellIs" dxfId="27" priority="27" operator="equal">
      <formula>"P"</formula>
    </cfRule>
  </conditionalFormatting>
  <conditionalFormatting sqref="H25:W25 B25:F25 B26:W26 B12:W24 X12:ET26 B27:ET63">
    <cfRule type="cellIs" dxfId="26" priority="15" operator="equal">
      <formula>"A"</formula>
    </cfRule>
    <cfRule type="cellIs" dxfId="25" priority="16" operator="equal">
      <formula>"TI"</formula>
    </cfRule>
    <cfRule type="cellIs" dxfId="24" priority="17" operator="equal">
      <formula>"T"</formula>
    </cfRule>
    <cfRule type="cellIs" dxfId="23" priority="18" operator="equal">
      <formula>"P"</formula>
    </cfRule>
    <cfRule type="cellIs" dxfId="22" priority="19" operator="equal">
      <formula>"LE"</formula>
    </cfRule>
    <cfRule type="cellIs" dxfId="21" priority="20" operator="equal">
      <formula>"B"</formula>
    </cfRule>
  </conditionalFormatting>
  <conditionalFormatting sqref="H25:W25 C25:F25 C26:W26 C12:W24 X12:ET26 C27:ET63">
    <cfRule type="cellIs" dxfId="20" priority="14" operator="equal">
      <formula>"N"</formula>
    </cfRule>
  </conditionalFormatting>
  <conditionalFormatting sqref="G25">
    <cfRule type="cellIs" dxfId="19" priority="7" operator="equal">
      <formula>"N"</formula>
    </cfRule>
    <cfRule type="cellIs" dxfId="18" priority="8" operator="equal">
      <formula>"B"</formula>
    </cfRule>
    <cfRule type="cellIs" dxfId="17" priority="9" operator="equal">
      <formula>"TI"</formula>
    </cfRule>
    <cfRule type="cellIs" dxfId="16" priority="10" operator="equal">
      <formula>"LE"</formula>
    </cfRule>
    <cfRule type="cellIs" dxfId="15" priority="11" operator="equal">
      <formula>"T"</formula>
    </cfRule>
    <cfRule type="cellIs" dxfId="14" priority="12" operator="equal">
      <formula>"A"</formula>
    </cfRule>
    <cfRule type="cellIs" dxfId="13" priority="13" operator="equal">
      <formula>"P"</formula>
    </cfRule>
  </conditionalFormatting>
  <conditionalFormatting sqref="EU12:EX63">
    <cfRule type="cellIs" dxfId="12" priority="4" operator="greaterThan">
      <formula>4</formula>
    </cfRule>
    <cfRule type="cellIs" dxfId="11" priority="5" operator="between">
      <formula>3</formula>
      <formula>4</formula>
    </cfRule>
    <cfRule type="cellIs" dxfId="10" priority="6" operator="equal">
      <formula>2</formula>
    </cfRule>
  </conditionalFormatting>
  <conditionalFormatting sqref="B16:ET16">
    <cfRule type="cellIs" dxfId="9" priority="3" operator="equal">
      <formula>"E"</formula>
    </cfRule>
  </conditionalFormatting>
  <conditionalFormatting sqref="A16">
    <cfRule type="cellIs" dxfId="8" priority="2" operator="equal">
      <formula>"E"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F135-420C-41F2-927C-5E3C63681B61}">
  <sheetPr codeName="Sheet17"/>
  <dimension ref="A1:E30"/>
  <sheetViews>
    <sheetView showGridLines="0" workbookViewId="0">
      <selection activeCell="C20" sqref="C20"/>
    </sheetView>
  </sheetViews>
  <sheetFormatPr defaultRowHeight="15" x14ac:dyDescent="0.25"/>
  <cols>
    <col min="1" max="1" width="28" customWidth="1"/>
    <col min="2" max="2" width="24.5703125" customWidth="1"/>
    <col min="3" max="3" width="20.5703125" customWidth="1"/>
    <col min="4" max="4" width="22.5703125" style="47" customWidth="1"/>
    <col min="5" max="5" width="21.140625" style="95" customWidth="1"/>
    <col min="6" max="6" width="10.5703125" customWidth="1"/>
  </cols>
  <sheetData>
    <row r="1" spans="1:5" ht="15.75" x14ac:dyDescent="0.25">
      <c r="A1" s="48" t="s">
        <v>158</v>
      </c>
      <c r="B1" s="48" t="s">
        <v>159</v>
      </c>
      <c r="C1" s="48" t="s">
        <v>160</v>
      </c>
      <c r="D1" s="50" t="s">
        <v>193</v>
      </c>
      <c r="E1" s="93" t="s">
        <v>167</v>
      </c>
    </row>
    <row r="2" spans="1:5" x14ac:dyDescent="0.25">
      <c r="A2" s="25"/>
      <c r="B2" s="25"/>
      <c r="C2" s="25"/>
      <c r="D2" s="51">
        <f t="shared" ref="D2:D30" si="0">(B2/3600)-(C2/3600)</f>
        <v>0</v>
      </c>
      <c r="E2" s="94">
        <f>MROUND(D2,0.25)</f>
        <v>0</v>
      </c>
    </row>
    <row r="3" spans="1:5" x14ac:dyDescent="0.25">
      <c r="A3" s="25"/>
      <c r="B3" s="25"/>
      <c r="C3" s="25"/>
      <c r="D3" s="51">
        <f>(B3/3600)-(C3/3600)</f>
        <v>0</v>
      </c>
      <c r="E3" s="94">
        <f t="shared" ref="E3:E30" si="1">MROUND(D3,0.25)</f>
        <v>0</v>
      </c>
    </row>
    <row r="4" spans="1:5" x14ac:dyDescent="0.25">
      <c r="A4" s="25"/>
      <c r="B4" s="25"/>
      <c r="C4" s="25"/>
      <c r="D4" s="51">
        <f t="shared" si="0"/>
        <v>0</v>
      </c>
      <c r="E4" s="94">
        <f t="shared" si="1"/>
        <v>0</v>
      </c>
    </row>
    <row r="5" spans="1:5" x14ac:dyDescent="0.25">
      <c r="A5" s="25"/>
      <c r="B5" s="25"/>
      <c r="C5" s="25"/>
      <c r="D5" s="51">
        <f t="shared" si="0"/>
        <v>0</v>
      </c>
      <c r="E5" s="94">
        <f t="shared" si="1"/>
        <v>0</v>
      </c>
    </row>
    <row r="6" spans="1:5" x14ac:dyDescent="0.25">
      <c r="A6" s="25"/>
      <c r="B6" s="25"/>
      <c r="C6" s="25"/>
      <c r="D6" s="51">
        <f t="shared" si="0"/>
        <v>0</v>
      </c>
      <c r="E6" s="94">
        <f t="shared" si="1"/>
        <v>0</v>
      </c>
    </row>
    <row r="7" spans="1:5" x14ac:dyDescent="0.25">
      <c r="A7" s="25"/>
      <c r="B7" s="25"/>
      <c r="C7" s="25"/>
      <c r="D7" s="51">
        <f t="shared" si="0"/>
        <v>0</v>
      </c>
      <c r="E7" s="94">
        <f t="shared" si="1"/>
        <v>0</v>
      </c>
    </row>
    <row r="8" spans="1:5" x14ac:dyDescent="0.25">
      <c r="A8" s="25"/>
      <c r="B8" s="25"/>
      <c r="C8" s="25"/>
      <c r="D8" s="51">
        <f t="shared" si="0"/>
        <v>0</v>
      </c>
      <c r="E8" s="94">
        <f t="shared" si="1"/>
        <v>0</v>
      </c>
    </row>
    <row r="9" spans="1:5" x14ac:dyDescent="0.25">
      <c r="A9" s="25"/>
      <c r="B9" s="25"/>
      <c r="C9" s="25"/>
      <c r="D9" s="51">
        <f t="shared" si="0"/>
        <v>0</v>
      </c>
      <c r="E9" s="94">
        <f t="shared" si="1"/>
        <v>0</v>
      </c>
    </row>
    <row r="10" spans="1:5" x14ac:dyDescent="0.25">
      <c r="A10" s="25"/>
      <c r="B10" s="25"/>
      <c r="C10" s="25"/>
      <c r="D10" s="51">
        <f t="shared" si="0"/>
        <v>0</v>
      </c>
      <c r="E10" s="94">
        <f t="shared" si="1"/>
        <v>0</v>
      </c>
    </row>
    <row r="11" spans="1:5" x14ac:dyDescent="0.25">
      <c r="A11" s="25"/>
      <c r="B11" s="25"/>
      <c r="C11" s="25"/>
      <c r="D11" s="51">
        <f t="shared" si="0"/>
        <v>0</v>
      </c>
      <c r="E11" s="94">
        <f t="shared" si="1"/>
        <v>0</v>
      </c>
    </row>
    <row r="12" spans="1:5" x14ac:dyDescent="0.25">
      <c r="A12" s="25"/>
      <c r="B12" s="25"/>
      <c r="C12" s="25"/>
      <c r="D12" s="51">
        <f t="shared" si="0"/>
        <v>0</v>
      </c>
      <c r="E12" s="94">
        <f t="shared" si="1"/>
        <v>0</v>
      </c>
    </row>
    <row r="13" spans="1:5" x14ac:dyDescent="0.25">
      <c r="A13" s="25"/>
      <c r="B13" s="25"/>
      <c r="C13" s="25"/>
      <c r="D13" s="51">
        <f t="shared" si="0"/>
        <v>0</v>
      </c>
      <c r="E13" s="94">
        <f t="shared" si="1"/>
        <v>0</v>
      </c>
    </row>
    <row r="14" spans="1:5" x14ac:dyDescent="0.25">
      <c r="A14" s="25"/>
      <c r="B14" s="25"/>
      <c r="C14" s="25"/>
      <c r="D14" s="51">
        <f t="shared" si="0"/>
        <v>0</v>
      </c>
      <c r="E14" s="94">
        <f t="shared" si="1"/>
        <v>0</v>
      </c>
    </row>
    <row r="15" spans="1:5" x14ac:dyDescent="0.25">
      <c r="A15" s="25"/>
      <c r="B15" s="25"/>
      <c r="C15" s="25"/>
      <c r="D15" s="51">
        <f t="shared" si="0"/>
        <v>0</v>
      </c>
      <c r="E15" s="94">
        <f t="shared" si="1"/>
        <v>0</v>
      </c>
    </row>
    <row r="16" spans="1:5" x14ac:dyDescent="0.25">
      <c r="A16" s="25"/>
      <c r="B16" s="25"/>
      <c r="C16" s="25"/>
      <c r="D16" s="51">
        <f t="shared" si="0"/>
        <v>0</v>
      </c>
      <c r="E16" s="94">
        <f t="shared" si="1"/>
        <v>0</v>
      </c>
    </row>
    <row r="17" spans="1:5" x14ac:dyDescent="0.25">
      <c r="A17" s="25"/>
      <c r="B17" s="25"/>
      <c r="C17" s="25"/>
      <c r="D17" s="51">
        <f t="shared" si="0"/>
        <v>0</v>
      </c>
      <c r="E17" s="94">
        <f t="shared" si="1"/>
        <v>0</v>
      </c>
    </row>
    <row r="18" spans="1:5" x14ac:dyDescent="0.25">
      <c r="A18" s="25"/>
      <c r="B18" s="25"/>
      <c r="C18" s="25"/>
      <c r="D18" s="51">
        <f t="shared" si="0"/>
        <v>0</v>
      </c>
      <c r="E18" s="94">
        <f t="shared" si="1"/>
        <v>0</v>
      </c>
    </row>
    <row r="19" spans="1:5" x14ac:dyDescent="0.25">
      <c r="A19" s="25"/>
      <c r="B19" s="25"/>
      <c r="C19" s="25"/>
      <c r="D19" s="51">
        <f t="shared" si="0"/>
        <v>0</v>
      </c>
      <c r="E19" s="94">
        <f t="shared" si="1"/>
        <v>0</v>
      </c>
    </row>
    <row r="20" spans="1:5" x14ac:dyDescent="0.25">
      <c r="A20" s="25"/>
      <c r="B20" s="25"/>
      <c r="C20" s="25"/>
      <c r="D20" s="51">
        <f t="shared" si="0"/>
        <v>0</v>
      </c>
      <c r="E20" s="94">
        <f t="shared" si="1"/>
        <v>0</v>
      </c>
    </row>
    <row r="21" spans="1:5" x14ac:dyDescent="0.25">
      <c r="A21" s="25"/>
      <c r="B21" s="25"/>
      <c r="C21" s="25"/>
      <c r="D21" s="51">
        <f t="shared" si="0"/>
        <v>0</v>
      </c>
      <c r="E21" s="94">
        <f t="shared" si="1"/>
        <v>0</v>
      </c>
    </row>
    <row r="22" spans="1:5" x14ac:dyDescent="0.25">
      <c r="A22" s="25"/>
      <c r="B22" s="25"/>
      <c r="C22" s="25"/>
      <c r="D22" s="51">
        <f t="shared" si="0"/>
        <v>0</v>
      </c>
      <c r="E22" s="94">
        <f t="shared" si="1"/>
        <v>0</v>
      </c>
    </row>
    <row r="23" spans="1:5" x14ac:dyDescent="0.25">
      <c r="A23" s="25"/>
      <c r="B23" s="25"/>
      <c r="C23" s="25"/>
      <c r="D23" s="51">
        <f t="shared" si="0"/>
        <v>0</v>
      </c>
      <c r="E23" s="94">
        <f t="shared" si="1"/>
        <v>0</v>
      </c>
    </row>
    <row r="24" spans="1:5" x14ac:dyDescent="0.25">
      <c r="A24" s="25"/>
      <c r="B24" s="25"/>
      <c r="C24" s="25"/>
      <c r="D24" s="51">
        <f t="shared" si="0"/>
        <v>0</v>
      </c>
      <c r="E24" s="94">
        <f t="shared" si="1"/>
        <v>0</v>
      </c>
    </row>
    <row r="25" spans="1:5" x14ac:dyDescent="0.25">
      <c r="A25" s="25"/>
      <c r="B25" s="25"/>
      <c r="C25" s="25"/>
      <c r="D25" s="51">
        <f t="shared" si="0"/>
        <v>0</v>
      </c>
      <c r="E25" s="94">
        <f t="shared" si="1"/>
        <v>0</v>
      </c>
    </row>
    <row r="26" spans="1:5" x14ac:dyDescent="0.25">
      <c r="A26" s="25"/>
      <c r="B26" s="25"/>
      <c r="C26" s="25"/>
      <c r="D26" s="51">
        <f t="shared" si="0"/>
        <v>0</v>
      </c>
      <c r="E26" s="94">
        <f t="shared" si="1"/>
        <v>0</v>
      </c>
    </row>
    <row r="27" spans="1:5" x14ac:dyDescent="0.25">
      <c r="A27" s="25"/>
      <c r="B27" s="25"/>
      <c r="C27" s="25"/>
      <c r="D27" s="51">
        <f t="shared" si="0"/>
        <v>0</v>
      </c>
      <c r="E27" s="94">
        <f t="shared" si="1"/>
        <v>0</v>
      </c>
    </row>
    <row r="28" spans="1:5" x14ac:dyDescent="0.25">
      <c r="A28" s="25"/>
      <c r="B28" s="25"/>
      <c r="C28" s="25"/>
      <c r="D28" s="51">
        <f t="shared" si="0"/>
        <v>0</v>
      </c>
      <c r="E28" s="94">
        <f t="shared" si="1"/>
        <v>0</v>
      </c>
    </row>
    <row r="29" spans="1:5" x14ac:dyDescent="0.25">
      <c r="A29" s="25"/>
      <c r="B29" s="25"/>
      <c r="C29" s="25"/>
      <c r="D29" s="51">
        <f t="shared" si="0"/>
        <v>0</v>
      </c>
      <c r="E29" s="94">
        <f t="shared" si="1"/>
        <v>0</v>
      </c>
    </row>
    <row r="30" spans="1:5" x14ac:dyDescent="0.25">
      <c r="A30" s="25"/>
      <c r="B30" s="25"/>
      <c r="C30" s="25"/>
      <c r="D30" s="51">
        <f t="shared" si="0"/>
        <v>0</v>
      </c>
      <c r="E30" s="94">
        <f t="shared" si="1"/>
        <v>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082ED-B3D2-4BA5-A032-559B5EDF5095}">
  <sheetPr codeName="Sheet10"/>
  <dimension ref="A1:O30"/>
  <sheetViews>
    <sheetView showGridLines="0" workbookViewId="0">
      <selection activeCell="K19" sqref="K19"/>
    </sheetView>
  </sheetViews>
  <sheetFormatPr defaultRowHeight="15" x14ac:dyDescent="0.25"/>
  <cols>
    <col min="1" max="1" width="16" bestFit="1" customWidth="1"/>
    <col min="2" max="2" width="11.5703125" bestFit="1" customWidth="1"/>
    <col min="3" max="3" width="12.5703125" style="95" customWidth="1"/>
    <col min="4" max="4" width="10.42578125" style="95" customWidth="1"/>
    <col min="5" max="5" width="11" style="95" customWidth="1"/>
    <col min="6" max="6" width="10.140625" style="95" customWidth="1"/>
    <col min="7" max="7" width="9.5703125" style="95" customWidth="1"/>
    <col min="8" max="8" width="11" style="95" customWidth="1"/>
    <col min="9" max="9" width="10.85546875" style="95" customWidth="1"/>
    <col min="10" max="10" width="11" style="47" bestFit="1" customWidth="1"/>
  </cols>
  <sheetData>
    <row r="1" spans="1:15" x14ac:dyDescent="0.25">
      <c r="A1" s="49" t="s">
        <v>158</v>
      </c>
      <c r="B1" s="49" t="s">
        <v>166</v>
      </c>
      <c r="C1" s="96" t="s">
        <v>161</v>
      </c>
      <c r="D1" s="96" t="s">
        <v>162</v>
      </c>
      <c r="E1" s="96" t="s">
        <v>163</v>
      </c>
      <c r="F1" s="96" t="s">
        <v>164</v>
      </c>
      <c r="G1" s="96" t="s">
        <v>165</v>
      </c>
      <c r="H1" s="96" t="s">
        <v>154</v>
      </c>
      <c r="I1" s="96" t="s">
        <v>153</v>
      </c>
      <c r="J1" s="52" t="s">
        <v>157</v>
      </c>
    </row>
    <row r="2" spans="1:15" x14ac:dyDescent="0.25">
      <c r="A2" s="25" t="s">
        <v>58</v>
      </c>
      <c r="B2" s="25" t="s">
        <v>168</v>
      </c>
      <c r="C2" s="94"/>
      <c r="D2" s="94"/>
      <c r="E2" s="94"/>
      <c r="F2" s="94"/>
      <c r="G2" s="94"/>
      <c r="H2" s="94"/>
      <c r="I2" s="94"/>
      <c r="J2" s="51">
        <f>SUM(C2:I2)</f>
        <v>0</v>
      </c>
      <c r="K2" s="47"/>
      <c r="L2" s="47"/>
      <c r="M2" s="47"/>
      <c r="N2" s="47"/>
      <c r="O2" s="47"/>
    </row>
    <row r="3" spans="1:15" x14ac:dyDescent="0.25">
      <c r="A3" s="25" t="s">
        <v>9</v>
      </c>
      <c r="B3" s="25" t="s">
        <v>168</v>
      </c>
      <c r="C3" s="94"/>
      <c r="D3" s="94"/>
      <c r="E3" s="94"/>
      <c r="F3" s="94"/>
      <c r="G3" s="94"/>
      <c r="H3" s="94"/>
      <c r="I3" s="94"/>
      <c r="J3" s="51">
        <f t="shared" ref="J3:J30" si="0">SUM(C3:I3)</f>
        <v>0</v>
      </c>
      <c r="K3" s="47"/>
      <c r="L3" s="47"/>
      <c r="M3" s="47"/>
      <c r="N3" s="47"/>
      <c r="O3" s="47"/>
    </row>
    <row r="4" spans="1:15" x14ac:dyDescent="0.25">
      <c r="A4" s="25" t="s">
        <v>14</v>
      </c>
      <c r="B4" s="25" t="s">
        <v>168</v>
      </c>
      <c r="C4" s="94"/>
      <c r="D4" s="94"/>
      <c r="E4" s="94"/>
      <c r="F4" s="94"/>
      <c r="G4" s="94"/>
      <c r="H4" s="94"/>
      <c r="I4" s="94"/>
      <c r="J4" s="51">
        <f t="shared" si="0"/>
        <v>0</v>
      </c>
      <c r="K4" s="47"/>
      <c r="L4" s="47"/>
      <c r="M4" s="47"/>
      <c r="N4" s="47"/>
      <c r="O4" s="47"/>
    </row>
    <row r="5" spans="1:15" x14ac:dyDescent="0.25">
      <c r="A5" s="25" t="s">
        <v>77</v>
      </c>
      <c r="B5" s="25" t="s">
        <v>168</v>
      </c>
      <c r="C5" s="94"/>
      <c r="D5" s="94"/>
      <c r="E5" s="94"/>
      <c r="F5" s="94"/>
      <c r="G5" s="94"/>
      <c r="H5" s="94"/>
      <c r="I5" s="94"/>
      <c r="J5" s="51">
        <f t="shared" si="0"/>
        <v>0</v>
      </c>
      <c r="K5" s="47"/>
      <c r="L5" s="47"/>
      <c r="M5" s="47"/>
      <c r="N5" s="47"/>
      <c r="O5" s="47"/>
    </row>
    <row r="6" spans="1:15" x14ac:dyDescent="0.25">
      <c r="A6" s="25" t="s">
        <v>85</v>
      </c>
      <c r="B6" s="25" t="s">
        <v>168</v>
      </c>
      <c r="C6" s="94"/>
      <c r="D6" s="94"/>
      <c r="E6" s="94"/>
      <c r="F6" s="94"/>
      <c r="G6" s="94"/>
      <c r="H6" s="94"/>
      <c r="I6" s="94"/>
      <c r="J6" s="51">
        <f t="shared" si="0"/>
        <v>0</v>
      </c>
      <c r="K6" s="47"/>
      <c r="L6" s="47"/>
      <c r="M6" s="47"/>
      <c r="N6" s="47"/>
      <c r="O6" s="47"/>
    </row>
    <row r="7" spans="1:15" x14ac:dyDescent="0.25">
      <c r="A7" s="25" t="s">
        <v>54</v>
      </c>
      <c r="B7" s="25" t="s">
        <v>168</v>
      </c>
      <c r="C7" s="94"/>
      <c r="D7" s="94"/>
      <c r="E7" s="94"/>
      <c r="F7" s="94"/>
      <c r="G7" s="94"/>
      <c r="H7" s="94"/>
      <c r="I7" s="94"/>
      <c r="J7" s="51">
        <f t="shared" si="0"/>
        <v>0</v>
      </c>
      <c r="K7" s="47"/>
      <c r="L7" s="47"/>
      <c r="M7" s="47"/>
      <c r="N7" s="47"/>
      <c r="O7" s="47"/>
    </row>
    <row r="8" spans="1:15" x14ac:dyDescent="0.25">
      <c r="A8" s="25" t="s">
        <v>81</v>
      </c>
      <c r="B8" s="25" t="s">
        <v>168</v>
      </c>
      <c r="C8" s="94"/>
      <c r="D8" s="94"/>
      <c r="E8" s="94"/>
      <c r="F8" s="94"/>
      <c r="G8" s="94"/>
      <c r="H8" s="94"/>
      <c r="I8" s="94"/>
      <c r="J8" s="51">
        <f t="shared" si="0"/>
        <v>0</v>
      </c>
      <c r="K8" s="47"/>
      <c r="L8" s="47"/>
      <c r="M8" s="47"/>
      <c r="N8" s="47"/>
      <c r="O8" s="47"/>
    </row>
    <row r="9" spans="1:15" x14ac:dyDescent="0.25">
      <c r="A9" s="25" t="s">
        <v>68</v>
      </c>
      <c r="B9" s="25" t="s">
        <v>168</v>
      </c>
      <c r="C9" s="94"/>
      <c r="D9" s="94"/>
      <c r="E9" s="94"/>
      <c r="F9" s="94"/>
      <c r="G9" s="94"/>
      <c r="H9" s="94"/>
      <c r="I9" s="94"/>
      <c r="J9" s="51">
        <f t="shared" si="0"/>
        <v>0</v>
      </c>
      <c r="K9" s="47"/>
      <c r="L9" s="47"/>
      <c r="M9" s="47"/>
      <c r="N9" s="47"/>
      <c r="O9" s="47"/>
    </row>
    <row r="10" spans="1:15" x14ac:dyDescent="0.25">
      <c r="A10" s="25" t="s">
        <v>19</v>
      </c>
      <c r="B10" s="25" t="s">
        <v>168</v>
      </c>
      <c r="C10" s="94"/>
      <c r="D10" s="94"/>
      <c r="E10" s="94"/>
      <c r="F10" s="94"/>
      <c r="G10" s="94"/>
      <c r="H10" s="94"/>
      <c r="I10" s="94"/>
      <c r="J10" s="51">
        <f t="shared" si="0"/>
        <v>0</v>
      </c>
      <c r="K10" s="47"/>
      <c r="L10" s="47"/>
      <c r="M10" s="47"/>
      <c r="N10" s="47"/>
      <c r="O10" s="47"/>
    </row>
    <row r="11" spans="1:15" x14ac:dyDescent="0.25">
      <c r="A11" s="25" t="s">
        <v>23</v>
      </c>
      <c r="B11" s="25" t="s">
        <v>168</v>
      </c>
      <c r="C11" s="94"/>
      <c r="D11" s="94"/>
      <c r="E11" s="94"/>
      <c r="F11" s="94"/>
      <c r="G11" s="94"/>
      <c r="H11" s="94"/>
      <c r="I11" s="94"/>
      <c r="J11" s="51">
        <f t="shared" si="0"/>
        <v>0</v>
      </c>
      <c r="K11" s="47"/>
      <c r="L11" s="47"/>
      <c r="M11" s="47"/>
      <c r="N11" s="47"/>
      <c r="O11" s="47"/>
    </row>
    <row r="12" spans="1:15" x14ac:dyDescent="0.25">
      <c r="A12" s="25" t="s">
        <v>91</v>
      </c>
      <c r="B12" s="25" t="s">
        <v>168</v>
      </c>
      <c r="C12" s="94"/>
      <c r="D12" s="94"/>
      <c r="E12" s="94"/>
      <c r="F12" s="94"/>
      <c r="G12" s="94"/>
      <c r="H12" s="94"/>
      <c r="I12" s="94"/>
      <c r="J12" s="51">
        <f t="shared" si="0"/>
        <v>0</v>
      </c>
      <c r="K12" s="47"/>
      <c r="L12" s="47"/>
      <c r="M12" s="47"/>
      <c r="N12" s="47"/>
      <c r="O12" s="47"/>
    </row>
    <row r="13" spans="1:15" x14ac:dyDescent="0.25">
      <c r="A13" s="25" t="s">
        <v>32</v>
      </c>
      <c r="B13" s="25" t="s">
        <v>168</v>
      </c>
      <c r="C13" s="94"/>
      <c r="D13" s="94"/>
      <c r="E13" s="94"/>
      <c r="F13" s="94"/>
      <c r="G13" s="94"/>
      <c r="H13" s="94"/>
      <c r="I13" s="94"/>
      <c r="J13" s="51">
        <f t="shared" si="0"/>
        <v>0</v>
      </c>
      <c r="K13" s="47"/>
      <c r="L13" s="47"/>
      <c r="M13" s="47"/>
      <c r="N13" s="47"/>
      <c r="O13" s="47"/>
    </row>
    <row r="14" spans="1:15" x14ac:dyDescent="0.25">
      <c r="A14" s="25" t="s">
        <v>95</v>
      </c>
      <c r="B14" s="25" t="s">
        <v>168</v>
      </c>
      <c r="C14" s="94"/>
      <c r="D14" s="94"/>
      <c r="E14" s="94"/>
      <c r="F14" s="94"/>
      <c r="G14" s="94"/>
      <c r="H14" s="94"/>
      <c r="I14" s="94"/>
      <c r="J14" s="51">
        <f t="shared" si="0"/>
        <v>0</v>
      </c>
      <c r="K14" s="47"/>
      <c r="L14" s="47"/>
      <c r="M14" s="47"/>
      <c r="N14" s="47"/>
      <c r="O14" s="47"/>
    </row>
    <row r="15" spans="1:15" x14ac:dyDescent="0.25">
      <c r="A15" s="25" t="s">
        <v>37</v>
      </c>
      <c r="B15" s="25" t="s">
        <v>168</v>
      </c>
      <c r="C15" s="94"/>
      <c r="D15" s="94"/>
      <c r="E15" s="94"/>
      <c r="F15" s="94"/>
      <c r="G15" s="94"/>
      <c r="H15" s="94"/>
      <c r="I15" s="94"/>
      <c r="J15" s="51">
        <f t="shared" si="0"/>
        <v>0</v>
      </c>
      <c r="K15" s="47"/>
      <c r="L15" s="47"/>
      <c r="M15" s="47"/>
      <c r="N15" s="47"/>
      <c r="O15" s="47"/>
    </row>
    <row r="16" spans="1:15" x14ac:dyDescent="0.25">
      <c r="A16" s="25" t="s">
        <v>41</v>
      </c>
      <c r="B16" s="25" t="s">
        <v>168</v>
      </c>
      <c r="C16" s="94"/>
      <c r="D16" s="94"/>
      <c r="E16" s="94"/>
      <c r="F16" s="94"/>
      <c r="G16" s="94"/>
      <c r="H16" s="94"/>
      <c r="I16" s="94"/>
      <c r="J16" s="51">
        <f t="shared" si="0"/>
        <v>0</v>
      </c>
      <c r="K16" s="47"/>
      <c r="L16" s="47"/>
      <c r="M16" s="47"/>
      <c r="N16" s="47"/>
      <c r="O16" s="47"/>
    </row>
    <row r="17" spans="1:15" x14ac:dyDescent="0.25">
      <c r="A17" s="25" t="s">
        <v>46</v>
      </c>
      <c r="B17" s="25" t="s">
        <v>168</v>
      </c>
      <c r="C17" s="94"/>
      <c r="D17" s="94"/>
      <c r="E17" s="94"/>
      <c r="F17" s="94"/>
      <c r="G17" s="94"/>
      <c r="H17" s="94"/>
      <c r="I17" s="94"/>
      <c r="J17" s="51">
        <f t="shared" si="0"/>
        <v>0</v>
      </c>
      <c r="K17" s="47"/>
      <c r="L17" s="47"/>
      <c r="M17" s="47"/>
      <c r="N17" s="47"/>
      <c r="O17" s="47"/>
    </row>
    <row r="18" spans="1:15" x14ac:dyDescent="0.25">
      <c r="A18" s="25" t="s">
        <v>49</v>
      </c>
      <c r="B18" s="25" t="s">
        <v>168</v>
      </c>
      <c r="C18" s="94"/>
      <c r="D18" s="94"/>
      <c r="E18" s="94"/>
      <c r="F18" s="94"/>
      <c r="G18" s="94"/>
      <c r="H18" s="94"/>
      <c r="I18" s="94"/>
      <c r="J18" s="51">
        <f t="shared" si="0"/>
        <v>0</v>
      </c>
      <c r="K18" s="47"/>
      <c r="L18" s="47"/>
      <c r="M18" s="47"/>
      <c r="N18" s="47"/>
      <c r="O18" s="47"/>
    </row>
    <row r="19" spans="1:15" x14ac:dyDescent="0.25">
      <c r="A19" s="25"/>
      <c r="B19" s="25"/>
      <c r="C19" s="94"/>
      <c r="D19" s="94"/>
      <c r="E19" s="94"/>
      <c r="F19" s="94"/>
      <c r="G19" s="94"/>
      <c r="H19" s="94"/>
      <c r="I19" s="94"/>
      <c r="J19" s="51">
        <f t="shared" si="0"/>
        <v>0</v>
      </c>
      <c r="K19" s="47"/>
      <c r="L19" s="47"/>
      <c r="M19" s="47"/>
      <c r="N19" s="47"/>
      <c r="O19" s="47"/>
    </row>
    <row r="20" spans="1:15" x14ac:dyDescent="0.25">
      <c r="A20" s="25"/>
      <c r="B20" s="25"/>
      <c r="C20" s="94"/>
      <c r="D20" s="94"/>
      <c r="E20" s="94"/>
      <c r="F20" s="94"/>
      <c r="G20" s="94"/>
      <c r="H20" s="94"/>
      <c r="I20" s="94"/>
      <c r="J20" s="51">
        <f t="shared" si="0"/>
        <v>0</v>
      </c>
      <c r="K20" s="47"/>
      <c r="L20" s="47"/>
      <c r="M20" s="47"/>
      <c r="N20" s="47"/>
      <c r="O20" s="47"/>
    </row>
    <row r="21" spans="1:15" x14ac:dyDescent="0.25">
      <c r="A21" s="25"/>
      <c r="B21" s="25"/>
      <c r="C21" s="94"/>
      <c r="D21" s="94"/>
      <c r="E21" s="94"/>
      <c r="F21" s="94"/>
      <c r="G21" s="94"/>
      <c r="H21" s="94"/>
      <c r="I21" s="94"/>
      <c r="J21" s="51">
        <f t="shared" si="0"/>
        <v>0</v>
      </c>
      <c r="K21" s="47"/>
      <c r="L21" s="47"/>
      <c r="M21" s="47"/>
      <c r="N21" s="47"/>
      <c r="O21" s="47"/>
    </row>
    <row r="22" spans="1:15" x14ac:dyDescent="0.25">
      <c r="A22" s="25"/>
      <c r="B22" s="25"/>
      <c r="C22" s="94"/>
      <c r="D22" s="94"/>
      <c r="E22" s="94"/>
      <c r="F22" s="94"/>
      <c r="G22" s="94"/>
      <c r="H22" s="94"/>
      <c r="I22" s="94"/>
      <c r="J22" s="51">
        <f t="shared" si="0"/>
        <v>0</v>
      </c>
      <c r="K22" s="47"/>
      <c r="L22" s="47"/>
      <c r="M22" s="47"/>
      <c r="N22" s="47"/>
      <c r="O22" s="47"/>
    </row>
    <row r="23" spans="1:15" x14ac:dyDescent="0.25">
      <c r="A23" s="25"/>
      <c r="B23" s="25"/>
      <c r="C23" s="94"/>
      <c r="D23" s="94"/>
      <c r="E23" s="94"/>
      <c r="F23" s="94"/>
      <c r="G23" s="94"/>
      <c r="H23" s="94"/>
      <c r="I23" s="94"/>
      <c r="J23" s="51">
        <f t="shared" si="0"/>
        <v>0</v>
      </c>
      <c r="K23" s="47"/>
      <c r="L23" s="47"/>
      <c r="M23" s="47"/>
      <c r="N23" s="47"/>
      <c r="O23" s="47"/>
    </row>
    <row r="24" spans="1:15" x14ac:dyDescent="0.25">
      <c r="A24" s="25"/>
      <c r="B24" s="25"/>
      <c r="C24" s="94"/>
      <c r="D24" s="94"/>
      <c r="E24" s="94"/>
      <c r="F24" s="94"/>
      <c r="G24" s="94"/>
      <c r="H24" s="94"/>
      <c r="I24" s="94"/>
      <c r="J24" s="51">
        <f t="shared" si="0"/>
        <v>0</v>
      </c>
      <c r="K24" s="47"/>
      <c r="L24" s="47"/>
      <c r="M24" s="47"/>
      <c r="N24" s="47"/>
      <c r="O24" s="47"/>
    </row>
    <row r="25" spans="1:15" x14ac:dyDescent="0.25">
      <c r="A25" s="25"/>
      <c r="B25" s="25"/>
      <c r="C25" s="94"/>
      <c r="D25" s="94"/>
      <c r="E25" s="94"/>
      <c r="F25" s="94"/>
      <c r="G25" s="94"/>
      <c r="H25" s="94"/>
      <c r="I25" s="94"/>
      <c r="J25" s="51">
        <f t="shared" si="0"/>
        <v>0</v>
      </c>
      <c r="K25" s="47"/>
      <c r="L25" s="47"/>
      <c r="M25" s="47"/>
      <c r="N25" s="47"/>
      <c r="O25" s="47"/>
    </row>
    <row r="26" spans="1:15" x14ac:dyDescent="0.25">
      <c r="A26" s="25"/>
      <c r="B26" s="25"/>
      <c r="C26" s="94"/>
      <c r="D26" s="94"/>
      <c r="E26" s="94"/>
      <c r="F26" s="94"/>
      <c r="G26" s="94"/>
      <c r="H26" s="94"/>
      <c r="I26" s="94"/>
      <c r="J26" s="51">
        <f t="shared" si="0"/>
        <v>0</v>
      </c>
      <c r="K26" s="47"/>
      <c r="L26" s="47"/>
      <c r="M26" s="47"/>
      <c r="N26" s="47"/>
      <c r="O26" s="47"/>
    </row>
    <row r="27" spans="1:15" x14ac:dyDescent="0.25">
      <c r="A27" s="25"/>
      <c r="B27" s="25"/>
      <c r="C27" s="94"/>
      <c r="D27" s="94"/>
      <c r="E27" s="94"/>
      <c r="F27" s="94"/>
      <c r="G27" s="94"/>
      <c r="H27" s="94"/>
      <c r="I27" s="94"/>
      <c r="J27" s="51">
        <f t="shared" si="0"/>
        <v>0</v>
      </c>
      <c r="K27" s="47"/>
      <c r="L27" s="47"/>
      <c r="M27" s="47"/>
      <c r="N27" s="47"/>
      <c r="O27" s="47"/>
    </row>
    <row r="28" spans="1:15" x14ac:dyDescent="0.25">
      <c r="A28" s="25"/>
      <c r="B28" s="25"/>
      <c r="C28" s="94"/>
      <c r="D28" s="94"/>
      <c r="E28" s="94"/>
      <c r="F28" s="94"/>
      <c r="G28" s="94"/>
      <c r="H28" s="94"/>
      <c r="I28" s="94"/>
      <c r="J28" s="51">
        <f t="shared" si="0"/>
        <v>0</v>
      </c>
      <c r="K28" s="47"/>
      <c r="L28" s="47"/>
      <c r="M28" s="47"/>
      <c r="N28" s="47"/>
      <c r="O28" s="47"/>
    </row>
    <row r="29" spans="1:15" x14ac:dyDescent="0.25">
      <c r="A29" s="25"/>
      <c r="B29" s="25"/>
      <c r="C29" s="94"/>
      <c r="D29" s="94"/>
      <c r="E29" s="94"/>
      <c r="F29" s="94"/>
      <c r="G29" s="94"/>
      <c r="H29" s="94"/>
      <c r="I29" s="94"/>
      <c r="J29" s="51">
        <f t="shared" si="0"/>
        <v>0</v>
      </c>
      <c r="K29" s="47"/>
      <c r="L29" s="47"/>
      <c r="M29" s="47"/>
      <c r="N29" s="47"/>
      <c r="O29" s="47"/>
    </row>
    <row r="30" spans="1:15" x14ac:dyDescent="0.25">
      <c r="A30" s="25"/>
      <c r="B30" s="25"/>
      <c r="C30" s="94"/>
      <c r="D30" s="94"/>
      <c r="E30" s="94"/>
      <c r="F30" s="94"/>
      <c r="G30" s="94"/>
      <c r="H30" s="94"/>
      <c r="I30" s="94"/>
      <c r="J30" s="51">
        <f t="shared" si="0"/>
        <v>0</v>
      </c>
      <c r="K30" s="47"/>
      <c r="L30" s="47"/>
      <c r="M30" s="47"/>
      <c r="N30" s="47"/>
      <c r="O30" s="47"/>
    </row>
  </sheetData>
  <phoneticPr fontId="10" type="noConversion"/>
  <dataValidations count="1">
    <dataValidation type="list" allowBlank="1" showInputMessage="1" showErrorMessage="1" sqref="B2:B30" xr:uid="{F6704558-4541-4949-A023-A333C8B65BF6}">
      <formula1>"Phone, Chat"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CD5E9-F0E4-40B7-995C-42CE8B096B88}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D8D73-26E9-4E0C-BB72-4D6E4AD525C1}">
  <sheetPr codeName="Sheet8"/>
  <dimension ref="A1:F22"/>
  <sheetViews>
    <sheetView workbookViewId="0"/>
  </sheetViews>
  <sheetFormatPr defaultRowHeight="15" x14ac:dyDescent="0.25"/>
  <cols>
    <col min="1" max="1" width="30.85546875" customWidth="1"/>
    <col min="2" max="2" width="15.140625" customWidth="1"/>
    <col min="3" max="3" width="38.5703125" customWidth="1"/>
    <col min="4" max="4" width="35.85546875" customWidth="1"/>
    <col min="5" max="5" width="30.42578125" customWidth="1"/>
    <col min="6" max="6" width="56.85546875" customWidth="1"/>
  </cols>
  <sheetData>
    <row r="1" spans="1:6" x14ac:dyDescent="0.25">
      <c r="A1" s="32" t="s">
        <v>3</v>
      </c>
      <c r="B1" s="32" t="s">
        <v>4</v>
      </c>
      <c r="C1" s="33" t="s">
        <v>5</v>
      </c>
      <c r="D1" s="33" t="s">
        <v>6</v>
      </c>
      <c r="E1" s="33" t="s">
        <v>7</v>
      </c>
      <c r="F1" s="32" t="s">
        <v>8</v>
      </c>
    </row>
    <row r="2" spans="1:6" x14ac:dyDescent="0.25">
      <c r="A2" s="35" t="s">
        <v>9</v>
      </c>
      <c r="B2" s="35" t="s">
        <v>10</v>
      </c>
      <c r="C2" s="36" t="s">
        <v>11</v>
      </c>
      <c r="D2" s="36" t="s">
        <v>12</v>
      </c>
      <c r="E2" s="39" t="s">
        <v>13</v>
      </c>
      <c r="F2" s="34"/>
    </row>
    <row r="3" spans="1:6" x14ac:dyDescent="0.25">
      <c r="A3" s="35" t="s">
        <v>14</v>
      </c>
      <c r="B3" s="35" t="s">
        <v>15</v>
      </c>
      <c r="C3" s="36" t="s">
        <v>16</v>
      </c>
      <c r="D3" s="36" t="s">
        <v>17</v>
      </c>
      <c r="E3" s="39" t="s">
        <v>18</v>
      </c>
      <c r="F3" s="34"/>
    </row>
    <row r="4" spans="1:6" x14ac:dyDescent="0.25">
      <c r="A4" s="35" t="s">
        <v>19</v>
      </c>
      <c r="B4" s="35" t="s">
        <v>15</v>
      </c>
      <c r="C4" s="36" t="s">
        <v>20</v>
      </c>
      <c r="D4" s="36" t="s">
        <v>21</v>
      </c>
      <c r="E4" s="39" t="s">
        <v>22</v>
      </c>
      <c r="F4" s="34"/>
    </row>
    <row r="5" spans="1:6" x14ac:dyDescent="0.25">
      <c r="A5" s="35" t="s">
        <v>23</v>
      </c>
      <c r="B5" s="35" t="s">
        <v>24</v>
      </c>
      <c r="C5" s="36" t="s">
        <v>25</v>
      </c>
      <c r="D5" s="40" t="s">
        <v>26</v>
      </c>
      <c r="E5" s="41" t="s">
        <v>27</v>
      </c>
      <c r="F5" s="34"/>
    </row>
    <row r="6" spans="1:6" x14ac:dyDescent="0.25">
      <c r="A6" s="35" t="s">
        <v>28</v>
      </c>
      <c r="B6" s="35" t="s">
        <v>24</v>
      </c>
      <c r="C6" s="36" t="s">
        <v>29</v>
      </c>
      <c r="D6" s="36" t="s">
        <v>30</v>
      </c>
      <c r="E6" s="37" t="s">
        <v>31</v>
      </c>
      <c r="F6" s="34"/>
    </row>
    <row r="7" spans="1:6" x14ac:dyDescent="0.25">
      <c r="A7" s="38" t="s">
        <v>32</v>
      </c>
      <c r="B7" s="35" t="s">
        <v>33</v>
      </c>
      <c r="C7" s="36" t="s">
        <v>34</v>
      </c>
      <c r="D7" s="36" t="s">
        <v>35</v>
      </c>
      <c r="E7" s="37" t="s">
        <v>36</v>
      </c>
      <c r="F7" s="34"/>
    </row>
    <row r="8" spans="1:6" x14ac:dyDescent="0.25">
      <c r="A8" s="38" t="s">
        <v>37</v>
      </c>
      <c r="B8" s="35" t="s">
        <v>33</v>
      </c>
      <c r="C8" s="36" t="s">
        <v>38</v>
      </c>
      <c r="D8" s="36" t="s">
        <v>39</v>
      </c>
      <c r="E8" s="39" t="s">
        <v>40</v>
      </c>
      <c r="F8" s="34"/>
    </row>
    <row r="9" spans="1:6" x14ac:dyDescent="0.25">
      <c r="A9" s="35" t="s">
        <v>41</v>
      </c>
      <c r="B9" s="35" t="s">
        <v>42</v>
      </c>
      <c r="C9" s="36" t="s">
        <v>43</v>
      </c>
      <c r="D9" s="36" t="s">
        <v>44</v>
      </c>
      <c r="E9" s="39" t="s">
        <v>45</v>
      </c>
      <c r="F9" s="34"/>
    </row>
    <row r="10" spans="1:6" x14ac:dyDescent="0.25">
      <c r="A10" s="35" t="s">
        <v>46</v>
      </c>
      <c r="B10" s="35" t="s">
        <v>42</v>
      </c>
      <c r="C10" s="36">
        <v>9177144928</v>
      </c>
      <c r="D10" s="36" t="s">
        <v>47</v>
      </c>
      <c r="E10" s="39" t="s">
        <v>48</v>
      </c>
      <c r="F10" s="34"/>
    </row>
    <row r="11" spans="1:6" x14ac:dyDescent="0.25">
      <c r="A11" s="38" t="s">
        <v>49</v>
      </c>
      <c r="B11" s="35" t="s">
        <v>50</v>
      </c>
      <c r="C11" s="36" t="s">
        <v>51</v>
      </c>
      <c r="D11" s="36" t="s">
        <v>52</v>
      </c>
      <c r="E11" s="39" t="s">
        <v>53</v>
      </c>
      <c r="F11" s="34"/>
    </row>
    <row r="12" spans="1:6" x14ac:dyDescent="0.25">
      <c r="A12" s="42" t="s">
        <v>54</v>
      </c>
      <c r="B12" s="42" t="s">
        <v>55</v>
      </c>
      <c r="C12" s="43">
        <v>3019204537</v>
      </c>
      <c r="D12" s="43" t="s">
        <v>56</v>
      </c>
      <c r="E12" s="44" t="s">
        <v>57</v>
      </c>
      <c r="F12" s="42"/>
    </row>
    <row r="13" spans="1:6" x14ac:dyDescent="0.25">
      <c r="A13" s="34" t="s">
        <v>58</v>
      </c>
      <c r="B13" s="34" t="s">
        <v>59</v>
      </c>
      <c r="C13" s="36" t="s">
        <v>60</v>
      </c>
      <c r="D13" s="36" t="s">
        <v>61</v>
      </c>
      <c r="E13" s="37" t="s">
        <v>62</v>
      </c>
      <c r="F13" s="42"/>
    </row>
    <row r="14" spans="1:6" x14ac:dyDescent="0.25">
      <c r="A14" s="34" t="s">
        <v>63</v>
      </c>
      <c r="B14" s="34" t="s">
        <v>64</v>
      </c>
      <c r="C14" s="36" t="s">
        <v>65</v>
      </c>
      <c r="D14" s="36" t="s">
        <v>66</v>
      </c>
      <c r="E14" s="46" t="s">
        <v>67</v>
      </c>
      <c r="F14" s="25"/>
    </row>
    <row r="15" spans="1:6" x14ac:dyDescent="0.25">
      <c r="A15" s="34" t="s">
        <v>68</v>
      </c>
      <c r="B15" s="34" t="s">
        <v>69</v>
      </c>
      <c r="C15" s="36" t="s">
        <v>70</v>
      </c>
      <c r="D15" s="36" t="s">
        <v>71</v>
      </c>
      <c r="E15" s="46" t="s">
        <v>72</v>
      </c>
      <c r="F15" s="25"/>
    </row>
    <row r="16" spans="1:6" x14ac:dyDescent="0.25">
      <c r="A16" s="34" t="s">
        <v>73</v>
      </c>
      <c r="B16" s="34" t="s">
        <v>64</v>
      </c>
      <c r="C16" s="36" t="s">
        <v>74</v>
      </c>
      <c r="D16" s="36" t="s">
        <v>75</v>
      </c>
      <c r="E16" s="46" t="s">
        <v>76</v>
      </c>
      <c r="F16" s="25"/>
    </row>
    <row r="17" spans="1:6" x14ac:dyDescent="0.25">
      <c r="A17" s="34" t="s">
        <v>77</v>
      </c>
      <c r="B17" s="34" t="s">
        <v>64</v>
      </c>
      <c r="C17" s="36" t="s">
        <v>78</v>
      </c>
      <c r="D17" s="36" t="s">
        <v>79</v>
      </c>
      <c r="E17" s="46" t="s">
        <v>80</v>
      </c>
      <c r="F17" s="25"/>
    </row>
    <row r="18" spans="1:6" x14ac:dyDescent="0.25">
      <c r="A18" s="34" t="s">
        <v>81</v>
      </c>
      <c r="B18" s="34" t="s">
        <v>64</v>
      </c>
      <c r="C18" s="36" t="s">
        <v>82</v>
      </c>
      <c r="D18" s="36" t="s">
        <v>83</v>
      </c>
      <c r="E18" s="46" t="s">
        <v>84</v>
      </c>
      <c r="F18" s="25"/>
    </row>
    <row r="19" spans="1:6" ht="16.5" x14ac:dyDescent="0.3">
      <c r="A19" s="34" t="s">
        <v>85</v>
      </c>
      <c r="B19" s="34" t="s">
        <v>64</v>
      </c>
      <c r="C19" s="45" t="s">
        <v>86</v>
      </c>
      <c r="D19" s="36"/>
      <c r="E19" s="35"/>
      <c r="F19" s="25"/>
    </row>
    <row r="20" spans="1:6" x14ac:dyDescent="0.25">
      <c r="A20" s="34" t="s">
        <v>87</v>
      </c>
      <c r="B20" s="34" t="s">
        <v>88</v>
      </c>
      <c r="C20" s="36" t="s">
        <v>89</v>
      </c>
      <c r="D20" s="36" t="s">
        <v>90</v>
      </c>
      <c r="E20" s="35"/>
      <c r="F20" s="25"/>
    </row>
    <row r="21" spans="1:6" x14ac:dyDescent="0.25">
      <c r="A21" s="34" t="s">
        <v>91</v>
      </c>
      <c r="B21" s="34" t="s">
        <v>88</v>
      </c>
      <c r="C21" s="36" t="s">
        <v>92</v>
      </c>
      <c r="D21" s="36" t="s">
        <v>93</v>
      </c>
      <c r="E21" s="46" t="s">
        <v>94</v>
      </c>
      <c r="F21" s="25"/>
    </row>
    <row r="22" spans="1:6" x14ac:dyDescent="0.25">
      <c r="A22" s="34" t="s">
        <v>95</v>
      </c>
      <c r="B22" s="34" t="s">
        <v>88</v>
      </c>
      <c r="C22" s="36" t="s">
        <v>96</v>
      </c>
      <c r="D22" s="36" t="s">
        <v>97</v>
      </c>
      <c r="E22" s="46" t="s">
        <v>98</v>
      </c>
      <c r="F22" s="25"/>
    </row>
  </sheetData>
  <hyperlinks>
    <hyperlink ref="E2" r:id="rId1" xr:uid="{0E8E6B9A-B44D-4199-9C9F-67A193634D99}"/>
    <hyperlink ref="E12" r:id="rId2" xr:uid="{9F3D4EC4-1089-4D26-8691-BD4ADA5850AA}"/>
    <hyperlink ref="E4" r:id="rId3" xr:uid="{0962BED2-ACCF-4D62-8803-EFEE20450F36}"/>
    <hyperlink ref="E9" r:id="rId4" xr:uid="{F2CD0B3F-C324-4394-9D12-8FCFB6FDF0C8}"/>
    <hyperlink ref="E10" r:id="rId5" xr:uid="{9B17539A-2F60-45EC-9642-FEA6EECFFD31}"/>
    <hyperlink ref="E3" r:id="rId6" xr:uid="{2EBB0F73-B8AF-4780-B4F0-1BC78CF15C0D}"/>
    <hyperlink ref="E6" r:id="rId7" xr:uid="{DEA700A9-BBE0-4537-99F7-75E70DC0F201}"/>
    <hyperlink ref="E5" r:id="rId8" xr:uid="{7BA85812-E98C-4289-A889-C034BBC6E7EF}"/>
    <hyperlink ref="E11" r:id="rId9" xr:uid="{66092D81-71DD-41AF-A6F8-E5E694292716}"/>
    <hyperlink ref="E7" r:id="rId10" xr:uid="{A8034380-67F6-4A73-AB49-60E14525D1A9}"/>
    <hyperlink ref="E8" r:id="rId11" xr:uid="{A8AE7055-816F-48C9-A181-DCA546077D1D}"/>
    <hyperlink ref="E13" r:id="rId12" xr:uid="{C85E7DD8-DA41-44E5-957C-D5201196FB56}"/>
    <hyperlink ref="E15" r:id="rId13" xr:uid="{743CE852-278C-4C55-9FA4-B4DE3ABC0D70}"/>
    <hyperlink ref="E16" r:id="rId14" xr:uid="{751455EC-84F7-4675-96F5-7B866963A2E4}"/>
    <hyperlink ref="E14" r:id="rId15" xr:uid="{3871E318-494A-4A2C-88EF-D1B59568251E}"/>
    <hyperlink ref="E17" r:id="rId16" xr:uid="{F239584B-BEEE-4A5B-A53C-3F939A77E67D}"/>
    <hyperlink ref="E18" r:id="rId17" xr:uid="{BABA21DD-9481-43B7-8DA2-D92D8AC48DF0}"/>
    <hyperlink ref="E21" r:id="rId18" xr:uid="{AA2C88DB-CDB0-45CA-B095-507B306A2537}"/>
    <hyperlink ref="E22" r:id="rId19" xr:uid="{89CDFE36-5984-45C6-BABA-439CCD80DC52}"/>
  </hyperlinks>
  <pageMargins left="0.7" right="0.7" top="0.75" bottom="0.75" header="0.3" footer="0.3"/>
  <pageSetup orientation="portrait" horizontalDpi="4294967293" verticalDpi="0" r:id="rId20"/>
  <drawing r:id="rId2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78FA-F881-48DE-8129-17AC9D5F1509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37677-5141-43AF-9102-B0748158E270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FD6E-AA80-41FF-89A7-56591646C9F0}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10D1-761E-4CCF-9361-8FD89EEB63C7}">
  <sheetPr codeName="Sheet1"/>
  <dimension ref="A1:J87"/>
  <sheetViews>
    <sheetView showGridLines="0" showRowColHeaders="0" workbookViewId="0">
      <pane ySplit="3" topLeftCell="A4" activePane="bottomLeft" state="frozen"/>
      <selection pane="bottomLeft" activeCell="G5" sqref="G5"/>
    </sheetView>
  </sheetViews>
  <sheetFormatPr defaultColWidth="8.7109375" defaultRowHeight="12.75" outlineLevelCol="1" x14ac:dyDescent="0.2"/>
  <cols>
    <col min="1" max="1" width="12.42578125" style="5" customWidth="1"/>
    <col min="2" max="2" width="16.140625" style="5" customWidth="1"/>
    <col min="3" max="3" width="11.42578125" style="5" customWidth="1"/>
    <col min="4" max="4" width="11.140625" style="5" customWidth="1"/>
    <col min="5" max="10" width="11.140625" style="5" customWidth="1" outlineLevel="1"/>
    <col min="11" max="16384" width="8.7109375" style="5"/>
  </cols>
  <sheetData>
    <row r="1" spans="1:10" ht="15.95" customHeight="1" x14ac:dyDescent="0.2">
      <c r="D1" s="12" t="b">
        <v>1</v>
      </c>
    </row>
    <row r="2" spans="1:10" ht="17.45" customHeight="1" x14ac:dyDescent="0.2"/>
    <row r="3" spans="1:10" ht="17.45" customHeight="1" x14ac:dyDescent="0.2">
      <c r="A3" s="2" t="s">
        <v>99</v>
      </c>
      <c r="B3" s="2" t="s">
        <v>3</v>
      </c>
      <c r="C3" s="2" t="s">
        <v>4</v>
      </c>
      <c r="D3" s="7">
        <v>44539</v>
      </c>
      <c r="E3" s="7">
        <f>D3+1</f>
        <v>44540</v>
      </c>
      <c r="F3" s="7">
        <f t="shared" ref="F3:J3" si="0">E3+1</f>
        <v>44541</v>
      </c>
      <c r="G3" s="7">
        <f t="shared" si="0"/>
        <v>44542</v>
      </c>
      <c r="H3" s="7">
        <f t="shared" si="0"/>
        <v>44543</v>
      </c>
      <c r="I3" s="7">
        <f t="shared" si="0"/>
        <v>44544</v>
      </c>
      <c r="J3" s="7">
        <f t="shared" si="0"/>
        <v>44545</v>
      </c>
    </row>
    <row r="4" spans="1:10" x14ac:dyDescent="0.2">
      <c r="A4" s="1">
        <v>10001</v>
      </c>
      <c r="B4" s="1" t="s">
        <v>58</v>
      </c>
      <c r="C4" s="1" t="s">
        <v>100</v>
      </c>
      <c r="D4" s="1"/>
      <c r="E4" s="1"/>
      <c r="F4" s="1"/>
      <c r="G4" s="1" t="s">
        <v>191</v>
      </c>
      <c r="H4" s="1"/>
      <c r="I4" s="1"/>
      <c r="J4" s="1"/>
    </row>
    <row r="5" spans="1:10" x14ac:dyDescent="0.2">
      <c r="A5" s="1">
        <v>10002</v>
      </c>
      <c r="B5" s="1" t="s">
        <v>9</v>
      </c>
      <c r="C5" s="1" t="s">
        <v>103</v>
      </c>
      <c r="D5" s="1"/>
      <c r="E5" s="1"/>
      <c r="F5" s="1"/>
      <c r="G5" s="1"/>
      <c r="H5" s="1"/>
      <c r="I5" s="1"/>
      <c r="J5" s="1"/>
    </row>
    <row r="6" spans="1:10" x14ac:dyDescent="0.2">
      <c r="A6" s="1">
        <v>10003</v>
      </c>
      <c r="B6" s="1" t="s">
        <v>14</v>
      </c>
      <c r="C6" s="1" t="s">
        <v>104</v>
      </c>
      <c r="D6" s="1"/>
      <c r="E6" s="1"/>
      <c r="F6" s="1"/>
      <c r="G6" s="1"/>
      <c r="H6" s="1"/>
      <c r="I6" s="1"/>
      <c r="J6" s="1"/>
    </row>
    <row r="7" spans="1:10" x14ac:dyDescent="0.2">
      <c r="A7" s="1">
        <v>10004</v>
      </c>
      <c r="B7" s="1" t="s">
        <v>63</v>
      </c>
      <c r="C7" s="1" t="s">
        <v>105</v>
      </c>
      <c r="D7" s="1"/>
      <c r="E7" s="1"/>
      <c r="F7" s="1"/>
      <c r="G7" s="1"/>
      <c r="H7" s="1"/>
      <c r="I7" s="1"/>
      <c r="J7" s="1"/>
    </row>
    <row r="8" spans="1:10" x14ac:dyDescent="0.2">
      <c r="A8" s="1">
        <v>10005</v>
      </c>
      <c r="B8" s="1" t="s">
        <v>77</v>
      </c>
      <c r="C8" s="1" t="s">
        <v>105</v>
      </c>
      <c r="D8" s="1"/>
      <c r="E8" s="1"/>
      <c r="F8" s="1"/>
      <c r="G8" s="1"/>
      <c r="H8" s="1"/>
      <c r="I8" s="1"/>
      <c r="J8" s="1"/>
    </row>
    <row r="9" spans="1:10" x14ac:dyDescent="0.2">
      <c r="A9" s="1">
        <v>10006</v>
      </c>
      <c r="B9" s="1" t="s">
        <v>85</v>
      </c>
      <c r="C9" s="1" t="s">
        <v>105</v>
      </c>
      <c r="D9" s="1"/>
      <c r="E9" s="1"/>
      <c r="F9" s="1"/>
      <c r="G9" s="1"/>
      <c r="H9" s="1"/>
      <c r="I9" s="1"/>
      <c r="J9" s="1"/>
    </row>
    <row r="10" spans="1:10" x14ac:dyDescent="0.2">
      <c r="A10" s="1">
        <v>10007</v>
      </c>
      <c r="B10" s="1" t="s">
        <v>106</v>
      </c>
      <c r="C10" s="1" t="s">
        <v>105</v>
      </c>
      <c r="D10" s="1"/>
      <c r="E10" s="1"/>
      <c r="F10" s="1"/>
      <c r="G10" s="1"/>
      <c r="H10" s="1"/>
      <c r="I10" s="1"/>
      <c r="J10" s="1"/>
    </row>
    <row r="11" spans="1:10" x14ac:dyDescent="0.2">
      <c r="A11" s="1">
        <v>10008</v>
      </c>
      <c r="B11" s="1" t="s">
        <v>81</v>
      </c>
      <c r="C11" s="1" t="s">
        <v>105</v>
      </c>
      <c r="D11" s="1"/>
      <c r="E11" s="1"/>
      <c r="F11" s="1"/>
      <c r="G11" s="1"/>
      <c r="H11" s="1"/>
      <c r="I11" s="1"/>
      <c r="J11" s="1"/>
    </row>
    <row r="12" spans="1:10" x14ac:dyDescent="0.2">
      <c r="A12" s="1">
        <v>10009</v>
      </c>
      <c r="B12" s="1" t="s">
        <v>73</v>
      </c>
      <c r="C12" s="1" t="s">
        <v>105</v>
      </c>
      <c r="D12" s="1"/>
      <c r="E12" s="1"/>
      <c r="F12" s="1"/>
      <c r="G12" s="1"/>
      <c r="H12" s="1"/>
      <c r="I12" s="1"/>
      <c r="J12" s="1"/>
    </row>
    <row r="13" spans="1:10" x14ac:dyDescent="0.2">
      <c r="A13" s="1">
        <v>10010</v>
      </c>
      <c r="B13" s="1" t="s">
        <v>68</v>
      </c>
      <c r="C13" s="1" t="s">
        <v>105</v>
      </c>
      <c r="D13" s="1"/>
      <c r="E13" s="1"/>
      <c r="F13" s="1"/>
      <c r="G13" s="1"/>
      <c r="H13" s="1"/>
      <c r="I13" s="1"/>
      <c r="J13" s="1"/>
    </row>
    <row r="14" spans="1:10" x14ac:dyDescent="0.2">
      <c r="A14" s="1">
        <v>10011</v>
      </c>
      <c r="B14" s="1" t="s">
        <v>19</v>
      </c>
      <c r="C14" s="1" t="s">
        <v>104</v>
      </c>
      <c r="D14" s="1"/>
      <c r="E14" s="1"/>
      <c r="F14" s="1"/>
      <c r="G14" s="1"/>
      <c r="H14" s="1"/>
      <c r="I14" s="1"/>
      <c r="J14" s="1"/>
    </row>
    <row r="15" spans="1:10" x14ac:dyDescent="0.2">
      <c r="A15" s="1">
        <v>10012</v>
      </c>
      <c r="B15" s="1" t="s">
        <v>23</v>
      </c>
      <c r="C15" s="1" t="s">
        <v>107</v>
      </c>
      <c r="D15" s="1"/>
      <c r="E15" s="1"/>
      <c r="F15" s="1"/>
      <c r="G15" s="1"/>
      <c r="H15" s="1"/>
      <c r="I15" s="1"/>
      <c r="J15" s="1"/>
    </row>
    <row r="16" spans="1:10" x14ac:dyDescent="0.2">
      <c r="A16" s="1">
        <v>10013</v>
      </c>
      <c r="B16" s="1" t="s">
        <v>28</v>
      </c>
      <c r="C16" s="1" t="s">
        <v>107</v>
      </c>
      <c r="D16" s="1"/>
      <c r="E16" s="1"/>
      <c r="F16" s="1"/>
      <c r="G16" s="1"/>
      <c r="H16" s="1"/>
      <c r="I16" s="1"/>
      <c r="J16" s="1"/>
    </row>
    <row r="17" spans="1:10" x14ac:dyDescent="0.2">
      <c r="A17" s="1">
        <v>10014</v>
      </c>
      <c r="B17" s="1" t="s">
        <v>91</v>
      </c>
      <c r="C17" s="1" t="s">
        <v>108</v>
      </c>
      <c r="D17" s="1"/>
      <c r="E17" s="1"/>
      <c r="F17" s="1"/>
      <c r="G17" s="1"/>
      <c r="H17" s="1"/>
      <c r="I17" s="1"/>
      <c r="J17" s="1"/>
    </row>
    <row r="18" spans="1:10" x14ac:dyDescent="0.2">
      <c r="A18" s="1">
        <v>10015</v>
      </c>
      <c r="B18" s="1" t="s">
        <v>87</v>
      </c>
      <c r="C18" s="1" t="s">
        <v>108</v>
      </c>
      <c r="D18" s="1"/>
      <c r="E18" s="1"/>
      <c r="F18" s="1"/>
      <c r="G18" s="1"/>
      <c r="H18" s="1"/>
      <c r="I18" s="1"/>
      <c r="J18" s="1"/>
    </row>
    <row r="19" spans="1:10" x14ac:dyDescent="0.2">
      <c r="A19" s="1">
        <v>10015</v>
      </c>
      <c r="B19" s="1" t="s">
        <v>32</v>
      </c>
      <c r="C19" s="1" t="s">
        <v>109</v>
      </c>
      <c r="D19" s="1"/>
      <c r="E19" s="1"/>
      <c r="F19" s="1"/>
      <c r="G19" s="1"/>
      <c r="H19" s="1"/>
      <c r="I19" s="1"/>
      <c r="J19" s="1"/>
    </row>
    <row r="20" spans="1:10" x14ac:dyDescent="0.2">
      <c r="A20" s="1">
        <v>10015</v>
      </c>
      <c r="B20" s="1" t="s">
        <v>95</v>
      </c>
      <c r="C20" s="1" t="s">
        <v>108</v>
      </c>
      <c r="D20" s="1"/>
      <c r="E20" s="1"/>
      <c r="F20" s="1"/>
      <c r="G20" s="1"/>
      <c r="H20" s="1"/>
      <c r="I20" s="1"/>
      <c r="J20" s="1"/>
    </row>
    <row r="21" spans="1:10" x14ac:dyDescent="0.2">
      <c r="A21" s="1">
        <v>10015</v>
      </c>
      <c r="B21" s="1" t="s">
        <v>110</v>
      </c>
      <c r="C21" s="1" t="s">
        <v>109</v>
      </c>
      <c r="D21" s="1"/>
      <c r="E21" s="1"/>
      <c r="F21" s="1"/>
      <c r="G21" s="1"/>
      <c r="H21" s="1"/>
      <c r="I21" s="1"/>
      <c r="J21" s="1"/>
    </row>
    <row r="22" spans="1:10" x14ac:dyDescent="0.2">
      <c r="A22" s="1">
        <v>10015</v>
      </c>
      <c r="B22" s="1" t="s">
        <v>37</v>
      </c>
      <c r="C22" s="1" t="s">
        <v>109</v>
      </c>
      <c r="D22" s="1"/>
      <c r="E22" s="1"/>
      <c r="F22" s="1"/>
      <c r="G22" s="1"/>
      <c r="H22" s="1"/>
      <c r="I22" s="1"/>
      <c r="J22" s="1"/>
    </row>
    <row r="23" spans="1:10" x14ac:dyDescent="0.2">
      <c r="A23" s="1">
        <v>10015</v>
      </c>
      <c r="B23" s="1" t="s">
        <v>41</v>
      </c>
      <c r="C23" s="1" t="s">
        <v>111</v>
      </c>
      <c r="D23" s="1"/>
      <c r="E23" s="1"/>
      <c r="F23" s="1"/>
      <c r="G23" s="1"/>
      <c r="H23" s="1"/>
      <c r="I23" s="1"/>
      <c r="J23" s="1"/>
    </row>
    <row r="24" spans="1:10" x14ac:dyDescent="0.2">
      <c r="A24" s="1">
        <v>10015</v>
      </c>
      <c r="B24" s="1" t="s">
        <v>46</v>
      </c>
      <c r="C24" s="1" t="s">
        <v>111</v>
      </c>
      <c r="D24" s="1"/>
      <c r="E24" s="1"/>
      <c r="F24" s="1"/>
      <c r="G24" s="1"/>
      <c r="H24" s="1"/>
      <c r="I24" s="1"/>
      <c r="J24" s="1"/>
    </row>
    <row r="25" spans="1:10" x14ac:dyDescent="0.2">
      <c r="A25" s="1">
        <v>10015</v>
      </c>
      <c r="B25" s="1" t="s">
        <v>49</v>
      </c>
      <c r="C25" s="1" t="s">
        <v>112</v>
      </c>
      <c r="D25" s="1"/>
      <c r="E25" s="1"/>
      <c r="F25" s="1"/>
      <c r="G25" s="1"/>
      <c r="H25" s="1"/>
      <c r="I25" s="1"/>
      <c r="J25" s="1"/>
    </row>
    <row r="26" spans="1:10" x14ac:dyDescent="0.2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2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2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2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2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2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2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x14ac:dyDescent="0.2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x14ac:dyDescent="0.2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x14ac:dyDescent="0.2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x14ac:dyDescent="0.2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x14ac:dyDescent="0.2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x14ac:dyDescent="0.2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x14ac:dyDescent="0.2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x14ac:dyDescent="0.2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x14ac:dyDescent="0.2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x14ac:dyDescent="0.2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x14ac:dyDescent="0.2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x14ac:dyDescent="0.2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x14ac:dyDescent="0.2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x14ac:dyDescent="0.2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x14ac:dyDescent="0.2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x14ac:dyDescent="0.2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x14ac:dyDescent="0.2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x14ac:dyDescent="0.2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x14ac:dyDescent="0.2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x14ac:dyDescent="0.2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x14ac:dyDescent="0.2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x14ac:dyDescent="0.2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x14ac:dyDescent="0.2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x14ac:dyDescent="0.2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x14ac:dyDescent="0.2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x14ac:dyDescent="0.2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x14ac:dyDescent="0.2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x14ac:dyDescent="0.2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x14ac:dyDescent="0.2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x14ac:dyDescent="0.2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x14ac:dyDescent="0.2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x14ac:dyDescent="0.2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x14ac:dyDescent="0.2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x14ac:dyDescent="0.2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x14ac:dyDescent="0.2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x14ac:dyDescent="0.2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x14ac:dyDescent="0.2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x14ac:dyDescent="0.2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x14ac:dyDescent="0.2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x14ac:dyDescent="0.2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x14ac:dyDescent="0.2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x14ac:dyDescent="0.2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x14ac:dyDescent="0.2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x14ac:dyDescent="0.2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2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2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2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2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2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2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2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2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2">
      <c r="A87" s="1"/>
      <c r="B87" s="1"/>
      <c r="C87" s="1"/>
      <c r="D87" s="1"/>
      <c r="E87" s="1"/>
      <c r="F87" s="1"/>
      <c r="G87" s="1"/>
      <c r="H87" s="1"/>
      <c r="I87" s="1"/>
      <c r="J87" s="1"/>
    </row>
  </sheetData>
  <dataValidations count="1">
    <dataValidation type="list" allowBlank="1" showInputMessage="1" showErrorMessage="1" sqref="D4:D87 F4:J18 E4:E25" xr:uid="{C16477D7-30A3-4E11-B3D3-097194333830}">
      <formula1>Attendance_List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Check Box 24">
              <controlPr defaultSize="0" autoFill="0" autoLine="0" autoPict="0">
                <anchor>
                  <from>
                    <xdr:col>2</xdr:col>
                    <xdr:colOff>714375</xdr:colOff>
                    <xdr:row>0</xdr:row>
                    <xdr:rowOff>123825</xdr:rowOff>
                  </from>
                  <to>
                    <xdr:col>5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8E128-57D3-4FC6-84E1-7707ACCE7747}">
  <sheetPr codeName="Sheet3"/>
  <dimension ref="A1:C24"/>
  <sheetViews>
    <sheetView showGridLines="0" workbookViewId="0"/>
  </sheetViews>
  <sheetFormatPr defaultRowHeight="15" x14ac:dyDescent="0.25"/>
  <cols>
    <col min="1" max="1" width="15.5703125" customWidth="1"/>
    <col min="2" max="2" width="15.5703125" style="21" customWidth="1"/>
    <col min="3" max="3" width="15.5703125" customWidth="1"/>
  </cols>
  <sheetData>
    <row r="1" spans="1:3" ht="30" customHeight="1" x14ac:dyDescent="0.25">
      <c r="A1" s="22" t="s">
        <v>99</v>
      </c>
      <c r="B1" s="22" t="s">
        <v>3</v>
      </c>
      <c r="C1" s="22" t="s">
        <v>4</v>
      </c>
    </row>
    <row r="2" spans="1:3" ht="15" customHeight="1" x14ac:dyDescent="0.25">
      <c r="A2" s="23">
        <v>10001</v>
      </c>
      <c r="B2" s="23" t="s">
        <v>58</v>
      </c>
      <c r="C2" s="23" t="s">
        <v>100</v>
      </c>
    </row>
    <row r="3" spans="1:3" ht="15" customHeight="1" x14ac:dyDescent="0.25">
      <c r="A3" s="23">
        <v>10002</v>
      </c>
      <c r="B3" s="23" t="s">
        <v>9</v>
      </c>
      <c r="C3" s="23" t="s">
        <v>103</v>
      </c>
    </row>
    <row r="4" spans="1:3" ht="15" customHeight="1" x14ac:dyDescent="0.25">
      <c r="A4" s="23">
        <v>10003</v>
      </c>
      <c r="B4" s="23" t="s">
        <v>14</v>
      </c>
      <c r="C4" s="23" t="s">
        <v>104</v>
      </c>
    </row>
    <row r="5" spans="1:3" ht="15" customHeight="1" x14ac:dyDescent="0.25">
      <c r="A5" s="23">
        <v>10004</v>
      </c>
      <c r="B5" s="23" t="s">
        <v>63</v>
      </c>
      <c r="C5" s="23" t="s">
        <v>105</v>
      </c>
    </row>
    <row r="6" spans="1:3" ht="15" customHeight="1" x14ac:dyDescent="0.25">
      <c r="A6" s="23">
        <v>10005</v>
      </c>
      <c r="B6" s="23" t="s">
        <v>77</v>
      </c>
      <c r="C6" s="23" t="s">
        <v>105</v>
      </c>
    </row>
    <row r="7" spans="1:3" ht="15" customHeight="1" x14ac:dyDescent="0.25">
      <c r="A7" s="23">
        <v>10006</v>
      </c>
      <c r="B7" s="23" t="s">
        <v>85</v>
      </c>
      <c r="C7" s="23" t="s">
        <v>105</v>
      </c>
    </row>
    <row r="8" spans="1:3" ht="15" customHeight="1" x14ac:dyDescent="0.25">
      <c r="A8" s="23">
        <v>10007</v>
      </c>
      <c r="B8" s="23" t="s">
        <v>106</v>
      </c>
      <c r="C8" s="23" t="s">
        <v>105</v>
      </c>
    </row>
    <row r="9" spans="1:3" ht="15" customHeight="1" x14ac:dyDescent="0.25">
      <c r="A9" s="23">
        <v>10008</v>
      </c>
      <c r="B9" s="23" t="s">
        <v>81</v>
      </c>
      <c r="C9" s="23" t="s">
        <v>105</v>
      </c>
    </row>
    <row r="10" spans="1:3" ht="15" customHeight="1" x14ac:dyDescent="0.25">
      <c r="A10" s="23">
        <v>10009</v>
      </c>
      <c r="B10" s="23" t="s">
        <v>73</v>
      </c>
      <c r="C10" s="23" t="s">
        <v>105</v>
      </c>
    </row>
    <row r="11" spans="1:3" ht="15" customHeight="1" x14ac:dyDescent="0.25">
      <c r="A11" s="23">
        <v>10010</v>
      </c>
      <c r="B11" s="23" t="s">
        <v>68</v>
      </c>
      <c r="C11" s="23" t="s">
        <v>105</v>
      </c>
    </row>
    <row r="12" spans="1:3" ht="15" customHeight="1" x14ac:dyDescent="0.25">
      <c r="A12" s="23">
        <v>10011</v>
      </c>
      <c r="B12" s="23" t="s">
        <v>19</v>
      </c>
      <c r="C12" s="23" t="s">
        <v>104</v>
      </c>
    </row>
    <row r="13" spans="1:3" ht="15" customHeight="1" x14ac:dyDescent="0.25">
      <c r="A13" s="23">
        <v>10012</v>
      </c>
      <c r="B13" s="23" t="s">
        <v>23</v>
      </c>
      <c r="C13" s="23" t="s">
        <v>107</v>
      </c>
    </row>
    <row r="14" spans="1:3" ht="15" customHeight="1" x14ac:dyDescent="0.25">
      <c r="A14" s="23">
        <v>10013</v>
      </c>
      <c r="B14" s="23" t="s">
        <v>28</v>
      </c>
      <c r="C14" s="23" t="s">
        <v>107</v>
      </c>
    </row>
    <row r="15" spans="1:3" ht="15" customHeight="1" x14ac:dyDescent="0.25">
      <c r="A15" s="23">
        <v>10014</v>
      </c>
      <c r="B15" s="23" t="s">
        <v>91</v>
      </c>
      <c r="C15" s="23" t="s">
        <v>108</v>
      </c>
    </row>
    <row r="16" spans="1:3" ht="15" customHeight="1" x14ac:dyDescent="0.25">
      <c r="A16" s="23">
        <v>10015</v>
      </c>
      <c r="B16" s="23" t="s">
        <v>87</v>
      </c>
      <c r="C16" s="23" t="s">
        <v>108</v>
      </c>
    </row>
    <row r="17" spans="1:3" x14ac:dyDescent="0.25">
      <c r="A17" s="23">
        <v>10015</v>
      </c>
      <c r="B17" s="24" t="s">
        <v>32</v>
      </c>
      <c r="C17" s="24" t="s">
        <v>109</v>
      </c>
    </row>
    <row r="18" spans="1:3" x14ac:dyDescent="0.25">
      <c r="A18" s="23">
        <v>10015</v>
      </c>
      <c r="B18" s="24" t="s">
        <v>95</v>
      </c>
      <c r="C18" s="24" t="s">
        <v>108</v>
      </c>
    </row>
    <row r="19" spans="1:3" x14ac:dyDescent="0.25">
      <c r="A19" s="23">
        <v>10015</v>
      </c>
      <c r="B19" s="24" t="s">
        <v>110</v>
      </c>
      <c r="C19" s="24" t="s">
        <v>109</v>
      </c>
    </row>
    <row r="20" spans="1:3" x14ac:dyDescent="0.25">
      <c r="A20" s="23">
        <v>10015</v>
      </c>
      <c r="B20" s="24" t="s">
        <v>37</v>
      </c>
      <c r="C20" s="24" t="s">
        <v>109</v>
      </c>
    </row>
    <row r="21" spans="1:3" x14ac:dyDescent="0.25">
      <c r="A21" s="23">
        <v>10015</v>
      </c>
      <c r="B21" s="24" t="s">
        <v>41</v>
      </c>
      <c r="C21" s="24" t="s">
        <v>111</v>
      </c>
    </row>
    <row r="22" spans="1:3" x14ac:dyDescent="0.25">
      <c r="A22" s="23">
        <v>10015</v>
      </c>
      <c r="B22" s="24" t="s">
        <v>46</v>
      </c>
      <c r="C22" s="24" t="s">
        <v>111</v>
      </c>
    </row>
    <row r="23" spans="1:3" x14ac:dyDescent="0.25">
      <c r="A23" s="23">
        <v>10015</v>
      </c>
      <c r="B23" s="24" t="s">
        <v>49</v>
      </c>
      <c r="C23" s="24" t="s">
        <v>112</v>
      </c>
    </row>
    <row r="24" spans="1:3" x14ac:dyDescent="0.25">
      <c r="A24" s="25"/>
      <c r="B24" s="24"/>
      <c r="C24" s="25"/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446A-9310-469C-AF89-FD280DB5B607}">
  <sheetPr codeName="Sheet4"/>
  <dimension ref="A1:F32"/>
  <sheetViews>
    <sheetView showGridLines="0" workbookViewId="0">
      <pane ySplit="1" topLeftCell="A69" activePane="bottomLeft" state="frozen"/>
      <selection pane="bottomLeft" activeCell="A33" sqref="A33:F103"/>
    </sheetView>
  </sheetViews>
  <sheetFormatPr defaultColWidth="8.7109375" defaultRowHeight="12.75" x14ac:dyDescent="0.2"/>
  <cols>
    <col min="1" max="1" width="13.140625" style="4" customWidth="1"/>
    <col min="2" max="2" width="17.5703125" style="4" customWidth="1"/>
    <col min="3" max="4" width="17" style="4" customWidth="1"/>
    <col min="5" max="5" width="17" style="6" customWidth="1"/>
    <col min="6" max="6" width="17" style="4" customWidth="1"/>
    <col min="7" max="16384" width="8.7109375" style="5"/>
  </cols>
  <sheetData>
    <row r="1" spans="1:6" ht="27.95" customHeight="1" x14ac:dyDescent="0.2">
      <c r="A1" s="10" t="s">
        <v>113</v>
      </c>
      <c r="B1" s="10" t="s">
        <v>99</v>
      </c>
      <c r="C1" s="10" t="s">
        <v>3</v>
      </c>
      <c r="D1" s="10" t="s">
        <v>4</v>
      </c>
      <c r="E1" s="11" t="s">
        <v>114</v>
      </c>
      <c r="F1" s="10" t="s">
        <v>115</v>
      </c>
    </row>
    <row r="2" spans="1:6" x14ac:dyDescent="0.2">
      <c r="A2" s="4" t="s">
        <v>116</v>
      </c>
      <c r="B2" s="4">
        <v>10001</v>
      </c>
      <c r="C2" s="4" t="s">
        <v>58</v>
      </c>
      <c r="D2" s="4" t="s">
        <v>100</v>
      </c>
      <c r="E2" s="6">
        <v>44539</v>
      </c>
      <c r="F2" s="4" t="s">
        <v>101</v>
      </c>
    </row>
    <row r="3" spans="1:6" x14ac:dyDescent="0.2">
      <c r="A3" s="4" t="s">
        <v>117</v>
      </c>
      <c r="B3" s="4">
        <v>10002</v>
      </c>
      <c r="C3" s="4" t="s">
        <v>9</v>
      </c>
      <c r="D3" s="4" t="s">
        <v>103</v>
      </c>
      <c r="E3" s="6">
        <v>44539</v>
      </c>
      <c r="F3" s="4" t="s">
        <v>101</v>
      </c>
    </row>
    <row r="4" spans="1:6" x14ac:dyDescent="0.2">
      <c r="A4" s="4" t="s">
        <v>118</v>
      </c>
      <c r="B4" s="4">
        <v>10003</v>
      </c>
      <c r="C4" s="4" t="s">
        <v>14</v>
      </c>
      <c r="D4" s="4" t="s">
        <v>104</v>
      </c>
      <c r="E4" s="6">
        <v>44539</v>
      </c>
      <c r="F4" s="4" t="s">
        <v>101</v>
      </c>
    </row>
    <row r="5" spans="1:6" x14ac:dyDescent="0.2">
      <c r="A5" s="4" t="s">
        <v>119</v>
      </c>
      <c r="B5" s="4">
        <v>10004</v>
      </c>
      <c r="C5" s="4" t="s">
        <v>63</v>
      </c>
      <c r="D5" s="4" t="s">
        <v>105</v>
      </c>
      <c r="E5" s="6">
        <v>44539</v>
      </c>
      <c r="F5" s="4" t="s">
        <v>101</v>
      </c>
    </row>
    <row r="6" spans="1:6" x14ac:dyDescent="0.2">
      <c r="A6" s="4" t="s">
        <v>120</v>
      </c>
      <c r="B6" s="4">
        <v>10005</v>
      </c>
      <c r="C6" s="4" t="s">
        <v>77</v>
      </c>
      <c r="D6" s="4" t="s">
        <v>105</v>
      </c>
      <c r="E6" s="6">
        <v>44539</v>
      </c>
      <c r="F6" s="4" t="s">
        <v>101</v>
      </c>
    </row>
    <row r="7" spans="1:6" x14ac:dyDescent="0.2">
      <c r="A7" s="4" t="s">
        <v>121</v>
      </c>
      <c r="B7" s="4">
        <v>10006</v>
      </c>
      <c r="C7" s="4" t="s">
        <v>85</v>
      </c>
      <c r="D7" s="4" t="s">
        <v>105</v>
      </c>
      <c r="E7" s="6">
        <v>44539</v>
      </c>
      <c r="F7" s="4" t="s">
        <v>101</v>
      </c>
    </row>
    <row r="8" spans="1:6" x14ac:dyDescent="0.2">
      <c r="A8" s="4" t="s">
        <v>122</v>
      </c>
      <c r="B8" s="4">
        <v>10007</v>
      </c>
      <c r="C8" s="4" t="s">
        <v>106</v>
      </c>
      <c r="D8" s="4" t="s">
        <v>105</v>
      </c>
      <c r="E8" s="6">
        <v>44539</v>
      </c>
      <c r="F8" s="4" t="s">
        <v>101</v>
      </c>
    </row>
    <row r="9" spans="1:6" x14ac:dyDescent="0.2">
      <c r="A9" s="4" t="s">
        <v>123</v>
      </c>
      <c r="B9" s="4">
        <v>10008</v>
      </c>
      <c r="C9" s="4" t="s">
        <v>81</v>
      </c>
      <c r="D9" s="4" t="s">
        <v>105</v>
      </c>
      <c r="E9" s="6">
        <v>44539</v>
      </c>
      <c r="F9" s="4" t="s">
        <v>101</v>
      </c>
    </row>
    <row r="10" spans="1:6" x14ac:dyDescent="0.2">
      <c r="A10" s="4" t="s">
        <v>124</v>
      </c>
      <c r="B10" s="4">
        <v>10009</v>
      </c>
      <c r="C10" s="4" t="s">
        <v>73</v>
      </c>
      <c r="D10" s="4" t="s">
        <v>105</v>
      </c>
      <c r="E10" s="6">
        <v>44539</v>
      </c>
      <c r="F10" s="4" t="s">
        <v>101</v>
      </c>
    </row>
    <row r="11" spans="1:6" x14ac:dyDescent="0.2">
      <c r="A11" s="4" t="s">
        <v>125</v>
      </c>
      <c r="B11" s="4">
        <v>10010</v>
      </c>
      <c r="C11" s="4" t="s">
        <v>68</v>
      </c>
      <c r="D11" s="4" t="s">
        <v>105</v>
      </c>
      <c r="E11" s="6">
        <v>44539</v>
      </c>
      <c r="F11" s="4" t="s">
        <v>101</v>
      </c>
    </row>
    <row r="12" spans="1:6" x14ac:dyDescent="0.2">
      <c r="A12" s="4" t="s">
        <v>126</v>
      </c>
      <c r="B12" s="4">
        <v>10011</v>
      </c>
      <c r="C12" s="4" t="s">
        <v>19</v>
      </c>
      <c r="D12" s="4" t="s">
        <v>104</v>
      </c>
      <c r="E12" s="6">
        <v>44539</v>
      </c>
      <c r="F12" s="4" t="s">
        <v>101</v>
      </c>
    </row>
    <row r="13" spans="1:6" x14ac:dyDescent="0.2">
      <c r="A13" s="4" t="s">
        <v>127</v>
      </c>
      <c r="B13" s="4">
        <v>10012</v>
      </c>
      <c r="C13" s="4" t="s">
        <v>23</v>
      </c>
      <c r="D13" s="4" t="s">
        <v>107</v>
      </c>
      <c r="E13" s="6">
        <v>44539</v>
      </c>
      <c r="F13" s="4" t="s">
        <v>101</v>
      </c>
    </row>
    <row r="14" spans="1:6" x14ac:dyDescent="0.2">
      <c r="A14" s="4" t="s">
        <v>128</v>
      </c>
      <c r="B14" s="4">
        <v>10013</v>
      </c>
      <c r="C14" s="4" t="s">
        <v>28</v>
      </c>
      <c r="D14" s="4" t="s">
        <v>107</v>
      </c>
      <c r="E14" s="6">
        <v>44539</v>
      </c>
      <c r="F14" s="4" t="s">
        <v>101</v>
      </c>
    </row>
    <row r="15" spans="1:6" x14ac:dyDescent="0.2">
      <c r="A15" s="4" t="s">
        <v>129</v>
      </c>
      <c r="B15" s="4">
        <v>10014</v>
      </c>
      <c r="C15" s="4" t="s">
        <v>91</v>
      </c>
      <c r="D15" s="4" t="s">
        <v>108</v>
      </c>
      <c r="E15" s="6">
        <v>44539</v>
      </c>
      <c r="F15" s="4" t="s">
        <v>101</v>
      </c>
    </row>
    <row r="16" spans="1:6" x14ac:dyDescent="0.2">
      <c r="A16" s="4" t="s">
        <v>130</v>
      </c>
      <c r="B16" s="4">
        <v>10015</v>
      </c>
      <c r="C16" s="4" t="s">
        <v>46</v>
      </c>
      <c r="D16" s="4" t="s">
        <v>111</v>
      </c>
      <c r="E16" s="6">
        <v>44539</v>
      </c>
      <c r="F16" s="4" t="s">
        <v>101</v>
      </c>
    </row>
    <row r="17" spans="1:6" x14ac:dyDescent="0.2">
      <c r="A17" s="4" t="s">
        <v>131</v>
      </c>
      <c r="B17" s="4">
        <v>10001</v>
      </c>
      <c r="C17" s="4" t="s">
        <v>58</v>
      </c>
      <c r="D17" s="4" t="s">
        <v>100</v>
      </c>
      <c r="E17" s="6">
        <v>44540</v>
      </c>
      <c r="F17" s="4" t="s">
        <v>102</v>
      </c>
    </row>
    <row r="18" spans="1:6" x14ac:dyDescent="0.2">
      <c r="A18" s="4" t="s">
        <v>132</v>
      </c>
      <c r="B18" s="4">
        <v>10002</v>
      </c>
      <c r="C18" s="4" t="s">
        <v>9</v>
      </c>
      <c r="D18" s="4" t="s">
        <v>103</v>
      </c>
      <c r="E18" s="6">
        <v>44540</v>
      </c>
      <c r="F18" s="4" t="s">
        <v>102</v>
      </c>
    </row>
    <row r="19" spans="1:6" x14ac:dyDescent="0.2">
      <c r="A19" s="4" t="s">
        <v>133</v>
      </c>
      <c r="B19" s="4">
        <v>10003</v>
      </c>
      <c r="C19" s="4" t="s">
        <v>14</v>
      </c>
      <c r="D19" s="4" t="s">
        <v>104</v>
      </c>
      <c r="E19" s="6">
        <v>44540</v>
      </c>
      <c r="F19" s="4" t="s">
        <v>102</v>
      </c>
    </row>
    <row r="20" spans="1:6" x14ac:dyDescent="0.2">
      <c r="A20" s="4" t="s">
        <v>134</v>
      </c>
      <c r="B20" s="4">
        <v>10004</v>
      </c>
      <c r="C20" s="4" t="s">
        <v>63</v>
      </c>
      <c r="D20" s="4" t="s">
        <v>105</v>
      </c>
      <c r="E20" s="6">
        <v>44540</v>
      </c>
      <c r="F20" s="4" t="s">
        <v>102</v>
      </c>
    </row>
    <row r="21" spans="1:6" x14ac:dyDescent="0.2">
      <c r="A21" s="4" t="s">
        <v>135</v>
      </c>
      <c r="B21" s="4">
        <v>10005</v>
      </c>
      <c r="C21" s="4" t="s">
        <v>77</v>
      </c>
      <c r="D21" s="4" t="s">
        <v>105</v>
      </c>
      <c r="E21" s="6">
        <v>44540</v>
      </c>
      <c r="F21" s="4" t="s">
        <v>102</v>
      </c>
    </row>
    <row r="22" spans="1:6" x14ac:dyDescent="0.2">
      <c r="A22" s="4" t="s">
        <v>136</v>
      </c>
      <c r="B22" s="4">
        <v>10006</v>
      </c>
      <c r="C22" s="4" t="s">
        <v>85</v>
      </c>
      <c r="D22" s="4" t="s">
        <v>105</v>
      </c>
      <c r="E22" s="6">
        <v>44540</v>
      </c>
      <c r="F22" s="4" t="s">
        <v>102</v>
      </c>
    </row>
    <row r="23" spans="1:6" x14ac:dyDescent="0.2">
      <c r="A23" s="4" t="s">
        <v>137</v>
      </c>
      <c r="B23" s="4">
        <v>10007</v>
      </c>
      <c r="C23" s="4" t="s">
        <v>106</v>
      </c>
      <c r="D23" s="4" t="s">
        <v>105</v>
      </c>
      <c r="E23" s="6">
        <v>44540</v>
      </c>
      <c r="F23" s="4" t="s">
        <v>102</v>
      </c>
    </row>
    <row r="24" spans="1:6" x14ac:dyDescent="0.2">
      <c r="A24" s="4" t="s">
        <v>138</v>
      </c>
      <c r="B24" s="4">
        <v>10008</v>
      </c>
      <c r="C24" s="4" t="s">
        <v>81</v>
      </c>
      <c r="D24" s="4" t="s">
        <v>105</v>
      </c>
      <c r="E24" s="6">
        <v>44540</v>
      </c>
      <c r="F24" s="4" t="s">
        <v>102</v>
      </c>
    </row>
    <row r="25" spans="1:6" x14ac:dyDescent="0.2">
      <c r="A25" s="4" t="s">
        <v>139</v>
      </c>
      <c r="B25" s="4">
        <v>10009</v>
      </c>
      <c r="C25" s="4" t="s">
        <v>73</v>
      </c>
      <c r="D25" s="4" t="s">
        <v>105</v>
      </c>
      <c r="E25" s="6">
        <v>44540</v>
      </c>
      <c r="F25" s="4" t="s">
        <v>102</v>
      </c>
    </row>
    <row r="26" spans="1:6" x14ac:dyDescent="0.2">
      <c r="A26" s="4" t="s">
        <v>140</v>
      </c>
      <c r="B26" s="4">
        <v>10010</v>
      </c>
      <c r="C26" s="4" t="s">
        <v>68</v>
      </c>
      <c r="D26" s="4" t="s">
        <v>105</v>
      </c>
      <c r="E26" s="6">
        <v>44540</v>
      </c>
      <c r="F26" s="4" t="s">
        <v>102</v>
      </c>
    </row>
    <row r="27" spans="1:6" x14ac:dyDescent="0.2">
      <c r="A27" s="4" t="s">
        <v>141</v>
      </c>
      <c r="B27" s="4">
        <v>10011</v>
      </c>
      <c r="C27" s="4" t="s">
        <v>19</v>
      </c>
      <c r="D27" s="4" t="s">
        <v>104</v>
      </c>
      <c r="E27" s="6">
        <v>44540</v>
      </c>
      <c r="F27" s="4" t="s">
        <v>101</v>
      </c>
    </row>
    <row r="28" spans="1:6" x14ac:dyDescent="0.2">
      <c r="A28" s="4" t="s">
        <v>142</v>
      </c>
      <c r="B28" s="4">
        <v>10012</v>
      </c>
      <c r="C28" s="4" t="s">
        <v>23</v>
      </c>
      <c r="D28" s="4" t="s">
        <v>107</v>
      </c>
      <c r="E28" s="6">
        <v>44540</v>
      </c>
      <c r="F28" s="4" t="s">
        <v>101</v>
      </c>
    </row>
    <row r="29" spans="1:6" x14ac:dyDescent="0.2">
      <c r="A29" s="4" t="s">
        <v>143</v>
      </c>
      <c r="B29" s="4">
        <v>10013</v>
      </c>
      <c r="C29" s="4" t="s">
        <v>28</v>
      </c>
      <c r="D29" s="4" t="s">
        <v>107</v>
      </c>
      <c r="E29" s="6">
        <v>44540</v>
      </c>
      <c r="F29" s="4" t="s">
        <v>101</v>
      </c>
    </row>
    <row r="30" spans="1:6" x14ac:dyDescent="0.2">
      <c r="A30" s="4" t="s">
        <v>144</v>
      </c>
      <c r="B30" s="4">
        <v>10014</v>
      </c>
      <c r="C30" s="4" t="s">
        <v>91</v>
      </c>
      <c r="D30" s="4" t="s">
        <v>108</v>
      </c>
      <c r="E30" s="6">
        <v>44540</v>
      </c>
      <c r="F30" s="4" t="s">
        <v>101</v>
      </c>
    </row>
    <row r="31" spans="1:6" x14ac:dyDescent="0.2">
      <c r="A31" s="4" t="s">
        <v>145</v>
      </c>
      <c r="B31" s="4">
        <v>10015</v>
      </c>
      <c r="C31" s="4" t="s">
        <v>49</v>
      </c>
      <c r="D31" s="4" t="s">
        <v>112</v>
      </c>
      <c r="E31" s="6">
        <v>44540</v>
      </c>
      <c r="F31" s="4" t="s">
        <v>101</v>
      </c>
    </row>
    <row r="32" spans="1:6" x14ac:dyDescent="0.2">
      <c r="A32" s="4" t="s">
        <v>192</v>
      </c>
      <c r="B32" s="4">
        <v>10001</v>
      </c>
      <c r="C32" s="4" t="s">
        <v>58</v>
      </c>
      <c r="D32" s="4" t="s">
        <v>100</v>
      </c>
      <c r="E32" s="6">
        <v>44542</v>
      </c>
      <c r="F32" s="4" t="s">
        <v>191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7E7D-DBB5-48BF-925C-FE163EF534E1}">
  <sheetPr codeName="Sheet2"/>
  <dimension ref="A1:AK100"/>
  <sheetViews>
    <sheetView showGridLines="0" showRowColHeaders="0" workbookViewId="0">
      <pane ySplit="5" topLeftCell="A6" activePane="bottomLeft" state="frozen"/>
      <selection pane="bottomLeft" activeCell="B2" sqref="B2:B3"/>
    </sheetView>
  </sheetViews>
  <sheetFormatPr defaultColWidth="8.7109375" defaultRowHeight="12.75" x14ac:dyDescent="0.2"/>
  <cols>
    <col min="1" max="1" width="8.140625" style="5" customWidth="1"/>
    <col min="2" max="2" width="15.42578125" style="5" customWidth="1"/>
    <col min="3" max="3" width="9.5703125" style="5" customWidth="1"/>
    <col min="4" max="4" width="6.5703125" style="5" bestFit="1" customWidth="1"/>
    <col min="5" max="5" width="6.140625" style="5" bestFit="1" customWidth="1"/>
    <col min="6" max="6" width="5.140625" style="5" bestFit="1" customWidth="1"/>
    <col min="7" max="37" width="3.42578125" style="5" customWidth="1"/>
    <col min="38" max="16384" width="8.7109375" style="5"/>
  </cols>
  <sheetData>
    <row r="1" spans="1:37" ht="8.1" customHeight="1" thickBot="1" x14ac:dyDescent="0.25"/>
    <row r="2" spans="1:37" ht="13.5" thickTop="1" x14ac:dyDescent="0.2">
      <c r="A2" s="132" t="s">
        <v>146</v>
      </c>
      <c r="B2" s="130">
        <v>44593</v>
      </c>
      <c r="H2" s="136">
        <f>SUM(D6:D1048576)</f>
        <v>0</v>
      </c>
      <c r="I2" s="136"/>
      <c r="J2" s="136"/>
      <c r="K2" s="136"/>
      <c r="L2" s="136"/>
      <c r="M2" s="136"/>
      <c r="P2" s="133">
        <f>SUM(E6:E1048576)</f>
        <v>0</v>
      </c>
      <c r="Q2" s="133"/>
      <c r="R2" s="133"/>
      <c r="S2" s="133"/>
      <c r="T2" s="133"/>
      <c r="U2" s="133"/>
      <c r="X2" s="134">
        <f>SUM(F6:F1048576)</f>
        <v>0</v>
      </c>
      <c r="Y2" s="134"/>
      <c r="Z2" s="134"/>
      <c r="AA2" s="134"/>
      <c r="AB2" s="134"/>
      <c r="AC2" s="134"/>
    </row>
    <row r="3" spans="1:37" ht="13.5" thickBot="1" x14ac:dyDescent="0.25">
      <c r="A3" s="132"/>
      <c r="B3" s="131"/>
      <c r="H3" s="136"/>
      <c r="I3" s="136"/>
      <c r="J3" s="136"/>
      <c r="K3" s="136"/>
      <c r="L3" s="136"/>
      <c r="M3" s="136"/>
      <c r="P3" s="133"/>
      <c r="Q3" s="133"/>
      <c r="R3" s="133"/>
      <c r="S3" s="133"/>
      <c r="T3" s="133"/>
      <c r="U3" s="133"/>
      <c r="X3" s="134"/>
      <c r="Y3" s="134"/>
      <c r="Z3" s="134"/>
      <c r="AA3" s="134"/>
      <c r="AB3" s="134"/>
      <c r="AC3" s="134"/>
    </row>
    <row r="4" spans="1:37" ht="18.95" customHeight="1" thickTop="1" x14ac:dyDescent="0.2">
      <c r="H4" s="135" t="s">
        <v>147</v>
      </c>
      <c r="I4" s="135"/>
      <c r="J4" s="135"/>
      <c r="K4" s="135"/>
      <c r="L4" s="135"/>
      <c r="M4" s="135"/>
      <c r="N4" s="13"/>
      <c r="O4" s="13"/>
      <c r="P4" s="135" t="s">
        <v>148</v>
      </c>
      <c r="Q4" s="135"/>
      <c r="R4" s="135"/>
      <c r="S4" s="135"/>
      <c r="T4" s="135"/>
      <c r="U4" s="135"/>
      <c r="V4" s="13"/>
      <c r="W4" s="13"/>
      <c r="X4" s="135" t="s">
        <v>149</v>
      </c>
      <c r="Y4" s="135"/>
      <c r="Z4" s="135"/>
      <c r="AA4" s="135"/>
      <c r="AB4" s="135"/>
      <c r="AC4" s="135"/>
    </row>
    <row r="5" spans="1:37" x14ac:dyDescent="0.2">
      <c r="A5" s="14" t="s">
        <v>99</v>
      </c>
      <c r="B5" s="14" t="s">
        <v>3</v>
      </c>
      <c r="C5" s="14" t="s">
        <v>4</v>
      </c>
      <c r="D5" s="14" t="s">
        <v>147</v>
      </c>
      <c r="E5" s="14" t="s">
        <v>148</v>
      </c>
      <c r="F5" s="15" t="s">
        <v>149</v>
      </c>
      <c r="G5" s="16">
        <f>B2</f>
        <v>44593</v>
      </c>
      <c r="H5" s="16">
        <f>G5+1</f>
        <v>44594</v>
      </c>
      <c r="I5" s="16">
        <f t="shared" ref="I5:AH5" si="0">H5+1</f>
        <v>44595</v>
      </c>
      <c r="J5" s="16">
        <f t="shared" si="0"/>
        <v>44596</v>
      </c>
      <c r="K5" s="16">
        <f t="shared" si="0"/>
        <v>44597</v>
      </c>
      <c r="L5" s="16">
        <f t="shared" si="0"/>
        <v>44598</v>
      </c>
      <c r="M5" s="16">
        <f t="shared" si="0"/>
        <v>44599</v>
      </c>
      <c r="N5" s="16">
        <f t="shared" si="0"/>
        <v>44600</v>
      </c>
      <c r="O5" s="16">
        <f t="shared" si="0"/>
        <v>44601</v>
      </c>
      <c r="P5" s="16">
        <f t="shared" si="0"/>
        <v>44602</v>
      </c>
      <c r="Q5" s="16">
        <f t="shared" si="0"/>
        <v>44603</v>
      </c>
      <c r="R5" s="16">
        <f t="shared" si="0"/>
        <v>44604</v>
      </c>
      <c r="S5" s="16">
        <f t="shared" si="0"/>
        <v>44605</v>
      </c>
      <c r="T5" s="16">
        <f t="shared" si="0"/>
        <v>44606</v>
      </c>
      <c r="U5" s="16">
        <f t="shared" si="0"/>
        <v>44607</v>
      </c>
      <c r="V5" s="16">
        <f t="shared" si="0"/>
        <v>44608</v>
      </c>
      <c r="W5" s="16">
        <f t="shared" si="0"/>
        <v>44609</v>
      </c>
      <c r="X5" s="16">
        <f t="shared" si="0"/>
        <v>44610</v>
      </c>
      <c r="Y5" s="16">
        <f t="shared" si="0"/>
        <v>44611</v>
      </c>
      <c r="Z5" s="16">
        <f t="shared" si="0"/>
        <v>44612</v>
      </c>
      <c r="AA5" s="16">
        <f t="shared" si="0"/>
        <v>44613</v>
      </c>
      <c r="AB5" s="16">
        <f t="shared" si="0"/>
        <v>44614</v>
      </c>
      <c r="AC5" s="16">
        <f t="shared" si="0"/>
        <v>44615</v>
      </c>
      <c r="AD5" s="16">
        <f t="shared" si="0"/>
        <v>44616</v>
      </c>
      <c r="AE5" s="16">
        <f t="shared" si="0"/>
        <v>44617</v>
      </c>
      <c r="AF5" s="16">
        <f t="shared" si="0"/>
        <v>44618</v>
      </c>
      <c r="AG5" s="16">
        <f>AF5+1</f>
        <v>44619</v>
      </c>
      <c r="AH5" s="16">
        <f t="shared" si="0"/>
        <v>44620</v>
      </c>
      <c r="AI5" s="16" t="str">
        <f>IF(DAY(AH5+1)&lt;=3,"",AH5+1)</f>
        <v/>
      </c>
      <c r="AJ5" s="16" t="str">
        <f>IF(DAY(AH5+2)&lt;=3,"",AH5+2)</f>
        <v/>
      </c>
      <c r="AK5" s="16" t="str">
        <f>IF(DAY(AH5+3)&lt;=3,"",AH5+3)</f>
        <v/>
      </c>
    </row>
    <row r="6" spans="1:37" x14ac:dyDescent="0.2">
      <c r="A6" s="17">
        <f>IF('Employee Master'!A2="","",'Employee Master'!A2)</f>
        <v>10001</v>
      </c>
      <c r="B6" s="18" t="str">
        <f>IF('Employee Master'!B2="","",'Employee Master'!B2)</f>
        <v>alexis.abeyta</v>
      </c>
      <c r="C6" s="18" t="str">
        <f>IF('Employee Master'!C2="","",'Employee Master'!C2)</f>
        <v>Wave-64</v>
      </c>
      <c r="D6" s="19">
        <f>COUNTIF(G6:AK6,"P")</f>
        <v>0</v>
      </c>
      <c r="E6" s="19">
        <f>COUNTIF(G6:AK6,"A")</f>
        <v>0</v>
      </c>
      <c r="F6" s="19">
        <f>COUNTIF(G6:AK6,"L")</f>
        <v>0</v>
      </c>
      <c r="G6" s="20" t="str">
        <f>IFERROR(VLOOKUP($A6&amp;"_"&amp;G$5,Database!$A:$F,6,0),"")</f>
        <v/>
      </c>
      <c r="H6" s="20" t="str">
        <f>IFERROR(VLOOKUP($A6&amp;"_"&amp;H$5,Database!$A:$F,6,0),"")</f>
        <v/>
      </c>
      <c r="I6" s="20" t="str">
        <f>IFERROR(VLOOKUP($A6&amp;"_"&amp;I$5,Database!$A:$F,6,0),"")</f>
        <v/>
      </c>
      <c r="J6" s="20" t="str">
        <f>IFERROR(VLOOKUP($A6&amp;"_"&amp;J$5,Database!$A:$F,6,0),"")</f>
        <v/>
      </c>
      <c r="K6" s="20" t="str">
        <f>IFERROR(VLOOKUP($A6&amp;"_"&amp;K$5,Database!$A:$F,6,0),"")</f>
        <v/>
      </c>
      <c r="L6" s="20" t="str">
        <f>IFERROR(VLOOKUP($A6&amp;"_"&amp;L$5,Database!$A:$F,6,0),"")</f>
        <v/>
      </c>
      <c r="M6" s="20" t="str">
        <f>IFERROR(VLOOKUP($A6&amp;"_"&amp;M$5,Database!$A:$F,6,0),"")</f>
        <v/>
      </c>
      <c r="N6" s="20" t="str">
        <f>IFERROR(VLOOKUP($A6&amp;"_"&amp;N$5,Database!$A:$F,6,0),"")</f>
        <v/>
      </c>
      <c r="O6" s="20" t="str">
        <f>IFERROR(VLOOKUP($A6&amp;"_"&amp;O$5,Database!$A:$F,6,0),"")</f>
        <v/>
      </c>
      <c r="P6" s="20" t="str">
        <f>IFERROR(VLOOKUP($A6&amp;"_"&amp;P$5,Database!$A:$F,6,0),"")</f>
        <v/>
      </c>
      <c r="Q6" s="20" t="str">
        <f>IFERROR(VLOOKUP($A6&amp;"_"&amp;Q$5,Database!$A:$F,6,0),"")</f>
        <v/>
      </c>
      <c r="R6" s="20" t="str">
        <f>IFERROR(VLOOKUP($A6&amp;"_"&amp;R$5,Database!$A:$F,6,0),"")</f>
        <v/>
      </c>
      <c r="S6" s="20" t="str">
        <f>IFERROR(VLOOKUP($A6&amp;"_"&amp;S$5,Database!$A:$F,6,0),"")</f>
        <v/>
      </c>
      <c r="T6" s="20" t="str">
        <f>IFERROR(VLOOKUP($A6&amp;"_"&amp;T$5,Database!$A:$F,6,0),"")</f>
        <v/>
      </c>
      <c r="U6" s="20" t="str">
        <f>IFERROR(VLOOKUP($A6&amp;"_"&amp;U$5,Database!$A:$F,6,0),"")</f>
        <v/>
      </c>
      <c r="V6" s="20" t="str">
        <f>IFERROR(VLOOKUP($A6&amp;"_"&amp;V$5,Database!$A:$F,6,0),"")</f>
        <v/>
      </c>
      <c r="W6" s="20" t="str">
        <f>IFERROR(VLOOKUP($A6&amp;"_"&amp;W$5,Database!$A:$F,6,0),"")</f>
        <v/>
      </c>
      <c r="X6" s="20" t="str">
        <f>IFERROR(VLOOKUP($A6&amp;"_"&amp;X$5,Database!$A:$F,6,0),"")</f>
        <v/>
      </c>
      <c r="Y6" s="20" t="str">
        <f>IFERROR(VLOOKUP($A6&amp;"_"&amp;Y$5,Database!$A:$F,6,0),"")</f>
        <v/>
      </c>
      <c r="Z6" s="20" t="str">
        <f>IFERROR(VLOOKUP($A6&amp;"_"&amp;Z$5,Database!$A:$F,6,0),"")</f>
        <v/>
      </c>
      <c r="AA6" s="20" t="str">
        <f>IFERROR(VLOOKUP($A6&amp;"_"&amp;AA$5,Database!$A:$F,6,0),"")</f>
        <v/>
      </c>
      <c r="AB6" s="20" t="str">
        <f>IFERROR(VLOOKUP($A6&amp;"_"&amp;AB$5,Database!$A:$F,6,0),"")</f>
        <v/>
      </c>
      <c r="AC6" s="20" t="str">
        <f>IFERROR(VLOOKUP($A6&amp;"_"&amp;AC$5,Database!$A:$F,6,0),"")</f>
        <v/>
      </c>
      <c r="AD6" s="20" t="str">
        <f>IFERROR(VLOOKUP($A6&amp;"_"&amp;AD$5,Database!$A:$F,6,0),"")</f>
        <v/>
      </c>
      <c r="AE6" s="20" t="str">
        <f>IFERROR(VLOOKUP($A6&amp;"_"&amp;AE$5,Database!$A:$F,6,0),"")</f>
        <v/>
      </c>
      <c r="AF6" s="20" t="str">
        <f>IFERROR(VLOOKUP($A6&amp;"_"&amp;AF$5,Database!$A:$F,6,0),"")</f>
        <v/>
      </c>
      <c r="AG6" s="20" t="str">
        <f>IFERROR(VLOOKUP($A6&amp;"_"&amp;AG$5,Database!$A:$F,6,0),"")</f>
        <v/>
      </c>
      <c r="AH6" s="20" t="str">
        <f>IFERROR(VLOOKUP($A6&amp;"_"&amp;AH$5,Database!$A:$F,6,0),"")</f>
        <v/>
      </c>
      <c r="AI6" s="20" t="str">
        <f>IFERROR(VLOOKUP($A6&amp;"_"&amp;AI$5,Database!$A:$F,6,0),"")</f>
        <v/>
      </c>
      <c r="AJ6" s="20" t="str">
        <f>IFERROR(VLOOKUP($A6&amp;"_"&amp;AJ$5,Database!$A:$F,6,0),"")</f>
        <v/>
      </c>
      <c r="AK6" s="20" t="str">
        <f>IFERROR(VLOOKUP($A6&amp;"_"&amp;AK$5,Database!$A:$F,6,0),"")</f>
        <v/>
      </c>
    </row>
    <row r="7" spans="1:37" x14ac:dyDescent="0.2">
      <c r="A7" s="17">
        <f>IF('Employee Master'!A3="","",'Employee Master'!A3)</f>
        <v>10002</v>
      </c>
      <c r="B7" s="18" t="str">
        <f>IF('Employee Master'!B3="","",'Employee Master'!B3)</f>
        <v>brianna.mercer</v>
      </c>
      <c r="C7" s="18" t="str">
        <f>IF('Employee Master'!C3="","",'Employee Master'!C3)</f>
        <v>Wave-46</v>
      </c>
      <c r="D7" s="19">
        <f t="shared" ref="D7:D20" si="1">COUNTIF(G7:AK7,"P")</f>
        <v>0</v>
      </c>
      <c r="E7" s="19">
        <f t="shared" ref="E7:E20" si="2">COUNTIF(G7:AK7,"A")</f>
        <v>0</v>
      </c>
      <c r="F7" s="19">
        <f t="shared" ref="F7:F20" si="3">COUNTIF(G7:AK7,"L")</f>
        <v>0</v>
      </c>
      <c r="G7" s="20" t="str">
        <f>IFERROR(VLOOKUP($A7&amp;"_"&amp;G$5,Database!$A:$F,6,0),"")</f>
        <v/>
      </c>
      <c r="H7" s="20" t="str">
        <f>IFERROR(VLOOKUP($A7&amp;"_"&amp;H$5,Database!$A:$F,6,0),"")</f>
        <v/>
      </c>
      <c r="I7" s="20" t="str">
        <f>IFERROR(VLOOKUP($A7&amp;"_"&amp;I$5,Database!$A:$F,6,0),"")</f>
        <v/>
      </c>
      <c r="J7" s="20" t="str">
        <f>IFERROR(VLOOKUP($A7&amp;"_"&amp;J$5,Database!$A:$F,6,0),"")</f>
        <v/>
      </c>
      <c r="K7" s="20" t="str">
        <f>IFERROR(VLOOKUP($A7&amp;"_"&amp;K$5,Database!$A:$F,6,0),"")</f>
        <v/>
      </c>
      <c r="L7" s="20" t="str">
        <f>IFERROR(VLOOKUP($A7&amp;"_"&amp;L$5,Database!$A:$F,6,0),"")</f>
        <v/>
      </c>
      <c r="M7" s="20" t="str">
        <f>IFERROR(VLOOKUP($A7&amp;"_"&amp;M$5,Database!$A:$F,6,0),"")</f>
        <v/>
      </c>
      <c r="N7" s="20" t="str">
        <f>IFERROR(VLOOKUP($A7&amp;"_"&amp;N$5,Database!$A:$F,6,0),"")</f>
        <v/>
      </c>
      <c r="O7" s="20" t="str">
        <f>IFERROR(VLOOKUP($A7&amp;"_"&amp;O$5,Database!$A:$F,6,0),"")</f>
        <v/>
      </c>
      <c r="P7" s="20" t="str">
        <f>IFERROR(VLOOKUP($A7&amp;"_"&amp;P$5,Database!$A:$F,6,0),"")</f>
        <v/>
      </c>
      <c r="Q7" s="20" t="str">
        <f>IFERROR(VLOOKUP($A7&amp;"_"&amp;Q$5,Database!$A:$F,6,0),"")</f>
        <v/>
      </c>
      <c r="R7" s="20" t="str">
        <f>IFERROR(VLOOKUP($A7&amp;"_"&amp;R$5,Database!$A:$F,6,0),"")</f>
        <v/>
      </c>
      <c r="S7" s="20" t="str">
        <f>IFERROR(VLOOKUP($A7&amp;"_"&amp;S$5,Database!$A:$F,6,0),"")</f>
        <v/>
      </c>
      <c r="T7" s="20" t="str">
        <f>IFERROR(VLOOKUP($A7&amp;"_"&amp;T$5,Database!$A:$F,6,0),"")</f>
        <v/>
      </c>
      <c r="U7" s="20" t="str">
        <f>IFERROR(VLOOKUP($A7&amp;"_"&amp;U$5,Database!$A:$F,6,0),"")</f>
        <v/>
      </c>
      <c r="V7" s="20" t="str">
        <f>IFERROR(VLOOKUP($A7&amp;"_"&amp;V$5,Database!$A:$F,6,0),"")</f>
        <v/>
      </c>
      <c r="W7" s="20" t="str">
        <f>IFERROR(VLOOKUP($A7&amp;"_"&amp;W$5,Database!$A:$F,6,0),"")</f>
        <v/>
      </c>
      <c r="X7" s="20" t="str">
        <f>IFERROR(VLOOKUP($A7&amp;"_"&amp;X$5,Database!$A:$F,6,0),"")</f>
        <v/>
      </c>
      <c r="Y7" s="20" t="str">
        <f>IFERROR(VLOOKUP($A7&amp;"_"&amp;Y$5,Database!$A:$F,6,0),"")</f>
        <v/>
      </c>
      <c r="Z7" s="20" t="str">
        <f>IFERROR(VLOOKUP($A7&amp;"_"&amp;Z$5,Database!$A:$F,6,0),"")</f>
        <v/>
      </c>
      <c r="AA7" s="20" t="str">
        <f>IFERROR(VLOOKUP($A7&amp;"_"&amp;AA$5,Database!$A:$F,6,0),"")</f>
        <v/>
      </c>
      <c r="AB7" s="20" t="str">
        <f>IFERROR(VLOOKUP($A7&amp;"_"&amp;AB$5,Database!$A:$F,6,0),"")</f>
        <v/>
      </c>
      <c r="AC7" s="20" t="str">
        <f>IFERROR(VLOOKUP($A7&amp;"_"&amp;AC$5,Database!$A:$F,6,0),"")</f>
        <v/>
      </c>
      <c r="AD7" s="20" t="str">
        <f>IFERROR(VLOOKUP($A7&amp;"_"&amp;AD$5,Database!$A:$F,6,0),"")</f>
        <v/>
      </c>
      <c r="AE7" s="20" t="str">
        <f>IFERROR(VLOOKUP($A7&amp;"_"&amp;AE$5,Database!$A:$F,6,0),"")</f>
        <v/>
      </c>
      <c r="AF7" s="20" t="str">
        <f>IFERROR(VLOOKUP($A7&amp;"_"&amp;AF$5,Database!$A:$F,6,0),"")</f>
        <v/>
      </c>
      <c r="AG7" s="20" t="str">
        <f>IFERROR(VLOOKUP($A7&amp;"_"&amp;AG$5,Database!$A:$F,6,0),"")</f>
        <v/>
      </c>
      <c r="AH7" s="20" t="str">
        <f>IFERROR(VLOOKUP($A7&amp;"_"&amp;AH$5,Database!$A:$F,6,0),"")</f>
        <v/>
      </c>
      <c r="AI7" s="20" t="str">
        <f>IFERROR(VLOOKUP($A7&amp;"_"&amp;AI$5,Database!$A:$F,6,0),"")</f>
        <v/>
      </c>
      <c r="AJ7" s="20" t="str">
        <f>IFERROR(VLOOKUP($A7&amp;"_"&amp;AJ$5,Database!$A:$F,6,0),"")</f>
        <v/>
      </c>
      <c r="AK7" s="20" t="str">
        <f>IFERROR(VLOOKUP($A7&amp;"_"&amp;AK$5,Database!$A:$F,6,0),"")</f>
        <v/>
      </c>
    </row>
    <row r="8" spans="1:37" x14ac:dyDescent="0.2">
      <c r="A8" s="17">
        <f>IF('Employee Master'!A4="","",'Employee Master'!A4)</f>
        <v>10003</v>
      </c>
      <c r="B8" s="18" t="str">
        <f>IF('Employee Master'!B4="","",'Employee Master'!B4)</f>
        <v>catera.clark</v>
      </c>
      <c r="C8" s="18" t="str">
        <f>IF('Employee Master'!C4="","",'Employee Master'!C4)</f>
        <v>Wave-57</v>
      </c>
      <c r="D8" s="19">
        <f t="shared" si="1"/>
        <v>0</v>
      </c>
      <c r="E8" s="19">
        <f t="shared" si="2"/>
        <v>0</v>
      </c>
      <c r="F8" s="19">
        <f t="shared" si="3"/>
        <v>0</v>
      </c>
      <c r="G8" s="20" t="str">
        <f>IFERROR(VLOOKUP($A8&amp;"_"&amp;G$5,Database!$A:$F,6,0),"")</f>
        <v/>
      </c>
      <c r="H8" s="20" t="str">
        <f>IFERROR(VLOOKUP($A8&amp;"_"&amp;H$5,Database!$A:$F,6,0),"")</f>
        <v/>
      </c>
      <c r="I8" s="20" t="str">
        <f>IFERROR(VLOOKUP($A8&amp;"_"&amp;I$5,Database!$A:$F,6,0),"")</f>
        <v/>
      </c>
      <c r="J8" s="20" t="str">
        <f>IFERROR(VLOOKUP($A8&amp;"_"&amp;J$5,Database!$A:$F,6,0),"")</f>
        <v/>
      </c>
      <c r="K8" s="20" t="str">
        <f>IFERROR(VLOOKUP($A8&amp;"_"&amp;K$5,Database!$A:$F,6,0),"")</f>
        <v/>
      </c>
      <c r="L8" s="20" t="str">
        <f>IFERROR(VLOOKUP($A8&amp;"_"&amp;L$5,Database!$A:$F,6,0),"")</f>
        <v/>
      </c>
      <c r="M8" s="20" t="str">
        <f>IFERROR(VLOOKUP($A8&amp;"_"&amp;M$5,Database!$A:$F,6,0),"")</f>
        <v/>
      </c>
      <c r="N8" s="20" t="str">
        <f>IFERROR(VLOOKUP($A8&amp;"_"&amp;N$5,Database!$A:$F,6,0),"")</f>
        <v/>
      </c>
      <c r="O8" s="20" t="str">
        <f>IFERROR(VLOOKUP($A8&amp;"_"&amp;O$5,Database!$A:$F,6,0),"")</f>
        <v/>
      </c>
      <c r="P8" s="20" t="str">
        <f>IFERROR(VLOOKUP($A8&amp;"_"&amp;P$5,Database!$A:$F,6,0),"")</f>
        <v/>
      </c>
      <c r="Q8" s="20" t="str">
        <f>IFERROR(VLOOKUP($A8&amp;"_"&amp;Q$5,Database!$A:$F,6,0),"")</f>
        <v/>
      </c>
      <c r="R8" s="20" t="str">
        <f>IFERROR(VLOOKUP($A8&amp;"_"&amp;R$5,Database!$A:$F,6,0),"")</f>
        <v/>
      </c>
      <c r="S8" s="20" t="str">
        <f>IFERROR(VLOOKUP($A8&amp;"_"&amp;S$5,Database!$A:$F,6,0),"")</f>
        <v/>
      </c>
      <c r="T8" s="20" t="str">
        <f>IFERROR(VLOOKUP($A8&amp;"_"&amp;T$5,Database!$A:$F,6,0),"")</f>
        <v/>
      </c>
      <c r="U8" s="20" t="str">
        <f>IFERROR(VLOOKUP($A8&amp;"_"&amp;U$5,Database!$A:$F,6,0),"")</f>
        <v/>
      </c>
      <c r="V8" s="20" t="str">
        <f>IFERROR(VLOOKUP($A8&amp;"_"&amp;V$5,Database!$A:$F,6,0),"")</f>
        <v/>
      </c>
      <c r="W8" s="20" t="str">
        <f>IFERROR(VLOOKUP($A8&amp;"_"&amp;W$5,Database!$A:$F,6,0),"")</f>
        <v/>
      </c>
      <c r="X8" s="20" t="str">
        <f>IFERROR(VLOOKUP($A8&amp;"_"&amp;X$5,Database!$A:$F,6,0),"")</f>
        <v/>
      </c>
      <c r="Y8" s="20" t="str">
        <f>IFERROR(VLOOKUP($A8&amp;"_"&amp;Y$5,Database!$A:$F,6,0),"")</f>
        <v/>
      </c>
      <c r="Z8" s="20" t="str">
        <f>IFERROR(VLOOKUP($A8&amp;"_"&amp;Z$5,Database!$A:$F,6,0),"")</f>
        <v/>
      </c>
      <c r="AA8" s="20" t="str">
        <f>IFERROR(VLOOKUP($A8&amp;"_"&amp;AA$5,Database!$A:$F,6,0),"")</f>
        <v/>
      </c>
      <c r="AB8" s="20" t="str">
        <f>IFERROR(VLOOKUP($A8&amp;"_"&amp;AB$5,Database!$A:$F,6,0),"")</f>
        <v/>
      </c>
      <c r="AC8" s="20" t="str">
        <f>IFERROR(VLOOKUP($A8&amp;"_"&amp;AC$5,Database!$A:$F,6,0),"")</f>
        <v/>
      </c>
      <c r="AD8" s="20" t="str">
        <f>IFERROR(VLOOKUP($A8&amp;"_"&amp;AD$5,Database!$A:$F,6,0),"")</f>
        <v/>
      </c>
      <c r="AE8" s="20" t="str">
        <f>IFERROR(VLOOKUP($A8&amp;"_"&amp;AE$5,Database!$A:$F,6,0),"")</f>
        <v/>
      </c>
      <c r="AF8" s="20" t="str">
        <f>IFERROR(VLOOKUP($A8&amp;"_"&amp;AF$5,Database!$A:$F,6,0),"")</f>
        <v/>
      </c>
      <c r="AG8" s="20" t="str">
        <f>IFERROR(VLOOKUP($A8&amp;"_"&amp;AG$5,Database!$A:$F,6,0),"")</f>
        <v/>
      </c>
      <c r="AH8" s="20" t="str">
        <f>IFERROR(VLOOKUP($A8&amp;"_"&amp;AH$5,Database!$A:$F,6,0),"")</f>
        <v/>
      </c>
      <c r="AI8" s="20" t="str">
        <f>IFERROR(VLOOKUP($A8&amp;"_"&amp;AI$5,Database!$A:$F,6,0),"")</f>
        <v/>
      </c>
      <c r="AJ8" s="20" t="str">
        <f>IFERROR(VLOOKUP($A8&amp;"_"&amp;AJ$5,Database!$A:$F,6,0),"")</f>
        <v/>
      </c>
      <c r="AK8" s="20" t="str">
        <f>IFERROR(VLOOKUP($A8&amp;"_"&amp;AK$5,Database!$A:$F,6,0),"")</f>
        <v/>
      </c>
    </row>
    <row r="9" spans="1:37" x14ac:dyDescent="0.2">
      <c r="A9" s="17">
        <f>IF('Employee Master'!A5="","",'Employee Master'!A5)</f>
        <v>10004</v>
      </c>
      <c r="B9" s="18" t="str">
        <f>IF('Employee Master'!B5="","",'Employee Master'!B5)</f>
        <v>dyasia.downing</v>
      </c>
      <c r="C9" s="18" t="str">
        <f>IF('Employee Master'!C5="","",'Employee Master'!C5)</f>
        <v>Wave-66</v>
      </c>
      <c r="D9" s="19">
        <f t="shared" si="1"/>
        <v>0</v>
      </c>
      <c r="E9" s="19">
        <f t="shared" si="2"/>
        <v>0</v>
      </c>
      <c r="F9" s="19">
        <f t="shared" si="3"/>
        <v>0</v>
      </c>
      <c r="G9" s="20" t="str">
        <f>IFERROR(VLOOKUP($A9&amp;"_"&amp;G$5,Database!$A:$F,6,0),"")</f>
        <v/>
      </c>
      <c r="H9" s="20" t="str">
        <f>IFERROR(VLOOKUP($A9&amp;"_"&amp;H$5,Database!$A:$F,6,0),"")</f>
        <v/>
      </c>
      <c r="I9" s="20" t="str">
        <f>IFERROR(VLOOKUP($A9&amp;"_"&amp;I$5,Database!$A:$F,6,0),"")</f>
        <v/>
      </c>
      <c r="J9" s="20" t="str">
        <f>IFERROR(VLOOKUP($A9&amp;"_"&amp;J$5,Database!$A:$F,6,0),"")</f>
        <v/>
      </c>
      <c r="K9" s="20" t="str">
        <f>IFERROR(VLOOKUP($A9&amp;"_"&amp;K$5,Database!$A:$F,6,0),"")</f>
        <v/>
      </c>
      <c r="L9" s="20" t="str">
        <f>IFERROR(VLOOKUP($A9&amp;"_"&amp;L$5,Database!$A:$F,6,0),"")</f>
        <v/>
      </c>
      <c r="M9" s="20" t="str">
        <f>IFERROR(VLOOKUP($A9&amp;"_"&amp;M$5,Database!$A:$F,6,0),"")</f>
        <v/>
      </c>
      <c r="N9" s="20" t="str">
        <f>IFERROR(VLOOKUP($A9&amp;"_"&amp;N$5,Database!$A:$F,6,0),"")</f>
        <v/>
      </c>
      <c r="O9" s="20" t="str">
        <f>IFERROR(VLOOKUP($A9&amp;"_"&amp;O$5,Database!$A:$F,6,0),"")</f>
        <v/>
      </c>
      <c r="P9" s="20" t="str">
        <f>IFERROR(VLOOKUP($A9&amp;"_"&amp;P$5,Database!$A:$F,6,0),"")</f>
        <v/>
      </c>
      <c r="Q9" s="20" t="str">
        <f>IFERROR(VLOOKUP($A9&amp;"_"&amp;Q$5,Database!$A:$F,6,0),"")</f>
        <v/>
      </c>
      <c r="R9" s="20" t="str">
        <f>IFERROR(VLOOKUP($A9&amp;"_"&amp;R$5,Database!$A:$F,6,0),"")</f>
        <v/>
      </c>
      <c r="S9" s="20" t="str">
        <f>IFERROR(VLOOKUP($A9&amp;"_"&amp;S$5,Database!$A:$F,6,0),"")</f>
        <v/>
      </c>
      <c r="T9" s="20" t="str">
        <f>IFERROR(VLOOKUP($A9&amp;"_"&amp;T$5,Database!$A:$F,6,0),"")</f>
        <v/>
      </c>
      <c r="U9" s="20" t="str">
        <f>IFERROR(VLOOKUP($A9&amp;"_"&amp;U$5,Database!$A:$F,6,0),"")</f>
        <v/>
      </c>
      <c r="V9" s="20" t="str">
        <f>IFERROR(VLOOKUP($A9&amp;"_"&amp;V$5,Database!$A:$F,6,0),"")</f>
        <v/>
      </c>
      <c r="W9" s="20" t="str">
        <f>IFERROR(VLOOKUP($A9&amp;"_"&amp;W$5,Database!$A:$F,6,0),"")</f>
        <v/>
      </c>
      <c r="X9" s="20" t="str">
        <f>IFERROR(VLOOKUP($A9&amp;"_"&amp;X$5,Database!$A:$F,6,0),"")</f>
        <v/>
      </c>
      <c r="Y9" s="20" t="str">
        <f>IFERROR(VLOOKUP($A9&amp;"_"&amp;Y$5,Database!$A:$F,6,0),"")</f>
        <v/>
      </c>
      <c r="Z9" s="20" t="str">
        <f>IFERROR(VLOOKUP($A9&amp;"_"&amp;Z$5,Database!$A:$F,6,0),"")</f>
        <v/>
      </c>
      <c r="AA9" s="20" t="str">
        <f>IFERROR(VLOOKUP($A9&amp;"_"&amp;AA$5,Database!$A:$F,6,0),"")</f>
        <v/>
      </c>
      <c r="AB9" s="20" t="str">
        <f>IFERROR(VLOOKUP($A9&amp;"_"&amp;AB$5,Database!$A:$F,6,0),"")</f>
        <v/>
      </c>
      <c r="AC9" s="20" t="str">
        <f>IFERROR(VLOOKUP($A9&amp;"_"&amp;AC$5,Database!$A:$F,6,0),"")</f>
        <v/>
      </c>
      <c r="AD9" s="20" t="str">
        <f>IFERROR(VLOOKUP($A9&amp;"_"&amp;AD$5,Database!$A:$F,6,0),"")</f>
        <v/>
      </c>
      <c r="AE9" s="20" t="str">
        <f>IFERROR(VLOOKUP($A9&amp;"_"&amp;AE$5,Database!$A:$F,6,0),"")</f>
        <v/>
      </c>
      <c r="AF9" s="20" t="str">
        <f>IFERROR(VLOOKUP($A9&amp;"_"&amp;AF$5,Database!$A:$F,6,0),"")</f>
        <v/>
      </c>
      <c r="AG9" s="20" t="str">
        <f>IFERROR(VLOOKUP($A9&amp;"_"&amp;AG$5,Database!$A:$F,6,0),"")</f>
        <v/>
      </c>
      <c r="AH9" s="20" t="str">
        <f>IFERROR(VLOOKUP($A9&amp;"_"&amp;AH$5,Database!$A:$F,6,0),"")</f>
        <v/>
      </c>
      <c r="AI9" s="20" t="str">
        <f>IFERROR(VLOOKUP($A9&amp;"_"&amp;AI$5,Database!$A:$F,6,0),"")</f>
        <v/>
      </c>
      <c r="AJ9" s="20" t="str">
        <f>IFERROR(VLOOKUP($A9&amp;"_"&amp;AJ$5,Database!$A:$F,6,0),"")</f>
        <v/>
      </c>
      <c r="AK9" s="20" t="str">
        <f>IFERROR(VLOOKUP($A9&amp;"_"&amp;AK$5,Database!$A:$F,6,0),"")</f>
        <v/>
      </c>
    </row>
    <row r="10" spans="1:37" x14ac:dyDescent="0.2">
      <c r="A10" s="17">
        <f>IF('Employee Master'!A6="","",'Employee Master'!A6)</f>
        <v>10005</v>
      </c>
      <c r="B10" s="18" t="str">
        <f>IF('Employee Master'!B6="","",'Employee Master'!B6)</f>
        <v>elizabeth.greig</v>
      </c>
      <c r="C10" s="18" t="str">
        <f>IF('Employee Master'!C6="","",'Employee Master'!C6)</f>
        <v>Wave-66</v>
      </c>
      <c r="D10" s="19">
        <f t="shared" si="1"/>
        <v>0</v>
      </c>
      <c r="E10" s="19">
        <f t="shared" si="2"/>
        <v>0</v>
      </c>
      <c r="F10" s="19">
        <f t="shared" si="3"/>
        <v>0</v>
      </c>
      <c r="G10" s="20" t="str">
        <f>IFERROR(VLOOKUP($A10&amp;"_"&amp;G$5,Database!$A:$F,6,0),"")</f>
        <v/>
      </c>
      <c r="H10" s="20" t="str">
        <f>IFERROR(VLOOKUP($A10&amp;"_"&amp;H$5,Database!$A:$F,6,0),"")</f>
        <v/>
      </c>
      <c r="I10" s="20" t="str">
        <f>IFERROR(VLOOKUP($A10&amp;"_"&amp;I$5,Database!$A:$F,6,0),"")</f>
        <v/>
      </c>
      <c r="J10" s="20" t="str">
        <f>IFERROR(VLOOKUP($A10&amp;"_"&amp;J$5,Database!$A:$F,6,0),"")</f>
        <v/>
      </c>
      <c r="K10" s="20" t="str">
        <f>IFERROR(VLOOKUP($A10&amp;"_"&amp;K$5,Database!$A:$F,6,0),"")</f>
        <v/>
      </c>
      <c r="L10" s="20" t="str">
        <f>IFERROR(VLOOKUP($A10&amp;"_"&amp;L$5,Database!$A:$F,6,0),"")</f>
        <v/>
      </c>
      <c r="M10" s="20" t="str">
        <f>IFERROR(VLOOKUP($A10&amp;"_"&amp;M$5,Database!$A:$F,6,0),"")</f>
        <v/>
      </c>
      <c r="N10" s="20" t="str">
        <f>IFERROR(VLOOKUP($A10&amp;"_"&amp;N$5,Database!$A:$F,6,0),"")</f>
        <v/>
      </c>
      <c r="O10" s="20" t="str">
        <f>IFERROR(VLOOKUP($A10&amp;"_"&amp;O$5,Database!$A:$F,6,0),"")</f>
        <v/>
      </c>
      <c r="P10" s="20" t="str">
        <f>IFERROR(VLOOKUP($A10&amp;"_"&amp;P$5,Database!$A:$F,6,0),"")</f>
        <v/>
      </c>
      <c r="Q10" s="20" t="str">
        <f>IFERROR(VLOOKUP($A10&amp;"_"&amp;Q$5,Database!$A:$F,6,0),"")</f>
        <v/>
      </c>
      <c r="R10" s="20" t="str">
        <f>IFERROR(VLOOKUP($A10&amp;"_"&amp;R$5,Database!$A:$F,6,0),"")</f>
        <v/>
      </c>
      <c r="S10" s="20" t="str">
        <f>IFERROR(VLOOKUP($A10&amp;"_"&amp;S$5,Database!$A:$F,6,0),"")</f>
        <v/>
      </c>
      <c r="T10" s="20" t="str">
        <f>IFERROR(VLOOKUP($A10&amp;"_"&amp;T$5,Database!$A:$F,6,0),"")</f>
        <v/>
      </c>
      <c r="U10" s="20" t="str">
        <f>IFERROR(VLOOKUP($A10&amp;"_"&amp;U$5,Database!$A:$F,6,0),"")</f>
        <v/>
      </c>
      <c r="V10" s="20" t="str">
        <f>IFERROR(VLOOKUP($A10&amp;"_"&amp;V$5,Database!$A:$F,6,0),"")</f>
        <v/>
      </c>
      <c r="W10" s="20" t="str">
        <f>IFERROR(VLOOKUP($A10&amp;"_"&amp;W$5,Database!$A:$F,6,0),"")</f>
        <v/>
      </c>
      <c r="X10" s="20" t="str">
        <f>IFERROR(VLOOKUP($A10&amp;"_"&amp;X$5,Database!$A:$F,6,0),"")</f>
        <v/>
      </c>
      <c r="Y10" s="20" t="str">
        <f>IFERROR(VLOOKUP($A10&amp;"_"&amp;Y$5,Database!$A:$F,6,0),"")</f>
        <v/>
      </c>
      <c r="Z10" s="20" t="str">
        <f>IFERROR(VLOOKUP($A10&amp;"_"&amp;Z$5,Database!$A:$F,6,0),"")</f>
        <v/>
      </c>
      <c r="AA10" s="20" t="str">
        <f>IFERROR(VLOOKUP($A10&amp;"_"&amp;AA$5,Database!$A:$F,6,0),"")</f>
        <v/>
      </c>
      <c r="AB10" s="20" t="str">
        <f>IFERROR(VLOOKUP($A10&amp;"_"&amp;AB$5,Database!$A:$F,6,0),"")</f>
        <v/>
      </c>
      <c r="AC10" s="20" t="str">
        <f>IFERROR(VLOOKUP($A10&amp;"_"&amp;AC$5,Database!$A:$F,6,0),"")</f>
        <v/>
      </c>
      <c r="AD10" s="20" t="str">
        <f>IFERROR(VLOOKUP($A10&amp;"_"&amp;AD$5,Database!$A:$F,6,0),"")</f>
        <v/>
      </c>
      <c r="AE10" s="20" t="str">
        <f>IFERROR(VLOOKUP($A10&amp;"_"&amp;AE$5,Database!$A:$F,6,0),"")</f>
        <v/>
      </c>
      <c r="AF10" s="20" t="str">
        <f>IFERROR(VLOOKUP($A10&amp;"_"&amp;AF$5,Database!$A:$F,6,0),"")</f>
        <v/>
      </c>
      <c r="AG10" s="20" t="str">
        <f>IFERROR(VLOOKUP($A10&amp;"_"&amp;AG$5,Database!$A:$F,6,0),"")</f>
        <v/>
      </c>
      <c r="AH10" s="20" t="str">
        <f>IFERROR(VLOOKUP($A10&amp;"_"&amp;AH$5,Database!$A:$F,6,0),"")</f>
        <v/>
      </c>
      <c r="AI10" s="20" t="str">
        <f>IFERROR(VLOOKUP($A10&amp;"_"&amp;AI$5,Database!$A:$F,6,0),"")</f>
        <v/>
      </c>
      <c r="AJ10" s="20" t="str">
        <f>IFERROR(VLOOKUP($A10&amp;"_"&amp;AJ$5,Database!$A:$F,6,0),"")</f>
        <v/>
      </c>
      <c r="AK10" s="20" t="str">
        <f>IFERROR(VLOOKUP($A10&amp;"_"&amp;AK$5,Database!$A:$F,6,0),"")</f>
        <v/>
      </c>
    </row>
    <row r="11" spans="1:37" x14ac:dyDescent="0.2">
      <c r="A11" s="17">
        <f>IF('Employee Master'!A7="","",'Employee Master'!A7)</f>
        <v>10006</v>
      </c>
      <c r="B11" s="18" t="str">
        <f>IF('Employee Master'!B7="","",'Employee Master'!B7)</f>
        <v>eric.johnson</v>
      </c>
      <c r="C11" s="18" t="str">
        <f>IF('Employee Master'!C7="","",'Employee Master'!C7)</f>
        <v>Wave-66</v>
      </c>
      <c r="D11" s="19">
        <f t="shared" si="1"/>
        <v>0</v>
      </c>
      <c r="E11" s="19">
        <f t="shared" si="2"/>
        <v>0</v>
      </c>
      <c r="F11" s="19">
        <f t="shared" si="3"/>
        <v>0</v>
      </c>
      <c r="G11" s="20" t="str">
        <f>IFERROR(VLOOKUP($A11&amp;"_"&amp;G$5,Database!$A:$F,6,0),"")</f>
        <v/>
      </c>
      <c r="H11" s="20" t="str">
        <f>IFERROR(VLOOKUP($A11&amp;"_"&amp;H$5,Database!$A:$F,6,0),"")</f>
        <v/>
      </c>
      <c r="I11" s="20" t="str">
        <f>IFERROR(VLOOKUP($A11&amp;"_"&amp;I$5,Database!$A:$F,6,0),"")</f>
        <v/>
      </c>
      <c r="J11" s="20" t="str">
        <f>IFERROR(VLOOKUP($A11&amp;"_"&amp;J$5,Database!$A:$F,6,0),"")</f>
        <v/>
      </c>
      <c r="K11" s="20" t="str">
        <f>IFERROR(VLOOKUP($A11&amp;"_"&amp;K$5,Database!$A:$F,6,0),"")</f>
        <v/>
      </c>
      <c r="L11" s="20" t="str">
        <f>IFERROR(VLOOKUP($A11&amp;"_"&amp;L$5,Database!$A:$F,6,0),"")</f>
        <v/>
      </c>
      <c r="M11" s="20" t="str">
        <f>IFERROR(VLOOKUP($A11&amp;"_"&amp;M$5,Database!$A:$F,6,0),"")</f>
        <v/>
      </c>
      <c r="N11" s="20" t="str">
        <f>IFERROR(VLOOKUP($A11&amp;"_"&amp;N$5,Database!$A:$F,6,0),"")</f>
        <v/>
      </c>
      <c r="O11" s="20" t="str">
        <f>IFERROR(VLOOKUP($A11&amp;"_"&amp;O$5,Database!$A:$F,6,0),"")</f>
        <v/>
      </c>
      <c r="P11" s="20" t="str">
        <f>IFERROR(VLOOKUP($A11&amp;"_"&amp;P$5,Database!$A:$F,6,0),"")</f>
        <v/>
      </c>
      <c r="Q11" s="20" t="str">
        <f>IFERROR(VLOOKUP($A11&amp;"_"&amp;Q$5,Database!$A:$F,6,0),"")</f>
        <v/>
      </c>
      <c r="R11" s="20" t="str">
        <f>IFERROR(VLOOKUP($A11&amp;"_"&amp;R$5,Database!$A:$F,6,0),"")</f>
        <v/>
      </c>
      <c r="S11" s="20" t="str">
        <f>IFERROR(VLOOKUP($A11&amp;"_"&amp;S$5,Database!$A:$F,6,0),"")</f>
        <v/>
      </c>
      <c r="T11" s="20" t="str">
        <f>IFERROR(VLOOKUP($A11&amp;"_"&amp;T$5,Database!$A:$F,6,0),"")</f>
        <v/>
      </c>
      <c r="U11" s="20" t="str">
        <f>IFERROR(VLOOKUP($A11&amp;"_"&amp;U$5,Database!$A:$F,6,0),"")</f>
        <v/>
      </c>
      <c r="V11" s="20" t="str">
        <f>IFERROR(VLOOKUP($A11&amp;"_"&amp;V$5,Database!$A:$F,6,0),"")</f>
        <v/>
      </c>
      <c r="W11" s="20" t="str">
        <f>IFERROR(VLOOKUP($A11&amp;"_"&amp;W$5,Database!$A:$F,6,0),"")</f>
        <v/>
      </c>
      <c r="X11" s="20" t="str">
        <f>IFERROR(VLOOKUP($A11&amp;"_"&amp;X$5,Database!$A:$F,6,0),"")</f>
        <v/>
      </c>
      <c r="Y11" s="20" t="str">
        <f>IFERROR(VLOOKUP($A11&amp;"_"&amp;Y$5,Database!$A:$F,6,0),"")</f>
        <v/>
      </c>
      <c r="Z11" s="20" t="str">
        <f>IFERROR(VLOOKUP($A11&amp;"_"&amp;Z$5,Database!$A:$F,6,0),"")</f>
        <v/>
      </c>
      <c r="AA11" s="20" t="str">
        <f>IFERROR(VLOOKUP($A11&amp;"_"&amp;AA$5,Database!$A:$F,6,0),"")</f>
        <v/>
      </c>
      <c r="AB11" s="20" t="str">
        <f>IFERROR(VLOOKUP($A11&amp;"_"&amp;AB$5,Database!$A:$F,6,0),"")</f>
        <v/>
      </c>
      <c r="AC11" s="20" t="str">
        <f>IFERROR(VLOOKUP($A11&amp;"_"&amp;AC$5,Database!$A:$F,6,0),"")</f>
        <v/>
      </c>
      <c r="AD11" s="20" t="str">
        <f>IFERROR(VLOOKUP($A11&amp;"_"&amp;AD$5,Database!$A:$F,6,0),"")</f>
        <v/>
      </c>
      <c r="AE11" s="20" t="str">
        <f>IFERROR(VLOOKUP($A11&amp;"_"&amp;AE$5,Database!$A:$F,6,0),"")</f>
        <v/>
      </c>
      <c r="AF11" s="20" t="str">
        <f>IFERROR(VLOOKUP($A11&amp;"_"&amp;AF$5,Database!$A:$F,6,0),"")</f>
        <v/>
      </c>
      <c r="AG11" s="20" t="str">
        <f>IFERROR(VLOOKUP($A11&amp;"_"&amp;AG$5,Database!$A:$F,6,0),"")</f>
        <v/>
      </c>
      <c r="AH11" s="20" t="str">
        <f>IFERROR(VLOOKUP($A11&amp;"_"&amp;AH$5,Database!$A:$F,6,0),"")</f>
        <v/>
      </c>
      <c r="AI11" s="20" t="str">
        <f>IFERROR(VLOOKUP($A11&amp;"_"&amp;AI$5,Database!$A:$F,6,0),"")</f>
        <v/>
      </c>
      <c r="AJ11" s="20" t="str">
        <f>IFERROR(VLOOKUP($A11&amp;"_"&amp;AJ$5,Database!$A:$F,6,0),"")</f>
        <v/>
      </c>
      <c r="AK11" s="20" t="str">
        <f>IFERROR(VLOOKUP($A11&amp;"_"&amp;AK$5,Database!$A:$F,6,0),"")</f>
        <v/>
      </c>
    </row>
    <row r="12" spans="1:37" x14ac:dyDescent="0.2">
      <c r="A12" s="17">
        <f>IF('Employee Master'!A8="","",'Employee Master'!A8)</f>
        <v>10007</v>
      </c>
      <c r="B12" s="18" t="str">
        <f>IF('Employee Master'!B8="","",'Employee Master'!B8)</f>
        <v>ernest.hunter</v>
      </c>
      <c r="C12" s="18" t="str">
        <f>IF('Employee Master'!C8="","",'Employee Master'!C8)</f>
        <v>Wave-66</v>
      </c>
      <c r="D12" s="19">
        <f t="shared" si="1"/>
        <v>0</v>
      </c>
      <c r="E12" s="19">
        <f t="shared" si="2"/>
        <v>0</v>
      </c>
      <c r="F12" s="19">
        <f t="shared" si="3"/>
        <v>0</v>
      </c>
      <c r="G12" s="20" t="str">
        <f>IFERROR(VLOOKUP($A12&amp;"_"&amp;G$5,Database!$A:$F,6,0),"")</f>
        <v/>
      </c>
      <c r="H12" s="20" t="str">
        <f>IFERROR(VLOOKUP($A12&amp;"_"&amp;H$5,Database!$A:$F,6,0),"")</f>
        <v/>
      </c>
      <c r="I12" s="20" t="str">
        <f>IFERROR(VLOOKUP($A12&amp;"_"&amp;I$5,Database!$A:$F,6,0),"")</f>
        <v/>
      </c>
      <c r="J12" s="20" t="str">
        <f>IFERROR(VLOOKUP($A12&amp;"_"&amp;J$5,Database!$A:$F,6,0),"")</f>
        <v/>
      </c>
      <c r="K12" s="20" t="str">
        <f>IFERROR(VLOOKUP($A12&amp;"_"&amp;K$5,Database!$A:$F,6,0),"")</f>
        <v/>
      </c>
      <c r="L12" s="20" t="str">
        <f>IFERROR(VLOOKUP($A12&amp;"_"&amp;L$5,Database!$A:$F,6,0),"")</f>
        <v/>
      </c>
      <c r="M12" s="20" t="str">
        <f>IFERROR(VLOOKUP($A12&amp;"_"&amp;M$5,Database!$A:$F,6,0),"")</f>
        <v/>
      </c>
      <c r="N12" s="20" t="str">
        <f>IFERROR(VLOOKUP($A12&amp;"_"&amp;N$5,Database!$A:$F,6,0),"")</f>
        <v/>
      </c>
      <c r="O12" s="20" t="str">
        <f>IFERROR(VLOOKUP($A12&amp;"_"&amp;O$5,Database!$A:$F,6,0),"")</f>
        <v/>
      </c>
      <c r="P12" s="20" t="str">
        <f>IFERROR(VLOOKUP($A12&amp;"_"&amp;P$5,Database!$A:$F,6,0),"")</f>
        <v/>
      </c>
      <c r="Q12" s="20" t="str">
        <f>IFERROR(VLOOKUP($A12&amp;"_"&amp;Q$5,Database!$A:$F,6,0),"")</f>
        <v/>
      </c>
      <c r="R12" s="20" t="str">
        <f>IFERROR(VLOOKUP($A12&amp;"_"&amp;R$5,Database!$A:$F,6,0),"")</f>
        <v/>
      </c>
      <c r="S12" s="20" t="str">
        <f>IFERROR(VLOOKUP($A12&amp;"_"&amp;S$5,Database!$A:$F,6,0),"")</f>
        <v/>
      </c>
      <c r="T12" s="20" t="str">
        <f>IFERROR(VLOOKUP($A12&amp;"_"&amp;T$5,Database!$A:$F,6,0),"")</f>
        <v/>
      </c>
      <c r="U12" s="20" t="str">
        <f>IFERROR(VLOOKUP($A12&amp;"_"&amp;U$5,Database!$A:$F,6,0),"")</f>
        <v/>
      </c>
      <c r="V12" s="20" t="str">
        <f>IFERROR(VLOOKUP($A12&amp;"_"&amp;V$5,Database!$A:$F,6,0),"")</f>
        <v/>
      </c>
      <c r="W12" s="20" t="str">
        <f>IFERROR(VLOOKUP($A12&amp;"_"&amp;W$5,Database!$A:$F,6,0),"")</f>
        <v/>
      </c>
      <c r="X12" s="20" t="str">
        <f>IFERROR(VLOOKUP($A12&amp;"_"&amp;X$5,Database!$A:$F,6,0),"")</f>
        <v/>
      </c>
      <c r="Y12" s="20" t="str">
        <f>IFERROR(VLOOKUP($A12&amp;"_"&amp;Y$5,Database!$A:$F,6,0),"")</f>
        <v/>
      </c>
      <c r="Z12" s="20" t="str">
        <f>IFERROR(VLOOKUP($A12&amp;"_"&amp;Z$5,Database!$A:$F,6,0),"")</f>
        <v/>
      </c>
      <c r="AA12" s="20" t="str">
        <f>IFERROR(VLOOKUP($A12&amp;"_"&amp;AA$5,Database!$A:$F,6,0),"")</f>
        <v/>
      </c>
      <c r="AB12" s="20" t="str">
        <f>IFERROR(VLOOKUP($A12&amp;"_"&amp;AB$5,Database!$A:$F,6,0),"")</f>
        <v/>
      </c>
      <c r="AC12" s="20" t="str">
        <f>IFERROR(VLOOKUP($A12&amp;"_"&amp;AC$5,Database!$A:$F,6,0),"")</f>
        <v/>
      </c>
      <c r="AD12" s="20" t="str">
        <f>IFERROR(VLOOKUP($A12&amp;"_"&amp;AD$5,Database!$A:$F,6,0),"")</f>
        <v/>
      </c>
      <c r="AE12" s="20" t="str">
        <f>IFERROR(VLOOKUP($A12&amp;"_"&amp;AE$5,Database!$A:$F,6,0),"")</f>
        <v/>
      </c>
      <c r="AF12" s="20" t="str">
        <f>IFERROR(VLOOKUP($A12&amp;"_"&amp;AF$5,Database!$A:$F,6,0),"")</f>
        <v/>
      </c>
      <c r="AG12" s="20" t="str">
        <f>IFERROR(VLOOKUP($A12&amp;"_"&amp;AG$5,Database!$A:$F,6,0),"")</f>
        <v/>
      </c>
      <c r="AH12" s="20" t="str">
        <f>IFERROR(VLOOKUP($A12&amp;"_"&amp;AH$5,Database!$A:$F,6,0),"")</f>
        <v/>
      </c>
      <c r="AI12" s="20" t="str">
        <f>IFERROR(VLOOKUP($A12&amp;"_"&amp;AI$5,Database!$A:$F,6,0),"")</f>
        <v/>
      </c>
      <c r="AJ12" s="20" t="str">
        <f>IFERROR(VLOOKUP($A12&amp;"_"&amp;AJ$5,Database!$A:$F,6,0),"")</f>
        <v/>
      </c>
      <c r="AK12" s="20" t="str">
        <f>IFERROR(VLOOKUP($A12&amp;"_"&amp;AK$5,Database!$A:$F,6,0),"")</f>
        <v/>
      </c>
    </row>
    <row r="13" spans="1:37" x14ac:dyDescent="0.2">
      <c r="A13" s="17">
        <f>IF('Employee Master'!A9="","",'Employee Master'!A9)</f>
        <v>10008</v>
      </c>
      <c r="B13" s="18" t="str">
        <f>IF('Employee Master'!B9="","",'Employee Master'!B9)</f>
        <v>irene.davison</v>
      </c>
      <c r="C13" s="18" t="str">
        <f>IF('Employee Master'!C9="","",'Employee Master'!C9)</f>
        <v>Wave-66</v>
      </c>
      <c r="D13" s="19">
        <f t="shared" si="1"/>
        <v>0</v>
      </c>
      <c r="E13" s="19">
        <f t="shared" si="2"/>
        <v>0</v>
      </c>
      <c r="F13" s="19">
        <f t="shared" si="3"/>
        <v>0</v>
      </c>
      <c r="G13" s="20" t="str">
        <f>IFERROR(VLOOKUP($A13&amp;"_"&amp;G$5,Database!$A:$F,6,0),"")</f>
        <v/>
      </c>
      <c r="H13" s="20" t="str">
        <f>IFERROR(VLOOKUP($A13&amp;"_"&amp;H$5,Database!$A:$F,6,0),"")</f>
        <v/>
      </c>
      <c r="I13" s="20" t="str">
        <f>IFERROR(VLOOKUP($A13&amp;"_"&amp;I$5,Database!$A:$F,6,0),"")</f>
        <v/>
      </c>
      <c r="J13" s="20" t="str">
        <f>IFERROR(VLOOKUP($A13&amp;"_"&amp;J$5,Database!$A:$F,6,0),"")</f>
        <v/>
      </c>
      <c r="K13" s="20" t="str">
        <f>IFERROR(VLOOKUP($A13&amp;"_"&amp;K$5,Database!$A:$F,6,0),"")</f>
        <v/>
      </c>
      <c r="L13" s="20" t="str">
        <f>IFERROR(VLOOKUP($A13&amp;"_"&amp;L$5,Database!$A:$F,6,0),"")</f>
        <v/>
      </c>
      <c r="M13" s="20" t="str">
        <f>IFERROR(VLOOKUP($A13&amp;"_"&amp;M$5,Database!$A:$F,6,0),"")</f>
        <v/>
      </c>
      <c r="N13" s="20" t="str">
        <f>IFERROR(VLOOKUP($A13&amp;"_"&amp;N$5,Database!$A:$F,6,0),"")</f>
        <v/>
      </c>
      <c r="O13" s="20" t="str">
        <f>IFERROR(VLOOKUP($A13&amp;"_"&amp;O$5,Database!$A:$F,6,0),"")</f>
        <v/>
      </c>
      <c r="P13" s="20" t="str">
        <f>IFERROR(VLOOKUP($A13&amp;"_"&amp;P$5,Database!$A:$F,6,0),"")</f>
        <v/>
      </c>
      <c r="Q13" s="20" t="str">
        <f>IFERROR(VLOOKUP($A13&amp;"_"&amp;Q$5,Database!$A:$F,6,0),"")</f>
        <v/>
      </c>
      <c r="R13" s="20" t="str">
        <f>IFERROR(VLOOKUP($A13&amp;"_"&amp;R$5,Database!$A:$F,6,0),"")</f>
        <v/>
      </c>
      <c r="S13" s="20" t="str">
        <f>IFERROR(VLOOKUP($A13&amp;"_"&amp;S$5,Database!$A:$F,6,0),"")</f>
        <v/>
      </c>
      <c r="T13" s="20" t="str">
        <f>IFERROR(VLOOKUP($A13&amp;"_"&amp;T$5,Database!$A:$F,6,0),"")</f>
        <v/>
      </c>
      <c r="U13" s="20" t="str">
        <f>IFERROR(VLOOKUP($A13&amp;"_"&amp;U$5,Database!$A:$F,6,0),"")</f>
        <v/>
      </c>
      <c r="V13" s="20" t="str">
        <f>IFERROR(VLOOKUP($A13&amp;"_"&amp;V$5,Database!$A:$F,6,0),"")</f>
        <v/>
      </c>
      <c r="W13" s="20" t="str">
        <f>IFERROR(VLOOKUP($A13&amp;"_"&amp;W$5,Database!$A:$F,6,0),"")</f>
        <v/>
      </c>
      <c r="X13" s="20" t="str">
        <f>IFERROR(VLOOKUP($A13&amp;"_"&amp;X$5,Database!$A:$F,6,0),"")</f>
        <v/>
      </c>
      <c r="Y13" s="20" t="str">
        <f>IFERROR(VLOOKUP($A13&amp;"_"&amp;Y$5,Database!$A:$F,6,0),"")</f>
        <v/>
      </c>
      <c r="Z13" s="20" t="str">
        <f>IFERROR(VLOOKUP($A13&amp;"_"&amp;Z$5,Database!$A:$F,6,0),"")</f>
        <v/>
      </c>
      <c r="AA13" s="20" t="str">
        <f>IFERROR(VLOOKUP($A13&amp;"_"&amp;AA$5,Database!$A:$F,6,0),"")</f>
        <v/>
      </c>
      <c r="AB13" s="20" t="str">
        <f>IFERROR(VLOOKUP($A13&amp;"_"&amp;AB$5,Database!$A:$F,6,0),"")</f>
        <v/>
      </c>
      <c r="AC13" s="20" t="str">
        <f>IFERROR(VLOOKUP($A13&amp;"_"&amp;AC$5,Database!$A:$F,6,0),"")</f>
        <v/>
      </c>
      <c r="AD13" s="20" t="str">
        <f>IFERROR(VLOOKUP($A13&amp;"_"&amp;AD$5,Database!$A:$F,6,0),"")</f>
        <v/>
      </c>
      <c r="AE13" s="20" t="str">
        <f>IFERROR(VLOOKUP($A13&amp;"_"&amp;AE$5,Database!$A:$F,6,0),"")</f>
        <v/>
      </c>
      <c r="AF13" s="20" t="str">
        <f>IFERROR(VLOOKUP($A13&amp;"_"&amp;AF$5,Database!$A:$F,6,0),"")</f>
        <v/>
      </c>
      <c r="AG13" s="20" t="str">
        <f>IFERROR(VLOOKUP($A13&amp;"_"&amp;AG$5,Database!$A:$F,6,0),"")</f>
        <v/>
      </c>
      <c r="AH13" s="20" t="str">
        <f>IFERROR(VLOOKUP($A13&amp;"_"&amp;AH$5,Database!$A:$F,6,0),"")</f>
        <v/>
      </c>
      <c r="AI13" s="20" t="str">
        <f>IFERROR(VLOOKUP($A13&amp;"_"&amp;AI$5,Database!$A:$F,6,0),"")</f>
        <v/>
      </c>
      <c r="AJ13" s="20" t="str">
        <f>IFERROR(VLOOKUP($A13&amp;"_"&amp;AJ$5,Database!$A:$F,6,0),"")</f>
        <v/>
      </c>
      <c r="AK13" s="20" t="str">
        <f>IFERROR(VLOOKUP($A13&amp;"_"&amp;AK$5,Database!$A:$F,6,0),"")</f>
        <v/>
      </c>
    </row>
    <row r="14" spans="1:37" x14ac:dyDescent="0.2">
      <c r="A14" s="17">
        <f>IF('Employee Master'!A10="","",'Employee Master'!A10)</f>
        <v>10009</v>
      </c>
      <c r="B14" s="18" t="str">
        <f>IF('Employee Master'!B10="","",'Employee Master'!B10)</f>
        <v>irene.hurtado</v>
      </c>
      <c r="C14" s="18" t="str">
        <f>IF('Employee Master'!C10="","",'Employee Master'!C10)</f>
        <v>Wave-66</v>
      </c>
      <c r="D14" s="19">
        <f t="shared" si="1"/>
        <v>0</v>
      </c>
      <c r="E14" s="19">
        <f t="shared" si="2"/>
        <v>0</v>
      </c>
      <c r="F14" s="19">
        <f t="shared" si="3"/>
        <v>0</v>
      </c>
      <c r="G14" s="20" t="str">
        <f>IFERROR(VLOOKUP($A14&amp;"_"&amp;G$5,Database!$A:$F,6,0),"")</f>
        <v/>
      </c>
      <c r="H14" s="20" t="str">
        <f>IFERROR(VLOOKUP($A14&amp;"_"&amp;H$5,Database!$A:$F,6,0),"")</f>
        <v/>
      </c>
      <c r="I14" s="20" t="str">
        <f>IFERROR(VLOOKUP($A14&amp;"_"&amp;I$5,Database!$A:$F,6,0),"")</f>
        <v/>
      </c>
      <c r="J14" s="20" t="str">
        <f>IFERROR(VLOOKUP($A14&amp;"_"&amp;J$5,Database!$A:$F,6,0),"")</f>
        <v/>
      </c>
      <c r="K14" s="20" t="str">
        <f>IFERROR(VLOOKUP($A14&amp;"_"&amp;K$5,Database!$A:$F,6,0),"")</f>
        <v/>
      </c>
      <c r="L14" s="20" t="str">
        <f>IFERROR(VLOOKUP($A14&amp;"_"&amp;L$5,Database!$A:$F,6,0),"")</f>
        <v/>
      </c>
      <c r="M14" s="20" t="str">
        <f>IFERROR(VLOOKUP($A14&amp;"_"&amp;M$5,Database!$A:$F,6,0),"")</f>
        <v/>
      </c>
      <c r="N14" s="20" t="str">
        <f>IFERROR(VLOOKUP($A14&amp;"_"&amp;N$5,Database!$A:$F,6,0),"")</f>
        <v/>
      </c>
      <c r="O14" s="20" t="str">
        <f>IFERROR(VLOOKUP($A14&amp;"_"&amp;O$5,Database!$A:$F,6,0),"")</f>
        <v/>
      </c>
      <c r="P14" s="20" t="str">
        <f>IFERROR(VLOOKUP($A14&amp;"_"&amp;P$5,Database!$A:$F,6,0),"")</f>
        <v/>
      </c>
      <c r="Q14" s="20" t="str">
        <f>IFERROR(VLOOKUP($A14&amp;"_"&amp;Q$5,Database!$A:$F,6,0),"")</f>
        <v/>
      </c>
      <c r="R14" s="20" t="str">
        <f>IFERROR(VLOOKUP($A14&amp;"_"&amp;R$5,Database!$A:$F,6,0),"")</f>
        <v/>
      </c>
      <c r="S14" s="20" t="str">
        <f>IFERROR(VLOOKUP($A14&amp;"_"&amp;S$5,Database!$A:$F,6,0),"")</f>
        <v/>
      </c>
      <c r="T14" s="20" t="str">
        <f>IFERROR(VLOOKUP($A14&amp;"_"&amp;T$5,Database!$A:$F,6,0),"")</f>
        <v/>
      </c>
      <c r="U14" s="20" t="str">
        <f>IFERROR(VLOOKUP($A14&amp;"_"&amp;U$5,Database!$A:$F,6,0),"")</f>
        <v/>
      </c>
      <c r="V14" s="20" t="str">
        <f>IFERROR(VLOOKUP($A14&amp;"_"&amp;V$5,Database!$A:$F,6,0),"")</f>
        <v/>
      </c>
      <c r="W14" s="20" t="str">
        <f>IFERROR(VLOOKUP($A14&amp;"_"&amp;W$5,Database!$A:$F,6,0),"")</f>
        <v/>
      </c>
      <c r="X14" s="20" t="str">
        <f>IFERROR(VLOOKUP($A14&amp;"_"&amp;X$5,Database!$A:$F,6,0),"")</f>
        <v/>
      </c>
      <c r="Y14" s="20" t="str">
        <f>IFERROR(VLOOKUP($A14&amp;"_"&amp;Y$5,Database!$A:$F,6,0),"")</f>
        <v/>
      </c>
      <c r="Z14" s="20" t="str">
        <f>IFERROR(VLOOKUP($A14&amp;"_"&amp;Z$5,Database!$A:$F,6,0),"")</f>
        <v/>
      </c>
      <c r="AA14" s="20" t="str">
        <f>IFERROR(VLOOKUP($A14&amp;"_"&amp;AA$5,Database!$A:$F,6,0),"")</f>
        <v/>
      </c>
      <c r="AB14" s="20" t="str">
        <f>IFERROR(VLOOKUP($A14&amp;"_"&amp;AB$5,Database!$A:$F,6,0),"")</f>
        <v/>
      </c>
      <c r="AC14" s="20" t="str">
        <f>IFERROR(VLOOKUP($A14&amp;"_"&amp;AC$5,Database!$A:$F,6,0),"")</f>
        <v/>
      </c>
      <c r="AD14" s="20" t="str">
        <f>IFERROR(VLOOKUP($A14&amp;"_"&amp;AD$5,Database!$A:$F,6,0),"")</f>
        <v/>
      </c>
      <c r="AE14" s="20" t="str">
        <f>IFERROR(VLOOKUP($A14&amp;"_"&amp;AE$5,Database!$A:$F,6,0),"")</f>
        <v/>
      </c>
      <c r="AF14" s="20" t="str">
        <f>IFERROR(VLOOKUP($A14&amp;"_"&amp;AF$5,Database!$A:$F,6,0),"")</f>
        <v/>
      </c>
      <c r="AG14" s="20" t="str">
        <f>IFERROR(VLOOKUP($A14&amp;"_"&amp;AG$5,Database!$A:$F,6,0),"")</f>
        <v/>
      </c>
      <c r="AH14" s="20" t="str">
        <f>IFERROR(VLOOKUP($A14&amp;"_"&amp;AH$5,Database!$A:$F,6,0),"")</f>
        <v/>
      </c>
      <c r="AI14" s="20" t="str">
        <f>IFERROR(VLOOKUP($A14&amp;"_"&amp;AI$5,Database!$A:$F,6,0),"")</f>
        <v/>
      </c>
      <c r="AJ14" s="20" t="str">
        <f>IFERROR(VLOOKUP($A14&amp;"_"&amp;AJ$5,Database!$A:$F,6,0),"")</f>
        <v/>
      </c>
      <c r="AK14" s="20" t="str">
        <f>IFERROR(VLOOKUP($A14&amp;"_"&amp;AK$5,Database!$A:$F,6,0),"")</f>
        <v/>
      </c>
    </row>
    <row r="15" spans="1:37" x14ac:dyDescent="0.2">
      <c r="A15" s="17">
        <f>IF('Employee Master'!A11="","",'Employee Master'!A11)</f>
        <v>10010</v>
      </c>
      <c r="B15" s="18" t="str">
        <f>IF('Employee Master'!B11="","",'Employee Master'!B11)</f>
        <v>jacqueline.hope</v>
      </c>
      <c r="C15" s="18" t="str">
        <f>IF('Employee Master'!C11="","",'Employee Master'!C11)</f>
        <v>Wave-66</v>
      </c>
      <c r="D15" s="19">
        <f t="shared" si="1"/>
        <v>0</v>
      </c>
      <c r="E15" s="19">
        <f t="shared" si="2"/>
        <v>0</v>
      </c>
      <c r="F15" s="19">
        <f t="shared" si="3"/>
        <v>0</v>
      </c>
      <c r="G15" s="20" t="str">
        <f>IFERROR(VLOOKUP($A15&amp;"_"&amp;G$5,Database!$A:$F,6,0),"")</f>
        <v/>
      </c>
      <c r="H15" s="20" t="str">
        <f>IFERROR(VLOOKUP($A15&amp;"_"&amp;H$5,Database!$A:$F,6,0),"")</f>
        <v/>
      </c>
      <c r="I15" s="20" t="str">
        <f>IFERROR(VLOOKUP($A15&amp;"_"&amp;I$5,Database!$A:$F,6,0),"")</f>
        <v/>
      </c>
      <c r="J15" s="20" t="str">
        <f>IFERROR(VLOOKUP($A15&amp;"_"&amp;J$5,Database!$A:$F,6,0),"")</f>
        <v/>
      </c>
      <c r="K15" s="20" t="str">
        <f>IFERROR(VLOOKUP($A15&amp;"_"&amp;K$5,Database!$A:$F,6,0),"")</f>
        <v/>
      </c>
      <c r="L15" s="20" t="str">
        <f>IFERROR(VLOOKUP($A15&amp;"_"&amp;L$5,Database!$A:$F,6,0),"")</f>
        <v/>
      </c>
      <c r="M15" s="20" t="str">
        <f>IFERROR(VLOOKUP($A15&amp;"_"&amp;M$5,Database!$A:$F,6,0),"")</f>
        <v/>
      </c>
      <c r="N15" s="20" t="str">
        <f>IFERROR(VLOOKUP($A15&amp;"_"&amp;N$5,Database!$A:$F,6,0),"")</f>
        <v/>
      </c>
      <c r="O15" s="20" t="str">
        <f>IFERROR(VLOOKUP($A15&amp;"_"&amp;O$5,Database!$A:$F,6,0),"")</f>
        <v/>
      </c>
      <c r="P15" s="20" t="str">
        <f>IFERROR(VLOOKUP($A15&amp;"_"&amp;P$5,Database!$A:$F,6,0),"")</f>
        <v/>
      </c>
      <c r="Q15" s="20" t="str">
        <f>IFERROR(VLOOKUP($A15&amp;"_"&amp;Q$5,Database!$A:$F,6,0),"")</f>
        <v/>
      </c>
      <c r="R15" s="20" t="str">
        <f>IFERROR(VLOOKUP($A15&amp;"_"&amp;R$5,Database!$A:$F,6,0),"")</f>
        <v/>
      </c>
      <c r="S15" s="20" t="str">
        <f>IFERROR(VLOOKUP($A15&amp;"_"&amp;S$5,Database!$A:$F,6,0),"")</f>
        <v/>
      </c>
      <c r="T15" s="20" t="str">
        <f>IFERROR(VLOOKUP($A15&amp;"_"&amp;T$5,Database!$A:$F,6,0),"")</f>
        <v/>
      </c>
      <c r="U15" s="20" t="str">
        <f>IFERROR(VLOOKUP($A15&amp;"_"&amp;U$5,Database!$A:$F,6,0),"")</f>
        <v/>
      </c>
      <c r="V15" s="20" t="str">
        <f>IFERROR(VLOOKUP($A15&amp;"_"&amp;V$5,Database!$A:$F,6,0),"")</f>
        <v/>
      </c>
      <c r="W15" s="20" t="str">
        <f>IFERROR(VLOOKUP($A15&amp;"_"&amp;W$5,Database!$A:$F,6,0),"")</f>
        <v/>
      </c>
      <c r="X15" s="20" t="str">
        <f>IFERROR(VLOOKUP($A15&amp;"_"&amp;X$5,Database!$A:$F,6,0),"")</f>
        <v/>
      </c>
      <c r="Y15" s="20" t="str">
        <f>IFERROR(VLOOKUP($A15&amp;"_"&amp;Y$5,Database!$A:$F,6,0),"")</f>
        <v/>
      </c>
      <c r="Z15" s="20" t="str">
        <f>IFERROR(VLOOKUP($A15&amp;"_"&amp;Z$5,Database!$A:$F,6,0),"")</f>
        <v/>
      </c>
      <c r="AA15" s="20" t="str">
        <f>IFERROR(VLOOKUP($A15&amp;"_"&amp;AA$5,Database!$A:$F,6,0),"")</f>
        <v/>
      </c>
      <c r="AB15" s="20" t="str">
        <f>IFERROR(VLOOKUP($A15&amp;"_"&amp;AB$5,Database!$A:$F,6,0),"")</f>
        <v/>
      </c>
      <c r="AC15" s="20" t="str">
        <f>IFERROR(VLOOKUP($A15&amp;"_"&amp;AC$5,Database!$A:$F,6,0),"")</f>
        <v/>
      </c>
      <c r="AD15" s="20" t="str">
        <f>IFERROR(VLOOKUP($A15&amp;"_"&amp;AD$5,Database!$A:$F,6,0),"")</f>
        <v/>
      </c>
      <c r="AE15" s="20" t="str">
        <f>IFERROR(VLOOKUP($A15&amp;"_"&amp;AE$5,Database!$A:$F,6,0),"")</f>
        <v/>
      </c>
      <c r="AF15" s="20" t="str">
        <f>IFERROR(VLOOKUP($A15&amp;"_"&amp;AF$5,Database!$A:$F,6,0),"")</f>
        <v/>
      </c>
      <c r="AG15" s="20" t="str">
        <f>IFERROR(VLOOKUP($A15&amp;"_"&amp;AG$5,Database!$A:$F,6,0),"")</f>
        <v/>
      </c>
      <c r="AH15" s="20" t="str">
        <f>IFERROR(VLOOKUP($A15&amp;"_"&amp;AH$5,Database!$A:$F,6,0),"")</f>
        <v/>
      </c>
      <c r="AI15" s="20" t="str">
        <f>IFERROR(VLOOKUP($A15&amp;"_"&amp;AI$5,Database!$A:$F,6,0),"")</f>
        <v/>
      </c>
      <c r="AJ15" s="20" t="str">
        <f>IFERROR(VLOOKUP($A15&amp;"_"&amp;AJ$5,Database!$A:$F,6,0),"")</f>
        <v/>
      </c>
      <c r="AK15" s="20" t="str">
        <f>IFERROR(VLOOKUP($A15&amp;"_"&amp;AK$5,Database!$A:$F,6,0),"")</f>
        <v/>
      </c>
    </row>
    <row r="16" spans="1:37" x14ac:dyDescent="0.2">
      <c r="A16" s="17">
        <f>IF('Employee Master'!A12="","",'Employee Master'!A12)</f>
        <v>10011</v>
      </c>
      <c r="B16" s="18" t="str">
        <f>IF('Employee Master'!B12="","",'Employee Master'!B12)</f>
        <v>judy.gombert</v>
      </c>
      <c r="C16" s="18" t="str">
        <f>IF('Employee Master'!C12="","",'Employee Master'!C12)</f>
        <v>Wave-57</v>
      </c>
      <c r="D16" s="19">
        <f t="shared" si="1"/>
        <v>0</v>
      </c>
      <c r="E16" s="19">
        <f t="shared" si="2"/>
        <v>0</v>
      </c>
      <c r="F16" s="19">
        <f t="shared" si="3"/>
        <v>0</v>
      </c>
      <c r="G16" s="20" t="str">
        <f>IFERROR(VLOOKUP($A16&amp;"_"&amp;G$5,Database!$A:$F,6,0),"")</f>
        <v/>
      </c>
      <c r="H16" s="20" t="str">
        <f>IFERROR(VLOOKUP($A16&amp;"_"&amp;H$5,Database!$A:$F,6,0),"")</f>
        <v/>
      </c>
      <c r="I16" s="20" t="str">
        <f>IFERROR(VLOOKUP($A16&amp;"_"&amp;I$5,Database!$A:$F,6,0),"")</f>
        <v/>
      </c>
      <c r="J16" s="20" t="str">
        <f>IFERROR(VLOOKUP($A16&amp;"_"&amp;J$5,Database!$A:$F,6,0),"")</f>
        <v/>
      </c>
      <c r="K16" s="20" t="str">
        <f>IFERROR(VLOOKUP($A16&amp;"_"&amp;K$5,Database!$A:$F,6,0),"")</f>
        <v/>
      </c>
      <c r="L16" s="20" t="str">
        <f>IFERROR(VLOOKUP($A16&amp;"_"&amp;L$5,Database!$A:$F,6,0),"")</f>
        <v/>
      </c>
      <c r="M16" s="20" t="str">
        <f>IFERROR(VLOOKUP($A16&amp;"_"&amp;M$5,Database!$A:$F,6,0),"")</f>
        <v/>
      </c>
      <c r="N16" s="20" t="str">
        <f>IFERROR(VLOOKUP($A16&amp;"_"&amp;N$5,Database!$A:$F,6,0),"")</f>
        <v/>
      </c>
      <c r="O16" s="20" t="str">
        <f>IFERROR(VLOOKUP($A16&amp;"_"&amp;O$5,Database!$A:$F,6,0),"")</f>
        <v/>
      </c>
      <c r="P16" s="20" t="str">
        <f>IFERROR(VLOOKUP($A16&amp;"_"&amp;P$5,Database!$A:$F,6,0),"")</f>
        <v/>
      </c>
      <c r="Q16" s="20" t="str">
        <f>IFERROR(VLOOKUP($A16&amp;"_"&amp;Q$5,Database!$A:$F,6,0),"")</f>
        <v/>
      </c>
      <c r="R16" s="20" t="str">
        <f>IFERROR(VLOOKUP($A16&amp;"_"&amp;R$5,Database!$A:$F,6,0),"")</f>
        <v/>
      </c>
      <c r="S16" s="20" t="str">
        <f>IFERROR(VLOOKUP($A16&amp;"_"&amp;S$5,Database!$A:$F,6,0),"")</f>
        <v/>
      </c>
      <c r="T16" s="20" t="str">
        <f>IFERROR(VLOOKUP($A16&amp;"_"&amp;T$5,Database!$A:$F,6,0),"")</f>
        <v/>
      </c>
      <c r="U16" s="20" t="str">
        <f>IFERROR(VLOOKUP($A16&amp;"_"&amp;U$5,Database!$A:$F,6,0),"")</f>
        <v/>
      </c>
      <c r="V16" s="20" t="str">
        <f>IFERROR(VLOOKUP($A16&amp;"_"&amp;V$5,Database!$A:$F,6,0),"")</f>
        <v/>
      </c>
      <c r="W16" s="20" t="str">
        <f>IFERROR(VLOOKUP($A16&amp;"_"&amp;W$5,Database!$A:$F,6,0),"")</f>
        <v/>
      </c>
      <c r="X16" s="20" t="str">
        <f>IFERROR(VLOOKUP($A16&amp;"_"&amp;X$5,Database!$A:$F,6,0),"")</f>
        <v/>
      </c>
      <c r="Y16" s="20" t="str">
        <f>IFERROR(VLOOKUP($A16&amp;"_"&amp;Y$5,Database!$A:$F,6,0),"")</f>
        <v/>
      </c>
      <c r="Z16" s="20" t="str">
        <f>IFERROR(VLOOKUP($A16&amp;"_"&amp;Z$5,Database!$A:$F,6,0),"")</f>
        <v/>
      </c>
      <c r="AA16" s="20" t="str">
        <f>IFERROR(VLOOKUP($A16&amp;"_"&amp;AA$5,Database!$A:$F,6,0),"")</f>
        <v/>
      </c>
      <c r="AB16" s="20" t="str">
        <f>IFERROR(VLOOKUP($A16&amp;"_"&amp;AB$5,Database!$A:$F,6,0),"")</f>
        <v/>
      </c>
      <c r="AC16" s="20" t="str">
        <f>IFERROR(VLOOKUP($A16&amp;"_"&amp;AC$5,Database!$A:$F,6,0),"")</f>
        <v/>
      </c>
      <c r="AD16" s="20" t="str">
        <f>IFERROR(VLOOKUP($A16&amp;"_"&amp;AD$5,Database!$A:$F,6,0),"")</f>
        <v/>
      </c>
      <c r="AE16" s="20" t="str">
        <f>IFERROR(VLOOKUP($A16&amp;"_"&amp;AE$5,Database!$A:$F,6,0),"")</f>
        <v/>
      </c>
      <c r="AF16" s="20" t="str">
        <f>IFERROR(VLOOKUP($A16&amp;"_"&amp;AF$5,Database!$A:$F,6,0),"")</f>
        <v/>
      </c>
      <c r="AG16" s="20" t="str">
        <f>IFERROR(VLOOKUP($A16&amp;"_"&amp;AG$5,Database!$A:$F,6,0),"")</f>
        <v/>
      </c>
      <c r="AH16" s="20" t="str">
        <f>IFERROR(VLOOKUP($A16&amp;"_"&amp;AH$5,Database!$A:$F,6,0),"")</f>
        <v/>
      </c>
      <c r="AI16" s="20" t="str">
        <f>IFERROR(VLOOKUP($A16&amp;"_"&amp;AI$5,Database!$A:$F,6,0),"")</f>
        <v/>
      </c>
      <c r="AJ16" s="20" t="str">
        <f>IFERROR(VLOOKUP($A16&amp;"_"&amp;AJ$5,Database!$A:$F,6,0),"")</f>
        <v/>
      </c>
      <c r="AK16" s="20" t="str">
        <f>IFERROR(VLOOKUP($A16&amp;"_"&amp;AK$5,Database!$A:$F,6,0),"")</f>
        <v/>
      </c>
    </row>
    <row r="17" spans="1:37" x14ac:dyDescent="0.2">
      <c r="A17" s="17">
        <f>IF('Employee Master'!A13="","",'Employee Master'!A13)</f>
        <v>10012</v>
      </c>
      <c r="B17" s="18" t="str">
        <f>IF('Employee Master'!B13="","",'Employee Master'!B13)</f>
        <v>makaylin.baker</v>
      </c>
      <c r="C17" s="18" t="str">
        <f>IF('Employee Master'!C13="","",'Employee Master'!C13)</f>
        <v>Wave-56</v>
      </c>
      <c r="D17" s="19">
        <f t="shared" si="1"/>
        <v>0</v>
      </c>
      <c r="E17" s="19">
        <f t="shared" si="2"/>
        <v>0</v>
      </c>
      <c r="F17" s="19">
        <f t="shared" si="3"/>
        <v>0</v>
      </c>
      <c r="G17" s="20" t="str">
        <f>IFERROR(VLOOKUP($A17&amp;"_"&amp;G$5,Database!$A:$F,6,0),"")</f>
        <v/>
      </c>
      <c r="H17" s="20" t="str">
        <f>IFERROR(VLOOKUP($A17&amp;"_"&amp;H$5,Database!$A:$F,6,0),"")</f>
        <v/>
      </c>
      <c r="I17" s="20" t="str">
        <f>IFERROR(VLOOKUP($A17&amp;"_"&amp;I$5,Database!$A:$F,6,0),"")</f>
        <v/>
      </c>
      <c r="J17" s="20" t="str">
        <f>IFERROR(VLOOKUP($A17&amp;"_"&amp;J$5,Database!$A:$F,6,0),"")</f>
        <v/>
      </c>
      <c r="K17" s="20" t="str">
        <f>IFERROR(VLOOKUP($A17&amp;"_"&amp;K$5,Database!$A:$F,6,0),"")</f>
        <v/>
      </c>
      <c r="L17" s="20" t="str">
        <f>IFERROR(VLOOKUP($A17&amp;"_"&amp;L$5,Database!$A:$F,6,0),"")</f>
        <v/>
      </c>
      <c r="M17" s="20" t="str">
        <f>IFERROR(VLOOKUP($A17&amp;"_"&amp;M$5,Database!$A:$F,6,0),"")</f>
        <v/>
      </c>
      <c r="N17" s="20" t="str">
        <f>IFERROR(VLOOKUP($A17&amp;"_"&amp;N$5,Database!$A:$F,6,0),"")</f>
        <v/>
      </c>
      <c r="O17" s="20" t="str">
        <f>IFERROR(VLOOKUP($A17&amp;"_"&amp;O$5,Database!$A:$F,6,0),"")</f>
        <v/>
      </c>
      <c r="P17" s="20" t="str">
        <f>IFERROR(VLOOKUP($A17&amp;"_"&amp;P$5,Database!$A:$F,6,0),"")</f>
        <v/>
      </c>
      <c r="Q17" s="20" t="str">
        <f>IFERROR(VLOOKUP($A17&amp;"_"&amp;Q$5,Database!$A:$F,6,0),"")</f>
        <v/>
      </c>
      <c r="R17" s="20" t="str">
        <f>IFERROR(VLOOKUP($A17&amp;"_"&amp;R$5,Database!$A:$F,6,0),"")</f>
        <v/>
      </c>
      <c r="S17" s="20" t="str">
        <f>IFERROR(VLOOKUP($A17&amp;"_"&amp;S$5,Database!$A:$F,6,0),"")</f>
        <v/>
      </c>
      <c r="T17" s="20" t="str">
        <f>IFERROR(VLOOKUP($A17&amp;"_"&amp;T$5,Database!$A:$F,6,0),"")</f>
        <v/>
      </c>
      <c r="U17" s="20" t="str">
        <f>IFERROR(VLOOKUP($A17&amp;"_"&amp;U$5,Database!$A:$F,6,0),"")</f>
        <v/>
      </c>
      <c r="V17" s="20" t="str">
        <f>IFERROR(VLOOKUP($A17&amp;"_"&amp;V$5,Database!$A:$F,6,0),"")</f>
        <v/>
      </c>
      <c r="W17" s="20" t="str">
        <f>IFERROR(VLOOKUP($A17&amp;"_"&amp;W$5,Database!$A:$F,6,0),"")</f>
        <v/>
      </c>
      <c r="X17" s="20" t="str">
        <f>IFERROR(VLOOKUP($A17&amp;"_"&amp;X$5,Database!$A:$F,6,0),"")</f>
        <v/>
      </c>
      <c r="Y17" s="20" t="str">
        <f>IFERROR(VLOOKUP($A17&amp;"_"&amp;Y$5,Database!$A:$F,6,0),"")</f>
        <v/>
      </c>
      <c r="Z17" s="20" t="str">
        <f>IFERROR(VLOOKUP($A17&amp;"_"&amp;Z$5,Database!$A:$F,6,0),"")</f>
        <v/>
      </c>
      <c r="AA17" s="20" t="str">
        <f>IFERROR(VLOOKUP($A17&amp;"_"&amp;AA$5,Database!$A:$F,6,0),"")</f>
        <v/>
      </c>
      <c r="AB17" s="20" t="str">
        <f>IFERROR(VLOOKUP($A17&amp;"_"&amp;AB$5,Database!$A:$F,6,0),"")</f>
        <v/>
      </c>
      <c r="AC17" s="20" t="str">
        <f>IFERROR(VLOOKUP($A17&amp;"_"&amp;AC$5,Database!$A:$F,6,0),"")</f>
        <v/>
      </c>
      <c r="AD17" s="20" t="str">
        <f>IFERROR(VLOOKUP($A17&amp;"_"&amp;AD$5,Database!$A:$F,6,0),"")</f>
        <v/>
      </c>
      <c r="AE17" s="20" t="str">
        <f>IFERROR(VLOOKUP($A17&amp;"_"&amp;AE$5,Database!$A:$F,6,0),"")</f>
        <v/>
      </c>
      <c r="AF17" s="20" t="str">
        <f>IFERROR(VLOOKUP($A17&amp;"_"&amp;AF$5,Database!$A:$F,6,0),"")</f>
        <v/>
      </c>
      <c r="AG17" s="20" t="str">
        <f>IFERROR(VLOOKUP($A17&amp;"_"&amp;AG$5,Database!$A:$F,6,0),"")</f>
        <v/>
      </c>
      <c r="AH17" s="20" t="str">
        <f>IFERROR(VLOOKUP($A17&amp;"_"&amp;AH$5,Database!$A:$F,6,0),"")</f>
        <v/>
      </c>
      <c r="AI17" s="20" t="str">
        <f>IFERROR(VLOOKUP($A17&amp;"_"&amp;AI$5,Database!$A:$F,6,0),"")</f>
        <v/>
      </c>
      <c r="AJ17" s="20" t="str">
        <f>IFERROR(VLOOKUP($A17&amp;"_"&amp;AJ$5,Database!$A:$F,6,0),"")</f>
        <v/>
      </c>
      <c r="AK17" s="20" t="str">
        <f>IFERROR(VLOOKUP($A17&amp;"_"&amp;AK$5,Database!$A:$F,6,0),"")</f>
        <v/>
      </c>
    </row>
    <row r="18" spans="1:37" x14ac:dyDescent="0.2">
      <c r="A18" s="17">
        <f>IF('Employee Master'!A14="","",'Employee Master'!A14)</f>
        <v>10013</v>
      </c>
      <c r="B18" s="18" t="str">
        <f>IF('Employee Master'!B14="","",'Employee Master'!B14)</f>
        <v>naomi.bush</v>
      </c>
      <c r="C18" s="18" t="str">
        <f>IF('Employee Master'!C14="","",'Employee Master'!C14)</f>
        <v>Wave-56</v>
      </c>
      <c r="D18" s="19">
        <f t="shared" si="1"/>
        <v>0</v>
      </c>
      <c r="E18" s="19">
        <f t="shared" si="2"/>
        <v>0</v>
      </c>
      <c r="F18" s="19">
        <f t="shared" si="3"/>
        <v>0</v>
      </c>
      <c r="G18" s="20" t="str">
        <f>IFERROR(VLOOKUP($A18&amp;"_"&amp;G$5,Database!$A:$F,6,0),"")</f>
        <v/>
      </c>
      <c r="H18" s="20" t="str">
        <f>IFERROR(VLOOKUP($A18&amp;"_"&amp;H$5,Database!$A:$F,6,0),"")</f>
        <v/>
      </c>
      <c r="I18" s="20" t="str">
        <f>IFERROR(VLOOKUP($A18&amp;"_"&amp;I$5,Database!$A:$F,6,0),"")</f>
        <v/>
      </c>
      <c r="J18" s="20" t="str">
        <f>IFERROR(VLOOKUP($A18&amp;"_"&amp;J$5,Database!$A:$F,6,0),"")</f>
        <v/>
      </c>
      <c r="K18" s="20" t="str">
        <f>IFERROR(VLOOKUP($A18&amp;"_"&amp;K$5,Database!$A:$F,6,0),"")</f>
        <v/>
      </c>
      <c r="L18" s="20" t="str">
        <f>IFERROR(VLOOKUP($A18&amp;"_"&amp;L$5,Database!$A:$F,6,0),"")</f>
        <v/>
      </c>
      <c r="M18" s="20" t="str">
        <f>IFERROR(VLOOKUP($A18&amp;"_"&amp;M$5,Database!$A:$F,6,0),"")</f>
        <v/>
      </c>
      <c r="N18" s="20" t="str">
        <f>IFERROR(VLOOKUP($A18&amp;"_"&amp;N$5,Database!$A:$F,6,0),"")</f>
        <v/>
      </c>
      <c r="O18" s="20" t="str">
        <f>IFERROR(VLOOKUP($A18&amp;"_"&amp;O$5,Database!$A:$F,6,0),"")</f>
        <v/>
      </c>
      <c r="P18" s="20" t="str">
        <f>IFERROR(VLOOKUP($A18&amp;"_"&amp;P$5,Database!$A:$F,6,0),"")</f>
        <v/>
      </c>
      <c r="Q18" s="20" t="str">
        <f>IFERROR(VLOOKUP($A18&amp;"_"&amp;Q$5,Database!$A:$F,6,0),"")</f>
        <v/>
      </c>
      <c r="R18" s="20" t="str">
        <f>IFERROR(VLOOKUP($A18&amp;"_"&amp;R$5,Database!$A:$F,6,0),"")</f>
        <v/>
      </c>
      <c r="S18" s="20" t="str">
        <f>IFERROR(VLOOKUP($A18&amp;"_"&amp;S$5,Database!$A:$F,6,0),"")</f>
        <v/>
      </c>
      <c r="T18" s="20" t="str">
        <f>IFERROR(VLOOKUP($A18&amp;"_"&amp;T$5,Database!$A:$F,6,0),"")</f>
        <v/>
      </c>
      <c r="U18" s="20" t="str">
        <f>IFERROR(VLOOKUP($A18&amp;"_"&amp;U$5,Database!$A:$F,6,0),"")</f>
        <v/>
      </c>
      <c r="V18" s="20" t="str">
        <f>IFERROR(VLOOKUP($A18&amp;"_"&amp;V$5,Database!$A:$F,6,0),"")</f>
        <v/>
      </c>
      <c r="W18" s="20" t="str">
        <f>IFERROR(VLOOKUP($A18&amp;"_"&amp;W$5,Database!$A:$F,6,0),"")</f>
        <v/>
      </c>
      <c r="X18" s="20" t="str">
        <f>IFERROR(VLOOKUP($A18&amp;"_"&amp;X$5,Database!$A:$F,6,0),"")</f>
        <v/>
      </c>
      <c r="Y18" s="20" t="str">
        <f>IFERROR(VLOOKUP($A18&amp;"_"&amp;Y$5,Database!$A:$F,6,0),"")</f>
        <v/>
      </c>
      <c r="Z18" s="20" t="str">
        <f>IFERROR(VLOOKUP($A18&amp;"_"&amp;Z$5,Database!$A:$F,6,0),"")</f>
        <v/>
      </c>
      <c r="AA18" s="20" t="str">
        <f>IFERROR(VLOOKUP($A18&amp;"_"&amp;AA$5,Database!$A:$F,6,0),"")</f>
        <v/>
      </c>
      <c r="AB18" s="20" t="str">
        <f>IFERROR(VLOOKUP($A18&amp;"_"&amp;AB$5,Database!$A:$F,6,0),"")</f>
        <v/>
      </c>
      <c r="AC18" s="20" t="str">
        <f>IFERROR(VLOOKUP($A18&amp;"_"&amp;AC$5,Database!$A:$F,6,0),"")</f>
        <v/>
      </c>
      <c r="AD18" s="20" t="str">
        <f>IFERROR(VLOOKUP($A18&amp;"_"&amp;AD$5,Database!$A:$F,6,0),"")</f>
        <v/>
      </c>
      <c r="AE18" s="20" t="str">
        <f>IFERROR(VLOOKUP($A18&amp;"_"&amp;AE$5,Database!$A:$F,6,0),"")</f>
        <v/>
      </c>
      <c r="AF18" s="20" t="str">
        <f>IFERROR(VLOOKUP($A18&amp;"_"&amp;AF$5,Database!$A:$F,6,0),"")</f>
        <v/>
      </c>
      <c r="AG18" s="20" t="str">
        <f>IFERROR(VLOOKUP($A18&amp;"_"&amp;AG$5,Database!$A:$F,6,0),"")</f>
        <v/>
      </c>
      <c r="AH18" s="20" t="str">
        <f>IFERROR(VLOOKUP($A18&amp;"_"&amp;AH$5,Database!$A:$F,6,0),"")</f>
        <v/>
      </c>
      <c r="AI18" s="20" t="str">
        <f>IFERROR(VLOOKUP($A18&amp;"_"&amp;AI$5,Database!$A:$F,6,0),"")</f>
        <v/>
      </c>
      <c r="AJ18" s="20" t="str">
        <f>IFERROR(VLOOKUP($A18&amp;"_"&amp;AJ$5,Database!$A:$F,6,0),"")</f>
        <v/>
      </c>
      <c r="AK18" s="20" t="str">
        <f>IFERROR(VLOOKUP($A18&amp;"_"&amp;AK$5,Database!$A:$F,6,0),"")</f>
        <v/>
      </c>
    </row>
    <row r="19" spans="1:37" x14ac:dyDescent="0.2">
      <c r="A19" s="17">
        <f>IF('Employee Master'!A15="","",'Employee Master'!A15)</f>
        <v>10014</v>
      </c>
      <c r="B19" s="18" t="str">
        <f>IF('Employee Master'!B15="","",'Employee Master'!B15)</f>
        <v>opal.watson</v>
      </c>
      <c r="C19" s="18" t="str">
        <f>IF('Employee Master'!C15="","",'Employee Master'!C15)</f>
        <v>Wave-68</v>
      </c>
      <c r="D19" s="19">
        <f t="shared" si="1"/>
        <v>0</v>
      </c>
      <c r="E19" s="19">
        <f t="shared" si="2"/>
        <v>0</v>
      </c>
      <c r="F19" s="19">
        <f t="shared" si="3"/>
        <v>0</v>
      </c>
      <c r="G19" s="20" t="str">
        <f>IFERROR(VLOOKUP($A19&amp;"_"&amp;G$5,Database!$A:$F,6,0),"")</f>
        <v/>
      </c>
      <c r="H19" s="20" t="str">
        <f>IFERROR(VLOOKUP($A19&amp;"_"&amp;H$5,Database!$A:$F,6,0),"")</f>
        <v/>
      </c>
      <c r="I19" s="20" t="str">
        <f>IFERROR(VLOOKUP($A19&amp;"_"&amp;I$5,Database!$A:$F,6,0),"")</f>
        <v/>
      </c>
      <c r="J19" s="20" t="str">
        <f>IFERROR(VLOOKUP($A19&amp;"_"&amp;J$5,Database!$A:$F,6,0),"")</f>
        <v/>
      </c>
      <c r="K19" s="20" t="str">
        <f>IFERROR(VLOOKUP($A19&amp;"_"&amp;K$5,Database!$A:$F,6,0),"")</f>
        <v/>
      </c>
      <c r="L19" s="20" t="str">
        <f>IFERROR(VLOOKUP($A19&amp;"_"&amp;L$5,Database!$A:$F,6,0),"")</f>
        <v/>
      </c>
      <c r="M19" s="20" t="str">
        <f>IFERROR(VLOOKUP($A19&amp;"_"&amp;M$5,Database!$A:$F,6,0),"")</f>
        <v/>
      </c>
      <c r="N19" s="20" t="str">
        <f>IFERROR(VLOOKUP($A19&amp;"_"&amp;N$5,Database!$A:$F,6,0),"")</f>
        <v/>
      </c>
      <c r="O19" s="20" t="str">
        <f>IFERROR(VLOOKUP($A19&amp;"_"&amp;O$5,Database!$A:$F,6,0),"")</f>
        <v/>
      </c>
      <c r="P19" s="20" t="str">
        <f>IFERROR(VLOOKUP($A19&amp;"_"&amp;P$5,Database!$A:$F,6,0),"")</f>
        <v/>
      </c>
      <c r="Q19" s="20" t="str">
        <f>IFERROR(VLOOKUP($A19&amp;"_"&amp;Q$5,Database!$A:$F,6,0),"")</f>
        <v/>
      </c>
      <c r="R19" s="20" t="str">
        <f>IFERROR(VLOOKUP($A19&amp;"_"&amp;R$5,Database!$A:$F,6,0),"")</f>
        <v/>
      </c>
      <c r="S19" s="20" t="str">
        <f>IFERROR(VLOOKUP($A19&amp;"_"&amp;S$5,Database!$A:$F,6,0),"")</f>
        <v/>
      </c>
      <c r="T19" s="20" t="str">
        <f>IFERROR(VLOOKUP($A19&amp;"_"&amp;T$5,Database!$A:$F,6,0),"")</f>
        <v/>
      </c>
      <c r="U19" s="20" t="str">
        <f>IFERROR(VLOOKUP($A19&amp;"_"&amp;U$5,Database!$A:$F,6,0),"")</f>
        <v/>
      </c>
      <c r="V19" s="20" t="str">
        <f>IFERROR(VLOOKUP($A19&amp;"_"&amp;V$5,Database!$A:$F,6,0),"")</f>
        <v/>
      </c>
      <c r="W19" s="20" t="str">
        <f>IFERROR(VLOOKUP($A19&amp;"_"&amp;W$5,Database!$A:$F,6,0),"")</f>
        <v/>
      </c>
      <c r="X19" s="20" t="str">
        <f>IFERROR(VLOOKUP($A19&amp;"_"&amp;X$5,Database!$A:$F,6,0),"")</f>
        <v/>
      </c>
      <c r="Y19" s="20" t="str">
        <f>IFERROR(VLOOKUP($A19&amp;"_"&amp;Y$5,Database!$A:$F,6,0),"")</f>
        <v/>
      </c>
      <c r="Z19" s="20" t="str">
        <f>IFERROR(VLOOKUP($A19&amp;"_"&amp;Z$5,Database!$A:$F,6,0),"")</f>
        <v/>
      </c>
      <c r="AA19" s="20" t="str">
        <f>IFERROR(VLOOKUP($A19&amp;"_"&amp;AA$5,Database!$A:$F,6,0),"")</f>
        <v/>
      </c>
      <c r="AB19" s="20" t="str">
        <f>IFERROR(VLOOKUP($A19&amp;"_"&amp;AB$5,Database!$A:$F,6,0),"")</f>
        <v/>
      </c>
      <c r="AC19" s="20" t="str">
        <f>IFERROR(VLOOKUP($A19&amp;"_"&amp;AC$5,Database!$A:$F,6,0),"")</f>
        <v/>
      </c>
      <c r="AD19" s="20" t="str">
        <f>IFERROR(VLOOKUP($A19&amp;"_"&amp;AD$5,Database!$A:$F,6,0),"")</f>
        <v/>
      </c>
      <c r="AE19" s="20" t="str">
        <f>IFERROR(VLOOKUP($A19&amp;"_"&amp;AE$5,Database!$A:$F,6,0),"")</f>
        <v/>
      </c>
      <c r="AF19" s="20" t="str">
        <f>IFERROR(VLOOKUP($A19&amp;"_"&amp;AF$5,Database!$A:$F,6,0),"")</f>
        <v/>
      </c>
      <c r="AG19" s="20" t="str">
        <f>IFERROR(VLOOKUP($A19&amp;"_"&amp;AG$5,Database!$A:$F,6,0),"")</f>
        <v/>
      </c>
      <c r="AH19" s="20" t="str">
        <f>IFERROR(VLOOKUP($A19&amp;"_"&amp;AH$5,Database!$A:$F,6,0),"")</f>
        <v/>
      </c>
      <c r="AI19" s="20" t="str">
        <f>IFERROR(VLOOKUP($A19&amp;"_"&amp;AI$5,Database!$A:$F,6,0),"")</f>
        <v/>
      </c>
      <c r="AJ19" s="20" t="str">
        <f>IFERROR(VLOOKUP($A19&amp;"_"&amp;AJ$5,Database!$A:$F,6,0),"")</f>
        <v/>
      </c>
      <c r="AK19" s="20" t="str">
        <f>IFERROR(VLOOKUP($A19&amp;"_"&amp;AK$5,Database!$A:$F,6,0),"")</f>
        <v/>
      </c>
    </row>
    <row r="20" spans="1:37" x14ac:dyDescent="0.2">
      <c r="A20" s="17">
        <f>IF('Employee Master'!A16="","",'Employee Master'!A16)</f>
        <v>10015</v>
      </c>
      <c r="B20" s="18" t="str">
        <f>IF('Employee Master'!B16="","",'Employee Master'!B16)</f>
        <v>paris.fisher</v>
      </c>
      <c r="C20" s="18" t="str">
        <f>IF('Employee Master'!C16="","",'Employee Master'!C16)</f>
        <v>Wave-68</v>
      </c>
      <c r="D20" s="19">
        <f t="shared" si="1"/>
        <v>0</v>
      </c>
      <c r="E20" s="19">
        <f t="shared" si="2"/>
        <v>0</v>
      </c>
      <c r="F20" s="19">
        <f t="shared" si="3"/>
        <v>0</v>
      </c>
      <c r="G20" s="20" t="str">
        <f>IFERROR(VLOOKUP($A20&amp;"_"&amp;G$5,Database!$A:$F,6,0),"")</f>
        <v/>
      </c>
      <c r="H20" s="20" t="str">
        <f>IFERROR(VLOOKUP($A20&amp;"_"&amp;H$5,Database!$A:$F,6,0),"")</f>
        <v/>
      </c>
      <c r="I20" s="20" t="str">
        <f>IFERROR(VLOOKUP($A20&amp;"_"&amp;I$5,Database!$A:$F,6,0),"")</f>
        <v/>
      </c>
      <c r="J20" s="20" t="str">
        <f>IFERROR(VLOOKUP($A20&amp;"_"&amp;J$5,Database!$A:$F,6,0),"")</f>
        <v/>
      </c>
      <c r="K20" s="20" t="str">
        <f>IFERROR(VLOOKUP($A20&amp;"_"&amp;K$5,Database!$A:$F,6,0),"")</f>
        <v/>
      </c>
      <c r="L20" s="20" t="str">
        <f>IFERROR(VLOOKUP($A20&amp;"_"&amp;L$5,Database!$A:$F,6,0),"")</f>
        <v/>
      </c>
      <c r="M20" s="20" t="str">
        <f>IFERROR(VLOOKUP($A20&amp;"_"&amp;M$5,Database!$A:$F,6,0),"")</f>
        <v/>
      </c>
      <c r="N20" s="20" t="str">
        <f>IFERROR(VLOOKUP($A20&amp;"_"&amp;N$5,Database!$A:$F,6,0),"")</f>
        <v/>
      </c>
      <c r="O20" s="20" t="str">
        <f>IFERROR(VLOOKUP($A20&amp;"_"&amp;O$5,Database!$A:$F,6,0),"")</f>
        <v/>
      </c>
      <c r="P20" s="20" t="str">
        <f>IFERROR(VLOOKUP($A20&amp;"_"&amp;P$5,Database!$A:$F,6,0),"")</f>
        <v/>
      </c>
      <c r="Q20" s="20" t="str">
        <f>IFERROR(VLOOKUP($A20&amp;"_"&amp;Q$5,Database!$A:$F,6,0),"")</f>
        <v/>
      </c>
      <c r="R20" s="20" t="str">
        <f>IFERROR(VLOOKUP($A20&amp;"_"&amp;R$5,Database!$A:$F,6,0),"")</f>
        <v/>
      </c>
      <c r="S20" s="20" t="str">
        <f>IFERROR(VLOOKUP($A20&amp;"_"&amp;S$5,Database!$A:$F,6,0),"")</f>
        <v/>
      </c>
      <c r="T20" s="20" t="str">
        <f>IFERROR(VLOOKUP($A20&amp;"_"&amp;T$5,Database!$A:$F,6,0),"")</f>
        <v/>
      </c>
      <c r="U20" s="20" t="str">
        <f>IFERROR(VLOOKUP($A20&amp;"_"&amp;U$5,Database!$A:$F,6,0),"")</f>
        <v/>
      </c>
      <c r="V20" s="20" t="str">
        <f>IFERROR(VLOOKUP($A20&amp;"_"&amp;V$5,Database!$A:$F,6,0),"")</f>
        <v/>
      </c>
      <c r="W20" s="20" t="str">
        <f>IFERROR(VLOOKUP($A20&amp;"_"&amp;W$5,Database!$A:$F,6,0),"")</f>
        <v/>
      </c>
      <c r="X20" s="20" t="str">
        <f>IFERROR(VLOOKUP($A20&amp;"_"&amp;X$5,Database!$A:$F,6,0),"")</f>
        <v/>
      </c>
      <c r="Y20" s="20" t="str">
        <f>IFERROR(VLOOKUP($A20&amp;"_"&amp;Y$5,Database!$A:$F,6,0),"")</f>
        <v/>
      </c>
      <c r="Z20" s="20" t="str">
        <f>IFERROR(VLOOKUP($A20&amp;"_"&amp;Z$5,Database!$A:$F,6,0),"")</f>
        <v/>
      </c>
      <c r="AA20" s="20" t="str">
        <f>IFERROR(VLOOKUP($A20&amp;"_"&amp;AA$5,Database!$A:$F,6,0),"")</f>
        <v/>
      </c>
      <c r="AB20" s="20" t="str">
        <f>IFERROR(VLOOKUP($A20&amp;"_"&amp;AB$5,Database!$A:$F,6,0),"")</f>
        <v/>
      </c>
      <c r="AC20" s="20" t="str">
        <f>IFERROR(VLOOKUP($A20&amp;"_"&amp;AC$5,Database!$A:$F,6,0),"")</f>
        <v/>
      </c>
      <c r="AD20" s="20" t="str">
        <f>IFERROR(VLOOKUP($A20&amp;"_"&amp;AD$5,Database!$A:$F,6,0),"")</f>
        <v/>
      </c>
      <c r="AE20" s="20" t="str">
        <f>IFERROR(VLOOKUP($A20&amp;"_"&amp;AE$5,Database!$A:$F,6,0),"")</f>
        <v/>
      </c>
      <c r="AF20" s="20" t="str">
        <f>IFERROR(VLOOKUP($A20&amp;"_"&amp;AF$5,Database!$A:$F,6,0),"")</f>
        <v/>
      </c>
      <c r="AG20" s="20" t="str">
        <f>IFERROR(VLOOKUP($A20&amp;"_"&amp;AG$5,Database!$A:$F,6,0),"")</f>
        <v/>
      </c>
      <c r="AH20" s="20" t="str">
        <f>IFERROR(VLOOKUP($A20&amp;"_"&amp;AH$5,Database!$A:$F,6,0),"")</f>
        <v/>
      </c>
      <c r="AI20" s="20" t="str">
        <f>IFERROR(VLOOKUP($A20&amp;"_"&amp;AI$5,Database!$A:$F,6,0),"")</f>
        <v/>
      </c>
      <c r="AJ20" s="20" t="str">
        <f>IFERROR(VLOOKUP($A20&amp;"_"&amp;AJ$5,Database!$A:$F,6,0),"")</f>
        <v/>
      </c>
      <c r="AK20" s="20" t="str">
        <f>IFERROR(VLOOKUP($A20&amp;"_"&amp;AK$5,Database!$A:$F,6,0),"")</f>
        <v/>
      </c>
    </row>
    <row r="21" spans="1:37" x14ac:dyDescent="0.2">
      <c r="A21" s="17">
        <f>IF('Employee Master'!A17="","",'Employee Master'!A17)</f>
        <v>10015</v>
      </c>
      <c r="B21" s="18" t="str">
        <f>IF('Employee Master'!B17="","",'Employee Master'!B17)</f>
        <v>raledja.pruitt</v>
      </c>
      <c r="C21" s="18" t="str">
        <f>IF('Employee Master'!C17="","",'Employee Master'!C17)</f>
        <v>Wave-63</v>
      </c>
      <c r="D21" s="19">
        <f t="shared" ref="D21:D28" si="4">COUNTIF(G21:AK21,"P")</f>
        <v>0</v>
      </c>
      <c r="E21" s="19">
        <f t="shared" ref="E21:E28" si="5">COUNTIF(G21:AK21,"A")</f>
        <v>0</v>
      </c>
      <c r="F21" s="19">
        <f t="shared" ref="F21:F28" si="6">COUNTIF(G21:AK21,"L")</f>
        <v>0</v>
      </c>
      <c r="G21" s="20" t="str">
        <f>IFERROR(VLOOKUP($A21&amp;"_"&amp;G$5,Database!$A:$F,6,0),"")</f>
        <v/>
      </c>
      <c r="H21" s="20" t="str">
        <f>IFERROR(VLOOKUP($A21&amp;"_"&amp;H$5,Database!$A:$F,6,0),"")</f>
        <v/>
      </c>
      <c r="I21" s="20" t="str">
        <f>IFERROR(VLOOKUP($A21&amp;"_"&amp;I$5,Database!$A:$F,6,0),"")</f>
        <v/>
      </c>
      <c r="J21" s="20" t="str">
        <f>IFERROR(VLOOKUP($A21&amp;"_"&amp;J$5,Database!$A:$F,6,0),"")</f>
        <v/>
      </c>
      <c r="K21" s="20" t="str">
        <f>IFERROR(VLOOKUP($A21&amp;"_"&amp;K$5,Database!$A:$F,6,0),"")</f>
        <v/>
      </c>
      <c r="L21" s="20" t="str">
        <f>IFERROR(VLOOKUP($A21&amp;"_"&amp;L$5,Database!$A:$F,6,0),"")</f>
        <v/>
      </c>
      <c r="M21" s="20" t="str">
        <f>IFERROR(VLOOKUP($A21&amp;"_"&amp;M$5,Database!$A:$F,6,0),"")</f>
        <v/>
      </c>
      <c r="N21" s="20" t="str">
        <f>IFERROR(VLOOKUP($A21&amp;"_"&amp;N$5,Database!$A:$F,6,0),"")</f>
        <v/>
      </c>
      <c r="O21" s="20" t="str">
        <f>IFERROR(VLOOKUP($A21&amp;"_"&amp;O$5,Database!$A:$F,6,0),"")</f>
        <v/>
      </c>
      <c r="P21" s="20" t="str">
        <f>IFERROR(VLOOKUP($A21&amp;"_"&amp;P$5,Database!$A:$F,6,0),"")</f>
        <v/>
      </c>
      <c r="Q21" s="20" t="str">
        <f>IFERROR(VLOOKUP($A21&amp;"_"&amp;Q$5,Database!$A:$F,6,0),"")</f>
        <v/>
      </c>
      <c r="R21" s="20" t="str">
        <f>IFERROR(VLOOKUP($A21&amp;"_"&amp;R$5,Database!$A:$F,6,0),"")</f>
        <v/>
      </c>
      <c r="S21" s="20" t="str">
        <f>IFERROR(VLOOKUP($A21&amp;"_"&amp;S$5,Database!$A:$F,6,0),"")</f>
        <v/>
      </c>
      <c r="T21" s="20" t="str">
        <f>IFERROR(VLOOKUP($A21&amp;"_"&amp;T$5,Database!$A:$F,6,0),"")</f>
        <v/>
      </c>
      <c r="U21" s="20" t="str">
        <f>IFERROR(VLOOKUP($A21&amp;"_"&amp;U$5,Database!$A:$F,6,0),"")</f>
        <v/>
      </c>
      <c r="V21" s="20" t="str">
        <f>IFERROR(VLOOKUP($A21&amp;"_"&amp;V$5,Database!$A:$F,6,0),"")</f>
        <v/>
      </c>
      <c r="W21" s="20" t="str">
        <f>IFERROR(VLOOKUP($A21&amp;"_"&amp;W$5,Database!$A:$F,6,0),"")</f>
        <v/>
      </c>
      <c r="X21" s="20" t="str">
        <f>IFERROR(VLOOKUP($A21&amp;"_"&amp;X$5,Database!$A:$F,6,0),"")</f>
        <v/>
      </c>
      <c r="Y21" s="20" t="str">
        <f>IFERROR(VLOOKUP($A21&amp;"_"&amp;Y$5,Database!$A:$F,6,0),"")</f>
        <v/>
      </c>
      <c r="Z21" s="20" t="str">
        <f>IFERROR(VLOOKUP($A21&amp;"_"&amp;Z$5,Database!$A:$F,6,0),"")</f>
        <v/>
      </c>
      <c r="AA21" s="20" t="str">
        <f>IFERROR(VLOOKUP($A21&amp;"_"&amp;AA$5,Database!$A:$F,6,0),"")</f>
        <v/>
      </c>
      <c r="AB21" s="20" t="str">
        <f>IFERROR(VLOOKUP($A21&amp;"_"&amp;AB$5,Database!$A:$F,6,0),"")</f>
        <v/>
      </c>
      <c r="AC21" s="20" t="str">
        <f>IFERROR(VLOOKUP($A21&amp;"_"&amp;AC$5,Database!$A:$F,6,0),"")</f>
        <v/>
      </c>
      <c r="AD21" s="20" t="str">
        <f>IFERROR(VLOOKUP($A21&amp;"_"&amp;AD$5,Database!$A:$F,6,0),"")</f>
        <v/>
      </c>
      <c r="AE21" s="20" t="str">
        <f>IFERROR(VLOOKUP($A21&amp;"_"&amp;AE$5,Database!$A:$F,6,0),"")</f>
        <v/>
      </c>
      <c r="AF21" s="20" t="str">
        <f>IFERROR(VLOOKUP($A21&amp;"_"&amp;AF$5,Database!$A:$F,6,0),"")</f>
        <v/>
      </c>
      <c r="AG21" s="20" t="str">
        <f>IFERROR(VLOOKUP($A21&amp;"_"&amp;AG$5,Database!$A:$F,6,0),"")</f>
        <v/>
      </c>
      <c r="AH21" s="20" t="str">
        <f>IFERROR(VLOOKUP($A21&amp;"_"&amp;AH$5,Database!$A:$F,6,0),"")</f>
        <v/>
      </c>
      <c r="AI21" s="20" t="str">
        <f>IFERROR(VLOOKUP($A21&amp;"_"&amp;AI$5,Database!$A:$F,6,0),"")</f>
        <v/>
      </c>
      <c r="AJ21" s="20" t="str">
        <f>IFERROR(VLOOKUP($A21&amp;"_"&amp;AJ$5,Database!$A:$F,6,0),"")</f>
        <v/>
      </c>
      <c r="AK21" s="20" t="str">
        <f>IFERROR(VLOOKUP($A21&amp;"_"&amp;AK$5,Database!$A:$F,6,0),"")</f>
        <v/>
      </c>
    </row>
    <row r="22" spans="1:37" x14ac:dyDescent="0.2">
      <c r="A22" s="17">
        <f>IF('Employee Master'!A18="","",'Employee Master'!A18)</f>
        <v>10015</v>
      </c>
      <c r="B22" s="18" t="str">
        <f>IF('Employee Master'!B18="","",'Employee Master'!B18)</f>
        <v>ramone.horst</v>
      </c>
      <c r="C22" s="18" t="str">
        <f>IF('Employee Master'!C18="","",'Employee Master'!C18)</f>
        <v>Wave-68</v>
      </c>
      <c r="D22" s="19">
        <f t="shared" si="4"/>
        <v>0</v>
      </c>
      <c r="E22" s="19">
        <f t="shared" si="5"/>
        <v>0</v>
      </c>
      <c r="F22" s="19">
        <f t="shared" si="6"/>
        <v>0</v>
      </c>
      <c r="G22" s="20" t="str">
        <f>IFERROR(VLOOKUP($A22&amp;"_"&amp;G$5,Database!$A:$F,6,0),"")</f>
        <v/>
      </c>
      <c r="H22" s="20" t="str">
        <f>IFERROR(VLOOKUP($A22&amp;"_"&amp;H$5,Database!$A:$F,6,0),"")</f>
        <v/>
      </c>
      <c r="I22" s="20" t="str">
        <f>IFERROR(VLOOKUP($A22&amp;"_"&amp;I$5,Database!$A:$F,6,0),"")</f>
        <v/>
      </c>
      <c r="J22" s="20" t="str">
        <f>IFERROR(VLOOKUP($A22&amp;"_"&amp;J$5,Database!$A:$F,6,0),"")</f>
        <v/>
      </c>
      <c r="K22" s="20" t="str">
        <f>IFERROR(VLOOKUP($A22&amp;"_"&amp;K$5,Database!$A:$F,6,0),"")</f>
        <v/>
      </c>
      <c r="L22" s="20" t="str">
        <f>IFERROR(VLOOKUP($A22&amp;"_"&amp;L$5,Database!$A:$F,6,0),"")</f>
        <v/>
      </c>
      <c r="M22" s="20" t="str">
        <f>IFERROR(VLOOKUP($A22&amp;"_"&amp;M$5,Database!$A:$F,6,0),"")</f>
        <v/>
      </c>
      <c r="N22" s="20" t="str">
        <f>IFERROR(VLOOKUP($A22&amp;"_"&amp;N$5,Database!$A:$F,6,0),"")</f>
        <v/>
      </c>
      <c r="O22" s="20" t="str">
        <f>IFERROR(VLOOKUP($A22&amp;"_"&amp;O$5,Database!$A:$F,6,0),"")</f>
        <v/>
      </c>
      <c r="P22" s="20" t="str">
        <f>IFERROR(VLOOKUP($A22&amp;"_"&amp;P$5,Database!$A:$F,6,0),"")</f>
        <v/>
      </c>
      <c r="Q22" s="20" t="str">
        <f>IFERROR(VLOOKUP($A22&amp;"_"&amp;Q$5,Database!$A:$F,6,0),"")</f>
        <v/>
      </c>
      <c r="R22" s="20" t="str">
        <f>IFERROR(VLOOKUP($A22&amp;"_"&amp;R$5,Database!$A:$F,6,0),"")</f>
        <v/>
      </c>
      <c r="S22" s="20" t="str">
        <f>IFERROR(VLOOKUP($A22&amp;"_"&amp;S$5,Database!$A:$F,6,0),"")</f>
        <v/>
      </c>
      <c r="T22" s="20" t="str">
        <f>IFERROR(VLOOKUP($A22&amp;"_"&amp;T$5,Database!$A:$F,6,0),"")</f>
        <v/>
      </c>
      <c r="U22" s="20" t="str">
        <f>IFERROR(VLOOKUP($A22&amp;"_"&amp;U$5,Database!$A:$F,6,0),"")</f>
        <v/>
      </c>
      <c r="V22" s="20" t="str">
        <f>IFERROR(VLOOKUP($A22&amp;"_"&amp;V$5,Database!$A:$F,6,0),"")</f>
        <v/>
      </c>
      <c r="W22" s="20" t="str">
        <f>IFERROR(VLOOKUP($A22&amp;"_"&amp;W$5,Database!$A:$F,6,0),"")</f>
        <v/>
      </c>
      <c r="X22" s="20" t="str">
        <f>IFERROR(VLOOKUP($A22&amp;"_"&amp;X$5,Database!$A:$F,6,0),"")</f>
        <v/>
      </c>
      <c r="Y22" s="20" t="str">
        <f>IFERROR(VLOOKUP($A22&amp;"_"&amp;Y$5,Database!$A:$F,6,0),"")</f>
        <v/>
      </c>
      <c r="Z22" s="20" t="str">
        <f>IFERROR(VLOOKUP($A22&amp;"_"&amp;Z$5,Database!$A:$F,6,0),"")</f>
        <v/>
      </c>
      <c r="AA22" s="20" t="str">
        <f>IFERROR(VLOOKUP($A22&amp;"_"&amp;AA$5,Database!$A:$F,6,0),"")</f>
        <v/>
      </c>
      <c r="AB22" s="20" t="str">
        <f>IFERROR(VLOOKUP($A22&amp;"_"&amp;AB$5,Database!$A:$F,6,0),"")</f>
        <v/>
      </c>
      <c r="AC22" s="20" t="str">
        <f>IFERROR(VLOOKUP($A22&amp;"_"&amp;AC$5,Database!$A:$F,6,0),"")</f>
        <v/>
      </c>
      <c r="AD22" s="20" t="str">
        <f>IFERROR(VLOOKUP($A22&amp;"_"&amp;AD$5,Database!$A:$F,6,0),"")</f>
        <v/>
      </c>
      <c r="AE22" s="20" t="str">
        <f>IFERROR(VLOOKUP($A22&amp;"_"&amp;AE$5,Database!$A:$F,6,0),"")</f>
        <v/>
      </c>
      <c r="AF22" s="20" t="str">
        <f>IFERROR(VLOOKUP($A22&amp;"_"&amp;AF$5,Database!$A:$F,6,0),"")</f>
        <v/>
      </c>
      <c r="AG22" s="20" t="str">
        <f>IFERROR(VLOOKUP($A22&amp;"_"&amp;AG$5,Database!$A:$F,6,0),"")</f>
        <v/>
      </c>
      <c r="AH22" s="20" t="str">
        <f>IFERROR(VLOOKUP($A22&amp;"_"&amp;AH$5,Database!$A:$F,6,0),"")</f>
        <v/>
      </c>
      <c r="AI22" s="20" t="str">
        <f>IFERROR(VLOOKUP($A22&amp;"_"&amp;AI$5,Database!$A:$F,6,0),"")</f>
        <v/>
      </c>
      <c r="AJ22" s="20" t="str">
        <f>IFERROR(VLOOKUP($A22&amp;"_"&amp;AJ$5,Database!$A:$F,6,0),"")</f>
        <v/>
      </c>
      <c r="AK22" s="20" t="str">
        <f>IFERROR(VLOOKUP($A22&amp;"_"&amp;AK$5,Database!$A:$F,6,0),"")</f>
        <v/>
      </c>
    </row>
    <row r="23" spans="1:37" x14ac:dyDescent="0.2">
      <c r="A23" s="17">
        <f>IF('Employee Master'!A19="","",'Employee Master'!A19)</f>
        <v>10015</v>
      </c>
      <c r="B23" s="18" t="str">
        <f>IF('Employee Master'!B19="","",'Employee Master'!B19)</f>
        <v>samara.elliott</v>
      </c>
      <c r="C23" s="18" t="str">
        <f>IF('Employee Master'!C19="","",'Employee Master'!C19)</f>
        <v>Wave-63</v>
      </c>
      <c r="D23" s="19">
        <f t="shared" si="4"/>
        <v>0</v>
      </c>
      <c r="E23" s="19">
        <f t="shared" si="5"/>
        <v>0</v>
      </c>
      <c r="F23" s="19">
        <f t="shared" si="6"/>
        <v>0</v>
      </c>
      <c r="G23" s="20" t="str">
        <f>IFERROR(VLOOKUP($A23&amp;"_"&amp;G$5,Database!$A:$F,6,0),"")</f>
        <v/>
      </c>
      <c r="H23" s="20" t="str">
        <f>IFERROR(VLOOKUP($A23&amp;"_"&amp;H$5,Database!$A:$F,6,0),"")</f>
        <v/>
      </c>
      <c r="I23" s="20" t="str">
        <f>IFERROR(VLOOKUP($A23&amp;"_"&amp;I$5,Database!$A:$F,6,0),"")</f>
        <v/>
      </c>
      <c r="J23" s="20" t="str">
        <f>IFERROR(VLOOKUP($A23&amp;"_"&amp;J$5,Database!$A:$F,6,0),"")</f>
        <v/>
      </c>
      <c r="K23" s="20" t="str">
        <f>IFERROR(VLOOKUP($A23&amp;"_"&amp;K$5,Database!$A:$F,6,0),"")</f>
        <v/>
      </c>
      <c r="L23" s="20" t="str">
        <f>IFERROR(VLOOKUP($A23&amp;"_"&amp;L$5,Database!$A:$F,6,0),"")</f>
        <v/>
      </c>
      <c r="M23" s="20" t="str">
        <f>IFERROR(VLOOKUP($A23&amp;"_"&amp;M$5,Database!$A:$F,6,0),"")</f>
        <v/>
      </c>
      <c r="N23" s="20" t="str">
        <f>IFERROR(VLOOKUP($A23&amp;"_"&amp;N$5,Database!$A:$F,6,0),"")</f>
        <v/>
      </c>
      <c r="O23" s="20" t="str">
        <f>IFERROR(VLOOKUP($A23&amp;"_"&amp;O$5,Database!$A:$F,6,0),"")</f>
        <v/>
      </c>
      <c r="P23" s="20" t="str">
        <f>IFERROR(VLOOKUP($A23&amp;"_"&amp;P$5,Database!$A:$F,6,0),"")</f>
        <v/>
      </c>
      <c r="Q23" s="20" t="str">
        <f>IFERROR(VLOOKUP($A23&amp;"_"&amp;Q$5,Database!$A:$F,6,0),"")</f>
        <v/>
      </c>
      <c r="R23" s="20" t="str">
        <f>IFERROR(VLOOKUP($A23&amp;"_"&amp;R$5,Database!$A:$F,6,0),"")</f>
        <v/>
      </c>
      <c r="S23" s="20" t="str">
        <f>IFERROR(VLOOKUP($A23&amp;"_"&amp;S$5,Database!$A:$F,6,0),"")</f>
        <v/>
      </c>
      <c r="T23" s="20" t="str">
        <f>IFERROR(VLOOKUP($A23&amp;"_"&amp;T$5,Database!$A:$F,6,0),"")</f>
        <v/>
      </c>
      <c r="U23" s="20" t="str">
        <f>IFERROR(VLOOKUP($A23&amp;"_"&amp;U$5,Database!$A:$F,6,0),"")</f>
        <v/>
      </c>
      <c r="V23" s="20" t="str">
        <f>IFERROR(VLOOKUP($A23&amp;"_"&amp;V$5,Database!$A:$F,6,0),"")</f>
        <v/>
      </c>
      <c r="W23" s="20" t="str">
        <f>IFERROR(VLOOKUP($A23&amp;"_"&amp;W$5,Database!$A:$F,6,0),"")</f>
        <v/>
      </c>
      <c r="X23" s="20" t="str">
        <f>IFERROR(VLOOKUP($A23&amp;"_"&amp;X$5,Database!$A:$F,6,0),"")</f>
        <v/>
      </c>
      <c r="Y23" s="20" t="str">
        <f>IFERROR(VLOOKUP($A23&amp;"_"&amp;Y$5,Database!$A:$F,6,0),"")</f>
        <v/>
      </c>
      <c r="Z23" s="20" t="str">
        <f>IFERROR(VLOOKUP($A23&amp;"_"&amp;Z$5,Database!$A:$F,6,0),"")</f>
        <v/>
      </c>
      <c r="AA23" s="20" t="str">
        <f>IFERROR(VLOOKUP($A23&amp;"_"&amp;AA$5,Database!$A:$F,6,0),"")</f>
        <v/>
      </c>
      <c r="AB23" s="20" t="str">
        <f>IFERROR(VLOOKUP($A23&amp;"_"&amp;AB$5,Database!$A:$F,6,0),"")</f>
        <v/>
      </c>
      <c r="AC23" s="20" t="str">
        <f>IFERROR(VLOOKUP($A23&amp;"_"&amp;AC$5,Database!$A:$F,6,0),"")</f>
        <v/>
      </c>
      <c r="AD23" s="20" t="str">
        <f>IFERROR(VLOOKUP($A23&amp;"_"&amp;AD$5,Database!$A:$F,6,0),"")</f>
        <v/>
      </c>
      <c r="AE23" s="20" t="str">
        <f>IFERROR(VLOOKUP($A23&amp;"_"&amp;AE$5,Database!$A:$F,6,0),"")</f>
        <v/>
      </c>
      <c r="AF23" s="20" t="str">
        <f>IFERROR(VLOOKUP($A23&amp;"_"&amp;AF$5,Database!$A:$F,6,0),"")</f>
        <v/>
      </c>
      <c r="AG23" s="20" t="str">
        <f>IFERROR(VLOOKUP($A23&amp;"_"&amp;AG$5,Database!$A:$F,6,0),"")</f>
        <v/>
      </c>
      <c r="AH23" s="20" t="str">
        <f>IFERROR(VLOOKUP($A23&amp;"_"&amp;AH$5,Database!$A:$F,6,0),"")</f>
        <v/>
      </c>
      <c r="AI23" s="20" t="str">
        <f>IFERROR(VLOOKUP($A23&amp;"_"&amp;AI$5,Database!$A:$F,6,0),"")</f>
        <v/>
      </c>
      <c r="AJ23" s="20" t="str">
        <f>IFERROR(VLOOKUP($A23&amp;"_"&amp;AJ$5,Database!$A:$F,6,0),"")</f>
        <v/>
      </c>
      <c r="AK23" s="20" t="str">
        <f>IFERROR(VLOOKUP($A23&amp;"_"&amp;AK$5,Database!$A:$F,6,0),"")</f>
        <v/>
      </c>
    </row>
    <row r="24" spans="1:37" x14ac:dyDescent="0.2">
      <c r="A24" s="17">
        <f>IF('Employee Master'!A20="","",'Employee Master'!A20)</f>
        <v>10015</v>
      </c>
      <c r="B24" s="18" t="str">
        <f>IF('Employee Master'!B20="","",'Employee Master'!B20)</f>
        <v>sharron.watley</v>
      </c>
      <c r="C24" s="18" t="str">
        <f>IF('Employee Master'!C20="","",'Employee Master'!C20)</f>
        <v>Wave-63</v>
      </c>
      <c r="D24" s="19">
        <f t="shared" si="4"/>
        <v>0</v>
      </c>
      <c r="E24" s="19">
        <f t="shared" si="5"/>
        <v>0</v>
      </c>
      <c r="F24" s="19">
        <f t="shared" si="6"/>
        <v>0</v>
      </c>
      <c r="G24" s="20" t="str">
        <f>IFERROR(VLOOKUP($A24&amp;"_"&amp;G$5,Database!$A:$F,6,0),"")</f>
        <v/>
      </c>
      <c r="H24" s="20" t="str">
        <f>IFERROR(VLOOKUP($A24&amp;"_"&amp;H$5,Database!$A:$F,6,0),"")</f>
        <v/>
      </c>
      <c r="I24" s="20" t="str">
        <f>IFERROR(VLOOKUP($A24&amp;"_"&amp;I$5,Database!$A:$F,6,0),"")</f>
        <v/>
      </c>
      <c r="J24" s="20" t="str">
        <f>IFERROR(VLOOKUP($A24&amp;"_"&amp;J$5,Database!$A:$F,6,0),"")</f>
        <v/>
      </c>
      <c r="K24" s="20" t="str">
        <f>IFERROR(VLOOKUP($A24&amp;"_"&amp;K$5,Database!$A:$F,6,0),"")</f>
        <v/>
      </c>
      <c r="L24" s="20" t="str">
        <f>IFERROR(VLOOKUP($A24&amp;"_"&amp;L$5,Database!$A:$F,6,0),"")</f>
        <v/>
      </c>
      <c r="M24" s="20" t="str">
        <f>IFERROR(VLOOKUP($A24&amp;"_"&amp;M$5,Database!$A:$F,6,0),"")</f>
        <v/>
      </c>
      <c r="N24" s="20" t="str">
        <f>IFERROR(VLOOKUP($A24&amp;"_"&amp;N$5,Database!$A:$F,6,0),"")</f>
        <v/>
      </c>
      <c r="O24" s="20" t="str">
        <f>IFERROR(VLOOKUP($A24&amp;"_"&amp;O$5,Database!$A:$F,6,0),"")</f>
        <v/>
      </c>
      <c r="P24" s="20" t="str">
        <f>IFERROR(VLOOKUP($A24&amp;"_"&amp;P$5,Database!$A:$F,6,0),"")</f>
        <v/>
      </c>
      <c r="Q24" s="20" t="str">
        <f>IFERROR(VLOOKUP($A24&amp;"_"&amp;Q$5,Database!$A:$F,6,0),"")</f>
        <v/>
      </c>
      <c r="R24" s="20" t="str">
        <f>IFERROR(VLOOKUP($A24&amp;"_"&amp;R$5,Database!$A:$F,6,0),"")</f>
        <v/>
      </c>
      <c r="S24" s="20" t="str">
        <f>IFERROR(VLOOKUP($A24&amp;"_"&amp;S$5,Database!$A:$F,6,0),"")</f>
        <v/>
      </c>
      <c r="T24" s="20" t="str">
        <f>IFERROR(VLOOKUP($A24&amp;"_"&amp;T$5,Database!$A:$F,6,0),"")</f>
        <v/>
      </c>
      <c r="U24" s="20" t="str">
        <f>IFERROR(VLOOKUP($A24&amp;"_"&amp;U$5,Database!$A:$F,6,0),"")</f>
        <v/>
      </c>
      <c r="V24" s="20" t="str">
        <f>IFERROR(VLOOKUP($A24&amp;"_"&amp;V$5,Database!$A:$F,6,0),"")</f>
        <v/>
      </c>
      <c r="W24" s="20" t="str">
        <f>IFERROR(VLOOKUP($A24&amp;"_"&amp;W$5,Database!$A:$F,6,0),"")</f>
        <v/>
      </c>
      <c r="X24" s="20" t="str">
        <f>IFERROR(VLOOKUP($A24&amp;"_"&amp;X$5,Database!$A:$F,6,0),"")</f>
        <v/>
      </c>
      <c r="Y24" s="20" t="str">
        <f>IFERROR(VLOOKUP($A24&amp;"_"&amp;Y$5,Database!$A:$F,6,0),"")</f>
        <v/>
      </c>
      <c r="Z24" s="20" t="str">
        <f>IFERROR(VLOOKUP($A24&amp;"_"&amp;Z$5,Database!$A:$F,6,0),"")</f>
        <v/>
      </c>
      <c r="AA24" s="20" t="str">
        <f>IFERROR(VLOOKUP($A24&amp;"_"&amp;AA$5,Database!$A:$F,6,0),"")</f>
        <v/>
      </c>
      <c r="AB24" s="20" t="str">
        <f>IFERROR(VLOOKUP($A24&amp;"_"&amp;AB$5,Database!$A:$F,6,0),"")</f>
        <v/>
      </c>
      <c r="AC24" s="20" t="str">
        <f>IFERROR(VLOOKUP($A24&amp;"_"&amp;AC$5,Database!$A:$F,6,0),"")</f>
        <v/>
      </c>
      <c r="AD24" s="20" t="str">
        <f>IFERROR(VLOOKUP($A24&amp;"_"&amp;AD$5,Database!$A:$F,6,0),"")</f>
        <v/>
      </c>
      <c r="AE24" s="20" t="str">
        <f>IFERROR(VLOOKUP($A24&amp;"_"&amp;AE$5,Database!$A:$F,6,0),"")</f>
        <v/>
      </c>
      <c r="AF24" s="20" t="str">
        <f>IFERROR(VLOOKUP($A24&amp;"_"&amp;AF$5,Database!$A:$F,6,0),"")</f>
        <v/>
      </c>
      <c r="AG24" s="20" t="str">
        <f>IFERROR(VLOOKUP($A24&amp;"_"&amp;AG$5,Database!$A:$F,6,0),"")</f>
        <v/>
      </c>
      <c r="AH24" s="20" t="str">
        <f>IFERROR(VLOOKUP($A24&amp;"_"&amp;AH$5,Database!$A:$F,6,0),"")</f>
        <v/>
      </c>
      <c r="AI24" s="20" t="str">
        <f>IFERROR(VLOOKUP($A24&amp;"_"&amp;AI$5,Database!$A:$F,6,0),"")</f>
        <v/>
      </c>
      <c r="AJ24" s="20" t="str">
        <f>IFERROR(VLOOKUP($A24&amp;"_"&amp;AJ$5,Database!$A:$F,6,0),"")</f>
        <v/>
      </c>
      <c r="AK24" s="20" t="str">
        <f>IFERROR(VLOOKUP($A24&amp;"_"&amp;AK$5,Database!$A:$F,6,0),"")</f>
        <v/>
      </c>
    </row>
    <row r="25" spans="1:37" x14ac:dyDescent="0.2">
      <c r="A25" s="17">
        <f>IF('Employee Master'!A21="","",'Employee Master'!A21)</f>
        <v>10015</v>
      </c>
      <c r="B25" s="18" t="str">
        <f>IF('Employee Master'!B21="","",'Employee Master'!B21)</f>
        <v>shunta.fincher</v>
      </c>
      <c r="C25" s="18" t="str">
        <f>IF('Employee Master'!C21="","",'Employee Master'!C21)</f>
        <v>Wave-59</v>
      </c>
      <c r="D25" s="19">
        <f t="shared" si="4"/>
        <v>0</v>
      </c>
      <c r="E25" s="19">
        <f t="shared" si="5"/>
        <v>0</v>
      </c>
      <c r="F25" s="19">
        <f t="shared" si="6"/>
        <v>0</v>
      </c>
      <c r="G25" s="20" t="str">
        <f>IFERROR(VLOOKUP($A25&amp;"_"&amp;G$5,Database!$A:$F,6,0),"")</f>
        <v/>
      </c>
      <c r="H25" s="20" t="str">
        <f>IFERROR(VLOOKUP($A25&amp;"_"&amp;H$5,Database!$A:$F,6,0),"")</f>
        <v/>
      </c>
      <c r="I25" s="20" t="str">
        <f>IFERROR(VLOOKUP($A25&amp;"_"&amp;I$5,Database!$A:$F,6,0),"")</f>
        <v/>
      </c>
      <c r="J25" s="20" t="str">
        <f>IFERROR(VLOOKUP($A25&amp;"_"&amp;J$5,Database!$A:$F,6,0),"")</f>
        <v/>
      </c>
      <c r="K25" s="20" t="str">
        <f>IFERROR(VLOOKUP($A25&amp;"_"&amp;K$5,Database!$A:$F,6,0),"")</f>
        <v/>
      </c>
      <c r="L25" s="20" t="str">
        <f>IFERROR(VLOOKUP($A25&amp;"_"&amp;L$5,Database!$A:$F,6,0),"")</f>
        <v/>
      </c>
      <c r="M25" s="20" t="str">
        <f>IFERROR(VLOOKUP($A25&amp;"_"&amp;M$5,Database!$A:$F,6,0),"")</f>
        <v/>
      </c>
      <c r="N25" s="20" t="str">
        <f>IFERROR(VLOOKUP($A25&amp;"_"&amp;N$5,Database!$A:$F,6,0),"")</f>
        <v/>
      </c>
      <c r="O25" s="20" t="str">
        <f>IFERROR(VLOOKUP($A25&amp;"_"&amp;O$5,Database!$A:$F,6,0),"")</f>
        <v/>
      </c>
      <c r="P25" s="20" t="str">
        <f>IFERROR(VLOOKUP($A25&amp;"_"&amp;P$5,Database!$A:$F,6,0),"")</f>
        <v/>
      </c>
      <c r="Q25" s="20" t="str">
        <f>IFERROR(VLOOKUP($A25&amp;"_"&amp;Q$5,Database!$A:$F,6,0),"")</f>
        <v/>
      </c>
      <c r="R25" s="20" t="str">
        <f>IFERROR(VLOOKUP($A25&amp;"_"&amp;R$5,Database!$A:$F,6,0),"")</f>
        <v/>
      </c>
      <c r="S25" s="20" t="str">
        <f>IFERROR(VLOOKUP($A25&amp;"_"&amp;S$5,Database!$A:$F,6,0),"")</f>
        <v/>
      </c>
      <c r="T25" s="20" t="str">
        <f>IFERROR(VLOOKUP($A25&amp;"_"&amp;T$5,Database!$A:$F,6,0),"")</f>
        <v/>
      </c>
      <c r="U25" s="20" t="str">
        <f>IFERROR(VLOOKUP($A25&amp;"_"&amp;U$5,Database!$A:$F,6,0),"")</f>
        <v/>
      </c>
      <c r="V25" s="20" t="str">
        <f>IFERROR(VLOOKUP($A25&amp;"_"&amp;V$5,Database!$A:$F,6,0),"")</f>
        <v/>
      </c>
      <c r="W25" s="20" t="str">
        <f>IFERROR(VLOOKUP($A25&amp;"_"&amp;W$5,Database!$A:$F,6,0),"")</f>
        <v/>
      </c>
      <c r="X25" s="20" t="str">
        <f>IFERROR(VLOOKUP($A25&amp;"_"&amp;X$5,Database!$A:$F,6,0),"")</f>
        <v/>
      </c>
      <c r="Y25" s="20" t="str">
        <f>IFERROR(VLOOKUP($A25&amp;"_"&amp;Y$5,Database!$A:$F,6,0),"")</f>
        <v/>
      </c>
      <c r="Z25" s="20" t="str">
        <f>IFERROR(VLOOKUP($A25&amp;"_"&amp;Z$5,Database!$A:$F,6,0),"")</f>
        <v/>
      </c>
      <c r="AA25" s="20" t="str">
        <f>IFERROR(VLOOKUP($A25&amp;"_"&amp;AA$5,Database!$A:$F,6,0),"")</f>
        <v/>
      </c>
      <c r="AB25" s="20" t="str">
        <f>IFERROR(VLOOKUP($A25&amp;"_"&amp;AB$5,Database!$A:$F,6,0),"")</f>
        <v/>
      </c>
      <c r="AC25" s="20" t="str">
        <f>IFERROR(VLOOKUP($A25&amp;"_"&amp;AC$5,Database!$A:$F,6,0),"")</f>
        <v/>
      </c>
      <c r="AD25" s="20" t="str">
        <f>IFERROR(VLOOKUP($A25&amp;"_"&amp;AD$5,Database!$A:$F,6,0),"")</f>
        <v/>
      </c>
      <c r="AE25" s="20" t="str">
        <f>IFERROR(VLOOKUP($A25&amp;"_"&amp;AE$5,Database!$A:$F,6,0),"")</f>
        <v/>
      </c>
      <c r="AF25" s="20" t="str">
        <f>IFERROR(VLOOKUP($A25&amp;"_"&amp;AF$5,Database!$A:$F,6,0),"")</f>
        <v/>
      </c>
      <c r="AG25" s="20" t="str">
        <f>IFERROR(VLOOKUP($A25&amp;"_"&amp;AG$5,Database!$A:$F,6,0),"")</f>
        <v/>
      </c>
      <c r="AH25" s="20" t="str">
        <f>IFERROR(VLOOKUP($A25&amp;"_"&amp;AH$5,Database!$A:$F,6,0),"")</f>
        <v/>
      </c>
      <c r="AI25" s="20" t="str">
        <f>IFERROR(VLOOKUP($A25&amp;"_"&amp;AI$5,Database!$A:$F,6,0),"")</f>
        <v/>
      </c>
      <c r="AJ25" s="20" t="str">
        <f>IFERROR(VLOOKUP($A25&amp;"_"&amp;AJ$5,Database!$A:$F,6,0),"")</f>
        <v/>
      </c>
      <c r="AK25" s="20" t="str">
        <f>IFERROR(VLOOKUP($A25&amp;"_"&amp;AK$5,Database!$A:$F,6,0),"")</f>
        <v/>
      </c>
    </row>
    <row r="26" spans="1:37" x14ac:dyDescent="0.2">
      <c r="A26" s="17">
        <f>IF('Employee Master'!A22="","",'Employee Master'!A22)</f>
        <v>10015</v>
      </c>
      <c r="B26" s="18" t="str">
        <f>IF('Employee Master'!B22="","",'Employee Master'!B22)</f>
        <v>stanford.antoine</v>
      </c>
      <c r="C26" s="18" t="str">
        <f>IF('Employee Master'!C22="","",'Employee Master'!C22)</f>
        <v>Wave-59</v>
      </c>
      <c r="D26" s="19">
        <f t="shared" si="4"/>
        <v>0</v>
      </c>
      <c r="E26" s="19">
        <f t="shared" si="5"/>
        <v>0</v>
      </c>
      <c r="F26" s="19">
        <f t="shared" si="6"/>
        <v>0</v>
      </c>
      <c r="G26" s="20" t="str">
        <f>IFERROR(VLOOKUP($A26&amp;"_"&amp;G$5,Database!$A:$F,6,0),"")</f>
        <v/>
      </c>
      <c r="H26" s="20" t="str">
        <f>IFERROR(VLOOKUP($A26&amp;"_"&amp;H$5,Database!$A:$F,6,0),"")</f>
        <v/>
      </c>
      <c r="I26" s="20" t="str">
        <f>IFERROR(VLOOKUP($A26&amp;"_"&amp;I$5,Database!$A:$F,6,0),"")</f>
        <v/>
      </c>
      <c r="J26" s="20" t="str">
        <f>IFERROR(VLOOKUP($A26&amp;"_"&amp;J$5,Database!$A:$F,6,0),"")</f>
        <v/>
      </c>
      <c r="K26" s="20" t="str">
        <f>IFERROR(VLOOKUP($A26&amp;"_"&amp;K$5,Database!$A:$F,6,0),"")</f>
        <v/>
      </c>
      <c r="L26" s="20" t="str">
        <f>IFERROR(VLOOKUP($A26&amp;"_"&amp;L$5,Database!$A:$F,6,0),"")</f>
        <v/>
      </c>
      <c r="M26" s="20" t="str">
        <f>IFERROR(VLOOKUP($A26&amp;"_"&amp;M$5,Database!$A:$F,6,0),"")</f>
        <v/>
      </c>
      <c r="N26" s="20" t="str">
        <f>IFERROR(VLOOKUP($A26&amp;"_"&amp;N$5,Database!$A:$F,6,0),"")</f>
        <v/>
      </c>
      <c r="O26" s="20" t="str">
        <f>IFERROR(VLOOKUP($A26&amp;"_"&amp;O$5,Database!$A:$F,6,0),"")</f>
        <v/>
      </c>
      <c r="P26" s="20" t="str">
        <f>IFERROR(VLOOKUP($A26&amp;"_"&amp;P$5,Database!$A:$F,6,0),"")</f>
        <v/>
      </c>
      <c r="Q26" s="20" t="str">
        <f>IFERROR(VLOOKUP($A26&amp;"_"&amp;Q$5,Database!$A:$F,6,0),"")</f>
        <v/>
      </c>
      <c r="R26" s="20" t="str">
        <f>IFERROR(VLOOKUP($A26&amp;"_"&amp;R$5,Database!$A:$F,6,0),"")</f>
        <v/>
      </c>
      <c r="S26" s="20" t="str">
        <f>IFERROR(VLOOKUP($A26&amp;"_"&amp;S$5,Database!$A:$F,6,0),"")</f>
        <v/>
      </c>
      <c r="T26" s="20" t="str">
        <f>IFERROR(VLOOKUP($A26&amp;"_"&amp;T$5,Database!$A:$F,6,0),"")</f>
        <v/>
      </c>
      <c r="U26" s="20" t="str">
        <f>IFERROR(VLOOKUP($A26&amp;"_"&amp;U$5,Database!$A:$F,6,0),"")</f>
        <v/>
      </c>
      <c r="V26" s="20" t="str">
        <f>IFERROR(VLOOKUP($A26&amp;"_"&amp;V$5,Database!$A:$F,6,0),"")</f>
        <v/>
      </c>
      <c r="W26" s="20" t="str">
        <f>IFERROR(VLOOKUP($A26&amp;"_"&amp;W$5,Database!$A:$F,6,0),"")</f>
        <v/>
      </c>
      <c r="X26" s="20" t="str">
        <f>IFERROR(VLOOKUP($A26&amp;"_"&amp;X$5,Database!$A:$F,6,0),"")</f>
        <v/>
      </c>
      <c r="Y26" s="20" t="str">
        <f>IFERROR(VLOOKUP($A26&amp;"_"&amp;Y$5,Database!$A:$F,6,0),"")</f>
        <v/>
      </c>
      <c r="Z26" s="20" t="str">
        <f>IFERROR(VLOOKUP($A26&amp;"_"&amp;Z$5,Database!$A:$F,6,0),"")</f>
        <v/>
      </c>
      <c r="AA26" s="20" t="str">
        <f>IFERROR(VLOOKUP($A26&amp;"_"&amp;AA$5,Database!$A:$F,6,0),"")</f>
        <v/>
      </c>
      <c r="AB26" s="20" t="str">
        <f>IFERROR(VLOOKUP($A26&amp;"_"&amp;AB$5,Database!$A:$F,6,0),"")</f>
        <v/>
      </c>
      <c r="AC26" s="20" t="str">
        <f>IFERROR(VLOOKUP($A26&amp;"_"&amp;AC$5,Database!$A:$F,6,0),"")</f>
        <v/>
      </c>
      <c r="AD26" s="20" t="str">
        <f>IFERROR(VLOOKUP($A26&amp;"_"&amp;AD$5,Database!$A:$F,6,0),"")</f>
        <v/>
      </c>
      <c r="AE26" s="20" t="str">
        <f>IFERROR(VLOOKUP($A26&amp;"_"&amp;AE$5,Database!$A:$F,6,0),"")</f>
        <v/>
      </c>
      <c r="AF26" s="20" t="str">
        <f>IFERROR(VLOOKUP($A26&amp;"_"&amp;AF$5,Database!$A:$F,6,0),"")</f>
        <v/>
      </c>
      <c r="AG26" s="20" t="str">
        <f>IFERROR(VLOOKUP($A26&amp;"_"&amp;AG$5,Database!$A:$F,6,0),"")</f>
        <v/>
      </c>
      <c r="AH26" s="20" t="str">
        <f>IFERROR(VLOOKUP($A26&amp;"_"&amp;AH$5,Database!$A:$F,6,0),"")</f>
        <v/>
      </c>
      <c r="AI26" s="20" t="str">
        <f>IFERROR(VLOOKUP($A26&amp;"_"&amp;AI$5,Database!$A:$F,6,0),"")</f>
        <v/>
      </c>
      <c r="AJ26" s="20" t="str">
        <f>IFERROR(VLOOKUP($A26&amp;"_"&amp;AJ$5,Database!$A:$F,6,0),"")</f>
        <v/>
      </c>
      <c r="AK26" s="20" t="str">
        <f>IFERROR(VLOOKUP($A26&amp;"_"&amp;AK$5,Database!$A:$F,6,0),"")</f>
        <v/>
      </c>
    </row>
    <row r="27" spans="1:37" x14ac:dyDescent="0.2">
      <c r="A27" s="17">
        <f>IF('Employee Master'!A23="","",'Employee Master'!A23)</f>
        <v>10015</v>
      </c>
      <c r="B27" s="18" t="str">
        <f>IF('Employee Master'!B23="","",'Employee Master'!B23)</f>
        <v>t.railey</v>
      </c>
      <c r="C27" s="18" t="str">
        <f>IF('Employee Master'!C23="","",'Employee Master'!C23)</f>
        <v>Wave-62</v>
      </c>
      <c r="D27" s="19">
        <f t="shared" si="4"/>
        <v>0</v>
      </c>
      <c r="E27" s="19">
        <f t="shared" si="5"/>
        <v>0</v>
      </c>
      <c r="F27" s="19">
        <f t="shared" si="6"/>
        <v>0</v>
      </c>
      <c r="G27" s="20" t="str">
        <f>IFERROR(VLOOKUP($A27&amp;"_"&amp;G$5,Database!$A:$F,6,0),"")</f>
        <v/>
      </c>
      <c r="H27" s="20" t="str">
        <f>IFERROR(VLOOKUP($A27&amp;"_"&amp;H$5,Database!$A:$F,6,0),"")</f>
        <v/>
      </c>
      <c r="I27" s="20" t="str">
        <f>IFERROR(VLOOKUP($A27&amp;"_"&amp;I$5,Database!$A:$F,6,0),"")</f>
        <v/>
      </c>
      <c r="J27" s="20" t="str">
        <f>IFERROR(VLOOKUP($A27&amp;"_"&amp;J$5,Database!$A:$F,6,0),"")</f>
        <v/>
      </c>
      <c r="K27" s="20" t="str">
        <f>IFERROR(VLOOKUP($A27&amp;"_"&amp;K$5,Database!$A:$F,6,0),"")</f>
        <v/>
      </c>
      <c r="L27" s="20" t="str">
        <f>IFERROR(VLOOKUP($A27&amp;"_"&amp;L$5,Database!$A:$F,6,0),"")</f>
        <v/>
      </c>
      <c r="M27" s="20" t="str">
        <f>IFERROR(VLOOKUP($A27&amp;"_"&amp;M$5,Database!$A:$F,6,0),"")</f>
        <v/>
      </c>
      <c r="N27" s="20" t="str">
        <f>IFERROR(VLOOKUP($A27&amp;"_"&amp;N$5,Database!$A:$F,6,0),"")</f>
        <v/>
      </c>
      <c r="O27" s="20" t="str">
        <f>IFERROR(VLOOKUP($A27&amp;"_"&amp;O$5,Database!$A:$F,6,0),"")</f>
        <v/>
      </c>
      <c r="P27" s="20" t="str">
        <f>IFERROR(VLOOKUP($A27&amp;"_"&amp;P$5,Database!$A:$F,6,0),"")</f>
        <v/>
      </c>
      <c r="Q27" s="20" t="str">
        <f>IFERROR(VLOOKUP($A27&amp;"_"&amp;Q$5,Database!$A:$F,6,0),"")</f>
        <v/>
      </c>
      <c r="R27" s="20" t="str">
        <f>IFERROR(VLOOKUP($A27&amp;"_"&amp;R$5,Database!$A:$F,6,0),"")</f>
        <v/>
      </c>
      <c r="S27" s="20" t="str">
        <f>IFERROR(VLOOKUP($A27&amp;"_"&amp;S$5,Database!$A:$F,6,0),"")</f>
        <v/>
      </c>
      <c r="T27" s="20" t="str">
        <f>IFERROR(VLOOKUP($A27&amp;"_"&amp;T$5,Database!$A:$F,6,0),"")</f>
        <v/>
      </c>
      <c r="U27" s="20" t="str">
        <f>IFERROR(VLOOKUP($A27&amp;"_"&amp;U$5,Database!$A:$F,6,0),"")</f>
        <v/>
      </c>
      <c r="V27" s="20" t="str">
        <f>IFERROR(VLOOKUP($A27&amp;"_"&amp;V$5,Database!$A:$F,6,0),"")</f>
        <v/>
      </c>
      <c r="W27" s="20" t="str">
        <f>IFERROR(VLOOKUP($A27&amp;"_"&amp;W$5,Database!$A:$F,6,0),"")</f>
        <v/>
      </c>
      <c r="X27" s="20" t="str">
        <f>IFERROR(VLOOKUP($A27&amp;"_"&amp;X$5,Database!$A:$F,6,0),"")</f>
        <v/>
      </c>
      <c r="Y27" s="20" t="str">
        <f>IFERROR(VLOOKUP($A27&amp;"_"&amp;Y$5,Database!$A:$F,6,0),"")</f>
        <v/>
      </c>
      <c r="Z27" s="20" t="str">
        <f>IFERROR(VLOOKUP($A27&amp;"_"&amp;Z$5,Database!$A:$F,6,0),"")</f>
        <v/>
      </c>
      <c r="AA27" s="20" t="str">
        <f>IFERROR(VLOOKUP($A27&amp;"_"&amp;AA$5,Database!$A:$F,6,0),"")</f>
        <v/>
      </c>
      <c r="AB27" s="20" t="str">
        <f>IFERROR(VLOOKUP($A27&amp;"_"&amp;AB$5,Database!$A:$F,6,0),"")</f>
        <v/>
      </c>
      <c r="AC27" s="20" t="str">
        <f>IFERROR(VLOOKUP($A27&amp;"_"&amp;AC$5,Database!$A:$F,6,0),"")</f>
        <v/>
      </c>
      <c r="AD27" s="20" t="str">
        <f>IFERROR(VLOOKUP($A27&amp;"_"&amp;AD$5,Database!$A:$F,6,0),"")</f>
        <v/>
      </c>
      <c r="AE27" s="20" t="str">
        <f>IFERROR(VLOOKUP($A27&amp;"_"&amp;AE$5,Database!$A:$F,6,0),"")</f>
        <v/>
      </c>
      <c r="AF27" s="20" t="str">
        <f>IFERROR(VLOOKUP($A27&amp;"_"&amp;AF$5,Database!$A:$F,6,0),"")</f>
        <v/>
      </c>
      <c r="AG27" s="20" t="str">
        <f>IFERROR(VLOOKUP($A27&amp;"_"&amp;AG$5,Database!$A:$F,6,0),"")</f>
        <v/>
      </c>
      <c r="AH27" s="20" t="str">
        <f>IFERROR(VLOOKUP($A27&amp;"_"&amp;AH$5,Database!$A:$F,6,0),"")</f>
        <v/>
      </c>
      <c r="AI27" s="20" t="str">
        <f>IFERROR(VLOOKUP($A27&amp;"_"&amp;AI$5,Database!$A:$F,6,0),"")</f>
        <v/>
      </c>
      <c r="AJ27" s="20" t="str">
        <f>IFERROR(VLOOKUP($A27&amp;"_"&amp;AJ$5,Database!$A:$F,6,0),"")</f>
        <v/>
      </c>
      <c r="AK27" s="20" t="str">
        <f>IFERROR(VLOOKUP($A27&amp;"_"&amp;AK$5,Database!$A:$F,6,0),"")</f>
        <v/>
      </c>
    </row>
    <row r="28" spans="1:37" x14ac:dyDescent="0.2">
      <c r="A28" s="17" t="str">
        <f>IF('Employee Master'!A24="","",'Employee Master'!A24)</f>
        <v/>
      </c>
      <c r="B28" s="18" t="str">
        <f>IF('Employee Master'!B24="","",'Employee Master'!B24)</f>
        <v/>
      </c>
      <c r="C28" s="18" t="str">
        <f>IF('Employee Master'!C24="","",'Employee Master'!C24)</f>
        <v/>
      </c>
      <c r="D28" s="19">
        <f t="shared" si="4"/>
        <v>0</v>
      </c>
      <c r="E28" s="19">
        <f t="shared" si="5"/>
        <v>0</v>
      </c>
      <c r="F28" s="19">
        <f t="shared" si="6"/>
        <v>0</v>
      </c>
      <c r="G28" s="20" t="str">
        <f>IFERROR(VLOOKUP($A28&amp;"_"&amp;G$5,Database!$A:$F,6,0),"")</f>
        <v/>
      </c>
      <c r="H28" s="20" t="str">
        <f>IFERROR(VLOOKUP($A28&amp;"_"&amp;H$5,Database!$A:$F,6,0),"")</f>
        <v/>
      </c>
      <c r="I28" s="20" t="str">
        <f>IFERROR(VLOOKUP($A28&amp;"_"&amp;I$5,Database!$A:$F,6,0),"")</f>
        <v/>
      </c>
      <c r="J28" s="20" t="str">
        <f>IFERROR(VLOOKUP($A28&amp;"_"&amp;J$5,Database!$A:$F,6,0),"")</f>
        <v/>
      </c>
      <c r="K28" s="20" t="str">
        <f>IFERROR(VLOOKUP($A28&amp;"_"&amp;K$5,Database!$A:$F,6,0),"")</f>
        <v/>
      </c>
      <c r="L28" s="20" t="str">
        <f>IFERROR(VLOOKUP($A28&amp;"_"&amp;L$5,Database!$A:$F,6,0),"")</f>
        <v/>
      </c>
      <c r="M28" s="20" t="str">
        <f>IFERROR(VLOOKUP($A28&amp;"_"&amp;M$5,Database!$A:$F,6,0),"")</f>
        <v/>
      </c>
      <c r="N28" s="20" t="str">
        <f>IFERROR(VLOOKUP($A28&amp;"_"&amp;N$5,Database!$A:$F,6,0),"")</f>
        <v/>
      </c>
      <c r="O28" s="20" t="str">
        <f>IFERROR(VLOOKUP($A28&amp;"_"&amp;O$5,Database!$A:$F,6,0),"")</f>
        <v/>
      </c>
      <c r="P28" s="20" t="str">
        <f>IFERROR(VLOOKUP($A28&amp;"_"&amp;P$5,Database!$A:$F,6,0),"")</f>
        <v/>
      </c>
      <c r="Q28" s="20" t="str">
        <f>IFERROR(VLOOKUP($A28&amp;"_"&amp;Q$5,Database!$A:$F,6,0),"")</f>
        <v/>
      </c>
      <c r="R28" s="20" t="str">
        <f>IFERROR(VLOOKUP($A28&amp;"_"&amp;R$5,Database!$A:$F,6,0),"")</f>
        <v/>
      </c>
      <c r="S28" s="20" t="str">
        <f>IFERROR(VLOOKUP($A28&amp;"_"&amp;S$5,Database!$A:$F,6,0),"")</f>
        <v/>
      </c>
      <c r="T28" s="20" t="str">
        <f>IFERROR(VLOOKUP($A28&amp;"_"&amp;T$5,Database!$A:$F,6,0),"")</f>
        <v/>
      </c>
      <c r="U28" s="20" t="str">
        <f>IFERROR(VLOOKUP($A28&amp;"_"&amp;U$5,Database!$A:$F,6,0),"")</f>
        <v/>
      </c>
      <c r="V28" s="20" t="str">
        <f>IFERROR(VLOOKUP($A28&amp;"_"&amp;V$5,Database!$A:$F,6,0),"")</f>
        <v/>
      </c>
      <c r="W28" s="20" t="str">
        <f>IFERROR(VLOOKUP($A28&amp;"_"&amp;W$5,Database!$A:$F,6,0),"")</f>
        <v/>
      </c>
      <c r="X28" s="20" t="str">
        <f>IFERROR(VLOOKUP($A28&amp;"_"&amp;X$5,Database!$A:$F,6,0),"")</f>
        <v/>
      </c>
      <c r="Y28" s="20" t="str">
        <f>IFERROR(VLOOKUP($A28&amp;"_"&amp;Y$5,Database!$A:$F,6,0),"")</f>
        <v/>
      </c>
      <c r="Z28" s="20" t="str">
        <f>IFERROR(VLOOKUP($A28&amp;"_"&amp;Z$5,Database!$A:$F,6,0),"")</f>
        <v/>
      </c>
      <c r="AA28" s="20" t="str">
        <f>IFERROR(VLOOKUP($A28&amp;"_"&amp;AA$5,Database!$A:$F,6,0),"")</f>
        <v/>
      </c>
      <c r="AB28" s="20" t="str">
        <f>IFERROR(VLOOKUP($A28&amp;"_"&amp;AB$5,Database!$A:$F,6,0),"")</f>
        <v/>
      </c>
      <c r="AC28" s="20" t="str">
        <f>IFERROR(VLOOKUP($A28&amp;"_"&amp;AC$5,Database!$A:$F,6,0),"")</f>
        <v/>
      </c>
      <c r="AD28" s="20" t="str">
        <f>IFERROR(VLOOKUP($A28&amp;"_"&amp;AD$5,Database!$A:$F,6,0),"")</f>
        <v/>
      </c>
      <c r="AE28" s="20" t="str">
        <f>IFERROR(VLOOKUP($A28&amp;"_"&amp;AE$5,Database!$A:$F,6,0),"")</f>
        <v/>
      </c>
      <c r="AF28" s="20" t="str">
        <f>IFERROR(VLOOKUP($A28&amp;"_"&amp;AF$5,Database!$A:$F,6,0),"")</f>
        <v/>
      </c>
      <c r="AG28" s="20" t="str">
        <f>IFERROR(VLOOKUP($A28&amp;"_"&amp;AG$5,Database!$A:$F,6,0),"")</f>
        <v/>
      </c>
      <c r="AH28" s="20" t="str">
        <f>IFERROR(VLOOKUP($A28&amp;"_"&amp;AH$5,Database!$A:$F,6,0),"")</f>
        <v/>
      </c>
      <c r="AI28" s="20" t="str">
        <f>IFERROR(VLOOKUP($A28&amp;"_"&amp;AI$5,Database!$A:$F,6,0),"")</f>
        <v/>
      </c>
      <c r="AJ28" s="20" t="str">
        <f>IFERROR(VLOOKUP($A28&amp;"_"&amp;AJ$5,Database!$A:$F,6,0),"")</f>
        <v/>
      </c>
      <c r="AK28" s="20" t="str">
        <f>IFERROR(VLOOKUP($A28&amp;"_"&amp;AK$5,Database!$A:$F,6,0),"")</f>
        <v/>
      </c>
    </row>
    <row r="29" spans="1:37" x14ac:dyDescent="0.2">
      <c r="A29" s="17" t="str">
        <f>IF('Employee Master'!A25="","",'Employee Master'!A25)</f>
        <v/>
      </c>
      <c r="B29" s="18" t="str">
        <f>IF('Employee Master'!B25="","",'Employee Master'!B25)</f>
        <v/>
      </c>
      <c r="C29" s="18" t="str">
        <f>IF('Employee Master'!C25="","",'Employee Master'!C25)</f>
        <v/>
      </c>
      <c r="D29" s="19">
        <f t="shared" ref="D29:D92" si="7">COUNTIF(G29:AK29,"P")</f>
        <v>0</v>
      </c>
      <c r="E29" s="19">
        <f t="shared" ref="E29:E92" si="8">COUNTIF(G29:AK29,"A")</f>
        <v>0</v>
      </c>
      <c r="F29" s="19">
        <f t="shared" ref="F29:F92" si="9">COUNTIF(G29:AK29,"L")</f>
        <v>0</v>
      </c>
      <c r="G29" s="20" t="str">
        <f>IFERROR(VLOOKUP($A29&amp;"_"&amp;G$5,Database!$A:$F,6,0),"")</f>
        <v/>
      </c>
      <c r="H29" s="20" t="str">
        <f>IFERROR(VLOOKUP($A29&amp;"_"&amp;H$5,Database!$A:$F,6,0),"")</f>
        <v/>
      </c>
      <c r="I29" s="20" t="str">
        <f>IFERROR(VLOOKUP($A29&amp;"_"&amp;I$5,Database!$A:$F,6,0),"")</f>
        <v/>
      </c>
      <c r="J29" s="20" t="str">
        <f>IFERROR(VLOOKUP($A29&amp;"_"&amp;J$5,Database!$A:$F,6,0),"")</f>
        <v/>
      </c>
      <c r="K29" s="20" t="str">
        <f>IFERROR(VLOOKUP($A29&amp;"_"&amp;K$5,Database!$A:$F,6,0),"")</f>
        <v/>
      </c>
      <c r="L29" s="20" t="str">
        <f>IFERROR(VLOOKUP($A29&amp;"_"&amp;L$5,Database!$A:$F,6,0),"")</f>
        <v/>
      </c>
      <c r="M29" s="20" t="str">
        <f>IFERROR(VLOOKUP($A29&amp;"_"&amp;M$5,Database!$A:$F,6,0),"")</f>
        <v/>
      </c>
      <c r="N29" s="20" t="str">
        <f>IFERROR(VLOOKUP($A29&amp;"_"&amp;N$5,Database!$A:$F,6,0),"")</f>
        <v/>
      </c>
      <c r="O29" s="20" t="str">
        <f>IFERROR(VLOOKUP($A29&amp;"_"&amp;O$5,Database!$A:$F,6,0),"")</f>
        <v/>
      </c>
      <c r="P29" s="20" t="str">
        <f>IFERROR(VLOOKUP($A29&amp;"_"&amp;P$5,Database!$A:$F,6,0),"")</f>
        <v/>
      </c>
      <c r="Q29" s="20" t="str">
        <f>IFERROR(VLOOKUP($A29&amp;"_"&amp;Q$5,Database!$A:$F,6,0),"")</f>
        <v/>
      </c>
      <c r="R29" s="20" t="str">
        <f>IFERROR(VLOOKUP($A29&amp;"_"&amp;R$5,Database!$A:$F,6,0),"")</f>
        <v/>
      </c>
      <c r="S29" s="20" t="str">
        <f>IFERROR(VLOOKUP($A29&amp;"_"&amp;S$5,Database!$A:$F,6,0),"")</f>
        <v/>
      </c>
      <c r="T29" s="20" t="str">
        <f>IFERROR(VLOOKUP($A29&amp;"_"&amp;T$5,Database!$A:$F,6,0),"")</f>
        <v/>
      </c>
      <c r="U29" s="20" t="str">
        <f>IFERROR(VLOOKUP($A29&amp;"_"&amp;U$5,Database!$A:$F,6,0),"")</f>
        <v/>
      </c>
      <c r="V29" s="20" t="str">
        <f>IFERROR(VLOOKUP($A29&amp;"_"&amp;V$5,Database!$A:$F,6,0),"")</f>
        <v/>
      </c>
      <c r="W29" s="20" t="str">
        <f>IFERROR(VLOOKUP($A29&amp;"_"&amp;W$5,Database!$A:$F,6,0),"")</f>
        <v/>
      </c>
      <c r="X29" s="20" t="str">
        <f>IFERROR(VLOOKUP($A29&amp;"_"&amp;X$5,Database!$A:$F,6,0),"")</f>
        <v/>
      </c>
      <c r="Y29" s="20" t="str">
        <f>IFERROR(VLOOKUP($A29&amp;"_"&amp;Y$5,Database!$A:$F,6,0),"")</f>
        <v/>
      </c>
      <c r="Z29" s="20" t="str">
        <f>IFERROR(VLOOKUP($A29&amp;"_"&amp;Z$5,Database!$A:$F,6,0),"")</f>
        <v/>
      </c>
      <c r="AA29" s="20" t="str">
        <f>IFERROR(VLOOKUP($A29&amp;"_"&amp;AA$5,Database!$A:$F,6,0),"")</f>
        <v/>
      </c>
      <c r="AB29" s="20" t="str">
        <f>IFERROR(VLOOKUP($A29&amp;"_"&amp;AB$5,Database!$A:$F,6,0),"")</f>
        <v/>
      </c>
      <c r="AC29" s="20" t="str">
        <f>IFERROR(VLOOKUP($A29&amp;"_"&amp;AC$5,Database!$A:$F,6,0),"")</f>
        <v/>
      </c>
      <c r="AD29" s="20" t="str">
        <f>IFERROR(VLOOKUP($A29&amp;"_"&amp;AD$5,Database!$A:$F,6,0),"")</f>
        <v/>
      </c>
      <c r="AE29" s="20" t="str">
        <f>IFERROR(VLOOKUP($A29&amp;"_"&amp;AE$5,Database!$A:$F,6,0),"")</f>
        <v/>
      </c>
      <c r="AF29" s="20" t="str">
        <f>IFERROR(VLOOKUP($A29&amp;"_"&amp;AF$5,Database!$A:$F,6,0),"")</f>
        <v/>
      </c>
      <c r="AG29" s="20" t="str">
        <f>IFERROR(VLOOKUP($A29&amp;"_"&amp;AG$5,Database!$A:$F,6,0),"")</f>
        <v/>
      </c>
      <c r="AH29" s="20" t="str">
        <f>IFERROR(VLOOKUP($A29&amp;"_"&amp;AH$5,Database!$A:$F,6,0),"")</f>
        <v/>
      </c>
      <c r="AI29" s="20" t="str">
        <f>IFERROR(VLOOKUP($A29&amp;"_"&amp;AI$5,Database!$A:$F,6,0),"")</f>
        <v/>
      </c>
      <c r="AJ29" s="20" t="str">
        <f>IFERROR(VLOOKUP($A29&amp;"_"&amp;AJ$5,Database!$A:$F,6,0),"")</f>
        <v/>
      </c>
      <c r="AK29" s="20" t="str">
        <f>IFERROR(VLOOKUP($A29&amp;"_"&amp;AK$5,Database!$A:$F,6,0),"")</f>
        <v/>
      </c>
    </row>
    <row r="30" spans="1:37" x14ac:dyDescent="0.2">
      <c r="A30" s="17" t="str">
        <f>IF('Employee Master'!A26="","",'Employee Master'!A26)</f>
        <v/>
      </c>
      <c r="B30" s="18" t="str">
        <f>IF('Employee Master'!B26="","",'Employee Master'!B26)</f>
        <v/>
      </c>
      <c r="C30" s="18" t="str">
        <f>IF('Employee Master'!C26="","",'Employee Master'!C26)</f>
        <v/>
      </c>
      <c r="D30" s="19">
        <f t="shared" si="7"/>
        <v>0</v>
      </c>
      <c r="E30" s="19">
        <f t="shared" si="8"/>
        <v>0</v>
      </c>
      <c r="F30" s="19">
        <f t="shared" si="9"/>
        <v>0</v>
      </c>
      <c r="G30" s="20" t="str">
        <f>IFERROR(VLOOKUP($A30&amp;"_"&amp;G$5,Database!$A:$F,6,0),"")</f>
        <v/>
      </c>
      <c r="H30" s="20" t="str">
        <f>IFERROR(VLOOKUP($A30&amp;"_"&amp;H$5,Database!$A:$F,6,0),"")</f>
        <v/>
      </c>
      <c r="I30" s="20" t="str">
        <f>IFERROR(VLOOKUP($A30&amp;"_"&amp;I$5,Database!$A:$F,6,0),"")</f>
        <v/>
      </c>
      <c r="J30" s="20" t="str">
        <f>IFERROR(VLOOKUP($A30&amp;"_"&amp;J$5,Database!$A:$F,6,0),"")</f>
        <v/>
      </c>
      <c r="K30" s="20" t="str">
        <f>IFERROR(VLOOKUP($A30&amp;"_"&amp;K$5,Database!$A:$F,6,0),"")</f>
        <v/>
      </c>
      <c r="L30" s="20" t="str">
        <f>IFERROR(VLOOKUP($A30&amp;"_"&amp;L$5,Database!$A:$F,6,0),"")</f>
        <v/>
      </c>
      <c r="M30" s="20" t="str">
        <f>IFERROR(VLOOKUP($A30&amp;"_"&amp;M$5,Database!$A:$F,6,0),"")</f>
        <v/>
      </c>
      <c r="N30" s="20" t="str">
        <f>IFERROR(VLOOKUP($A30&amp;"_"&amp;N$5,Database!$A:$F,6,0),"")</f>
        <v/>
      </c>
      <c r="O30" s="20" t="str">
        <f>IFERROR(VLOOKUP($A30&amp;"_"&amp;O$5,Database!$A:$F,6,0),"")</f>
        <v/>
      </c>
      <c r="P30" s="20" t="str">
        <f>IFERROR(VLOOKUP($A30&amp;"_"&amp;P$5,Database!$A:$F,6,0),"")</f>
        <v/>
      </c>
      <c r="Q30" s="20" t="str">
        <f>IFERROR(VLOOKUP($A30&amp;"_"&amp;Q$5,Database!$A:$F,6,0),"")</f>
        <v/>
      </c>
      <c r="R30" s="20" t="str">
        <f>IFERROR(VLOOKUP($A30&amp;"_"&amp;R$5,Database!$A:$F,6,0),"")</f>
        <v/>
      </c>
      <c r="S30" s="20" t="str">
        <f>IFERROR(VLOOKUP($A30&amp;"_"&amp;S$5,Database!$A:$F,6,0),"")</f>
        <v/>
      </c>
      <c r="T30" s="20" t="str">
        <f>IFERROR(VLOOKUP($A30&amp;"_"&amp;T$5,Database!$A:$F,6,0),"")</f>
        <v/>
      </c>
      <c r="U30" s="20" t="str">
        <f>IFERROR(VLOOKUP($A30&amp;"_"&amp;U$5,Database!$A:$F,6,0),"")</f>
        <v/>
      </c>
      <c r="V30" s="20" t="str">
        <f>IFERROR(VLOOKUP($A30&amp;"_"&amp;V$5,Database!$A:$F,6,0),"")</f>
        <v/>
      </c>
      <c r="W30" s="20" t="str">
        <f>IFERROR(VLOOKUP($A30&amp;"_"&amp;W$5,Database!$A:$F,6,0),"")</f>
        <v/>
      </c>
      <c r="X30" s="20" t="str">
        <f>IFERROR(VLOOKUP($A30&amp;"_"&amp;X$5,Database!$A:$F,6,0),"")</f>
        <v/>
      </c>
      <c r="Y30" s="20" t="str">
        <f>IFERROR(VLOOKUP($A30&amp;"_"&amp;Y$5,Database!$A:$F,6,0),"")</f>
        <v/>
      </c>
      <c r="Z30" s="20" t="str">
        <f>IFERROR(VLOOKUP($A30&amp;"_"&amp;Z$5,Database!$A:$F,6,0),"")</f>
        <v/>
      </c>
      <c r="AA30" s="20" t="str">
        <f>IFERROR(VLOOKUP($A30&amp;"_"&amp;AA$5,Database!$A:$F,6,0),"")</f>
        <v/>
      </c>
      <c r="AB30" s="20" t="str">
        <f>IFERROR(VLOOKUP($A30&amp;"_"&amp;AB$5,Database!$A:$F,6,0),"")</f>
        <v/>
      </c>
      <c r="AC30" s="20" t="str">
        <f>IFERROR(VLOOKUP($A30&amp;"_"&amp;AC$5,Database!$A:$F,6,0),"")</f>
        <v/>
      </c>
      <c r="AD30" s="20" t="str">
        <f>IFERROR(VLOOKUP($A30&amp;"_"&amp;AD$5,Database!$A:$F,6,0),"")</f>
        <v/>
      </c>
      <c r="AE30" s="20" t="str">
        <f>IFERROR(VLOOKUP($A30&amp;"_"&amp;AE$5,Database!$A:$F,6,0),"")</f>
        <v/>
      </c>
      <c r="AF30" s="20" t="str">
        <f>IFERROR(VLOOKUP($A30&amp;"_"&amp;AF$5,Database!$A:$F,6,0),"")</f>
        <v/>
      </c>
      <c r="AG30" s="20" t="str">
        <f>IFERROR(VLOOKUP($A30&amp;"_"&amp;AG$5,Database!$A:$F,6,0),"")</f>
        <v/>
      </c>
      <c r="AH30" s="20" t="str">
        <f>IFERROR(VLOOKUP($A30&amp;"_"&amp;AH$5,Database!$A:$F,6,0),"")</f>
        <v/>
      </c>
      <c r="AI30" s="20" t="str">
        <f>IFERROR(VLOOKUP($A30&amp;"_"&amp;AI$5,Database!$A:$F,6,0),"")</f>
        <v/>
      </c>
      <c r="AJ30" s="20" t="str">
        <f>IFERROR(VLOOKUP($A30&amp;"_"&amp;AJ$5,Database!$A:$F,6,0),"")</f>
        <v/>
      </c>
      <c r="AK30" s="20" t="str">
        <f>IFERROR(VLOOKUP($A30&amp;"_"&amp;AK$5,Database!$A:$F,6,0),"")</f>
        <v/>
      </c>
    </row>
    <row r="31" spans="1:37" x14ac:dyDescent="0.2">
      <c r="A31" s="17" t="str">
        <f>IF('Employee Master'!A27="","",'Employee Master'!A27)</f>
        <v/>
      </c>
      <c r="B31" s="18" t="str">
        <f>IF('Employee Master'!B27="","",'Employee Master'!B27)</f>
        <v/>
      </c>
      <c r="C31" s="18" t="str">
        <f>IF('Employee Master'!C27="","",'Employee Master'!C27)</f>
        <v/>
      </c>
      <c r="D31" s="19">
        <f t="shared" si="7"/>
        <v>0</v>
      </c>
      <c r="E31" s="19">
        <f t="shared" si="8"/>
        <v>0</v>
      </c>
      <c r="F31" s="19">
        <f t="shared" si="9"/>
        <v>0</v>
      </c>
      <c r="G31" s="20" t="str">
        <f>IFERROR(VLOOKUP($A31&amp;"_"&amp;G$5,Database!$A:$F,6,0),"")</f>
        <v/>
      </c>
      <c r="H31" s="20" t="str">
        <f>IFERROR(VLOOKUP($A31&amp;"_"&amp;H$5,Database!$A:$F,6,0),"")</f>
        <v/>
      </c>
      <c r="I31" s="20" t="str">
        <f>IFERROR(VLOOKUP($A31&amp;"_"&amp;I$5,Database!$A:$F,6,0),"")</f>
        <v/>
      </c>
      <c r="J31" s="20" t="str">
        <f>IFERROR(VLOOKUP($A31&amp;"_"&amp;J$5,Database!$A:$F,6,0),"")</f>
        <v/>
      </c>
      <c r="K31" s="20" t="str">
        <f>IFERROR(VLOOKUP($A31&amp;"_"&amp;K$5,Database!$A:$F,6,0),"")</f>
        <v/>
      </c>
      <c r="L31" s="20" t="str">
        <f>IFERROR(VLOOKUP($A31&amp;"_"&amp;L$5,Database!$A:$F,6,0),"")</f>
        <v/>
      </c>
      <c r="M31" s="20" t="str">
        <f>IFERROR(VLOOKUP($A31&amp;"_"&amp;M$5,Database!$A:$F,6,0),"")</f>
        <v/>
      </c>
      <c r="N31" s="20" t="str">
        <f>IFERROR(VLOOKUP($A31&amp;"_"&amp;N$5,Database!$A:$F,6,0),"")</f>
        <v/>
      </c>
      <c r="O31" s="20" t="str">
        <f>IFERROR(VLOOKUP($A31&amp;"_"&amp;O$5,Database!$A:$F,6,0),"")</f>
        <v/>
      </c>
      <c r="P31" s="20" t="str">
        <f>IFERROR(VLOOKUP($A31&amp;"_"&amp;P$5,Database!$A:$F,6,0),"")</f>
        <v/>
      </c>
      <c r="Q31" s="20" t="str">
        <f>IFERROR(VLOOKUP($A31&amp;"_"&amp;Q$5,Database!$A:$F,6,0),"")</f>
        <v/>
      </c>
      <c r="R31" s="20" t="str">
        <f>IFERROR(VLOOKUP($A31&amp;"_"&amp;R$5,Database!$A:$F,6,0),"")</f>
        <v/>
      </c>
      <c r="S31" s="20" t="str">
        <f>IFERROR(VLOOKUP($A31&amp;"_"&amp;S$5,Database!$A:$F,6,0),"")</f>
        <v/>
      </c>
      <c r="T31" s="20" t="str">
        <f>IFERROR(VLOOKUP($A31&amp;"_"&amp;T$5,Database!$A:$F,6,0),"")</f>
        <v/>
      </c>
      <c r="U31" s="20" t="str">
        <f>IFERROR(VLOOKUP($A31&amp;"_"&amp;U$5,Database!$A:$F,6,0),"")</f>
        <v/>
      </c>
      <c r="V31" s="20" t="str">
        <f>IFERROR(VLOOKUP($A31&amp;"_"&amp;V$5,Database!$A:$F,6,0),"")</f>
        <v/>
      </c>
      <c r="W31" s="20" t="str">
        <f>IFERROR(VLOOKUP($A31&amp;"_"&amp;W$5,Database!$A:$F,6,0),"")</f>
        <v/>
      </c>
      <c r="X31" s="20" t="str">
        <f>IFERROR(VLOOKUP($A31&amp;"_"&amp;X$5,Database!$A:$F,6,0),"")</f>
        <v/>
      </c>
      <c r="Y31" s="20" t="str">
        <f>IFERROR(VLOOKUP($A31&amp;"_"&amp;Y$5,Database!$A:$F,6,0),"")</f>
        <v/>
      </c>
      <c r="Z31" s="20" t="str">
        <f>IFERROR(VLOOKUP($A31&amp;"_"&amp;Z$5,Database!$A:$F,6,0),"")</f>
        <v/>
      </c>
      <c r="AA31" s="20" t="str">
        <f>IFERROR(VLOOKUP($A31&amp;"_"&amp;AA$5,Database!$A:$F,6,0),"")</f>
        <v/>
      </c>
      <c r="AB31" s="20" t="str">
        <f>IFERROR(VLOOKUP($A31&amp;"_"&amp;AB$5,Database!$A:$F,6,0),"")</f>
        <v/>
      </c>
      <c r="AC31" s="20" t="str">
        <f>IFERROR(VLOOKUP($A31&amp;"_"&amp;AC$5,Database!$A:$F,6,0),"")</f>
        <v/>
      </c>
      <c r="AD31" s="20" t="str">
        <f>IFERROR(VLOOKUP($A31&amp;"_"&amp;AD$5,Database!$A:$F,6,0),"")</f>
        <v/>
      </c>
      <c r="AE31" s="20" t="str">
        <f>IFERROR(VLOOKUP($A31&amp;"_"&amp;AE$5,Database!$A:$F,6,0),"")</f>
        <v/>
      </c>
      <c r="AF31" s="20" t="str">
        <f>IFERROR(VLOOKUP($A31&amp;"_"&amp;AF$5,Database!$A:$F,6,0),"")</f>
        <v/>
      </c>
      <c r="AG31" s="20" t="str">
        <f>IFERROR(VLOOKUP($A31&amp;"_"&amp;AG$5,Database!$A:$F,6,0),"")</f>
        <v/>
      </c>
      <c r="AH31" s="20" t="str">
        <f>IFERROR(VLOOKUP($A31&amp;"_"&amp;AH$5,Database!$A:$F,6,0),"")</f>
        <v/>
      </c>
      <c r="AI31" s="20" t="str">
        <f>IFERROR(VLOOKUP($A31&amp;"_"&amp;AI$5,Database!$A:$F,6,0),"")</f>
        <v/>
      </c>
      <c r="AJ31" s="20" t="str">
        <f>IFERROR(VLOOKUP($A31&amp;"_"&amp;AJ$5,Database!$A:$F,6,0),"")</f>
        <v/>
      </c>
      <c r="AK31" s="20" t="str">
        <f>IFERROR(VLOOKUP($A31&amp;"_"&amp;AK$5,Database!$A:$F,6,0),"")</f>
        <v/>
      </c>
    </row>
    <row r="32" spans="1:37" x14ac:dyDescent="0.2">
      <c r="A32" s="17" t="str">
        <f>IF('Employee Master'!A28="","",'Employee Master'!A28)</f>
        <v/>
      </c>
      <c r="B32" s="18" t="str">
        <f>IF('Employee Master'!B28="","",'Employee Master'!B28)</f>
        <v/>
      </c>
      <c r="C32" s="18" t="str">
        <f>IF('Employee Master'!C28="","",'Employee Master'!C28)</f>
        <v/>
      </c>
      <c r="D32" s="19">
        <f t="shared" si="7"/>
        <v>0</v>
      </c>
      <c r="E32" s="19">
        <f t="shared" si="8"/>
        <v>0</v>
      </c>
      <c r="F32" s="19">
        <f t="shared" si="9"/>
        <v>0</v>
      </c>
      <c r="G32" s="20" t="str">
        <f>IFERROR(VLOOKUP($A32&amp;"_"&amp;G$5,Database!$A:$F,6,0),"")</f>
        <v/>
      </c>
      <c r="H32" s="20" t="str">
        <f>IFERROR(VLOOKUP($A32&amp;"_"&amp;H$5,Database!$A:$F,6,0),"")</f>
        <v/>
      </c>
      <c r="I32" s="20" t="str">
        <f>IFERROR(VLOOKUP($A32&amp;"_"&amp;I$5,Database!$A:$F,6,0),"")</f>
        <v/>
      </c>
      <c r="J32" s="20" t="str">
        <f>IFERROR(VLOOKUP($A32&amp;"_"&amp;J$5,Database!$A:$F,6,0),"")</f>
        <v/>
      </c>
      <c r="K32" s="20" t="str">
        <f>IFERROR(VLOOKUP($A32&amp;"_"&amp;K$5,Database!$A:$F,6,0),"")</f>
        <v/>
      </c>
      <c r="L32" s="20" t="str">
        <f>IFERROR(VLOOKUP($A32&amp;"_"&amp;L$5,Database!$A:$F,6,0),"")</f>
        <v/>
      </c>
      <c r="M32" s="20" t="str">
        <f>IFERROR(VLOOKUP($A32&amp;"_"&amp;M$5,Database!$A:$F,6,0),"")</f>
        <v/>
      </c>
      <c r="N32" s="20" t="str">
        <f>IFERROR(VLOOKUP($A32&amp;"_"&amp;N$5,Database!$A:$F,6,0),"")</f>
        <v/>
      </c>
      <c r="O32" s="20" t="str">
        <f>IFERROR(VLOOKUP($A32&amp;"_"&amp;O$5,Database!$A:$F,6,0),"")</f>
        <v/>
      </c>
      <c r="P32" s="20" t="str">
        <f>IFERROR(VLOOKUP($A32&amp;"_"&amp;P$5,Database!$A:$F,6,0),"")</f>
        <v/>
      </c>
      <c r="Q32" s="20" t="str">
        <f>IFERROR(VLOOKUP($A32&amp;"_"&amp;Q$5,Database!$A:$F,6,0),"")</f>
        <v/>
      </c>
      <c r="R32" s="20" t="str">
        <f>IFERROR(VLOOKUP($A32&amp;"_"&amp;R$5,Database!$A:$F,6,0),"")</f>
        <v/>
      </c>
      <c r="S32" s="20" t="str">
        <f>IFERROR(VLOOKUP($A32&amp;"_"&amp;S$5,Database!$A:$F,6,0),"")</f>
        <v/>
      </c>
      <c r="T32" s="20" t="str">
        <f>IFERROR(VLOOKUP($A32&amp;"_"&amp;T$5,Database!$A:$F,6,0),"")</f>
        <v/>
      </c>
      <c r="U32" s="20" t="str">
        <f>IFERROR(VLOOKUP($A32&amp;"_"&amp;U$5,Database!$A:$F,6,0),"")</f>
        <v/>
      </c>
      <c r="V32" s="20" t="str">
        <f>IFERROR(VLOOKUP($A32&amp;"_"&amp;V$5,Database!$A:$F,6,0),"")</f>
        <v/>
      </c>
      <c r="W32" s="20" t="str">
        <f>IFERROR(VLOOKUP($A32&amp;"_"&amp;W$5,Database!$A:$F,6,0),"")</f>
        <v/>
      </c>
      <c r="X32" s="20" t="str">
        <f>IFERROR(VLOOKUP($A32&amp;"_"&amp;X$5,Database!$A:$F,6,0),"")</f>
        <v/>
      </c>
      <c r="Y32" s="20" t="str">
        <f>IFERROR(VLOOKUP($A32&amp;"_"&amp;Y$5,Database!$A:$F,6,0),"")</f>
        <v/>
      </c>
      <c r="Z32" s="20" t="str">
        <f>IFERROR(VLOOKUP($A32&amp;"_"&amp;Z$5,Database!$A:$F,6,0),"")</f>
        <v/>
      </c>
      <c r="AA32" s="20" t="str">
        <f>IFERROR(VLOOKUP($A32&amp;"_"&amp;AA$5,Database!$A:$F,6,0),"")</f>
        <v/>
      </c>
      <c r="AB32" s="20" t="str">
        <f>IFERROR(VLOOKUP($A32&amp;"_"&amp;AB$5,Database!$A:$F,6,0),"")</f>
        <v/>
      </c>
      <c r="AC32" s="20" t="str">
        <f>IFERROR(VLOOKUP($A32&amp;"_"&amp;AC$5,Database!$A:$F,6,0),"")</f>
        <v/>
      </c>
      <c r="AD32" s="20" t="str">
        <f>IFERROR(VLOOKUP($A32&amp;"_"&amp;AD$5,Database!$A:$F,6,0),"")</f>
        <v/>
      </c>
      <c r="AE32" s="20" t="str">
        <f>IFERROR(VLOOKUP($A32&amp;"_"&amp;AE$5,Database!$A:$F,6,0),"")</f>
        <v/>
      </c>
      <c r="AF32" s="20" t="str">
        <f>IFERROR(VLOOKUP($A32&amp;"_"&amp;AF$5,Database!$A:$F,6,0),"")</f>
        <v/>
      </c>
      <c r="AG32" s="20" t="str">
        <f>IFERROR(VLOOKUP($A32&amp;"_"&amp;AG$5,Database!$A:$F,6,0),"")</f>
        <v/>
      </c>
      <c r="AH32" s="20" t="str">
        <f>IFERROR(VLOOKUP($A32&amp;"_"&amp;AH$5,Database!$A:$F,6,0),"")</f>
        <v/>
      </c>
      <c r="AI32" s="20" t="str">
        <f>IFERROR(VLOOKUP($A32&amp;"_"&amp;AI$5,Database!$A:$F,6,0),"")</f>
        <v/>
      </c>
      <c r="AJ32" s="20" t="str">
        <f>IFERROR(VLOOKUP($A32&amp;"_"&amp;AJ$5,Database!$A:$F,6,0),"")</f>
        <v/>
      </c>
      <c r="AK32" s="20" t="str">
        <f>IFERROR(VLOOKUP($A32&amp;"_"&amp;AK$5,Database!$A:$F,6,0),"")</f>
        <v/>
      </c>
    </row>
    <row r="33" spans="1:37" x14ac:dyDescent="0.2">
      <c r="A33" s="17" t="str">
        <f>IF('Employee Master'!A29="","",'Employee Master'!A29)</f>
        <v/>
      </c>
      <c r="B33" s="18" t="str">
        <f>IF('Employee Master'!B29="","",'Employee Master'!B29)</f>
        <v/>
      </c>
      <c r="C33" s="18" t="str">
        <f>IF('Employee Master'!C29="","",'Employee Master'!C29)</f>
        <v/>
      </c>
      <c r="D33" s="19">
        <f t="shared" si="7"/>
        <v>0</v>
      </c>
      <c r="E33" s="19">
        <f t="shared" si="8"/>
        <v>0</v>
      </c>
      <c r="F33" s="19">
        <f t="shared" si="9"/>
        <v>0</v>
      </c>
      <c r="G33" s="20" t="str">
        <f>IFERROR(VLOOKUP($A33&amp;"_"&amp;G$5,Database!$A:$F,6,0),"")</f>
        <v/>
      </c>
      <c r="H33" s="20" t="str">
        <f>IFERROR(VLOOKUP($A33&amp;"_"&amp;H$5,Database!$A:$F,6,0),"")</f>
        <v/>
      </c>
      <c r="I33" s="20" t="str">
        <f>IFERROR(VLOOKUP($A33&amp;"_"&amp;I$5,Database!$A:$F,6,0),"")</f>
        <v/>
      </c>
      <c r="J33" s="20" t="str">
        <f>IFERROR(VLOOKUP($A33&amp;"_"&amp;J$5,Database!$A:$F,6,0),"")</f>
        <v/>
      </c>
      <c r="K33" s="20" t="str">
        <f>IFERROR(VLOOKUP($A33&amp;"_"&amp;K$5,Database!$A:$F,6,0),"")</f>
        <v/>
      </c>
      <c r="L33" s="20" t="str">
        <f>IFERROR(VLOOKUP($A33&amp;"_"&amp;L$5,Database!$A:$F,6,0),"")</f>
        <v/>
      </c>
      <c r="M33" s="20" t="str">
        <f>IFERROR(VLOOKUP($A33&amp;"_"&amp;M$5,Database!$A:$F,6,0),"")</f>
        <v/>
      </c>
      <c r="N33" s="20" t="str">
        <f>IFERROR(VLOOKUP($A33&amp;"_"&amp;N$5,Database!$A:$F,6,0),"")</f>
        <v/>
      </c>
      <c r="O33" s="20" t="str">
        <f>IFERROR(VLOOKUP($A33&amp;"_"&amp;O$5,Database!$A:$F,6,0),"")</f>
        <v/>
      </c>
      <c r="P33" s="20" t="str">
        <f>IFERROR(VLOOKUP($A33&amp;"_"&amp;P$5,Database!$A:$F,6,0),"")</f>
        <v/>
      </c>
      <c r="Q33" s="20" t="str">
        <f>IFERROR(VLOOKUP($A33&amp;"_"&amp;Q$5,Database!$A:$F,6,0),"")</f>
        <v/>
      </c>
      <c r="R33" s="20" t="str">
        <f>IFERROR(VLOOKUP($A33&amp;"_"&amp;R$5,Database!$A:$F,6,0),"")</f>
        <v/>
      </c>
      <c r="S33" s="20" t="str">
        <f>IFERROR(VLOOKUP($A33&amp;"_"&amp;S$5,Database!$A:$F,6,0),"")</f>
        <v/>
      </c>
      <c r="T33" s="20" t="str">
        <f>IFERROR(VLOOKUP($A33&amp;"_"&amp;T$5,Database!$A:$F,6,0),"")</f>
        <v/>
      </c>
      <c r="U33" s="20" t="str">
        <f>IFERROR(VLOOKUP($A33&amp;"_"&amp;U$5,Database!$A:$F,6,0),"")</f>
        <v/>
      </c>
      <c r="V33" s="20" t="str">
        <f>IFERROR(VLOOKUP($A33&amp;"_"&amp;V$5,Database!$A:$F,6,0),"")</f>
        <v/>
      </c>
      <c r="W33" s="20" t="str">
        <f>IFERROR(VLOOKUP($A33&amp;"_"&amp;W$5,Database!$A:$F,6,0),"")</f>
        <v/>
      </c>
      <c r="X33" s="20" t="str">
        <f>IFERROR(VLOOKUP($A33&amp;"_"&amp;X$5,Database!$A:$F,6,0),"")</f>
        <v/>
      </c>
      <c r="Y33" s="20" t="str">
        <f>IFERROR(VLOOKUP($A33&amp;"_"&amp;Y$5,Database!$A:$F,6,0),"")</f>
        <v/>
      </c>
      <c r="Z33" s="20" t="str">
        <f>IFERROR(VLOOKUP($A33&amp;"_"&amp;Z$5,Database!$A:$F,6,0),"")</f>
        <v/>
      </c>
      <c r="AA33" s="20" t="str">
        <f>IFERROR(VLOOKUP($A33&amp;"_"&amp;AA$5,Database!$A:$F,6,0),"")</f>
        <v/>
      </c>
      <c r="AB33" s="20" t="str">
        <f>IFERROR(VLOOKUP($A33&amp;"_"&amp;AB$5,Database!$A:$F,6,0),"")</f>
        <v/>
      </c>
      <c r="AC33" s="20" t="str">
        <f>IFERROR(VLOOKUP($A33&amp;"_"&amp;AC$5,Database!$A:$F,6,0),"")</f>
        <v/>
      </c>
      <c r="AD33" s="20" t="str">
        <f>IFERROR(VLOOKUP($A33&amp;"_"&amp;AD$5,Database!$A:$F,6,0),"")</f>
        <v/>
      </c>
      <c r="AE33" s="20" t="str">
        <f>IFERROR(VLOOKUP($A33&amp;"_"&amp;AE$5,Database!$A:$F,6,0),"")</f>
        <v/>
      </c>
      <c r="AF33" s="20" t="str">
        <f>IFERROR(VLOOKUP($A33&amp;"_"&amp;AF$5,Database!$A:$F,6,0),"")</f>
        <v/>
      </c>
      <c r="AG33" s="20" t="str">
        <f>IFERROR(VLOOKUP($A33&amp;"_"&amp;AG$5,Database!$A:$F,6,0),"")</f>
        <v/>
      </c>
      <c r="AH33" s="20" t="str">
        <f>IFERROR(VLOOKUP($A33&amp;"_"&amp;AH$5,Database!$A:$F,6,0),"")</f>
        <v/>
      </c>
      <c r="AI33" s="20" t="str">
        <f>IFERROR(VLOOKUP($A33&amp;"_"&amp;AI$5,Database!$A:$F,6,0),"")</f>
        <v/>
      </c>
      <c r="AJ33" s="20" t="str">
        <f>IFERROR(VLOOKUP($A33&amp;"_"&amp;AJ$5,Database!$A:$F,6,0),"")</f>
        <v/>
      </c>
      <c r="AK33" s="20" t="str">
        <f>IFERROR(VLOOKUP($A33&amp;"_"&amp;AK$5,Database!$A:$F,6,0),"")</f>
        <v/>
      </c>
    </row>
    <row r="34" spans="1:37" x14ac:dyDescent="0.2">
      <c r="A34" s="17" t="str">
        <f>IF('Employee Master'!A30="","",'Employee Master'!A30)</f>
        <v/>
      </c>
      <c r="B34" s="18" t="str">
        <f>IF('Employee Master'!B30="","",'Employee Master'!B30)</f>
        <v/>
      </c>
      <c r="C34" s="18" t="str">
        <f>IF('Employee Master'!C30="","",'Employee Master'!C30)</f>
        <v/>
      </c>
      <c r="D34" s="19">
        <f t="shared" si="7"/>
        <v>0</v>
      </c>
      <c r="E34" s="19">
        <f t="shared" si="8"/>
        <v>0</v>
      </c>
      <c r="F34" s="19">
        <f t="shared" si="9"/>
        <v>0</v>
      </c>
      <c r="G34" s="20" t="str">
        <f>IFERROR(VLOOKUP($A34&amp;"_"&amp;G$5,Database!$A:$F,6,0),"")</f>
        <v/>
      </c>
      <c r="H34" s="20" t="str">
        <f>IFERROR(VLOOKUP($A34&amp;"_"&amp;H$5,Database!$A:$F,6,0),"")</f>
        <v/>
      </c>
      <c r="I34" s="20" t="str">
        <f>IFERROR(VLOOKUP($A34&amp;"_"&amp;I$5,Database!$A:$F,6,0),"")</f>
        <v/>
      </c>
      <c r="J34" s="20" t="str">
        <f>IFERROR(VLOOKUP($A34&amp;"_"&amp;J$5,Database!$A:$F,6,0),"")</f>
        <v/>
      </c>
      <c r="K34" s="20" t="str">
        <f>IFERROR(VLOOKUP($A34&amp;"_"&amp;K$5,Database!$A:$F,6,0),"")</f>
        <v/>
      </c>
      <c r="L34" s="20" t="str">
        <f>IFERROR(VLOOKUP($A34&amp;"_"&amp;L$5,Database!$A:$F,6,0),"")</f>
        <v/>
      </c>
      <c r="M34" s="20" t="str">
        <f>IFERROR(VLOOKUP($A34&amp;"_"&amp;M$5,Database!$A:$F,6,0),"")</f>
        <v/>
      </c>
      <c r="N34" s="20" t="str">
        <f>IFERROR(VLOOKUP($A34&amp;"_"&amp;N$5,Database!$A:$F,6,0),"")</f>
        <v/>
      </c>
      <c r="O34" s="20" t="str">
        <f>IFERROR(VLOOKUP($A34&amp;"_"&amp;O$5,Database!$A:$F,6,0),"")</f>
        <v/>
      </c>
      <c r="P34" s="20" t="str">
        <f>IFERROR(VLOOKUP($A34&amp;"_"&amp;P$5,Database!$A:$F,6,0),"")</f>
        <v/>
      </c>
      <c r="Q34" s="20" t="str">
        <f>IFERROR(VLOOKUP($A34&amp;"_"&amp;Q$5,Database!$A:$F,6,0),"")</f>
        <v/>
      </c>
      <c r="R34" s="20" t="str">
        <f>IFERROR(VLOOKUP($A34&amp;"_"&amp;R$5,Database!$A:$F,6,0),"")</f>
        <v/>
      </c>
      <c r="S34" s="20" t="str">
        <f>IFERROR(VLOOKUP($A34&amp;"_"&amp;S$5,Database!$A:$F,6,0),"")</f>
        <v/>
      </c>
      <c r="T34" s="20" t="str">
        <f>IFERROR(VLOOKUP($A34&amp;"_"&amp;T$5,Database!$A:$F,6,0),"")</f>
        <v/>
      </c>
      <c r="U34" s="20" t="str">
        <f>IFERROR(VLOOKUP($A34&amp;"_"&amp;U$5,Database!$A:$F,6,0),"")</f>
        <v/>
      </c>
      <c r="V34" s="20" t="str">
        <f>IFERROR(VLOOKUP($A34&amp;"_"&amp;V$5,Database!$A:$F,6,0),"")</f>
        <v/>
      </c>
      <c r="W34" s="20" t="str">
        <f>IFERROR(VLOOKUP($A34&amp;"_"&amp;W$5,Database!$A:$F,6,0),"")</f>
        <v/>
      </c>
      <c r="X34" s="20" t="str">
        <f>IFERROR(VLOOKUP($A34&amp;"_"&amp;X$5,Database!$A:$F,6,0),"")</f>
        <v/>
      </c>
      <c r="Y34" s="20" t="str">
        <f>IFERROR(VLOOKUP($A34&amp;"_"&amp;Y$5,Database!$A:$F,6,0),"")</f>
        <v/>
      </c>
      <c r="Z34" s="20" t="str">
        <f>IFERROR(VLOOKUP($A34&amp;"_"&amp;Z$5,Database!$A:$F,6,0),"")</f>
        <v/>
      </c>
      <c r="AA34" s="20" t="str">
        <f>IFERROR(VLOOKUP($A34&amp;"_"&amp;AA$5,Database!$A:$F,6,0),"")</f>
        <v/>
      </c>
      <c r="AB34" s="20" t="str">
        <f>IFERROR(VLOOKUP($A34&amp;"_"&amp;AB$5,Database!$A:$F,6,0),"")</f>
        <v/>
      </c>
      <c r="AC34" s="20" t="str">
        <f>IFERROR(VLOOKUP($A34&amp;"_"&amp;AC$5,Database!$A:$F,6,0),"")</f>
        <v/>
      </c>
      <c r="AD34" s="20" t="str">
        <f>IFERROR(VLOOKUP($A34&amp;"_"&amp;AD$5,Database!$A:$F,6,0),"")</f>
        <v/>
      </c>
      <c r="AE34" s="20" t="str">
        <f>IFERROR(VLOOKUP($A34&amp;"_"&amp;AE$5,Database!$A:$F,6,0),"")</f>
        <v/>
      </c>
      <c r="AF34" s="20" t="str">
        <f>IFERROR(VLOOKUP($A34&amp;"_"&amp;AF$5,Database!$A:$F,6,0),"")</f>
        <v/>
      </c>
      <c r="AG34" s="20" t="str">
        <f>IFERROR(VLOOKUP($A34&amp;"_"&amp;AG$5,Database!$A:$F,6,0),"")</f>
        <v/>
      </c>
      <c r="AH34" s="20" t="str">
        <f>IFERROR(VLOOKUP($A34&amp;"_"&amp;AH$5,Database!$A:$F,6,0),"")</f>
        <v/>
      </c>
      <c r="AI34" s="20" t="str">
        <f>IFERROR(VLOOKUP($A34&amp;"_"&amp;AI$5,Database!$A:$F,6,0),"")</f>
        <v/>
      </c>
      <c r="AJ34" s="20" t="str">
        <f>IFERROR(VLOOKUP($A34&amp;"_"&amp;AJ$5,Database!$A:$F,6,0),"")</f>
        <v/>
      </c>
      <c r="AK34" s="20" t="str">
        <f>IFERROR(VLOOKUP($A34&amp;"_"&amp;AK$5,Database!$A:$F,6,0),"")</f>
        <v/>
      </c>
    </row>
    <row r="35" spans="1:37" x14ac:dyDescent="0.2">
      <c r="A35" s="17" t="str">
        <f>IF('Employee Master'!A31="","",'Employee Master'!A31)</f>
        <v/>
      </c>
      <c r="B35" s="18" t="str">
        <f>IF('Employee Master'!B31="","",'Employee Master'!B31)</f>
        <v/>
      </c>
      <c r="C35" s="18" t="str">
        <f>IF('Employee Master'!C31="","",'Employee Master'!C31)</f>
        <v/>
      </c>
      <c r="D35" s="19">
        <f t="shared" si="7"/>
        <v>0</v>
      </c>
      <c r="E35" s="19">
        <f t="shared" si="8"/>
        <v>0</v>
      </c>
      <c r="F35" s="19">
        <f t="shared" si="9"/>
        <v>0</v>
      </c>
      <c r="G35" s="20" t="str">
        <f>IFERROR(VLOOKUP($A35&amp;"_"&amp;G$5,Database!$A:$F,6,0),"")</f>
        <v/>
      </c>
      <c r="H35" s="20" t="str">
        <f>IFERROR(VLOOKUP($A35&amp;"_"&amp;H$5,Database!$A:$F,6,0),"")</f>
        <v/>
      </c>
      <c r="I35" s="20" t="str">
        <f>IFERROR(VLOOKUP($A35&amp;"_"&amp;I$5,Database!$A:$F,6,0),"")</f>
        <v/>
      </c>
      <c r="J35" s="20" t="str">
        <f>IFERROR(VLOOKUP($A35&amp;"_"&amp;J$5,Database!$A:$F,6,0),"")</f>
        <v/>
      </c>
      <c r="K35" s="20" t="str">
        <f>IFERROR(VLOOKUP($A35&amp;"_"&amp;K$5,Database!$A:$F,6,0),"")</f>
        <v/>
      </c>
      <c r="L35" s="20" t="str">
        <f>IFERROR(VLOOKUP($A35&amp;"_"&amp;L$5,Database!$A:$F,6,0),"")</f>
        <v/>
      </c>
      <c r="M35" s="20" t="str">
        <f>IFERROR(VLOOKUP($A35&amp;"_"&amp;M$5,Database!$A:$F,6,0),"")</f>
        <v/>
      </c>
      <c r="N35" s="20" t="str">
        <f>IFERROR(VLOOKUP($A35&amp;"_"&amp;N$5,Database!$A:$F,6,0),"")</f>
        <v/>
      </c>
      <c r="O35" s="20" t="str">
        <f>IFERROR(VLOOKUP($A35&amp;"_"&amp;O$5,Database!$A:$F,6,0),"")</f>
        <v/>
      </c>
      <c r="P35" s="20" t="str">
        <f>IFERROR(VLOOKUP($A35&amp;"_"&amp;P$5,Database!$A:$F,6,0),"")</f>
        <v/>
      </c>
      <c r="Q35" s="20" t="str">
        <f>IFERROR(VLOOKUP($A35&amp;"_"&amp;Q$5,Database!$A:$F,6,0),"")</f>
        <v/>
      </c>
      <c r="R35" s="20" t="str">
        <f>IFERROR(VLOOKUP($A35&amp;"_"&amp;R$5,Database!$A:$F,6,0),"")</f>
        <v/>
      </c>
      <c r="S35" s="20" t="str">
        <f>IFERROR(VLOOKUP($A35&amp;"_"&amp;S$5,Database!$A:$F,6,0),"")</f>
        <v/>
      </c>
      <c r="T35" s="20" t="str">
        <f>IFERROR(VLOOKUP($A35&amp;"_"&amp;T$5,Database!$A:$F,6,0),"")</f>
        <v/>
      </c>
      <c r="U35" s="20" t="str">
        <f>IFERROR(VLOOKUP($A35&amp;"_"&amp;U$5,Database!$A:$F,6,0),"")</f>
        <v/>
      </c>
      <c r="V35" s="20" t="str">
        <f>IFERROR(VLOOKUP($A35&amp;"_"&amp;V$5,Database!$A:$F,6,0),"")</f>
        <v/>
      </c>
      <c r="W35" s="20" t="str">
        <f>IFERROR(VLOOKUP($A35&amp;"_"&amp;W$5,Database!$A:$F,6,0),"")</f>
        <v/>
      </c>
      <c r="X35" s="20" t="str">
        <f>IFERROR(VLOOKUP($A35&amp;"_"&amp;X$5,Database!$A:$F,6,0),"")</f>
        <v/>
      </c>
      <c r="Y35" s="20" t="str">
        <f>IFERROR(VLOOKUP($A35&amp;"_"&amp;Y$5,Database!$A:$F,6,0),"")</f>
        <v/>
      </c>
      <c r="Z35" s="20" t="str">
        <f>IFERROR(VLOOKUP($A35&amp;"_"&amp;Z$5,Database!$A:$F,6,0),"")</f>
        <v/>
      </c>
      <c r="AA35" s="20" t="str">
        <f>IFERROR(VLOOKUP($A35&amp;"_"&amp;AA$5,Database!$A:$F,6,0),"")</f>
        <v/>
      </c>
      <c r="AB35" s="20" t="str">
        <f>IFERROR(VLOOKUP($A35&amp;"_"&amp;AB$5,Database!$A:$F,6,0),"")</f>
        <v/>
      </c>
      <c r="AC35" s="20" t="str">
        <f>IFERROR(VLOOKUP($A35&amp;"_"&amp;AC$5,Database!$A:$F,6,0),"")</f>
        <v/>
      </c>
      <c r="AD35" s="20" t="str">
        <f>IFERROR(VLOOKUP($A35&amp;"_"&amp;AD$5,Database!$A:$F,6,0),"")</f>
        <v/>
      </c>
      <c r="AE35" s="20" t="str">
        <f>IFERROR(VLOOKUP($A35&amp;"_"&amp;AE$5,Database!$A:$F,6,0),"")</f>
        <v/>
      </c>
      <c r="AF35" s="20" t="str">
        <f>IFERROR(VLOOKUP($A35&amp;"_"&amp;AF$5,Database!$A:$F,6,0),"")</f>
        <v/>
      </c>
      <c r="AG35" s="20" t="str">
        <f>IFERROR(VLOOKUP($A35&amp;"_"&amp;AG$5,Database!$A:$F,6,0),"")</f>
        <v/>
      </c>
      <c r="AH35" s="20" t="str">
        <f>IFERROR(VLOOKUP($A35&amp;"_"&amp;AH$5,Database!$A:$F,6,0),"")</f>
        <v/>
      </c>
      <c r="AI35" s="20" t="str">
        <f>IFERROR(VLOOKUP($A35&amp;"_"&amp;AI$5,Database!$A:$F,6,0),"")</f>
        <v/>
      </c>
      <c r="AJ35" s="20" t="str">
        <f>IFERROR(VLOOKUP($A35&amp;"_"&amp;AJ$5,Database!$A:$F,6,0),"")</f>
        <v/>
      </c>
      <c r="AK35" s="20" t="str">
        <f>IFERROR(VLOOKUP($A35&amp;"_"&amp;AK$5,Database!$A:$F,6,0),"")</f>
        <v/>
      </c>
    </row>
    <row r="36" spans="1:37" x14ac:dyDescent="0.2">
      <c r="A36" s="17" t="str">
        <f>IF('Employee Master'!A32="","",'Employee Master'!A32)</f>
        <v/>
      </c>
      <c r="B36" s="18" t="str">
        <f>IF('Employee Master'!B32="","",'Employee Master'!B32)</f>
        <v/>
      </c>
      <c r="C36" s="18" t="str">
        <f>IF('Employee Master'!C32="","",'Employee Master'!C32)</f>
        <v/>
      </c>
      <c r="D36" s="19">
        <f t="shared" si="7"/>
        <v>0</v>
      </c>
      <c r="E36" s="19">
        <f t="shared" si="8"/>
        <v>0</v>
      </c>
      <c r="F36" s="19">
        <f t="shared" si="9"/>
        <v>0</v>
      </c>
      <c r="G36" s="20" t="str">
        <f>IFERROR(VLOOKUP($A36&amp;"_"&amp;G$5,Database!$A:$F,6,0),"")</f>
        <v/>
      </c>
      <c r="H36" s="20" t="str">
        <f>IFERROR(VLOOKUP($A36&amp;"_"&amp;H$5,Database!$A:$F,6,0),"")</f>
        <v/>
      </c>
      <c r="I36" s="20" t="str">
        <f>IFERROR(VLOOKUP($A36&amp;"_"&amp;I$5,Database!$A:$F,6,0),"")</f>
        <v/>
      </c>
      <c r="J36" s="20" t="str">
        <f>IFERROR(VLOOKUP($A36&amp;"_"&amp;J$5,Database!$A:$F,6,0),"")</f>
        <v/>
      </c>
      <c r="K36" s="20" t="str">
        <f>IFERROR(VLOOKUP($A36&amp;"_"&amp;K$5,Database!$A:$F,6,0),"")</f>
        <v/>
      </c>
      <c r="L36" s="20" t="str">
        <f>IFERROR(VLOOKUP($A36&amp;"_"&amp;L$5,Database!$A:$F,6,0),"")</f>
        <v/>
      </c>
      <c r="M36" s="20" t="str">
        <f>IFERROR(VLOOKUP($A36&amp;"_"&amp;M$5,Database!$A:$F,6,0),"")</f>
        <v/>
      </c>
      <c r="N36" s="20" t="str">
        <f>IFERROR(VLOOKUP($A36&amp;"_"&amp;N$5,Database!$A:$F,6,0),"")</f>
        <v/>
      </c>
      <c r="O36" s="20" t="str">
        <f>IFERROR(VLOOKUP($A36&amp;"_"&amp;O$5,Database!$A:$F,6,0),"")</f>
        <v/>
      </c>
      <c r="P36" s="20" t="str">
        <f>IFERROR(VLOOKUP($A36&amp;"_"&amp;P$5,Database!$A:$F,6,0),"")</f>
        <v/>
      </c>
      <c r="Q36" s="20" t="str">
        <f>IFERROR(VLOOKUP($A36&amp;"_"&amp;Q$5,Database!$A:$F,6,0),"")</f>
        <v/>
      </c>
      <c r="R36" s="20" t="str">
        <f>IFERROR(VLOOKUP($A36&amp;"_"&amp;R$5,Database!$A:$F,6,0),"")</f>
        <v/>
      </c>
      <c r="S36" s="20" t="str">
        <f>IFERROR(VLOOKUP($A36&amp;"_"&amp;S$5,Database!$A:$F,6,0),"")</f>
        <v/>
      </c>
      <c r="T36" s="20" t="str">
        <f>IFERROR(VLOOKUP($A36&amp;"_"&amp;T$5,Database!$A:$F,6,0),"")</f>
        <v/>
      </c>
      <c r="U36" s="20" t="str">
        <f>IFERROR(VLOOKUP($A36&amp;"_"&amp;U$5,Database!$A:$F,6,0),"")</f>
        <v/>
      </c>
      <c r="V36" s="20" t="str">
        <f>IFERROR(VLOOKUP($A36&amp;"_"&amp;V$5,Database!$A:$F,6,0),"")</f>
        <v/>
      </c>
      <c r="W36" s="20" t="str">
        <f>IFERROR(VLOOKUP($A36&amp;"_"&amp;W$5,Database!$A:$F,6,0),"")</f>
        <v/>
      </c>
      <c r="X36" s="20" t="str">
        <f>IFERROR(VLOOKUP($A36&amp;"_"&amp;X$5,Database!$A:$F,6,0),"")</f>
        <v/>
      </c>
      <c r="Y36" s="20" t="str">
        <f>IFERROR(VLOOKUP($A36&amp;"_"&amp;Y$5,Database!$A:$F,6,0),"")</f>
        <v/>
      </c>
      <c r="Z36" s="20" t="str">
        <f>IFERROR(VLOOKUP($A36&amp;"_"&amp;Z$5,Database!$A:$F,6,0),"")</f>
        <v/>
      </c>
      <c r="AA36" s="20" t="str">
        <f>IFERROR(VLOOKUP($A36&amp;"_"&amp;AA$5,Database!$A:$F,6,0),"")</f>
        <v/>
      </c>
      <c r="AB36" s="20" t="str">
        <f>IFERROR(VLOOKUP($A36&amp;"_"&amp;AB$5,Database!$A:$F,6,0),"")</f>
        <v/>
      </c>
      <c r="AC36" s="20" t="str">
        <f>IFERROR(VLOOKUP($A36&amp;"_"&amp;AC$5,Database!$A:$F,6,0),"")</f>
        <v/>
      </c>
      <c r="AD36" s="20" t="str">
        <f>IFERROR(VLOOKUP($A36&amp;"_"&amp;AD$5,Database!$A:$F,6,0),"")</f>
        <v/>
      </c>
      <c r="AE36" s="20" t="str">
        <f>IFERROR(VLOOKUP($A36&amp;"_"&amp;AE$5,Database!$A:$F,6,0),"")</f>
        <v/>
      </c>
      <c r="AF36" s="20" t="str">
        <f>IFERROR(VLOOKUP($A36&amp;"_"&amp;AF$5,Database!$A:$F,6,0),"")</f>
        <v/>
      </c>
      <c r="AG36" s="20" t="str">
        <f>IFERROR(VLOOKUP($A36&amp;"_"&amp;AG$5,Database!$A:$F,6,0),"")</f>
        <v/>
      </c>
      <c r="AH36" s="20" t="str">
        <f>IFERROR(VLOOKUP($A36&amp;"_"&amp;AH$5,Database!$A:$F,6,0),"")</f>
        <v/>
      </c>
      <c r="AI36" s="20" t="str">
        <f>IFERROR(VLOOKUP($A36&amp;"_"&amp;AI$5,Database!$A:$F,6,0),"")</f>
        <v/>
      </c>
      <c r="AJ36" s="20" t="str">
        <f>IFERROR(VLOOKUP($A36&amp;"_"&amp;AJ$5,Database!$A:$F,6,0),"")</f>
        <v/>
      </c>
      <c r="AK36" s="20" t="str">
        <f>IFERROR(VLOOKUP($A36&amp;"_"&amp;AK$5,Database!$A:$F,6,0),"")</f>
        <v/>
      </c>
    </row>
    <row r="37" spans="1:37" x14ac:dyDescent="0.2">
      <c r="A37" s="17" t="str">
        <f>IF('Employee Master'!A33="","",'Employee Master'!A33)</f>
        <v/>
      </c>
      <c r="B37" s="18" t="str">
        <f>IF('Employee Master'!B33="","",'Employee Master'!B33)</f>
        <v/>
      </c>
      <c r="C37" s="18" t="str">
        <f>IF('Employee Master'!C33="","",'Employee Master'!C33)</f>
        <v/>
      </c>
      <c r="D37" s="19">
        <f t="shared" si="7"/>
        <v>0</v>
      </c>
      <c r="E37" s="19">
        <f t="shared" si="8"/>
        <v>0</v>
      </c>
      <c r="F37" s="19">
        <f t="shared" si="9"/>
        <v>0</v>
      </c>
      <c r="G37" s="20" t="str">
        <f>IFERROR(VLOOKUP($A37&amp;"_"&amp;G$5,Database!$A:$F,6,0),"")</f>
        <v/>
      </c>
      <c r="H37" s="20" t="str">
        <f>IFERROR(VLOOKUP($A37&amp;"_"&amp;H$5,Database!$A:$F,6,0),"")</f>
        <v/>
      </c>
      <c r="I37" s="20" t="str">
        <f>IFERROR(VLOOKUP($A37&amp;"_"&amp;I$5,Database!$A:$F,6,0),"")</f>
        <v/>
      </c>
      <c r="J37" s="20" t="str">
        <f>IFERROR(VLOOKUP($A37&amp;"_"&amp;J$5,Database!$A:$F,6,0),"")</f>
        <v/>
      </c>
      <c r="K37" s="20" t="str">
        <f>IFERROR(VLOOKUP($A37&amp;"_"&amp;K$5,Database!$A:$F,6,0),"")</f>
        <v/>
      </c>
      <c r="L37" s="20" t="str">
        <f>IFERROR(VLOOKUP($A37&amp;"_"&amp;L$5,Database!$A:$F,6,0),"")</f>
        <v/>
      </c>
      <c r="M37" s="20" t="str">
        <f>IFERROR(VLOOKUP($A37&amp;"_"&amp;M$5,Database!$A:$F,6,0),"")</f>
        <v/>
      </c>
      <c r="N37" s="20" t="str">
        <f>IFERROR(VLOOKUP($A37&amp;"_"&amp;N$5,Database!$A:$F,6,0),"")</f>
        <v/>
      </c>
      <c r="O37" s="20" t="str">
        <f>IFERROR(VLOOKUP($A37&amp;"_"&amp;O$5,Database!$A:$F,6,0),"")</f>
        <v/>
      </c>
      <c r="P37" s="20" t="str">
        <f>IFERROR(VLOOKUP($A37&amp;"_"&amp;P$5,Database!$A:$F,6,0),"")</f>
        <v/>
      </c>
      <c r="Q37" s="20" t="str">
        <f>IFERROR(VLOOKUP($A37&amp;"_"&amp;Q$5,Database!$A:$F,6,0),"")</f>
        <v/>
      </c>
      <c r="R37" s="20" t="str">
        <f>IFERROR(VLOOKUP($A37&amp;"_"&amp;R$5,Database!$A:$F,6,0),"")</f>
        <v/>
      </c>
      <c r="S37" s="20" t="str">
        <f>IFERROR(VLOOKUP($A37&amp;"_"&amp;S$5,Database!$A:$F,6,0),"")</f>
        <v/>
      </c>
      <c r="T37" s="20" t="str">
        <f>IFERROR(VLOOKUP($A37&amp;"_"&amp;T$5,Database!$A:$F,6,0),"")</f>
        <v/>
      </c>
      <c r="U37" s="20" t="str">
        <f>IFERROR(VLOOKUP($A37&amp;"_"&amp;U$5,Database!$A:$F,6,0),"")</f>
        <v/>
      </c>
      <c r="V37" s="20" t="str">
        <f>IFERROR(VLOOKUP($A37&amp;"_"&amp;V$5,Database!$A:$F,6,0),"")</f>
        <v/>
      </c>
      <c r="W37" s="20" t="str">
        <f>IFERROR(VLOOKUP($A37&amp;"_"&amp;W$5,Database!$A:$F,6,0),"")</f>
        <v/>
      </c>
      <c r="X37" s="20" t="str">
        <f>IFERROR(VLOOKUP($A37&amp;"_"&amp;X$5,Database!$A:$F,6,0),"")</f>
        <v/>
      </c>
      <c r="Y37" s="20" t="str">
        <f>IFERROR(VLOOKUP($A37&amp;"_"&amp;Y$5,Database!$A:$F,6,0),"")</f>
        <v/>
      </c>
      <c r="Z37" s="20" t="str">
        <f>IFERROR(VLOOKUP($A37&amp;"_"&amp;Z$5,Database!$A:$F,6,0),"")</f>
        <v/>
      </c>
      <c r="AA37" s="20" t="str">
        <f>IFERROR(VLOOKUP($A37&amp;"_"&amp;AA$5,Database!$A:$F,6,0),"")</f>
        <v/>
      </c>
      <c r="AB37" s="20" t="str">
        <f>IFERROR(VLOOKUP($A37&amp;"_"&amp;AB$5,Database!$A:$F,6,0),"")</f>
        <v/>
      </c>
      <c r="AC37" s="20" t="str">
        <f>IFERROR(VLOOKUP($A37&amp;"_"&amp;AC$5,Database!$A:$F,6,0),"")</f>
        <v/>
      </c>
      <c r="AD37" s="20" t="str">
        <f>IFERROR(VLOOKUP($A37&amp;"_"&amp;AD$5,Database!$A:$F,6,0),"")</f>
        <v/>
      </c>
      <c r="AE37" s="20" t="str">
        <f>IFERROR(VLOOKUP($A37&amp;"_"&amp;AE$5,Database!$A:$F,6,0),"")</f>
        <v/>
      </c>
      <c r="AF37" s="20" t="str">
        <f>IFERROR(VLOOKUP($A37&amp;"_"&amp;AF$5,Database!$A:$F,6,0),"")</f>
        <v/>
      </c>
      <c r="AG37" s="20" t="str">
        <f>IFERROR(VLOOKUP($A37&amp;"_"&amp;AG$5,Database!$A:$F,6,0),"")</f>
        <v/>
      </c>
      <c r="AH37" s="20" t="str">
        <f>IFERROR(VLOOKUP($A37&amp;"_"&amp;AH$5,Database!$A:$F,6,0),"")</f>
        <v/>
      </c>
      <c r="AI37" s="20" t="str">
        <f>IFERROR(VLOOKUP($A37&amp;"_"&amp;AI$5,Database!$A:$F,6,0),"")</f>
        <v/>
      </c>
      <c r="AJ37" s="20" t="str">
        <f>IFERROR(VLOOKUP($A37&amp;"_"&amp;AJ$5,Database!$A:$F,6,0),"")</f>
        <v/>
      </c>
      <c r="AK37" s="20" t="str">
        <f>IFERROR(VLOOKUP($A37&amp;"_"&amp;AK$5,Database!$A:$F,6,0),"")</f>
        <v/>
      </c>
    </row>
    <row r="38" spans="1:37" x14ac:dyDescent="0.2">
      <c r="A38" s="17" t="str">
        <f>IF('Employee Master'!A34="","",'Employee Master'!A34)</f>
        <v/>
      </c>
      <c r="B38" s="18" t="str">
        <f>IF('Employee Master'!B34="","",'Employee Master'!B34)</f>
        <v/>
      </c>
      <c r="C38" s="18" t="str">
        <f>IF('Employee Master'!C34="","",'Employee Master'!C34)</f>
        <v/>
      </c>
      <c r="D38" s="19">
        <f t="shared" si="7"/>
        <v>0</v>
      </c>
      <c r="E38" s="19">
        <f t="shared" si="8"/>
        <v>0</v>
      </c>
      <c r="F38" s="19">
        <f t="shared" si="9"/>
        <v>0</v>
      </c>
      <c r="G38" s="20" t="str">
        <f>IFERROR(VLOOKUP($A38&amp;"_"&amp;G$5,Database!$A:$F,6,0),"")</f>
        <v/>
      </c>
      <c r="H38" s="20" t="str">
        <f>IFERROR(VLOOKUP($A38&amp;"_"&amp;H$5,Database!$A:$F,6,0),"")</f>
        <v/>
      </c>
      <c r="I38" s="20" t="str">
        <f>IFERROR(VLOOKUP($A38&amp;"_"&amp;I$5,Database!$A:$F,6,0),"")</f>
        <v/>
      </c>
      <c r="J38" s="20" t="str">
        <f>IFERROR(VLOOKUP($A38&amp;"_"&amp;J$5,Database!$A:$F,6,0),"")</f>
        <v/>
      </c>
      <c r="K38" s="20" t="str">
        <f>IFERROR(VLOOKUP($A38&amp;"_"&amp;K$5,Database!$A:$F,6,0),"")</f>
        <v/>
      </c>
      <c r="L38" s="20" t="str">
        <f>IFERROR(VLOOKUP($A38&amp;"_"&amp;L$5,Database!$A:$F,6,0),"")</f>
        <v/>
      </c>
      <c r="M38" s="20" t="str">
        <f>IFERROR(VLOOKUP($A38&amp;"_"&amp;M$5,Database!$A:$F,6,0),"")</f>
        <v/>
      </c>
      <c r="N38" s="20" t="str">
        <f>IFERROR(VLOOKUP($A38&amp;"_"&amp;N$5,Database!$A:$F,6,0),"")</f>
        <v/>
      </c>
      <c r="O38" s="20" t="str">
        <f>IFERROR(VLOOKUP($A38&amp;"_"&amp;O$5,Database!$A:$F,6,0),"")</f>
        <v/>
      </c>
      <c r="P38" s="20" t="str">
        <f>IFERROR(VLOOKUP($A38&amp;"_"&amp;P$5,Database!$A:$F,6,0),"")</f>
        <v/>
      </c>
      <c r="Q38" s="20" t="str">
        <f>IFERROR(VLOOKUP($A38&amp;"_"&amp;Q$5,Database!$A:$F,6,0),"")</f>
        <v/>
      </c>
      <c r="R38" s="20" t="str">
        <f>IFERROR(VLOOKUP($A38&amp;"_"&amp;R$5,Database!$A:$F,6,0),"")</f>
        <v/>
      </c>
      <c r="S38" s="20" t="str">
        <f>IFERROR(VLOOKUP($A38&amp;"_"&amp;S$5,Database!$A:$F,6,0),"")</f>
        <v/>
      </c>
      <c r="T38" s="20" t="str">
        <f>IFERROR(VLOOKUP($A38&amp;"_"&amp;T$5,Database!$A:$F,6,0),"")</f>
        <v/>
      </c>
      <c r="U38" s="20" t="str">
        <f>IFERROR(VLOOKUP($A38&amp;"_"&amp;U$5,Database!$A:$F,6,0),"")</f>
        <v/>
      </c>
      <c r="V38" s="20" t="str">
        <f>IFERROR(VLOOKUP($A38&amp;"_"&amp;V$5,Database!$A:$F,6,0),"")</f>
        <v/>
      </c>
      <c r="W38" s="20" t="str">
        <f>IFERROR(VLOOKUP($A38&amp;"_"&amp;W$5,Database!$A:$F,6,0),"")</f>
        <v/>
      </c>
      <c r="X38" s="20" t="str">
        <f>IFERROR(VLOOKUP($A38&amp;"_"&amp;X$5,Database!$A:$F,6,0),"")</f>
        <v/>
      </c>
      <c r="Y38" s="20" t="str">
        <f>IFERROR(VLOOKUP($A38&amp;"_"&amp;Y$5,Database!$A:$F,6,0),"")</f>
        <v/>
      </c>
      <c r="Z38" s="20" t="str">
        <f>IFERROR(VLOOKUP($A38&amp;"_"&amp;Z$5,Database!$A:$F,6,0),"")</f>
        <v/>
      </c>
      <c r="AA38" s="20" t="str">
        <f>IFERROR(VLOOKUP($A38&amp;"_"&amp;AA$5,Database!$A:$F,6,0),"")</f>
        <v/>
      </c>
      <c r="AB38" s="20" t="str">
        <f>IFERROR(VLOOKUP($A38&amp;"_"&amp;AB$5,Database!$A:$F,6,0),"")</f>
        <v/>
      </c>
      <c r="AC38" s="20" t="str">
        <f>IFERROR(VLOOKUP($A38&amp;"_"&amp;AC$5,Database!$A:$F,6,0),"")</f>
        <v/>
      </c>
      <c r="AD38" s="20" t="str">
        <f>IFERROR(VLOOKUP($A38&amp;"_"&amp;AD$5,Database!$A:$F,6,0),"")</f>
        <v/>
      </c>
      <c r="AE38" s="20" t="str">
        <f>IFERROR(VLOOKUP($A38&amp;"_"&amp;AE$5,Database!$A:$F,6,0),"")</f>
        <v/>
      </c>
      <c r="AF38" s="20" t="str">
        <f>IFERROR(VLOOKUP($A38&amp;"_"&amp;AF$5,Database!$A:$F,6,0),"")</f>
        <v/>
      </c>
      <c r="AG38" s="20" t="str">
        <f>IFERROR(VLOOKUP($A38&amp;"_"&amp;AG$5,Database!$A:$F,6,0),"")</f>
        <v/>
      </c>
      <c r="AH38" s="20" t="str">
        <f>IFERROR(VLOOKUP($A38&amp;"_"&amp;AH$5,Database!$A:$F,6,0),"")</f>
        <v/>
      </c>
      <c r="AI38" s="20" t="str">
        <f>IFERROR(VLOOKUP($A38&amp;"_"&amp;AI$5,Database!$A:$F,6,0),"")</f>
        <v/>
      </c>
      <c r="AJ38" s="20" t="str">
        <f>IFERROR(VLOOKUP($A38&amp;"_"&amp;AJ$5,Database!$A:$F,6,0),"")</f>
        <v/>
      </c>
      <c r="AK38" s="20" t="str">
        <f>IFERROR(VLOOKUP($A38&amp;"_"&amp;AK$5,Database!$A:$F,6,0),"")</f>
        <v/>
      </c>
    </row>
    <row r="39" spans="1:37" x14ac:dyDescent="0.2">
      <c r="A39" s="17" t="str">
        <f>IF('Employee Master'!A35="","",'Employee Master'!A35)</f>
        <v/>
      </c>
      <c r="B39" s="18" t="str">
        <f>IF('Employee Master'!B35="","",'Employee Master'!B35)</f>
        <v/>
      </c>
      <c r="C39" s="18" t="str">
        <f>IF('Employee Master'!C35="","",'Employee Master'!C35)</f>
        <v/>
      </c>
      <c r="D39" s="19">
        <f t="shared" si="7"/>
        <v>0</v>
      </c>
      <c r="E39" s="19">
        <f t="shared" si="8"/>
        <v>0</v>
      </c>
      <c r="F39" s="19">
        <f t="shared" si="9"/>
        <v>0</v>
      </c>
      <c r="G39" s="20" t="str">
        <f>IFERROR(VLOOKUP($A39&amp;"_"&amp;G$5,Database!$A:$F,6,0),"")</f>
        <v/>
      </c>
      <c r="H39" s="20" t="str">
        <f>IFERROR(VLOOKUP($A39&amp;"_"&amp;H$5,Database!$A:$F,6,0),"")</f>
        <v/>
      </c>
      <c r="I39" s="20" t="str">
        <f>IFERROR(VLOOKUP($A39&amp;"_"&amp;I$5,Database!$A:$F,6,0),"")</f>
        <v/>
      </c>
      <c r="J39" s="20" t="str">
        <f>IFERROR(VLOOKUP($A39&amp;"_"&amp;J$5,Database!$A:$F,6,0),"")</f>
        <v/>
      </c>
      <c r="K39" s="20" t="str">
        <f>IFERROR(VLOOKUP($A39&amp;"_"&amp;K$5,Database!$A:$F,6,0),"")</f>
        <v/>
      </c>
      <c r="L39" s="20" t="str">
        <f>IFERROR(VLOOKUP($A39&amp;"_"&amp;L$5,Database!$A:$F,6,0),"")</f>
        <v/>
      </c>
      <c r="M39" s="20" t="str">
        <f>IFERROR(VLOOKUP($A39&amp;"_"&amp;M$5,Database!$A:$F,6,0),"")</f>
        <v/>
      </c>
      <c r="N39" s="20" t="str">
        <f>IFERROR(VLOOKUP($A39&amp;"_"&amp;N$5,Database!$A:$F,6,0),"")</f>
        <v/>
      </c>
      <c r="O39" s="20" t="str">
        <f>IFERROR(VLOOKUP($A39&amp;"_"&amp;O$5,Database!$A:$F,6,0),"")</f>
        <v/>
      </c>
      <c r="P39" s="20" t="str">
        <f>IFERROR(VLOOKUP($A39&amp;"_"&amp;P$5,Database!$A:$F,6,0),"")</f>
        <v/>
      </c>
      <c r="Q39" s="20" t="str">
        <f>IFERROR(VLOOKUP($A39&amp;"_"&amp;Q$5,Database!$A:$F,6,0),"")</f>
        <v/>
      </c>
      <c r="R39" s="20" t="str">
        <f>IFERROR(VLOOKUP($A39&amp;"_"&amp;R$5,Database!$A:$F,6,0),"")</f>
        <v/>
      </c>
      <c r="S39" s="20" t="str">
        <f>IFERROR(VLOOKUP($A39&amp;"_"&amp;S$5,Database!$A:$F,6,0),"")</f>
        <v/>
      </c>
      <c r="T39" s="20" t="str">
        <f>IFERROR(VLOOKUP($A39&amp;"_"&amp;T$5,Database!$A:$F,6,0),"")</f>
        <v/>
      </c>
      <c r="U39" s="20" t="str">
        <f>IFERROR(VLOOKUP($A39&amp;"_"&amp;U$5,Database!$A:$F,6,0),"")</f>
        <v/>
      </c>
      <c r="V39" s="20" t="str">
        <f>IFERROR(VLOOKUP($A39&amp;"_"&amp;V$5,Database!$A:$F,6,0),"")</f>
        <v/>
      </c>
      <c r="W39" s="20" t="str">
        <f>IFERROR(VLOOKUP($A39&amp;"_"&amp;W$5,Database!$A:$F,6,0),"")</f>
        <v/>
      </c>
      <c r="X39" s="20" t="str">
        <f>IFERROR(VLOOKUP($A39&amp;"_"&amp;X$5,Database!$A:$F,6,0),"")</f>
        <v/>
      </c>
      <c r="Y39" s="20" t="str">
        <f>IFERROR(VLOOKUP($A39&amp;"_"&amp;Y$5,Database!$A:$F,6,0),"")</f>
        <v/>
      </c>
      <c r="Z39" s="20" t="str">
        <f>IFERROR(VLOOKUP($A39&amp;"_"&amp;Z$5,Database!$A:$F,6,0),"")</f>
        <v/>
      </c>
      <c r="AA39" s="20" t="str">
        <f>IFERROR(VLOOKUP($A39&amp;"_"&amp;AA$5,Database!$A:$F,6,0),"")</f>
        <v/>
      </c>
      <c r="AB39" s="20" t="str">
        <f>IFERROR(VLOOKUP($A39&amp;"_"&amp;AB$5,Database!$A:$F,6,0),"")</f>
        <v/>
      </c>
      <c r="AC39" s="20" t="str">
        <f>IFERROR(VLOOKUP($A39&amp;"_"&amp;AC$5,Database!$A:$F,6,0),"")</f>
        <v/>
      </c>
      <c r="AD39" s="20" t="str">
        <f>IFERROR(VLOOKUP($A39&amp;"_"&amp;AD$5,Database!$A:$F,6,0),"")</f>
        <v/>
      </c>
      <c r="AE39" s="20" t="str">
        <f>IFERROR(VLOOKUP($A39&amp;"_"&amp;AE$5,Database!$A:$F,6,0),"")</f>
        <v/>
      </c>
      <c r="AF39" s="20" t="str">
        <f>IFERROR(VLOOKUP($A39&amp;"_"&amp;AF$5,Database!$A:$F,6,0),"")</f>
        <v/>
      </c>
      <c r="AG39" s="20" t="str">
        <f>IFERROR(VLOOKUP($A39&amp;"_"&amp;AG$5,Database!$A:$F,6,0),"")</f>
        <v/>
      </c>
      <c r="AH39" s="20" t="str">
        <f>IFERROR(VLOOKUP($A39&amp;"_"&amp;AH$5,Database!$A:$F,6,0),"")</f>
        <v/>
      </c>
      <c r="AI39" s="20" t="str">
        <f>IFERROR(VLOOKUP($A39&amp;"_"&amp;AI$5,Database!$A:$F,6,0),"")</f>
        <v/>
      </c>
      <c r="AJ39" s="20" t="str">
        <f>IFERROR(VLOOKUP($A39&amp;"_"&amp;AJ$5,Database!$A:$F,6,0),"")</f>
        <v/>
      </c>
      <c r="AK39" s="20" t="str">
        <f>IFERROR(VLOOKUP($A39&amp;"_"&amp;AK$5,Database!$A:$F,6,0),"")</f>
        <v/>
      </c>
    </row>
    <row r="40" spans="1:37" x14ac:dyDescent="0.2">
      <c r="A40" s="17" t="str">
        <f>IF('Employee Master'!A36="","",'Employee Master'!A36)</f>
        <v/>
      </c>
      <c r="B40" s="18" t="str">
        <f>IF('Employee Master'!B36="","",'Employee Master'!B36)</f>
        <v/>
      </c>
      <c r="C40" s="18" t="str">
        <f>IF('Employee Master'!C36="","",'Employee Master'!C36)</f>
        <v/>
      </c>
      <c r="D40" s="19">
        <f t="shared" si="7"/>
        <v>0</v>
      </c>
      <c r="E40" s="19">
        <f t="shared" si="8"/>
        <v>0</v>
      </c>
      <c r="F40" s="19">
        <f t="shared" si="9"/>
        <v>0</v>
      </c>
      <c r="G40" s="20" t="str">
        <f>IFERROR(VLOOKUP($A40&amp;"_"&amp;G$5,Database!$A:$F,6,0),"")</f>
        <v/>
      </c>
      <c r="H40" s="20" t="str">
        <f>IFERROR(VLOOKUP($A40&amp;"_"&amp;H$5,Database!$A:$F,6,0),"")</f>
        <v/>
      </c>
      <c r="I40" s="20" t="str">
        <f>IFERROR(VLOOKUP($A40&amp;"_"&amp;I$5,Database!$A:$F,6,0),"")</f>
        <v/>
      </c>
      <c r="J40" s="20" t="str">
        <f>IFERROR(VLOOKUP($A40&amp;"_"&amp;J$5,Database!$A:$F,6,0),"")</f>
        <v/>
      </c>
      <c r="K40" s="20" t="str">
        <f>IFERROR(VLOOKUP($A40&amp;"_"&amp;K$5,Database!$A:$F,6,0),"")</f>
        <v/>
      </c>
      <c r="L40" s="20" t="str">
        <f>IFERROR(VLOOKUP($A40&amp;"_"&amp;L$5,Database!$A:$F,6,0),"")</f>
        <v/>
      </c>
      <c r="M40" s="20" t="str">
        <f>IFERROR(VLOOKUP($A40&amp;"_"&amp;M$5,Database!$A:$F,6,0),"")</f>
        <v/>
      </c>
      <c r="N40" s="20" t="str">
        <f>IFERROR(VLOOKUP($A40&amp;"_"&amp;N$5,Database!$A:$F,6,0),"")</f>
        <v/>
      </c>
      <c r="O40" s="20" t="str">
        <f>IFERROR(VLOOKUP($A40&amp;"_"&amp;O$5,Database!$A:$F,6,0),"")</f>
        <v/>
      </c>
      <c r="P40" s="20" t="str">
        <f>IFERROR(VLOOKUP($A40&amp;"_"&amp;P$5,Database!$A:$F,6,0),"")</f>
        <v/>
      </c>
      <c r="Q40" s="20" t="str">
        <f>IFERROR(VLOOKUP($A40&amp;"_"&amp;Q$5,Database!$A:$F,6,0),"")</f>
        <v/>
      </c>
      <c r="R40" s="20" t="str">
        <f>IFERROR(VLOOKUP($A40&amp;"_"&amp;R$5,Database!$A:$F,6,0),"")</f>
        <v/>
      </c>
      <c r="S40" s="20" t="str">
        <f>IFERROR(VLOOKUP($A40&amp;"_"&amp;S$5,Database!$A:$F,6,0),"")</f>
        <v/>
      </c>
      <c r="T40" s="20" t="str">
        <f>IFERROR(VLOOKUP($A40&amp;"_"&amp;T$5,Database!$A:$F,6,0),"")</f>
        <v/>
      </c>
      <c r="U40" s="20" t="str">
        <f>IFERROR(VLOOKUP($A40&amp;"_"&amp;U$5,Database!$A:$F,6,0),"")</f>
        <v/>
      </c>
      <c r="V40" s="20" t="str">
        <f>IFERROR(VLOOKUP($A40&amp;"_"&amp;V$5,Database!$A:$F,6,0),"")</f>
        <v/>
      </c>
      <c r="W40" s="20" t="str">
        <f>IFERROR(VLOOKUP($A40&amp;"_"&amp;W$5,Database!$A:$F,6,0),"")</f>
        <v/>
      </c>
      <c r="X40" s="20" t="str">
        <f>IFERROR(VLOOKUP($A40&amp;"_"&amp;X$5,Database!$A:$F,6,0),"")</f>
        <v/>
      </c>
      <c r="Y40" s="20" t="str">
        <f>IFERROR(VLOOKUP($A40&amp;"_"&amp;Y$5,Database!$A:$F,6,0),"")</f>
        <v/>
      </c>
      <c r="Z40" s="20" t="str">
        <f>IFERROR(VLOOKUP($A40&amp;"_"&amp;Z$5,Database!$A:$F,6,0),"")</f>
        <v/>
      </c>
      <c r="AA40" s="20" t="str">
        <f>IFERROR(VLOOKUP($A40&amp;"_"&amp;AA$5,Database!$A:$F,6,0),"")</f>
        <v/>
      </c>
      <c r="AB40" s="20" t="str">
        <f>IFERROR(VLOOKUP($A40&amp;"_"&amp;AB$5,Database!$A:$F,6,0),"")</f>
        <v/>
      </c>
      <c r="AC40" s="20" t="str">
        <f>IFERROR(VLOOKUP($A40&amp;"_"&amp;AC$5,Database!$A:$F,6,0),"")</f>
        <v/>
      </c>
      <c r="AD40" s="20" t="str">
        <f>IFERROR(VLOOKUP($A40&amp;"_"&amp;AD$5,Database!$A:$F,6,0),"")</f>
        <v/>
      </c>
      <c r="AE40" s="20" t="str">
        <f>IFERROR(VLOOKUP($A40&amp;"_"&amp;AE$5,Database!$A:$F,6,0),"")</f>
        <v/>
      </c>
      <c r="AF40" s="20" t="str">
        <f>IFERROR(VLOOKUP($A40&amp;"_"&amp;AF$5,Database!$A:$F,6,0),"")</f>
        <v/>
      </c>
      <c r="AG40" s="20" t="str">
        <f>IFERROR(VLOOKUP($A40&amp;"_"&amp;AG$5,Database!$A:$F,6,0),"")</f>
        <v/>
      </c>
      <c r="AH40" s="20" t="str">
        <f>IFERROR(VLOOKUP($A40&amp;"_"&amp;AH$5,Database!$A:$F,6,0),"")</f>
        <v/>
      </c>
      <c r="AI40" s="20" t="str">
        <f>IFERROR(VLOOKUP($A40&amp;"_"&amp;AI$5,Database!$A:$F,6,0),"")</f>
        <v/>
      </c>
      <c r="AJ40" s="20" t="str">
        <f>IFERROR(VLOOKUP($A40&amp;"_"&amp;AJ$5,Database!$A:$F,6,0),"")</f>
        <v/>
      </c>
      <c r="AK40" s="20" t="str">
        <f>IFERROR(VLOOKUP($A40&amp;"_"&amp;AK$5,Database!$A:$F,6,0),"")</f>
        <v/>
      </c>
    </row>
    <row r="41" spans="1:37" x14ac:dyDescent="0.2">
      <c r="A41" s="17" t="str">
        <f>IF('Employee Master'!A37="","",'Employee Master'!A37)</f>
        <v/>
      </c>
      <c r="B41" s="18" t="str">
        <f>IF('Employee Master'!B37="","",'Employee Master'!B37)</f>
        <v/>
      </c>
      <c r="C41" s="18" t="str">
        <f>IF('Employee Master'!C37="","",'Employee Master'!C37)</f>
        <v/>
      </c>
      <c r="D41" s="19">
        <f t="shared" si="7"/>
        <v>0</v>
      </c>
      <c r="E41" s="19">
        <f t="shared" si="8"/>
        <v>0</v>
      </c>
      <c r="F41" s="19">
        <f t="shared" si="9"/>
        <v>0</v>
      </c>
      <c r="G41" s="20" t="str">
        <f>IFERROR(VLOOKUP($A41&amp;"_"&amp;G$5,Database!$A:$F,6,0),"")</f>
        <v/>
      </c>
      <c r="H41" s="20" t="str">
        <f>IFERROR(VLOOKUP($A41&amp;"_"&amp;H$5,Database!$A:$F,6,0),"")</f>
        <v/>
      </c>
      <c r="I41" s="20" t="str">
        <f>IFERROR(VLOOKUP($A41&amp;"_"&amp;I$5,Database!$A:$F,6,0),"")</f>
        <v/>
      </c>
      <c r="J41" s="20" t="str">
        <f>IFERROR(VLOOKUP($A41&amp;"_"&amp;J$5,Database!$A:$F,6,0),"")</f>
        <v/>
      </c>
      <c r="K41" s="20" t="str">
        <f>IFERROR(VLOOKUP($A41&amp;"_"&amp;K$5,Database!$A:$F,6,0),"")</f>
        <v/>
      </c>
      <c r="L41" s="20" t="str">
        <f>IFERROR(VLOOKUP($A41&amp;"_"&amp;L$5,Database!$A:$F,6,0),"")</f>
        <v/>
      </c>
      <c r="M41" s="20" t="str">
        <f>IFERROR(VLOOKUP($A41&amp;"_"&amp;M$5,Database!$A:$F,6,0),"")</f>
        <v/>
      </c>
      <c r="N41" s="20" t="str">
        <f>IFERROR(VLOOKUP($A41&amp;"_"&amp;N$5,Database!$A:$F,6,0),"")</f>
        <v/>
      </c>
      <c r="O41" s="20" t="str">
        <f>IFERROR(VLOOKUP($A41&amp;"_"&amp;O$5,Database!$A:$F,6,0),"")</f>
        <v/>
      </c>
      <c r="P41" s="20" t="str">
        <f>IFERROR(VLOOKUP($A41&amp;"_"&amp;P$5,Database!$A:$F,6,0),"")</f>
        <v/>
      </c>
      <c r="Q41" s="20" t="str">
        <f>IFERROR(VLOOKUP($A41&amp;"_"&amp;Q$5,Database!$A:$F,6,0),"")</f>
        <v/>
      </c>
      <c r="R41" s="20" t="str">
        <f>IFERROR(VLOOKUP($A41&amp;"_"&amp;R$5,Database!$A:$F,6,0),"")</f>
        <v/>
      </c>
      <c r="S41" s="20" t="str">
        <f>IFERROR(VLOOKUP($A41&amp;"_"&amp;S$5,Database!$A:$F,6,0),"")</f>
        <v/>
      </c>
      <c r="T41" s="20" t="str">
        <f>IFERROR(VLOOKUP($A41&amp;"_"&amp;T$5,Database!$A:$F,6,0),"")</f>
        <v/>
      </c>
      <c r="U41" s="20" t="str">
        <f>IFERROR(VLOOKUP($A41&amp;"_"&amp;U$5,Database!$A:$F,6,0),"")</f>
        <v/>
      </c>
      <c r="V41" s="20" t="str">
        <f>IFERROR(VLOOKUP($A41&amp;"_"&amp;V$5,Database!$A:$F,6,0),"")</f>
        <v/>
      </c>
      <c r="W41" s="20" t="str">
        <f>IFERROR(VLOOKUP($A41&amp;"_"&amp;W$5,Database!$A:$F,6,0),"")</f>
        <v/>
      </c>
      <c r="X41" s="20" t="str">
        <f>IFERROR(VLOOKUP($A41&amp;"_"&amp;X$5,Database!$A:$F,6,0),"")</f>
        <v/>
      </c>
      <c r="Y41" s="20" t="str">
        <f>IFERROR(VLOOKUP($A41&amp;"_"&amp;Y$5,Database!$A:$F,6,0),"")</f>
        <v/>
      </c>
      <c r="Z41" s="20" t="str">
        <f>IFERROR(VLOOKUP($A41&amp;"_"&amp;Z$5,Database!$A:$F,6,0),"")</f>
        <v/>
      </c>
      <c r="AA41" s="20" t="str">
        <f>IFERROR(VLOOKUP($A41&amp;"_"&amp;AA$5,Database!$A:$F,6,0),"")</f>
        <v/>
      </c>
      <c r="AB41" s="20" t="str">
        <f>IFERROR(VLOOKUP($A41&amp;"_"&amp;AB$5,Database!$A:$F,6,0),"")</f>
        <v/>
      </c>
      <c r="AC41" s="20" t="str">
        <f>IFERROR(VLOOKUP($A41&amp;"_"&amp;AC$5,Database!$A:$F,6,0),"")</f>
        <v/>
      </c>
      <c r="AD41" s="20" t="str">
        <f>IFERROR(VLOOKUP($A41&amp;"_"&amp;AD$5,Database!$A:$F,6,0),"")</f>
        <v/>
      </c>
      <c r="AE41" s="20" t="str">
        <f>IFERROR(VLOOKUP($A41&amp;"_"&amp;AE$5,Database!$A:$F,6,0),"")</f>
        <v/>
      </c>
      <c r="AF41" s="20" t="str">
        <f>IFERROR(VLOOKUP($A41&amp;"_"&amp;AF$5,Database!$A:$F,6,0),"")</f>
        <v/>
      </c>
      <c r="AG41" s="20" t="str">
        <f>IFERROR(VLOOKUP($A41&amp;"_"&amp;AG$5,Database!$A:$F,6,0),"")</f>
        <v/>
      </c>
      <c r="AH41" s="20" t="str">
        <f>IFERROR(VLOOKUP($A41&amp;"_"&amp;AH$5,Database!$A:$F,6,0),"")</f>
        <v/>
      </c>
      <c r="AI41" s="20" t="str">
        <f>IFERROR(VLOOKUP($A41&amp;"_"&amp;AI$5,Database!$A:$F,6,0),"")</f>
        <v/>
      </c>
      <c r="AJ41" s="20" t="str">
        <f>IFERROR(VLOOKUP($A41&amp;"_"&amp;AJ$5,Database!$A:$F,6,0),"")</f>
        <v/>
      </c>
      <c r="AK41" s="20" t="str">
        <f>IFERROR(VLOOKUP($A41&amp;"_"&amp;AK$5,Database!$A:$F,6,0),"")</f>
        <v/>
      </c>
    </row>
    <row r="42" spans="1:37" x14ac:dyDescent="0.2">
      <c r="A42" s="17" t="str">
        <f>IF('Employee Master'!A38="","",'Employee Master'!A38)</f>
        <v/>
      </c>
      <c r="B42" s="18" t="str">
        <f>IF('Employee Master'!B38="","",'Employee Master'!B38)</f>
        <v/>
      </c>
      <c r="C42" s="18" t="str">
        <f>IF('Employee Master'!C38="","",'Employee Master'!C38)</f>
        <v/>
      </c>
      <c r="D42" s="19">
        <f t="shared" si="7"/>
        <v>0</v>
      </c>
      <c r="E42" s="19">
        <f t="shared" si="8"/>
        <v>0</v>
      </c>
      <c r="F42" s="19">
        <f t="shared" si="9"/>
        <v>0</v>
      </c>
      <c r="G42" s="20" t="str">
        <f>IFERROR(VLOOKUP($A42&amp;"_"&amp;G$5,Database!$A:$F,6,0),"")</f>
        <v/>
      </c>
      <c r="H42" s="20" t="str">
        <f>IFERROR(VLOOKUP($A42&amp;"_"&amp;H$5,Database!$A:$F,6,0),"")</f>
        <v/>
      </c>
      <c r="I42" s="20" t="str">
        <f>IFERROR(VLOOKUP($A42&amp;"_"&amp;I$5,Database!$A:$F,6,0),"")</f>
        <v/>
      </c>
      <c r="J42" s="20" t="str">
        <f>IFERROR(VLOOKUP($A42&amp;"_"&amp;J$5,Database!$A:$F,6,0),"")</f>
        <v/>
      </c>
      <c r="K42" s="20" t="str">
        <f>IFERROR(VLOOKUP($A42&amp;"_"&amp;K$5,Database!$A:$F,6,0),"")</f>
        <v/>
      </c>
      <c r="L42" s="20" t="str">
        <f>IFERROR(VLOOKUP($A42&amp;"_"&amp;L$5,Database!$A:$F,6,0),"")</f>
        <v/>
      </c>
      <c r="M42" s="20" t="str">
        <f>IFERROR(VLOOKUP($A42&amp;"_"&amp;M$5,Database!$A:$F,6,0),"")</f>
        <v/>
      </c>
      <c r="N42" s="20" t="str">
        <f>IFERROR(VLOOKUP($A42&amp;"_"&amp;N$5,Database!$A:$F,6,0),"")</f>
        <v/>
      </c>
      <c r="O42" s="20" t="str">
        <f>IFERROR(VLOOKUP($A42&amp;"_"&amp;O$5,Database!$A:$F,6,0),"")</f>
        <v/>
      </c>
      <c r="P42" s="20" t="str">
        <f>IFERROR(VLOOKUP($A42&amp;"_"&amp;P$5,Database!$A:$F,6,0),"")</f>
        <v/>
      </c>
      <c r="Q42" s="20" t="str">
        <f>IFERROR(VLOOKUP($A42&amp;"_"&amp;Q$5,Database!$A:$F,6,0),"")</f>
        <v/>
      </c>
      <c r="R42" s="20" t="str">
        <f>IFERROR(VLOOKUP($A42&amp;"_"&amp;R$5,Database!$A:$F,6,0),"")</f>
        <v/>
      </c>
      <c r="S42" s="20" t="str">
        <f>IFERROR(VLOOKUP($A42&amp;"_"&amp;S$5,Database!$A:$F,6,0),"")</f>
        <v/>
      </c>
      <c r="T42" s="20" t="str">
        <f>IFERROR(VLOOKUP($A42&amp;"_"&amp;T$5,Database!$A:$F,6,0),"")</f>
        <v/>
      </c>
      <c r="U42" s="20" t="str">
        <f>IFERROR(VLOOKUP($A42&amp;"_"&amp;U$5,Database!$A:$F,6,0),"")</f>
        <v/>
      </c>
      <c r="V42" s="20" t="str">
        <f>IFERROR(VLOOKUP($A42&amp;"_"&amp;V$5,Database!$A:$F,6,0),"")</f>
        <v/>
      </c>
      <c r="W42" s="20" t="str">
        <f>IFERROR(VLOOKUP($A42&amp;"_"&amp;W$5,Database!$A:$F,6,0),"")</f>
        <v/>
      </c>
      <c r="X42" s="20" t="str">
        <f>IFERROR(VLOOKUP($A42&amp;"_"&amp;X$5,Database!$A:$F,6,0),"")</f>
        <v/>
      </c>
      <c r="Y42" s="20" t="str">
        <f>IFERROR(VLOOKUP($A42&amp;"_"&amp;Y$5,Database!$A:$F,6,0),"")</f>
        <v/>
      </c>
      <c r="Z42" s="20" t="str">
        <f>IFERROR(VLOOKUP($A42&amp;"_"&amp;Z$5,Database!$A:$F,6,0),"")</f>
        <v/>
      </c>
      <c r="AA42" s="20" t="str">
        <f>IFERROR(VLOOKUP($A42&amp;"_"&amp;AA$5,Database!$A:$F,6,0),"")</f>
        <v/>
      </c>
      <c r="AB42" s="20" t="str">
        <f>IFERROR(VLOOKUP($A42&amp;"_"&amp;AB$5,Database!$A:$F,6,0),"")</f>
        <v/>
      </c>
      <c r="AC42" s="20" t="str">
        <f>IFERROR(VLOOKUP($A42&amp;"_"&amp;AC$5,Database!$A:$F,6,0),"")</f>
        <v/>
      </c>
      <c r="AD42" s="20" t="str">
        <f>IFERROR(VLOOKUP($A42&amp;"_"&amp;AD$5,Database!$A:$F,6,0),"")</f>
        <v/>
      </c>
      <c r="AE42" s="20" t="str">
        <f>IFERROR(VLOOKUP($A42&amp;"_"&amp;AE$5,Database!$A:$F,6,0),"")</f>
        <v/>
      </c>
      <c r="AF42" s="20" t="str">
        <f>IFERROR(VLOOKUP($A42&amp;"_"&amp;AF$5,Database!$A:$F,6,0),"")</f>
        <v/>
      </c>
      <c r="AG42" s="20" t="str">
        <f>IFERROR(VLOOKUP($A42&amp;"_"&amp;AG$5,Database!$A:$F,6,0),"")</f>
        <v/>
      </c>
      <c r="AH42" s="20" t="str">
        <f>IFERROR(VLOOKUP($A42&amp;"_"&amp;AH$5,Database!$A:$F,6,0),"")</f>
        <v/>
      </c>
      <c r="AI42" s="20" t="str">
        <f>IFERROR(VLOOKUP($A42&amp;"_"&amp;AI$5,Database!$A:$F,6,0),"")</f>
        <v/>
      </c>
      <c r="AJ42" s="20" t="str">
        <f>IFERROR(VLOOKUP($A42&amp;"_"&amp;AJ$5,Database!$A:$F,6,0),"")</f>
        <v/>
      </c>
      <c r="AK42" s="20" t="str">
        <f>IFERROR(VLOOKUP($A42&amp;"_"&amp;AK$5,Database!$A:$F,6,0),"")</f>
        <v/>
      </c>
    </row>
    <row r="43" spans="1:37" x14ac:dyDescent="0.2">
      <c r="A43" s="17" t="str">
        <f>IF('Employee Master'!A39="","",'Employee Master'!A39)</f>
        <v/>
      </c>
      <c r="B43" s="18" t="str">
        <f>IF('Employee Master'!B39="","",'Employee Master'!B39)</f>
        <v/>
      </c>
      <c r="C43" s="18" t="str">
        <f>IF('Employee Master'!C39="","",'Employee Master'!C39)</f>
        <v/>
      </c>
      <c r="D43" s="19">
        <f t="shared" si="7"/>
        <v>0</v>
      </c>
      <c r="E43" s="19">
        <f t="shared" si="8"/>
        <v>0</v>
      </c>
      <c r="F43" s="19">
        <f t="shared" si="9"/>
        <v>0</v>
      </c>
      <c r="G43" s="20" t="str">
        <f>IFERROR(VLOOKUP($A43&amp;"_"&amp;G$5,Database!$A:$F,6,0),"")</f>
        <v/>
      </c>
      <c r="H43" s="20" t="str">
        <f>IFERROR(VLOOKUP($A43&amp;"_"&amp;H$5,Database!$A:$F,6,0),"")</f>
        <v/>
      </c>
      <c r="I43" s="20" t="str">
        <f>IFERROR(VLOOKUP($A43&amp;"_"&amp;I$5,Database!$A:$F,6,0),"")</f>
        <v/>
      </c>
      <c r="J43" s="20" t="str">
        <f>IFERROR(VLOOKUP($A43&amp;"_"&amp;J$5,Database!$A:$F,6,0),"")</f>
        <v/>
      </c>
      <c r="K43" s="20" t="str">
        <f>IFERROR(VLOOKUP($A43&amp;"_"&amp;K$5,Database!$A:$F,6,0),"")</f>
        <v/>
      </c>
      <c r="L43" s="20" t="str">
        <f>IFERROR(VLOOKUP($A43&amp;"_"&amp;L$5,Database!$A:$F,6,0),"")</f>
        <v/>
      </c>
      <c r="M43" s="20" t="str">
        <f>IFERROR(VLOOKUP($A43&amp;"_"&amp;M$5,Database!$A:$F,6,0),"")</f>
        <v/>
      </c>
      <c r="N43" s="20" t="str">
        <f>IFERROR(VLOOKUP($A43&amp;"_"&amp;N$5,Database!$A:$F,6,0),"")</f>
        <v/>
      </c>
      <c r="O43" s="20" t="str">
        <f>IFERROR(VLOOKUP($A43&amp;"_"&amp;O$5,Database!$A:$F,6,0),"")</f>
        <v/>
      </c>
      <c r="P43" s="20" t="str">
        <f>IFERROR(VLOOKUP($A43&amp;"_"&amp;P$5,Database!$A:$F,6,0),"")</f>
        <v/>
      </c>
      <c r="Q43" s="20" t="str">
        <f>IFERROR(VLOOKUP($A43&amp;"_"&amp;Q$5,Database!$A:$F,6,0),"")</f>
        <v/>
      </c>
      <c r="R43" s="20" t="str">
        <f>IFERROR(VLOOKUP($A43&amp;"_"&amp;R$5,Database!$A:$F,6,0),"")</f>
        <v/>
      </c>
      <c r="S43" s="20" t="str">
        <f>IFERROR(VLOOKUP($A43&amp;"_"&amp;S$5,Database!$A:$F,6,0),"")</f>
        <v/>
      </c>
      <c r="T43" s="20" t="str">
        <f>IFERROR(VLOOKUP($A43&amp;"_"&amp;T$5,Database!$A:$F,6,0),"")</f>
        <v/>
      </c>
      <c r="U43" s="20" t="str">
        <f>IFERROR(VLOOKUP($A43&amp;"_"&amp;U$5,Database!$A:$F,6,0),"")</f>
        <v/>
      </c>
      <c r="V43" s="20" t="str">
        <f>IFERROR(VLOOKUP($A43&amp;"_"&amp;V$5,Database!$A:$F,6,0),"")</f>
        <v/>
      </c>
      <c r="W43" s="20" t="str">
        <f>IFERROR(VLOOKUP($A43&amp;"_"&amp;W$5,Database!$A:$F,6,0),"")</f>
        <v/>
      </c>
      <c r="X43" s="20" t="str">
        <f>IFERROR(VLOOKUP($A43&amp;"_"&amp;X$5,Database!$A:$F,6,0),"")</f>
        <v/>
      </c>
      <c r="Y43" s="20" t="str">
        <f>IFERROR(VLOOKUP($A43&amp;"_"&amp;Y$5,Database!$A:$F,6,0),"")</f>
        <v/>
      </c>
      <c r="Z43" s="20" t="str">
        <f>IFERROR(VLOOKUP($A43&amp;"_"&amp;Z$5,Database!$A:$F,6,0),"")</f>
        <v/>
      </c>
      <c r="AA43" s="20" t="str">
        <f>IFERROR(VLOOKUP($A43&amp;"_"&amp;AA$5,Database!$A:$F,6,0),"")</f>
        <v/>
      </c>
      <c r="AB43" s="20" t="str">
        <f>IFERROR(VLOOKUP($A43&amp;"_"&amp;AB$5,Database!$A:$F,6,0),"")</f>
        <v/>
      </c>
      <c r="AC43" s="20" t="str">
        <f>IFERROR(VLOOKUP($A43&amp;"_"&amp;AC$5,Database!$A:$F,6,0),"")</f>
        <v/>
      </c>
      <c r="AD43" s="20" t="str">
        <f>IFERROR(VLOOKUP($A43&amp;"_"&amp;AD$5,Database!$A:$F,6,0),"")</f>
        <v/>
      </c>
      <c r="AE43" s="20" t="str">
        <f>IFERROR(VLOOKUP($A43&amp;"_"&amp;AE$5,Database!$A:$F,6,0),"")</f>
        <v/>
      </c>
      <c r="AF43" s="20" t="str">
        <f>IFERROR(VLOOKUP($A43&amp;"_"&amp;AF$5,Database!$A:$F,6,0),"")</f>
        <v/>
      </c>
      <c r="AG43" s="20" t="str">
        <f>IFERROR(VLOOKUP($A43&amp;"_"&amp;AG$5,Database!$A:$F,6,0),"")</f>
        <v/>
      </c>
      <c r="AH43" s="20" t="str">
        <f>IFERROR(VLOOKUP($A43&amp;"_"&amp;AH$5,Database!$A:$F,6,0),"")</f>
        <v/>
      </c>
      <c r="AI43" s="20" t="str">
        <f>IFERROR(VLOOKUP($A43&amp;"_"&amp;AI$5,Database!$A:$F,6,0),"")</f>
        <v/>
      </c>
      <c r="AJ43" s="20" t="str">
        <f>IFERROR(VLOOKUP($A43&amp;"_"&amp;AJ$5,Database!$A:$F,6,0),"")</f>
        <v/>
      </c>
      <c r="AK43" s="20" t="str">
        <f>IFERROR(VLOOKUP($A43&amp;"_"&amp;AK$5,Database!$A:$F,6,0),"")</f>
        <v/>
      </c>
    </row>
    <row r="44" spans="1:37" x14ac:dyDescent="0.2">
      <c r="A44" s="17" t="str">
        <f>IF('Employee Master'!A40="","",'Employee Master'!A40)</f>
        <v/>
      </c>
      <c r="B44" s="18" t="str">
        <f>IF('Employee Master'!B40="","",'Employee Master'!B40)</f>
        <v/>
      </c>
      <c r="C44" s="18" t="str">
        <f>IF('Employee Master'!C40="","",'Employee Master'!C40)</f>
        <v/>
      </c>
      <c r="D44" s="19">
        <f t="shared" si="7"/>
        <v>0</v>
      </c>
      <c r="E44" s="19">
        <f t="shared" si="8"/>
        <v>0</v>
      </c>
      <c r="F44" s="19">
        <f t="shared" si="9"/>
        <v>0</v>
      </c>
      <c r="G44" s="20" t="str">
        <f>IFERROR(VLOOKUP($A44&amp;"_"&amp;G$5,Database!$A:$F,6,0),"")</f>
        <v/>
      </c>
      <c r="H44" s="20" t="str">
        <f>IFERROR(VLOOKUP($A44&amp;"_"&amp;H$5,Database!$A:$F,6,0),"")</f>
        <v/>
      </c>
      <c r="I44" s="20" t="str">
        <f>IFERROR(VLOOKUP($A44&amp;"_"&amp;I$5,Database!$A:$F,6,0),"")</f>
        <v/>
      </c>
      <c r="J44" s="20" t="str">
        <f>IFERROR(VLOOKUP($A44&amp;"_"&amp;J$5,Database!$A:$F,6,0),"")</f>
        <v/>
      </c>
      <c r="K44" s="20" t="str">
        <f>IFERROR(VLOOKUP($A44&amp;"_"&amp;K$5,Database!$A:$F,6,0),"")</f>
        <v/>
      </c>
      <c r="L44" s="20" t="str">
        <f>IFERROR(VLOOKUP($A44&amp;"_"&amp;L$5,Database!$A:$F,6,0),"")</f>
        <v/>
      </c>
      <c r="M44" s="20" t="str">
        <f>IFERROR(VLOOKUP($A44&amp;"_"&amp;M$5,Database!$A:$F,6,0),"")</f>
        <v/>
      </c>
      <c r="N44" s="20" t="str">
        <f>IFERROR(VLOOKUP($A44&amp;"_"&amp;N$5,Database!$A:$F,6,0),"")</f>
        <v/>
      </c>
      <c r="O44" s="20" t="str">
        <f>IFERROR(VLOOKUP($A44&amp;"_"&amp;O$5,Database!$A:$F,6,0),"")</f>
        <v/>
      </c>
      <c r="P44" s="20" t="str">
        <f>IFERROR(VLOOKUP($A44&amp;"_"&amp;P$5,Database!$A:$F,6,0),"")</f>
        <v/>
      </c>
      <c r="Q44" s="20" t="str">
        <f>IFERROR(VLOOKUP($A44&amp;"_"&amp;Q$5,Database!$A:$F,6,0),"")</f>
        <v/>
      </c>
      <c r="R44" s="20" t="str">
        <f>IFERROR(VLOOKUP($A44&amp;"_"&amp;R$5,Database!$A:$F,6,0),"")</f>
        <v/>
      </c>
      <c r="S44" s="20" t="str">
        <f>IFERROR(VLOOKUP($A44&amp;"_"&amp;S$5,Database!$A:$F,6,0),"")</f>
        <v/>
      </c>
      <c r="T44" s="20" t="str">
        <f>IFERROR(VLOOKUP($A44&amp;"_"&amp;T$5,Database!$A:$F,6,0),"")</f>
        <v/>
      </c>
      <c r="U44" s="20" t="str">
        <f>IFERROR(VLOOKUP($A44&amp;"_"&amp;U$5,Database!$A:$F,6,0),"")</f>
        <v/>
      </c>
      <c r="V44" s="20" t="str">
        <f>IFERROR(VLOOKUP($A44&amp;"_"&amp;V$5,Database!$A:$F,6,0),"")</f>
        <v/>
      </c>
      <c r="W44" s="20" t="str">
        <f>IFERROR(VLOOKUP($A44&amp;"_"&amp;W$5,Database!$A:$F,6,0),"")</f>
        <v/>
      </c>
      <c r="X44" s="20" t="str">
        <f>IFERROR(VLOOKUP($A44&amp;"_"&amp;X$5,Database!$A:$F,6,0),"")</f>
        <v/>
      </c>
      <c r="Y44" s="20" t="str">
        <f>IFERROR(VLOOKUP($A44&amp;"_"&amp;Y$5,Database!$A:$F,6,0),"")</f>
        <v/>
      </c>
      <c r="Z44" s="20" t="str">
        <f>IFERROR(VLOOKUP($A44&amp;"_"&amp;Z$5,Database!$A:$F,6,0),"")</f>
        <v/>
      </c>
      <c r="AA44" s="20" t="str">
        <f>IFERROR(VLOOKUP($A44&amp;"_"&amp;AA$5,Database!$A:$F,6,0),"")</f>
        <v/>
      </c>
      <c r="AB44" s="20" t="str">
        <f>IFERROR(VLOOKUP($A44&amp;"_"&amp;AB$5,Database!$A:$F,6,0),"")</f>
        <v/>
      </c>
      <c r="AC44" s="20" t="str">
        <f>IFERROR(VLOOKUP($A44&amp;"_"&amp;AC$5,Database!$A:$F,6,0),"")</f>
        <v/>
      </c>
      <c r="AD44" s="20" t="str">
        <f>IFERROR(VLOOKUP($A44&amp;"_"&amp;AD$5,Database!$A:$F,6,0),"")</f>
        <v/>
      </c>
      <c r="AE44" s="20" t="str">
        <f>IFERROR(VLOOKUP($A44&amp;"_"&amp;AE$5,Database!$A:$F,6,0),"")</f>
        <v/>
      </c>
      <c r="AF44" s="20" t="str">
        <f>IFERROR(VLOOKUP($A44&amp;"_"&amp;AF$5,Database!$A:$F,6,0),"")</f>
        <v/>
      </c>
      <c r="AG44" s="20" t="str">
        <f>IFERROR(VLOOKUP($A44&amp;"_"&amp;AG$5,Database!$A:$F,6,0),"")</f>
        <v/>
      </c>
      <c r="AH44" s="20" t="str">
        <f>IFERROR(VLOOKUP($A44&amp;"_"&amp;AH$5,Database!$A:$F,6,0),"")</f>
        <v/>
      </c>
      <c r="AI44" s="20" t="str">
        <f>IFERROR(VLOOKUP($A44&amp;"_"&amp;AI$5,Database!$A:$F,6,0),"")</f>
        <v/>
      </c>
      <c r="AJ44" s="20" t="str">
        <f>IFERROR(VLOOKUP($A44&amp;"_"&amp;AJ$5,Database!$A:$F,6,0),"")</f>
        <v/>
      </c>
      <c r="AK44" s="20" t="str">
        <f>IFERROR(VLOOKUP($A44&amp;"_"&amp;AK$5,Database!$A:$F,6,0),"")</f>
        <v/>
      </c>
    </row>
    <row r="45" spans="1:37" x14ac:dyDescent="0.2">
      <c r="A45" s="17" t="str">
        <f>IF('Employee Master'!A41="","",'Employee Master'!A41)</f>
        <v/>
      </c>
      <c r="B45" s="18" t="str">
        <f>IF('Employee Master'!B41="","",'Employee Master'!B41)</f>
        <v/>
      </c>
      <c r="C45" s="18" t="str">
        <f>IF('Employee Master'!C41="","",'Employee Master'!C41)</f>
        <v/>
      </c>
      <c r="D45" s="19">
        <f t="shared" si="7"/>
        <v>0</v>
      </c>
      <c r="E45" s="19">
        <f t="shared" si="8"/>
        <v>0</v>
      </c>
      <c r="F45" s="19">
        <f t="shared" si="9"/>
        <v>0</v>
      </c>
      <c r="G45" s="20" t="str">
        <f>IFERROR(VLOOKUP($A45&amp;"_"&amp;G$5,Database!$A:$F,6,0),"")</f>
        <v/>
      </c>
      <c r="H45" s="20" t="str">
        <f>IFERROR(VLOOKUP($A45&amp;"_"&amp;H$5,Database!$A:$F,6,0),"")</f>
        <v/>
      </c>
      <c r="I45" s="20" t="str">
        <f>IFERROR(VLOOKUP($A45&amp;"_"&amp;I$5,Database!$A:$F,6,0),"")</f>
        <v/>
      </c>
      <c r="J45" s="20" t="str">
        <f>IFERROR(VLOOKUP($A45&amp;"_"&amp;J$5,Database!$A:$F,6,0),"")</f>
        <v/>
      </c>
      <c r="K45" s="20" t="str">
        <f>IFERROR(VLOOKUP($A45&amp;"_"&amp;K$5,Database!$A:$F,6,0),"")</f>
        <v/>
      </c>
      <c r="L45" s="20" t="str">
        <f>IFERROR(VLOOKUP($A45&amp;"_"&amp;L$5,Database!$A:$F,6,0),"")</f>
        <v/>
      </c>
      <c r="M45" s="20" t="str">
        <f>IFERROR(VLOOKUP($A45&amp;"_"&amp;M$5,Database!$A:$F,6,0),"")</f>
        <v/>
      </c>
      <c r="N45" s="20" t="str">
        <f>IFERROR(VLOOKUP($A45&amp;"_"&amp;N$5,Database!$A:$F,6,0),"")</f>
        <v/>
      </c>
      <c r="O45" s="20" t="str">
        <f>IFERROR(VLOOKUP($A45&amp;"_"&amp;O$5,Database!$A:$F,6,0),"")</f>
        <v/>
      </c>
      <c r="P45" s="20" t="str">
        <f>IFERROR(VLOOKUP($A45&amp;"_"&amp;P$5,Database!$A:$F,6,0),"")</f>
        <v/>
      </c>
      <c r="Q45" s="20" t="str">
        <f>IFERROR(VLOOKUP($A45&amp;"_"&amp;Q$5,Database!$A:$F,6,0),"")</f>
        <v/>
      </c>
      <c r="R45" s="20" t="str">
        <f>IFERROR(VLOOKUP($A45&amp;"_"&amp;R$5,Database!$A:$F,6,0),"")</f>
        <v/>
      </c>
      <c r="S45" s="20" t="str">
        <f>IFERROR(VLOOKUP($A45&amp;"_"&amp;S$5,Database!$A:$F,6,0),"")</f>
        <v/>
      </c>
      <c r="T45" s="20" t="str">
        <f>IFERROR(VLOOKUP($A45&amp;"_"&amp;T$5,Database!$A:$F,6,0),"")</f>
        <v/>
      </c>
      <c r="U45" s="20" t="str">
        <f>IFERROR(VLOOKUP($A45&amp;"_"&amp;U$5,Database!$A:$F,6,0),"")</f>
        <v/>
      </c>
      <c r="V45" s="20" t="str">
        <f>IFERROR(VLOOKUP($A45&amp;"_"&amp;V$5,Database!$A:$F,6,0),"")</f>
        <v/>
      </c>
      <c r="W45" s="20" t="str">
        <f>IFERROR(VLOOKUP($A45&amp;"_"&amp;W$5,Database!$A:$F,6,0),"")</f>
        <v/>
      </c>
      <c r="X45" s="20" t="str">
        <f>IFERROR(VLOOKUP($A45&amp;"_"&amp;X$5,Database!$A:$F,6,0),"")</f>
        <v/>
      </c>
      <c r="Y45" s="20" t="str">
        <f>IFERROR(VLOOKUP($A45&amp;"_"&amp;Y$5,Database!$A:$F,6,0),"")</f>
        <v/>
      </c>
      <c r="Z45" s="20" t="str">
        <f>IFERROR(VLOOKUP($A45&amp;"_"&amp;Z$5,Database!$A:$F,6,0),"")</f>
        <v/>
      </c>
      <c r="AA45" s="20" t="str">
        <f>IFERROR(VLOOKUP($A45&amp;"_"&amp;AA$5,Database!$A:$F,6,0),"")</f>
        <v/>
      </c>
      <c r="AB45" s="20" t="str">
        <f>IFERROR(VLOOKUP($A45&amp;"_"&amp;AB$5,Database!$A:$F,6,0),"")</f>
        <v/>
      </c>
      <c r="AC45" s="20" t="str">
        <f>IFERROR(VLOOKUP($A45&amp;"_"&amp;AC$5,Database!$A:$F,6,0),"")</f>
        <v/>
      </c>
      <c r="AD45" s="20" t="str">
        <f>IFERROR(VLOOKUP($A45&amp;"_"&amp;AD$5,Database!$A:$F,6,0),"")</f>
        <v/>
      </c>
      <c r="AE45" s="20" t="str">
        <f>IFERROR(VLOOKUP($A45&amp;"_"&amp;AE$5,Database!$A:$F,6,0),"")</f>
        <v/>
      </c>
      <c r="AF45" s="20" t="str">
        <f>IFERROR(VLOOKUP($A45&amp;"_"&amp;AF$5,Database!$A:$F,6,0),"")</f>
        <v/>
      </c>
      <c r="AG45" s="20" t="str">
        <f>IFERROR(VLOOKUP($A45&amp;"_"&amp;AG$5,Database!$A:$F,6,0),"")</f>
        <v/>
      </c>
      <c r="AH45" s="20" t="str">
        <f>IFERROR(VLOOKUP($A45&amp;"_"&amp;AH$5,Database!$A:$F,6,0),"")</f>
        <v/>
      </c>
      <c r="AI45" s="20" t="str">
        <f>IFERROR(VLOOKUP($A45&amp;"_"&amp;AI$5,Database!$A:$F,6,0),"")</f>
        <v/>
      </c>
      <c r="AJ45" s="20" t="str">
        <f>IFERROR(VLOOKUP($A45&amp;"_"&amp;AJ$5,Database!$A:$F,6,0),"")</f>
        <v/>
      </c>
      <c r="AK45" s="20" t="str">
        <f>IFERROR(VLOOKUP($A45&amp;"_"&amp;AK$5,Database!$A:$F,6,0),"")</f>
        <v/>
      </c>
    </row>
    <row r="46" spans="1:37" x14ac:dyDescent="0.2">
      <c r="A46" s="17" t="str">
        <f>IF('Employee Master'!A42="","",'Employee Master'!A42)</f>
        <v/>
      </c>
      <c r="B46" s="18" t="str">
        <f>IF('Employee Master'!B42="","",'Employee Master'!B42)</f>
        <v/>
      </c>
      <c r="C46" s="18" t="str">
        <f>IF('Employee Master'!C42="","",'Employee Master'!C42)</f>
        <v/>
      </c>
      <c r="D46" s="19">
        <f t="shared" si="7"/>
        <v>0</v>
      </c>
      <c r="E46" s="19">
        <f t="shared" si="8"/>
        <v>0</v>
      </c>
      <c r="F46" s="19">
        <f t="shared" si="9"/>
        <v>0</v>
      </c>
      <c r="G46" s="20" t="str">
        <f>IFERROR(VLOOKUP($A46&amp;"_"&amp;G$5,Database!$A:$F,6,0),"")</f>
        <v/>
      </c>
      <c r="H46" s="20" t="str">
        <f>IFERROR(VLOOKUP($A46&amp;"_"&amp;H$5,Database!$A:$F,6,0),"")</f>
        <v/>
      </c>
      <c r="I46" s="20" t="str">
        <f>IFERROR(VLOOKUP($A46&amp;"_"&amp;I$5,Database!$A:$F,6,0),"")</f>
        <v/>
      </c>
      <c r="J46" s="20" t="str">
        <f>IFERROR(VLOOKUP($A46&amp;"_"&amp;J$5,Database!$A:$F,6,0),"")</f>
        <v/>
      </c>
      <c r="K46" s="20" t="str">
        <f>IFERROR(VLOOKUP($A46&amp;"_"&amp;K$5,Database!$A:$F,6,0),"")</f>
        <v/>
      </c>
      <c r="L46" s="20" t="str">
        <f>IFERROR(VLOOKUP($A46&amp;"_"&amp;L$5,Database!$A:$F,6,0),"")</f>
        <v/>
      </c>
      <c r="M46" s="20" t="str">
        <f>IFERROR(VLOOKUP($A46&amp;"_"&amp;M$5,Database!$A:$F,6,0),"")</f>
        <v/>
      </c>
      <c r="N46" s="20" t="str">
        <f>IFERROR(VLOOKUP($A46&amp;"_"&amp;N$5,Database!$A:$F,6,0),"")</f>
        <v/>
      </c>
      <c r="O46" s="20" t="str">
        <f>IFERROR(VLOOKUP($A46&amp;"_"&amp;O$5,Database!$A:$F,6,0),"")</f>
        <v/>
      </c>
      <c r="P46" s="20" t="str">
        <f>IFERROR(VLOOKUP($A46&amp;"_"&amp;P$5,Database!$A:$F,6,0),"")</f>
        <v/>
      </c>
      <c r="Q46" s="20" t="str">
        <f>IFERROR(VLOOKUP($A46&amp;"_"&amp;Q$5,Database!$A:$F,6,0),"")</f>
        <v/>
      </c>
      <c r="R46" s="20" t="str">
        <f>IFERROR(VLOOKUP($A46&amp;"_"&amp;R$5,Database!$A:$F,6,0),"")</f>
        <v/>
      </c>
      <c r="S46" s="20" t="str">
        <f>IFERROR(VLOOKUP($A46&amp;"_"&amp;S$5,Database!$A:$F,6,0),"")</f>
        <v/>
      </c>
      <c r="T46" s="20" t="str">
        <f>IFERROR(VLOOKUP($A46&amp;"_"&amp;T$5,Database!$A:$F,6,0),"")</f>
        <v/>
      </c>
      <c r="U46" s="20" t="str">
        <f>IFERROR(VLOOKUP($A46&amp;"_"&amp;U$5,Database!$A:$F,6,0),"")</f>
        <v/>
      </c>
      <c r="V46" s="20" t="str">
        <f>IFERROR(VLOOKUP($A46&amp;"_"&amp;V$5,Database!$A:$F,6,0),"")</f>
        <v/>
      </c>
      <c r="W46" s="20" t="str">
        <f>IFERROR(VLOOKUP($A46&amp;"_"&amp;W$5,Database!$A:$F,6,0),"")</f>
        <v/>
      </c>
      <c r="X46" s="20" t="str">
        <f>IFERROR(VLOOKUP($A46&amp;"_"&amp;X$5,Database!$A:$F,6,0),"")</f>
        <v/>
      </c>
      <c r="Y46" s="20" t="str">
        <f>IFERROR(VLOOKUP($A46&amp;"_"&amp;Y$5,Database!$A:$F,6,0),"")</f>
        <v/>
      </c>
      <c r="Z46" s="20" t="str">
        <f>IFERROR(VLOOKUP($A46&amp;"_"&amp;Z$5,Database!$A:$F,6,0),"")</f>
        <v/>
      </c>
      <c r="AA46" s="20" t="str">
        <f>IFERROR(VLOOKUP($A46&amp;"_"&amp;AA$5,Database!$A:$F,6,0),"")</f>
        <v/>
      </c>
      <c r="AB46" s="20" t="str">
        <f>IFERROR(VLOOKUP($A46&amp;"_"&amp;AB$5,Database!$A:$F,6,0),"")</f>
        <v/>
      </c>
      <c r="AC46" s="20" t="str">
        <f>IFERROR(VLOOKUP($A46&amp;"_"&amp;AC$5,Database!$A:$F,6,0),"")</f>
        <v/>
      </c>
      <c r="AD46" s="20" t="str">
        <f>IFERROR(VLOOKUP($A46&amp;"_"&amp;AD$5,Database!$A:$F,6,0),"")</f>
        <v/>
      </c>
      <c r="AE46" s="20" t="str">
        <f>IFERROR(VLOOKUP($A46&amp;"_"&amp;AE$5,Database!$A:$F,6,0),"")</f>
        <v/>
      </c>
      <c r="AF46" s="20" t="str">
        <f>IFERROR(VLOOKUP($A46&amp;"_"&amp;AF$5,Database!$A:$F,6,0),"")</f>
        <v/>
      </c>
      <c r="AG46" s="20" t="str">
        <f>IFERROR(VLOOKUP($A46&amp;"_"&amp;AG$5,Database!$A:$F,6,0),"")</f>
        <v/>
      </c>
      <c r="AH46" s="20" t="str">
        <f>IFERROR(VLOOKUP($A46&amp;"_"&amp;AH$5,Database!$A:$F,6,0),"")</f>
        <v/>
      </c>
      <c r="AI46" s="20" t="str">
        <f>IFERROR(VLOOKUP($A46&amp;"_"&amp;AI$5,Database!$A:$F,6,0),"")</f>
        <v/>
      </c>
      <c r="AJ46" s="20" t="str">
        <f>IFERROR(VLOOKUP($A46&amp;"_"&amp;AJ$5,Database!$A:$F,6,0),"")</f>
        <v/>
      </c>
      <c r="AK46" s="20" t="str">
        <f>IFERROR(VLOOKUP($A46&amp;"_"&amp;AK$5,Database!$A:$F,6,0),"")</f>
        <v/>
      </c>
    </row>
    <row r="47" spans="1:37" x14ac:dyDescent="0.2">
      <c r="A47" s="17" t="str">
        <f>IF('Employee Master'!A43="","",'Employee Master'!A43)</f>
        <v/>
      </c>
      <c r="B47" s="18" t="str">
        <f>IF('Employee Master'!B43="","",'Employee Master'!B43)</f>
        <v/>
      </c>
      <c r="C47" s="18" t="str">
        <f>IF('Employee Master'!C43="","",'Employee Master'!C43)</f>
        <v/>
      </c>
      <c r="D47" s="19">
        <f t="shared" si="7"/>
        <v>0</v>
      </c>
      <c r="E47" s="19">
        <f t="shared" si="8"/>
        <v>0</v>
      </c>
      <c r="F47" s="19">
        <f t="shared" si="9"/>
        <v>0</v>
      </c>
      <c r="G47" s="20" t="str">
        <f>IFERROR(VLOOKUP($A47&amp;"_"&amp;G$5,Database!$A:$F,6,0),"")</f>
        <v/>
      </c>
      <c r="H47" s="20" t="str">
        <f>IFERROR(VLOOKUP($A47&amp;"_"&amp;H$5,Database!$A:$F,6,0),"")</f>
        <v/>
      </c>
      <c r="I47" s="20" t="str">
        <f>IFERROR(VLOOKUP($A47&amp;"_"&amp;I$5,Database!$A:$F,6,0),"")</f>
        <v/>
      </c>
      <c r="J47" s="20" t="str">
        <f>IFERROR(VLOOKUP($A47&amp;"_"&amp;J$5,Database!$A:$F,6,0),"")</f>
        <v/>
      </c>
      <c r="K47" s="20" t="str">
        <f>IFERROR(VLOOKUP($A47&amp;"_"&amp;K$5,Database!$A:$F,6,0),"")</f>
        <v/>
      </c>
      <c r="L47" s="20" t="str">
        <f>IFERROR(VLOOKUP($A47&amp;"_"&amp;L$5,Database!$A:$F,6,0),"")</f>
        <v/>
      </c>
      <c r="M47" s="20" t="str">
        <f>IFERROR(VLOOKUP($A47&amp;"_"&amp;M$5,Database!$A:$F,6,0),"")</f>
        <v/>
      </c>
      <c r="N47" s="20" t="str">
        <f>IFERROR(VLOOKUP($A47&amp;"_"&amp;N$5,Database!$A:$F,6,0),"")</f>
        <v/>
      </c>
      <c r="O47" s="20" t="str">
        <f>IFERROR(VLOOKUP($A47&amp;"_"&amp;O$5,Database!$A:$F,6,0),"")</f>
        <v/>
      </c>
      <c r="P47" s="20" t="str">
        <f>IFERROR(VLOOKUP($A47&amp;"_"&amp;P$5,Database!$A:$F,6,0),"")</f>
        <v/>
      </c>
      <c r="Q47" s="20" t="str">
        <f>IFERROR(VLOOKUP($A47&amp;"_"&amp;Q$5,Database!$A:$F,6,0),"")</f>
        <v/>
      </c>
      <c r="R47" s="20" t="str">
        <f>IFERROR(VLOOKUP($A47&amp;"_"&amp;R$5,Database!$A:$F,6,0),"")</f>
        <v/>
      </c>
      <c r="S47" s="20" t="str">
        <f>IFERROR(VLOOKUP($A47&amp;"_"&amp;S$5,Database!$A:$F,6,0),"")</f>
        <v/>
      </c>
      <c r="T47" s="20" t="str">
        <f>IFERROR(VLOOKUP($A47&amp;"_"&amp;T$5,Database!$A:$F,6,0),"")</f>
        <v/>
      </c>
      <c r="U47" s="20" t="str">
        <f>IFERROR(VLOOKUP($A47&amp;"_"&amp;U$5,Database!$A:$F,6,0),"")</f>
        <v/>
      </c>
      <c r="V47" s="20" t="str">
        <f>IFERROR(VLOOKUP($A47&amp;"_"&amp;V$5,Database!$A:$F,6,0),"")</f>
        <v/>
      </c>
      <c r="W47" s="20" t="str">
        <f>IFERROR(VLOOKUP($A47&amp;"_"&amp;W$5,Database!$A:$F,6,0),"")</f>
        <v/>
      </c>
      <c r="X47" s="20" t="str">
        <f>IFERROR(VLOOKUP($A47&amp;"_"&amp;X$5,Database!$A:$F,6,0),"")</f>
        <v/>
      </c>
      <c r="Y47" s="20" t="str">
        <f>IFERROR(VLOOKUP($A47&amp;"_"&amp;Y$5,Database!$A:$F,6,0),"")</f>
        <v/>
      </c>
      <c r="Z47" s="20" t="str">
        <f>IFERROR(VLOOKUP($A47&amp;"_"&amp;Z$5,Database!$A:$F,6,0),"")</f>
        <v/>
      </c>
      <c r="AA47" s="20" t="str">
        <f>IFERROR(VLOOKUP($A47&amp;"_"&amp;AA$5,Database!$A:$F,6,0),"")</f>
        <v/>
      </c>
      <c r="AB47" s="20" t="str">
        <f>IFERROR(VLOOKUP($A47&amp;"_"&amp;AB$5,Database!$A:$F,6,0),"")</f>
        <v/>
      </c>
      <c r="AC47" s="20" t="str">
        <f>IFERROR(VLOOKUP($A47&amp;"_"&amp;AC$5,Database!$A:$F,6,0),"")</f>
        <v/>
      </c>
      <c r="AD47" s="20" t="str">
        <f>IFERROR(VLOOKUP($A47&amp;"_"&amp;AD$5,Database!$A:$F,6,0),"")</f>
        <v/>
      </c>
      <c r="AE47" s="20" t="str">
        <f>IFERROR(VLOOKUP($A47&amp;"_"&amp;AE$5,Database!$A:$F,6,0),"")</f>
        <v/>
      </c>
      <c r="AF47" s="20" t="str">
        <f>IFERROR(VLOOKUP($A47&amp;"_"&amp;AF$5,Database!$A:$F,6,0),"")</f>
        <v/>
      </c>
      <c r="AG47" s="20" t="str">
        <f>IFERROR(VLOOKUP($A47&amp;"_"&amp;AG$5,Database!$A:$F,6,0),"")</f>
        <v/>
      </c>
      <c r="AH47" s="20" t="str">
        <f>IFERROR(VLOOKUP($A47&amp;"_"&amp;AH$5,Database!$A:$F,6,0),"")</f>
        <v/>
      </c>
      <c r="AI47" s="20" t="str">
        <f>IFERROR(VLOOKUP($A47&amp;"_"&amp;AI$5,Database!$A:$F,6,0),"")</f>
        <v/>
      </c>
      <c r="AJ47" s="20" t="str">
        <f>IFERROR(VLOOKUP($A47&amp;"_"&amp;AJ$5,Database!$A:$F,6,0),"")</f>
        <v/>
      </c>
      <c r="AK47" s="20" t="str">
        <f>IFERROR(VLOOKUP($A47&amp;"_"&amp;AK$5,Database!$A:$F,6,0),"")</f>
        <v/>
      </c>
    </row>
    <row r="48" spans="1:37" x14ac:dyDescent="0.2">
      <c r="A48" s="17" t="str">
        <f>IF('Employee Master'!A44="","",'Employee Master'!A44)</f>
        <v/>
      </c>
      <c r="B48" s="18" t="str">
        <f>IF('Employee Master'!B44="","",'Employee Master'!B44)</f>
        <v/>
      </c>
      <c r="C48" s="18" t="str">
        <f>IF('Employee Master'!C44="","",'Employee Master'!C44)</f>
        <v/>
      </c>
      <c r="D48" s="19">
        <f t="shared" si="7"/>
        <v>0</v>
      </c>
      <c r="E48" s="19">
        <f t="shared" si="8"/>
        <v>0</v>
      </c>
      <c r="F48" s="19">
        <f t="shared" si="9"/>
        <v>0</v>
      </c>
      <c r="G48" s="20" t="str">
        <f>IFERROR(VLOOKUP($A48&amp;"_"&amp;G$5,Database!$A:$F,6,0),"")</f>
        <v/>
      </c>
      <c r="H48" s="20" t="str">
        <f>IFERROR(VLOOKUP($A48&amp;"_"&amp;H$5,Database!$A:$F,6,0),"")</f>
        <v/>
      </c>
      <c r="I48" s="20" t="str">
        <f>IFERROR(VLOOKUP($A48&amp;"_"&amp;I$5,Database!$A:$F,6,0),"")</f>
        <v/>
      </c>
      <c r="J48" s="20" t="str">
        <f>IFERROR(VLOOKUP($A48&amp;"_"&amp;J$5,Database!$A:$F,6,0),"")</f>
        <v/>
      </c>
      <c r="K48" s="20" t="str">
        <f>IFERROR(VLOOKUP($A48&amp;"_"&amp;K$5,Database!$A:$F,6,0),"")</f>
        <v/>
      </c>
      <c r="L48" s="20" t="str">
        <f>IFERROR(VLOOKUP($A48&amp;"_"&amp;L$5,Database!$A:$F,6,0),"")</f>
        <v/>
      </c>
      <c r="M48" s="20" t="str">
        <f>IFERROR(VLOOKUP($A48&amp;"_"&amp;M$5,Database!$A:$F,6,0),"")</f>
        <v/>
      </c>
      <c r="N48" s="20" t="str">
        <f>IFERROR(VLOOKUP($A48&amp;"_"&amp;N$5,Database!$A:$F,6,0),"")</f>
        <v/>
      </c>
      <c r="O48" s="20" t="str">
        <f>IFERROR(VLOOKUP($A48&amp;"_"&amp;O$5,Database!$A:$F,6,0),"")</f>
        <v/>
      </c>
      <c r="P48" s="20" t="str">
        <f>IFERROR(VLOOKUP($A48&amp;"_"&amp;P$5,Database!$A:$F,6,0),"")</f>
        <v/>
      </c>
      <c r="Q48" s="20" t="str">
        <f>IFERROR(VLOOKUP($A48&amp;"_"&amp;Q$5,Database!$A:$F,6,0),"")</f>
        <v/>
      </c>
      <c r="R48" s="20" t="str">
        <f>IFERROR(VLOOKUP($A48&amp;"_"&amp;R$5,Database!$A:$F,6,0),"")</f>
        <v/>
      </c>
      <c r="S48" s="20" t="str">
        <f>IFERROR(VLOOKUP($A48&amp;"_"&amp;S$5,Database!$A:$F,6,0),"")</f>
        <v/>
      </c>
      <c r="T48" s="20" t="str">
        <f>IFERROR(VLOOKUP($A48&amp;"_"&amp;T$5,Database!$A:$F,6,0),"")</f>
        <v/>
      </c>
      <c r="U48" s="20" t="str">
        <f>IFERROR(VLOOKUP($A48&amp;"_"&amp;U$5,Database!$A:$F,6,0),"")</f>
        <v/>
      </c>
      <c r="V48" s="20" t="str">
        <f>IFERROR(VLOOKUP($A48&amp;"_"&amp;V$5,Database!$A:$F,6,0),"")</f>
        <v/>
      </c>
      <c r="W48" s="20" t="str">
        <f>IFERROR(VLOOKUP($A48&amp;"_"&amp;W$5,Database!$A:$F,6,0),"")</f>
        <v/>
      </c>
      <c r="X48" s="20" t="str">
        <f>IFERROR(VLOOKUP($A48&amp;"_"&amp;X$5,Database!$A:$F,6,0),"")</f>
        <v/>
      </c>
      <c r="Y48" s="20" t="str">
        <f>IFERROR(VLOOKUP($A48&amp;"_"&amp;Y$5,Database!$A:$F,6,0),"")</f>
        <v/>
      </c>
      <c r="Z48" s="20" t="str">
        <f>IFERROR(VLOOKUP($A48&amp;"_"&amp;Z$5,Database!$A:$F,6,0),"")</f>
        <v/>
      </c>
      <c r="AA48" s="20" t="str">
        <f>IFERROR(VLOOKUP($A48&amp;"_"&amp;AA$5,Database!$A:$F,6,0),"")</f>
        <v/>
      </c>
      <c r="AB48" s="20" t="str">
        <f>IFERROR(VLOOKUP($A48&amp;"_"&amp;AB$5,Database!$A:$F,6,0),"")</f>
        <v/>
      </c>
      <c r="AC48" s="20" t="str">
        <f>IFERROR(VLOOKUP($A48&amp;"_"&amp;AC$5,Database!$A:$F,6,0),"")</f>
        <v/>
      </c>
      <c r="AD48" s="20" t="str">
        <f>IFERROR(VLOOKUP($A48&amp;"_"&amp;AD$5,Database!$A:$F,6,0),"")</f>
        <v/>
      </c>
      <c r="AE48" s="20" t="str">
        <f>IFERROR(VLOOKUP($A48&amp;"_"&amp;AE$5,Database!$A:$F,6,0),"")</f>
        <v/>
      </c>
      <c r="AF48" s="20" t="str">
        <f>IFERROR(VLOOKUP($A48&amp;"_"&amp;AF$5,Database!$A:$F,6,0),"")</f>
        <v/>
      </c>
      <c r="AG48" s="20" t="str">
        <f>IFERROR(VLOOKUP($A48&amp;"_"&amp;AG$5,Database!$A:$F,6,0),"")</f>
        <v/>
      </c>
      <c r="AH48" s="20" t="str">
        <f>IFERROR(VLOOKUP($A48&amp;"_"&amp;AH$5,Database!$A:$F,6,0),"")</f>
        <v/>
      </c>
      <c r="AI48" s="20" t="str">
        <f>IFERROR(VLOOKUP($A48&amp;"_"&amp;AI$5,Database!$A:$F,6,0),"")</f>
        <v/>
      </c>
      <c r="AJ48" s="20" t="str">
        <f>IFERROR(VLOOKUP($A48&amp;"_"&amp;AJ$5,Database!$A:$F,6,0),"")</f>
        <v/>
      </c>
      <c r="AK48" s="20" t="str">
        <f>IFERROR(VLOOKUP($A48&amp;"_"&amp;AK$5,Database!$A:$F,6,0),"")</f>
        <v/>
      </c>
    </row>
    <row r="49" spans="1:37" x14ac:dyDescent="0.2">
      <c r="A49" s="17" t="str">
        <f>IF('Employee Master'!A45="","",'Employee Master'!A45)</f>
        <v/>
      </c>
      <c r="B49" s="18" t="str">
        <f>IF('Employee Master'!B45="","",'Employee Master'!B45)</f>
        <v/>
      </c>
      <c r="C49" s="18" t="str">
        <f>IF('Employee Master'!C45="","",'Employee Master'!C45)</f>
        <v/>
      </c>
      <c r="D49" s="19">
        <f t="shared" si="7"/>
        <v>0</v>
      </c>
      <c r="E49" s="19">
        <f t="shared" si="8"/>
        <v>0</v>
      </c>
      <c r="F49" s="19">
        <f t="shared" si="9"/>
        <v>0</v>
      </c>
      <c r="G49" s="20" t="str">
        <f>IFERROR(VLOOKUP($A49&amp;"_"&amp;G$5,Database!$A:$F,6,0),"")</f>
        <v/>
      </c>
      <c r="H49" s="20" t="str">
        <f>IFERROR(VLOOKUP($A49&amp;"_"&amp;H$5,Database!$A:$F,6,0),"")</f>
        <v/>
      </c>
      <c r="I49" s="20" t="str">
        <f>IFERROR(VLOOKUP($A49&amp;"_"&amp;I$5,Database!$A:$F,6,0),"")</f>
        <v/>
      </c>
      <c r="J49" s="20" t="str">
        <f>IFERROR(VLOOKUP($A49&amp;"_"&amp;J$5,Database!$A:$F,6,0),"")</f>
        <v/>
      </c>
      <c r="K49" s="20" t="str">
        <f>IFERROR(VLOOKUP($A49&amp;"_"&amp;K$5,Database!$A:$F,6,0),"")</f>
        <v/>
      </c>
      <c r="L49" s="20" t="str">
        <f>IFERROR(VLOOKUP($A49&amp;"_"&amp;L$5,Database!$A:$F,6,0),"")</f>
        <v/>
      </c>
      <c r="M49" s="20" t="str">
        <f>IFERROR(VLOOKUP($A49&amp;"_"&amp;M$5,Database!$A:$F,6,0),"")</f>
        <v/>
      </c>
      <c r="N49" s="20" t="str">
        <f>IFERROR(VLOOKUP($A49&amp;"_"&amp;N$5,Database!$A:$F,6,0),"")</f>
        <v/>
      </c>
      <c r="O49" s="20" t="str">
        <f>IFERROR(VLOOKUP($A49&amp;"_"&amp;O$5,Database!$A:$F,6,0),"")</f>
        <v/>
      </c>
      <c r="P49" s="20" t="str">
        <f>IFERROR(VLOOKUP($A49&amp;"_"&amp;P$5,Database!$A:$F,6,0),"")</f>
        <v/>
      </c>
      <c r="Q49" s="20" t="str">
        <f>IFERROR(VLOOKUP($A49&amp;"_"&amp;Q$5,Database!$A:$F,6,0),"")</f>
        <v/>
      </c>
      <c r="R49" s="20" t="str">
        <f>IFERROR(VLOOKUP($A49&amp;"_"&amp;R$5,Database!$A:$F,6,0),"")</f>
        <v/>
      </c>
      <c r="S49" s="20" t="str">
        <f>IFERROR(VLOOKUP($A49&amp;"_"&amp;S$5,Database!$A:$F,6,0),"")</f>
        <v/>
      </c>
      <c r="T49" s="20" t="str">
        <f>IFERROR(VLOOKUP($A49&amp;"_"&amp;T$5,Database!$A:$F,6,0),"")</f>
        <v/>
      </c>
      <c r="U49" s="20" t="str">
        <f>IFERROR(VLOOKUP($A49&amp;"_"&amp;U$5,Database!$A:$F,6,0),"")</f>
        <v/>
      </c>
      <c r="V49" s="20" t="str">
        <f>IFERROR(VLOOKUP($A49&amp;"_"&amp;V$5,Database!$A:$F,6,0),"")</f>
        <v/>
      </c>
      <c r="W49" s="20" t="str">
        <f>IFERROR(VLOOKUP($A49&amp;"_"&amp;W$5,Database!$A:$F,6,0),"")</f>
        <v/>
      </c>
      <c r="X49" s="20" t="str">
        <f>IFERROR(VLOOKUP($A49&amp;"_"&amp;X$5,Database!$A:$F,6,0),"")</f>
        <v/>
      </c>
      <c r="Y49" s="20" t="str">
        <f>IFERROR(VLOOKUP($A49&amp;"_"&amp;Y$5,Database!$A:$F,6,0),"")</f>
        <v/>
      </c>
      <c r="Z49" s="20" t="str">
        <f>IFERROR(VLOOKUP($A49&amp;"_"&amp;Z$5,Database!$A:$F,6,0),"")</f>
        <v/>
      </c>
      <c r="AA49" s="20" t="str">
        <f>IFERROR(VLOOKUP($A49&amp;"_"&amp;AA$5,Database!$A:$F,6,0),"")</f>
        <v/>
      </c>
      <c r="AB49" s="20" t="str">
        <f>IFERROR(VLOOKUP($A49&amp;"_"&amp;AB$5,Database!$A:$F,6,0),"")</f>
        <v/>
      </c>
      <c r="AC49" s="20" t="str">
        <f>IFERROR(VLOOKUP($A49&amp;"_"&amp;AC$5,Database!$A:$F,6,0),"")</f>
        <v/>
      </c>
      <c r="AD49" s="20" t="str">
        <f>IFERROR(VLOOKUP($A49&amp;"_"&amp;AD$5,Database!$A:$F,6,0),"")</f>
        <v/>
      </c>
      <c r="AE49" s="20" t="str">
        <f>IFERROR(VLOOKUP($A49&amp;"_"&amp;AE$5,Database!$A:$F,6,0),"")</f>
        <v/>
      </c>
      <c r="AF49" s="20" t="str">
        <f>IFERROR(VLOOKUP($A49&amp;"_"&amp;AF$5,Database!$A:$F,6,0),"")</f>
        <v/>
      </c>
      <c r="AG49" s="20" t="str">
        <f>IFERROR(VLOOKUP($A49&amp;"_"&amp;AG$5,Database!$A:$F,6,0),"")</f>
        <v/>
      </c>
      <c r="AH49" s="20" t="str">
        <f>IFERROR(VLOOKUP($A49&amp;"_"&amp;AH$5,Database!$A:$F,6,0),"")</f>
        <v/>
      </c>
      <c r="AI49" s="20" t="str">
        <f>IFERROR(VLOOKUP($A49&amp;"_"&amp;AI$5,Database!$A:$F,6,0),"")</f>
        <v/>
      </c>
      <c r="AJ49" s="20" t="str">
        <f>IFERROR(VLOOKUP($A49&amp;"_"&amp;AJ$5,Database!$A:$F,6,0),"")</f>
        <v/>
      </c>
      <c r="AK49" s="20" t="str">
        <f>IFERROR(VLOOKUP($A49&amp;"_"&amp;AK$5,Database!$A:$F,6,0),"")</f>
        <v/>
      </c>
    </row>
    <row r="50" spans="1:37" x14ac:dyDescent="0.2">
      <c r="A50" s="17" t="str">
        <f>IF('Employee Master'!A46="","",'Employee Master'!A46)</f>
        <v/>
      </c>
      <c r="B50" s="18" t="str">
        <f>IF('Employee Master'!B46="","",'Employee Master'!B46)</f>
        <v/>
      </c>
      <c r="C50" s="18" t="str">
        <f>IF('Employee Master'!C46="","",'Employee Master'!C46)</f>
        <v/>
      </c>
      <c r="D50" s="19">
        <f t="shared" si="7"/>
        <v>0</v>
      </c>
      <c r="E50" s="19">
        <f t="shared" si="8"/>
        <v>0</v>
      </c>
      <c r="F50" s="19">
        <f t="shared" si="9"/>
        <v>0</v>
      </c>
      <c r="G50" s="20" t="str">
        <f>IFERROR(VLOOKUP($A50&amp;"_"&amp;G$5,Database!$A:$F,6,0),"")</f>
        <v/>
      </c>
      <c r="H50" s="20" t="str">
        <f>IFERROR(VLOOKUP($A50&amp;"_"&amp;H$5,Database!$A:$F,6,0),"")</f>
        <v/>
      </c>
      <c r="I50" s="20" t="str">
        <f>IFERROR(VLOOKUP($A50&amp;"_"&amp;I$5,Database!$A:$F,6,0),"")</f>
        <v/>
      </c>
      <c r="J50" s="20" t="str">
        <f>IFERROR(VLOOKUP($A50&amp;"_"&amp;J$5,Database!$A:$F,6,0),"")</f>
        <v/>
      </c>
      <c r="K50" s="20" t="str">
        <f>IFERROR(VLOOKUP($A50&amp;"_"&amp;K$5,Database!$A:$F,6,0),"")</f>
        <v/>
      </c>
      <c r="L50" s="20" t="str">
        <f>IFERROR(VLOOKUP($A50&amp;"_"&amp;L$5,Database!$A:$F,6,0),"")</f>
        <v/>
      </c>
      <c r="M50" s="20" t="str">
        <f>IFERROR(VLOOKUP($A50&amp;"_"&amp;M$5,Database!$A:$F,6,0),"")</f>
        <v/>
      </c>
      <c r="N50" s="20" t="str">
        <f>IFERROR(VLOOKUP($A50&amp;"_"&amp;N$5,Database!$A:$F,6,0),"")</f>
        <v/>
      </c>
      <c r="O50" s="20" t="str">
        <f>IFERROR(VLOOKUP($A50&amp;"_"&amp;O$5,Database!$A:$F,6,0),"")</f>
        <v/>
      </c>
      <c r="P50" s="20" t="str">
        <f>IFERROR(VLOOKUP($A50&amp;"_"&amp;P$5,Database!$A:$F,6,0),"")</f>
        <v/>
      </c>
      <c r="Q50" s="20" t="str">
        <f>IFERROR(VLOOKUP($A50&amp;"_"&amp;Q$5,Database!$A:$F,6,0),"")</f>
        <v/>
      </c>
      <c r="R50" s="20" t="str">
        <f>IFERROR(VLOOKUP($A50&amp;"_"&amp;R$5,Database!$A:$F,6,0),"")</f>
        <v/>
      </c>
      <c r="S50" s="20" t="str">
        <f>IFERROR(VLOOKUP($A50&amp;"_"&amp;S$5,Database!$A:$F,6,0),"")</f>
        <v/>
      </c>
      <c r="T50" s="20" t="str">
        <f>IFERROR(VLOOKUP($A50&amp;"_"&amp;T$5,Database!$A:$F,6,0),"")</f>
        <v/>
      </c>
      <c r="U50" s="20" t="str">
        <f>IFERROR(VLOOKUP($A50&amp;"_"&amp;U$5,Database!$A:$F,6,0),"")</f>
        <v/>
      </c>
      <c r="V50" s="20" t="str">
        <f>IFERROR(VLOOKUP($A50&amp;"_"&amp;V$5,Database!$A:$F,6,0),"")</f>
        <v/>
      </c>
      <c r="W50" s="20" t="str">
        <f>IFERROR(VLOOKUP($A50&amp;"_"&amp;W$5,Database!$A:$F,6,0),"")</f>
        <v/>
      </c>
      <c r="X50" s="20" t="str">
        <f>IFERROR(VLOOKUP($A50&amp;"_"&amp;X$5,Database!$A:$F,6,0),"")</f>
        <v/>
      </c>
      <c r="Y50" s="20" t="str">
        <f>IFERROR(VLOOKUP($A50&amp;"_"&amp;Y$5,Database!$A:$F,6,0),"")</f>
        <v/>
      </c>
      <c r="Z50" s="20" t="str">
        <f>IFERROR(VLOOKUP($A50&amp;"_"&amp;Z$5,Database!$A:$F,6,0),"")</f>
        <v/>
      </c>
      <c r="AA50" s="20" t="str">
        <f>IFERROR(VLOOKUP($A50&amp;"_"&amp;AA$5,Database!$A:$F,6,0),"")</f>
        <v/>
      </c>
      <c r="AB50" s="20" t="str">
        <f>IFERROR(VLOOKUP($A50&amp;"_"&amp;AB$5,Database!$A:$F,6,0),"")</f>
        <v/>
      </c>
      <c r="AC50" s="20" t="str">
        <f>IFERROR(VLOOKUP($A50&amp;"_"&amp;AC$5,Database!$A:$F,6,0),"")</f>
        <v/>
      </c>
      <c r="AD50" s="20" t="str">
        <f>IFERROR(VLOOKUP($A50&amp;"_"&amp;AD$5,Database!$A:$F,6,0),"")</f>
        <v/>
      </c>
      <c r="AE50" s="20" t="str">
        <f>IFERROR(VLOOKUP($A50&amp;"_"&amp;AE$5,Database!$A:$F,6,0),"")</f>
        <v/>
      </c>
      <c r="AF50" s="20" t="str">
        <f>IFERROR(VLOOKUP($A50&amp;"_"&amp;AF$5,Database!$A:$F,6,0),"")</f>
        <v/>
      </c>
      <c r="AG50" s="20" t="str">
        <f>IFERROR(VLOOKUP($A50&amp;"_"&amp;AG$5,Database!$A:$F,6,0),"")</f>
        <v/>
      </c>
      <c r="AH50" s="20" t="str">
        <f>IFERROR(VLOOKUP($A50&amp;"_"&amp;AH$5,Database!$A:$F,6,0),"")</f>
        <v/>
      </c>
      <c r="AI50" s="20" t="str">
        <f>IFERROR(VLOOKUP($A50&amp;"_"&amp;AI$5,Database!$A:$F,6,0),"")</f>
        <v/>
      </c>
      <c r="AJ50" s="20" t="str">
        <f>IFERROR(VLOOKUP($A50&amp;"_"&amp;AJ$5,Database!$A:$F,6,0),"")</f>
        <v/>
      </c>
      <c r="AK50" s="20" t="str">
        <f>IFERROR(VLOOKUP($A50&amp;"_"&amp;AK$5,Database!$A:$F,6,0),"")</f>
        <v/>
      </c>
    </row>
    <row r="51" spans="1:37" x14ac:dyDescent="0.2">
      <c r="A51" s="17" t="str">
        <f>IF('Employee Master'!A47="","",'Employee Master'!A47)</f>
        <v/>
      </c>
      <c r="B51" s="18" t="str">
        <f>IF('Employee Master'!B47="","",'Employee Master'!B47)</f>
        <v/>
      </c>
      <c r="C51" s="18" t="str">
        <f>IF('Employee Master'!C47="","",'Employee Master'!C47)</f>
        <v/>
      </c>
      <c r="D51" s="19">
        <f t="shared" si="7"/>
        <v>0</v>
      </c>
      <c r="E51" s="19">
        <f t="shared" si="8"/>
        <v>0</v>
      </c>
      <c r="F51" s="19">
        <f t="shared" si="9"/>
        <v>0</v>
      </c>
      <c r="G51" s="20" t="str">
        <f>IFERROR(VLOOKUP($A51&amp;"_"&amp;G$5,Database!$A:$F,6,0),"")</f>
        <v/>
      </c>
      <c r="H51" s="20" t="str">
        <f>IFERROR(VLOOKUP($A51&amp;"_"&amp;H$5,Database!$A:$F,6,0),"")</f>
        <v/>
      </c>
      <c r="I51" s="20" t="str">
        <f>IFERROR(VLOOKUP($A51&amp;"_"&amp;I$5,Database!$A:$F,6,0),"")</f>
        <v/>
      </c>
      <c r="J51" s="20" t="str">
        <f>IFERROR(VLOOKUP($A51&amp;"_"&amp;J$5,Database!$A:$F,6,0),"")</f>
        <v/>
      </c>
      <c r="K51" s="20" t="str">
        <f>IFERROR(VLOOKUP($A51&amp;"_"&amp;K$5,Database!$A:$F,6,0),"")</f>
        <v/>
      </c>
      <c r="L51" s="20" t="str">
        <f>IFERROR(VLOOKUP($A51&amp;"_"&amp;L$5,Database!$A:$F,6,0),"")</f>
        <v/>
      </c>
      <c r="M51" s="20" t="str">
        <f>IFERROR(VLOOKUP($A51&amp;"_"&amp;M$5,Database!$A:$F,6,0),"")</f>
        <v/>
      </c>
      <c r="N51" s="20" t="str">
        <f>IFERROR(VLOOKUP($A51&amp;"_"&amp;N$5,Database!$A:$F,6,0),"")</f>
        <v/>
      </c>
      <c r="O51" s="20" t="str">
        <f>IFERROR(VLOOKUP($A51&amp;"_"&amp;O$5,Database!$A:$F,6,0),"")</f>
        <v/>
      </c>
      <c r="P51" s="20" t="str">
        <f>IFERROR(VLOOKUP($A51&amp;"_"&amp;P$5,Database!$A:$F,6,0),"")</f>
        <v/>
      </c>
      <c r="Q51" s="20" t="str">
        <f>IFERROR(VLOOKUP($A51&amp;"_"&amp;Q$5,Database!$A:$F,6,0),"")</f>
        <v/>
      </c>
      <c r="R51" s="20" t="str">
        <f>IFERROR(VLOOKUP($A51&amp;"_"&amp;R$5,Database!$A:$F,6,0),"")</f>
        <v/>
      </c>
      <c r="S51" s="20" t="str">
        <f>IFERROR(VLOOKUP($A51&amp;"_"&amp;S$5,Database!$A:$F,6,0),"")</f>
        <v/>
      </c>
      <c r="T51" s="20" t="str">
        <f>IFERROR(VLOOKUP($A51&amp;"_"&amp;T$5,Database!$A:$F,6,0),"")</f>
        <v/>
      </c>
      <c r="U51" s="20" t="str">
        <f>IFERROR(VLOOKUP($A51&amp;"_"&amp;U$5,Database!$A:$F,6,0),"")</f>
        <v/>
      </c>
      <c r="V51" s="20" t="str">
        <f>IFERROR(VLOOKUP($A51&amp;"_"&amp;V$5,Database!$A:$F,6,0),"")</f>
        <v/>
      </c>
      <c r="W51" s="20" t="str">
        <f>IFERROR(VLOOKUP($A51&amp;"_"&amp;W$5,Database!$A:$F,6,0),"")</f>
        <v/>
      </c>
      <c r="X51" s="20" t="str">
        <f>IFERROR(VLOOKUP($A51&amp;"_"&amp;X$5,Database!$A:$F,6,0),"")</f>
        <v/>
      </c>
      <c r="Y51" s="20" t="str">
        <f>IFERROR(VLOOKUP($A51&amp;"_"&amp;Y$5,Database!$A:$F,6,0),"")</f>
        <v/>
      </c>
      <c r="Z51" s="20" t="str">
        <f>IFERROR(VLOOKUP($A51&amp;"_"&amp;Z$5,Database!$A:$F,6,0),"")</f>
        <v/>
      </c>
      <c r="AA51" s="20" t="str">
        <f>IFERROR(VLOOKUP($A51&amp;"_"&amp;AA$5,Database!$A:$F,6,0),"")</f>
        <v/>
      </c>
      <c r="AB51" s="20" t="str">
        <f>IFERROR(VLOOKUP($A51&amp;"_"&amp;AB$5,Database!$A:$F,6,0),"")</f>
        <v/>
      </c>
      <c r="AC51" s="20" t="str">
        <f>IFERROR(VLOOKUP($A51&amp;"_"&amp;AC$5,Database!$A:$F,6,0),"")</f>
        <v/>
      </c>
      <c r="AD51" s="20" t="str">
        <f>IFERROR(VLOOKUP($A51&amp;"_"&amp;AD$5,Database!$A:$F,6,0),"")</f>
        <v/>
      </c>
      <c r="AE51" s="20" t="str">
        <f>IFERROR(VLOOKUP($A51&amp;"_"&amp;AE$5,Database!$A:$F,6,0),"")</f>
        <v/>
      </c>
      <c r="AF51" s="20" t="str">
        <f>IFERROR(VLOOKUP($A51&amp;"_"&amp;AF$5,Database!$A:$F,6,0),"")</f>
        <v/>
      </c>
      <c r="AG51" s="20" t="str">
        <f>IFERROR(VLOOKUP($A51&amp;"_"&amp;AG$5,Database!$A:$F,6,0),"")</f>
        <v/>
      </c>
      <c r="AH51" s="20" t="str">
        <f>IFERROR(VLOOKUP($A51&amp;"_"&amp;AH$5,Database!$A:$F,6,0),"")</f>
        <v/>
      </c>
      <c r="AI51" s="20" t="str">
        <f>IFERROR(VLOOKUP($A51&amp;"_"&amp;AI$5,Database!$A:$F,6,0),"")</f>
        <v/>
      </c>
      <c r="AJ51" s="20" t="str">
        <f>IFERROR(VLOOKUP($A51&amp;"_"&amp;AJ$5,Database!$A:$F,6,0),"")</f>
        <v/>
      </c>
      <c r="AK51" s="20" t="str">
        <f>IFERROR(VLOOKUP($A51&amp;"_"&amp;AK$5,Database!$A:$F,6,0),"")</f>
        <v/>
      </c>
    </row>
    <row r="52" spans="1:37" x14ac:dyDescent="0.2">
      <c r="A52" s="17" t="str">
        <f>IF('Employee Master'!A48="","",'Employee Master'!A48)</f>
        <v/>
      </c>
      <c r="B52" s="18" t="str">
        <f>IF('Employee Master'!B48="","",'Employee Master'!B48)</f>
        <v/>
      </c>
      <c r="C52" s="18" t="str">
        <f>IF('Employee Master'!C48="","",'Employee Master'!C48)</f>
        <v/>
      </c>
      <c r="D52" s="19">
        <f t="shared" si="7"/>
        <v>0</v>
      </c>
      <c r="E52" s="19">
        <f t="shared" si="8"/>
        <v>0</v>
      </c>
      <c r="F52" s="19">
        <f t="shared" si="9"/>
        <v>0</v>
      </c>
      <c r="G52" s="20" t="str">
        <f>IFERROR(VLOOKUP($A52&amp;"_"&amp;G$5,Database!$A:$F,6,0),"")</f>
        <v/>
      </c>
      <c r="H52" s="20" t="str">
        <f>IFERROR(VLOOKUP($A52&amp;"_"&amp;H$5,Database!$A:$F,6,0),"")</f>
        <v/>
      </c>
      <c r="I52" s="20" t="str">
        <f>IFERROR(VLOOKUP($A52&amp;"_"&amp;I$5,Database!$A:$F,6,0),"")</f>
        <v/>
      </c>
      <c r="J52" s="20" t="str">
        <f>IFERROR(VLOOKUP($A52&amp;"_"&amp;J$5,Database!$A:$F,6,0),"")</f>
        <v/>
      </c>
      <c r="K52" s="20" t="str">
        <f>IFERROR(VLOOKUP($A52&amp;"_"&amp;K$5,Database!$A:$F,6,0),"")</f>
        <v/>
      </c>
      <c r="L52" s="20" t="str">
        <f>IFERROR(VLOOKUP($A52&amp;"_"&amp;L$5,Database!$A:$F,6,0),"")</f>
        <v/>
      </c>
      <c r="M52" s="20" t="str">
        <f>IFERROR(VLOOKUP($A52&amp;"_"&amp;M$5,Database!$A:$F,6,0),"")</f>
        <v/>
      </c>
      <c r="N52" s="20" t="str">
        <f>IFERROR(VLOOKUP($A52&amp;"_"&amp;N$5,Database!$A:$F,6,0),"")</f>
        <v/>
      </c>
      <c r="O52" s="20" t="str">
        <f>IFERROR(VLOOKUP($A52&amp;"_"&amp;O$5,Database!$A:$F,6,0),"")</f>
        <v/>
      </c>
      <c r="P52" s="20" t="str">
        <f>IFERROR(VLOOKUP($A52&amp;"_"&amp;P$5,Database!$A:$F,6,0),"")</f>
        <v/>
      </c>
      <c r="Q52" s="20" t="str">
        <f>IFERROR(VLOOKUP($A52&amp;"_"&amp;Q$5,Database!$A:$F,6,0),"")</f>
        <v/>
      </c>
      <c r="R52" s="20" t="str">
        <f>IFERROR(VLOOKUP($A52&amp;"_"&amp;R$5,Database!$A:$F,6,0),"")</f>
        <v/>
      </c>
      <c r="S52" s="20" t="str">
        <f>IFERROR(VLOOKUP($A52&amp;"_"&amp;S$5,Database!$A:$F,6,0),"")</f>
        <v/>
      </c>
      <c r="T52" s="20" t="str">
        <f>IFERROR(VLOOKUP($A52&amp;"_"&amp;T$5,Database!$A:$F,6,0),"")</f>
        <v/>
      </c>
      <c r="U52" s="20" t="str">
        <f>IFERROR(VLOOKUP($A52&amp;"_"&amp;U$5,Database!$A:$F,6,0),"")</f>
        <v/>
      </c>
      <c r="V52" s="20" t="str">
        <f>IFERROR(VLOOKUP($A52&amp;"_"&amp;V$5,Database!$A:$F,6,0),"")</f>
        <v/>
      </c>
      <c r="W52" s="20" t="str">
        <f>IFERROR(VLOOKUP($A52&amp;"_"&amp;W$5,Database!$A:$F,6,0),"")</f>
        <v/>
      </c>
      <c r="X52" s="20" t="str">
        <f>IFERROR(VLOOKUP($A52&amp;"_"&amp;X$5,Database!$A:$F,6,0),"")</f>
        <v/>
      </c>
      <c r="Y52" s="20" t="str">
        <f>IFERROR(VLOOKUP($A52&amp;"_"&amp;Y$5,Database!$A:$F,6,0),"")</f>
        <v/>
      </c>
      <c r="Z52" s="20" t="str">
        <f>IFERROR(VLOOKUP($A52&amp;"_"&amp;Z$5,Database!$A:$F,6,0),"")</f>
        <v/>
      </c>
      <c r="AA52" s="20" t="str">
        <f>IFERROR(VLOOKUP($A52&amp;"_"&amp;AA$5,Database!$A:$F,6,0),"")</f>
        <v/>
      </c>
      <c r="AB52" s="20" t="str">
        <f>IFERROR(VLOOKUP($A52&amp;"_"&amp;AB$5,Database!$A:$F,6,0),"")</f>
        <v/>
      </c>
      <c r="AC52" s="20" t="str">
        <f>IFERROR(VLOOKUP($A52&amp;"_"&amp;AC$5,Database!$A:$F,6,0),"")</f>
        <v/>
      </c>
      <c r="AD52" s="20" t="str">
        <f>IFERROR(VLOOKUP($A52&amp;"_"&amp;AD$5,Database!$A:$F,6,0),"")</f>
        <v/>
      </c>
      <c r="AE52" s="20" t="str">
        <f>IFERROR(VLOOKUP($A52&amp;"_"&amp;AE$5,Database!$A:$F,6,0),"")</f>
        <v/>
      </c>
      <c r="AF52" s="20" t="str">
        <f>IFERROR(VLOOKUP($A52&amp;"_"&amp;AF$5,Database!$A:$F,6,0),"")</f>
        <v/>
      </c>
      <c r="AG52" s="20" t="str">
        <f>IFERROR(VLOOKUP($A52&amp;"_"&amp;AG$5,Database!$A:$F,6,0),"")</f>
        <v/>
      </c>
      <c r="AH52" s="20" t="str">
        <f>IFERROR(VLOOKUP($A52&amp;"_"&amp;AH$5,Database!$A:$F,6,0),"")</f>
        <v/>
      </c>
      <c r="AI52" s="20" t="str">
        <f>IFERROR(VLOOKUP($A52&amp;"_"&amp;AI$5,Database!$A:$F,6,0),"")</f>
        <v/>
      </c>
      <c r="AJ52" s="20" t="str">
        <f>IFERROR(VLOOKUP($A52&amp;"_"&amp;AJ$5,Database!$A:$F,6,0),"")</f>
        <v/>
      </c>
      <c r="AK52" s="20" t="str">
        <f>IFERROR(VLOOKUP($A52&amp;"_"&amp;AK$5,Database!$A:$F,6,0),"")</f>
        <v/>
      </c>
    </row>
    <row r="53" spans="1:37" x14ac:dyDescent="0.2">
      <c r="A53" s="17" t="str">
        <f>IF('Employee Master'!A49="","",'Employee Master'!A49)</f>
        <v/>
      </c>
      <c r="B53" s="18" t="str">
        <f>IF('Employee Master'!B49="","",'Employee Master'!B49)</f>
        <v/>
      </c>
      <c r="C53" s="18" t="str">
        <f>IF('Employee Master'!C49="","",'Employee Master'!C49)</f>
        <v/>
      </c>
      <c r="D53" s="19">
        <f t="shared" si="7"/>
        <v>0</v>
      </c>
      <c r="E53" s="19">
        <f t="shared" si="8"/>
        <v>0</v>
      </c>
      <c r="F53" s="19">
        <f t="shared" si="9"/>
        <v>0</v>
      </c>
      <c r="G53" s="20" t="str">
        <f>IFERROR(VLOOKUP($A53&amp;"_"&amp;G$5,Database!$A:$F,6,0),"")</f>
        <v/>
      </c>
      <c r="H53" s="20" t="str">
        <f>IFERROR(VLOOKUP($A53&amp;"_"&amp;H$5,Database!$A:$F,6,0),"")</f>
        <v/>
      </c>
      <c r="I53" s="20" t="str">
        <f>IFERROR(VLOOKUP($A53&amp;"_"&amp;I$5,Database!$A:$F,6,0),"")</f>
        <v/>
      </c>
      <c r="J53" s="20" t="str">
        <f>IFERROR(VLOOKUP($A53&amp;"_"&amp;J$5,Database!$A:$F,6,0),"")</f>
        <v/>
      </c>
      <c r="K53" s="20" t="str">
        <f>IFERROR(VLOOKUP($A53&amp;"_"&amp;K$5,Database!$A:$F,6,0),"")</f>
        <v/>
      </c>
      <c r="L53" s="20" t="str">
        <f>IFERROR(VLOOKUP($A53&amp;"_"&amp;L$5,Database!$A:$F,6,0),"")</f>
        <v/>
      </c>
      <c r="M53" s="20" t="str">
        <f>IFERROR(VLOOKUP($A53&amp;"_"&amp;M$5,Database!$A:$F,6,0),"")</f>
        <v/>
      </c>
      <c r="N53" s="20" t="str">
        <f>IFERROR(VLOOKUP($A53&amp;"_"&amp;N$5,Database!$A:$F,6,0),"")</f>
        <v/>
      </c>
      <c r="O53" s="20" t="str">
        <f>IFERROR(VLOOKUP($A53&amp;"_"&amp;O$5,Database!$A:$F,6,0),"")</f>
        <v/>
      </c>
      <c r="P53" s="20" t="str">
        <f>IFERROR(VLOOKUP($A53&amp;"_"&amp;P$5,Database!$A:$F,6,0),"")</f>
        <v/>
      </c>
      <c r="Q53" s="20" t="str">
        <f>IFERROR(VLOOKUP($A53&amp;"_"&amp;Q$5,Database!$A:$F,6,0),"")</f>
        <v/>
      </c>
      <c r="R53" s="20" t="str">
        <f>IFERROR(VLOOKUP($A53&amp;"_"&amp;R$5,Database!$A:$F,6,0),"")</f>
        <v/>
      </c>
      <c r="S53" s="20" t="str">
        <f>IFERROR(VLOOKUP($A53&amp;"_"&amp;S$5,Database!$A:$F,6,0),"")</f>
        <v/>
      </c>
      <c r="T53" s="20" t="str">
        <f>IFERROR(VLOOKUP($A53&amp;"_"&amp;T$5,Database!$A:$F,6,0),"")</f>
        <v/>
      </c>
      <c r="U53" s="20" t="str">
        <f>IFERROR(VLOOKUP($A53&amp;"_"&amp;U$5,Database!$A:$F,6,0),"")</f>
        <v/>
      </c>
      <c r="V53" s="20" t="str">
        <f>IFERROR(VLOOKUP($A53&amp;"_"&amp;V$5,Database!$A:$F,6,0),"")</f>
        <v/>
      </c>
      <c r="W53" s="20" t="str">
        <f>IFERROR(VLOOKUP($A53&amp;"_"&amp;W$5,Database!$A:$F,6,0),"")</f>
        <v/>
      </c>
      <c r="X53" s="20" t="str">
        <f>IFERROR(VLOOKUP($A53&amp;"_"&amp;X$5,Database!$A:$F,6,0),"")</f>
        <v/>
      </c>
      <c r="Y53" s="20" t="str">
        <f>IFERROR(VLOOKUP($A53&amp;"_"&amp;Y$5,Database!$A:$F,6,0),"")</f>
        <v/>
      </c>
      <c r="Z53" s="20" t="str">
        <f>IFERROR(VLOOKUP($A53&amp;"_"&amp;Z$5,Database!$A:$F,6,0),"")</f>
        <v/>
      </c>
      <c r="AA53" s="20" t="str">
        <f>IFERROR(VLOOKUP($A53&amp;"_"&amp;AA$5,Database!$A:$F,6,0),"")</f>
        <v/>
      </c>
      <c r="AB53" s="20" t="str">
        <f>IFERROR(VLOOKUP($A53&amp;"_"&amp;AB$5,Database!$A:$F,6,0),"")</f>
        <v/>
      </c>
      <c r="AC53" s="20" t="str">
        <f>IFERROR(VLOOKUP($A53&amp;"_"&amp;AC$5,Database!$A:$F,6,0),"")</f>
        <v/>
      </c>
      <c r="AD53" s="20" t="str">
        <f>IFERROR(VLOOKUP($A53&amp;"_"&amp;AD$5,Database!$A:$F,6,0),"")</f>
        <v/>
      </c>
      <c r="AE53" s="20" t="str">
        <f>IFERROR(VLOOKUP($A53&amp;"_"&amp;AE$5,Database!$A:$F,6,0),"")</f>
        <v/>
      </c>
      <c r="AF53" s="20" t="str">
        <f>IFERROR(VLOOKUP($A53&amp;"_"&amp;AF$5,Database!$A:$F,6,0),"")</f>
        <v/>
      </c>
      <c r="AG53" s="20" t="str">
        <f>IFERROR(VLOOKUP($A53&amp;"_"&amp;AG$5,Database!$A:$F,6,0),"")</f>
        <v/>
      </c>
      <c r="AH53" s="20" t="str">
        <f>IFERROR(VLOOKUP($A53&amp;"_"&amp;AH$5,Database!$A:$F,6,0),"")</f>
        <v/>
      </c>
      <c r="AI53" s="20" t="str">
        <f>IFERROR(VLOOKUP($A53&amp;"_"&amp;AI$5,Database!$A:$F,6,0),"")</f>
        <v/>
      </c>
      <c r="AJ53" s="20" t="str">
        <f>IFERROR(VLOOKUP($A53&amp;"_"&amp;AJ$5,Database!$A:$F,6,0),"")</f>
        <v/>
      </c>
      <c r="AK53" s="20" t="str">
        <f>IFERROR(VLOOKUP($A53&amp;"_"&amp;AK$5,Database!$A:$F,6,0),"")</f>
        <v/>
      </c>
    </row>
    <row r="54" spans="1:37" x14ac:dyDescent="0.2">
      <c r="A54" s="17" t="str">
        <f>IF('Employee Master'!A50="","",'Employee Master'!A50)</f>
        <v/>
      </c>
      <c r="B54" s="18" t="str">
        <f>IF('Employee Master'!B50="","",'Employee Master'!B50)</f>
        <v/>
      </c>
      <c r="C54" s="18" t="str">
        <f>IF('Employee Master'!C50="","",'Employee Master'!C50)</f>
        <v/>
      </c>
      <c r="D54" s="19">
        <f t="shared" si="7"/>
        <v>0</v>
      </c>
      <c r="E54" s="19">
        <f t="shared" si="8"/>
        <v>0</v>
      </c>
      <c r="F54" s="19">
        <f t="shared" si="9"/>
        <v>0</v>
      </c>
      <c r="G54" s="20" t="str">
        <f>IFERROR(VLOOKUP($A54&amp;"_"&amp;G$5,Database!$A:$F,6,0),"")</f>
        <v/>
      </c>
      <c r="H54" s="20" t="str">
        <f>IFERROR(VLOOKUP($A54&amp;"_"&amp;H$5,Database!$A:$F,6,0),"")</f>
        <v/>
      </c>
      <c r="I54" s="20" t="str">
        <f>IFERROR(VLOOKUP($A54&amp;"_"&amp;I$5,Database!$A:$F,6,0),"")</f>
        <v/>
      </c>
      <c r="J54" s="20" t="str">
        <f>IFERROR(VLOOKUP($A54&amp;"_"&amp;J$5,Database!$A:$F,6,0),"")</f>
        <v/>
      </c>
      <c r="K54" s="20" t="str">
        <f>IFERROR(VLOOKUP($A54&amp;"_"&amp;K$5,Database!$A:$F,6,0),"")</f>
        <v/>
      </c>
      <c r="L54" s="20" t="str">
        <f>IFERROR(VLOOKUP($A54&amp;"_"&amp;L$5,Database!$A:$F,6,0),"")</f>
        <v/>
      </c>
      <c r="M54" s="20" t="str">
        <f>IFERROR(VLOOKUP($A54&amp;"_"&amp;M$5,Database!$A:$F,6,0),"")</f>
        <v/>
      </c>
      <c r="N54" s="20" t="str">
        <f>IFERROR(VLOOKUP($A54&amp;"_"&amp;N$5,Database!$A:$F,6,0),"")</f>
        <v/>
      </c>
      <c r="O54" s="20" t="str">
        <f>IFERROR(VLOOKUP($A54&amp;"_"&amp;O$5,Database!$A:$F,6,0),"")</f>
        <v/>
      </c>
      <c r="P54" s="20" t="str">
        <f>IFERROR(VLOOKUP($A54&amp;"_"&amp;P$5,Database!$A:$F,6,0),"")</f>
        <v/>
      </c>
      <c r="Q54" s="20" t="str">
        <f>IFERROR(VLOOKUP($A54&amp;"_"&amp;Q$5,Database!$A:$F,6,0),"")</f>
        <v/>
      </c>
      <c r="R54" s="20" t="str">
        <f>IFERROR(VLOOKUP($A54&amp;"_"&amp;R$5,Database!$A:$F,6,0),"")</f>
        <v/>
      </c>
      <c r="S54" s="20" t="str">
        <f>IFERROR(VLOOKUP($A54&amp;"_"&amp;S$5,Database!$A:$F,6,0),"")</f>
        <v/>
      </c>
      <c r="T54" s="20" t="str">
        <f>IFERROR(VLOOKUP($A54&amp;"_"&amp;T$5,Database!$A:$F,6,0),"")</f>
        <v/>
      </c>
      <c r="U54" s="20" t="str">
        <f>IFERROR(VLOOKUP($A54&amp;"_"&amp;U$5,Database!$A:$F,6,0),"")</f>
        <v/>
      </c>
      <c r="V54" s="20" t="str">
        <f>IFERROR(VLOOKUP($A54&amp;"_"&amp;V$5,Database!$A:$F,6,0),"")</f>
        <v/>
      </c>
      <c r="W54" s="20" t="str">
        <f>IFERROR(VLOOKUP($A54&amp;"_"&amp;W$5,Database!$A:$F,6,0),"")</f>
        <v/>
      </c>
      <c r="X54" s="20" t="str">
        <f>IFERROR(VLOOKUP($A54&amp;"_"&amp;X$5,Database!$A:$F,6,0),"")</f>
        <v/>
      </c>
      <c r="Y54" s="20" t="str">
        <f>IFERROR(VLOOKUP($A54&amp;"_"&amp;Y$5,Database!$A:$F,6,0),"")</f>
        <v/>
      </c>
      <c r="Z54" s="20" t="str">
        <f>IFERROR(VLOOKUP($A54&amp;"_"&amp;Z$5,Database!$A:$F,6,0),"")</f>
        <v/>
      </c>
      <c r="AA54" s="20" t="str">
        <f>IFERROR(VLOOKUP($A54&amp;"_"&amp;AA$5,Database!$A:$F,6,0),"")</f>
        <v/>
      </c>
      <c r="AB54" s="20" t="str">
        <f>IFERROR(VLOOKUP($A54&amp;"_"&amp;AB$5,Database!$A:$F,6,0),"")</f>
        <v/>
      </c>
      <c r="AC54" s="20" t="str">
        <f>IFERROR(VLOOKUP($A54&amp;"_"&amp;AC$5,Database!$A:$F,6,0),"")</f>
        <v/>
      </c>
      <c r="AD54" s="20" t="str">
        <f>IFERROR(VLOOKUP($A54&amp;"_"&amp;AD$5,Database!$A:$F,6,0),"")</f>
        <v/>
      </c>
      <c r="AE54" s="20" t="str">
        <f>IFERROR(VLOOKUP($A54&amp;"_"&amp;AE$5,Database!$A:$F,6,0),"")</f>
        <v/>
      </c>
      <c r="AF54" s="20" t="str">
        <f>IFERROR(VLOOKUP($A54&amp;"_"&amp;AF$5,Database!$A:$F,6,0),"")</f>
        <v/>
      </c>
      <c r="AG54" s="20" t="str">
        <f>IFERROR(VLOOKUP($A54&amp;"_"&amp;AG$5,Database!$A:$F,6,0),"")</f>
        <v/>
      </c>
      <c r="AH54" s="20" t="str">
        <f>IFERROR(VLOOKUP($A54&amp;"_"&amp;AH$5,Database!$A:$F,6,0),"")</f>
        <v/>
      </c>
      <c r="AI54" s="20" t="str">
        <f>IFERROR(VLOOKUP($A54&amp;"_"&amp;AI$5,Database!$A:$F,6,0),"")</f>
        <v/>
      </c>
      <c r="AJ54" s="20" t="str">
        <f>IFERROR(VLOOKUP($A54&amp;"_"&amp;AJ$5,Database!$A:$F,6,0),"")</f>
        <v/>
      </c>
      <c r="AK54" s="20" t="str">
        <f>IFERROR(VLOOKUP($A54&amp;"_"&amp;AK$5,Database!$A:$F,6,0),"")</f>
        <v/>
      </c>
    </row>
    <row r="55" spans="1:37" x14ac:dyDescent="0.2">
      <c r="A55" s="17" t="str">
        <f>IF('Employee Master'!A51="","",'Employee Master'!A51)</f>
        <v/>
      </c>
      <c r="B55" s="18" t="str">
        <f>IF('Employee Master'!B51="","",'Employee Master'!B51)</f>
        <v/>
      </c>
      <c r="C55" s="18" t="str">
        <f>IF('Employee Master'!C51="","",'Employee Master'!C51)</f>
        <v/>
      </c>
      <c r="D55" s="19">
        <f t="shared" si="7"/>
        <v>0</v>
      </c>
      <c r="E55" s="19">
        <f t="shared" si="8"/>
        <v>0</v>
      </c>
      <c r="F55" s="19">
        <f t="shared" si="9"/>
        <v>0</v>
      </c>
      <c r="G55" s="20" t="str">
        <f>IFERROR(VLOOKUP($A55&amp;"_"&amp;G$5,Database!$A:$F,6,0),"")</f>
        <v/>
      </c>
      <c r="H55" s="20" t="str">
        <f>IFERROR(VLOOKUP($A55&amp;"_"&amp;H$5,Database!$A:$F,6,0),"")</f>
        <v/>
      </c>
      <c r="I55" s="20" t="str">
        <f>IFERROR(VLOOKUP($A55&amp;"_"&amp;I$5,Database!$A:$F,6,0),"")</f>
        <v/>
      </c>
      <c r="J55" s="20" t="str">
        <f>IFERROR(VLOOKUP($A55&amp;"_"&amp;J$5,Database!$A:$F,6,0),"")</f>
        <v/>
      </c>
      <c r="K55" s="20" t="str">
        <f>IFERROR(VLOOKUP($A55&amp;"_"&amp;K$5,Database!$A:$F,6,0),"")</f>
        <v/>
      </c>
      <c r="L55" s="20" t="str">
        <f>IFERROR(VLOOKUP($A55&amp;"_"&amp;L$5,Database!$A:$F,6,0),"")</f>
        <v/>
      </c>
      <c r="M55" s="20" t="str">
        <f>IFERROR(VLOOKUP($A55&amp;"_"&amp;M$5,Database!$A:$F,6,0),"")</f>
        <v/>
      </c>
      <c r="N55" s="20" t="str">
        <f>IFERROR(VLOOKUP($A55&amp;"_"&amp;N$5,Database!$A:$F,6,0),"")</f>
        <v/>
      </c>
      <c r="O55" s="20" t="str">
        <f>IFERROR(VLOOKUP($A55&amp;"_"&amp;O$5,Database!$A:$F,6,0),"")</f>
        <v/>
      </c>
      <c r="P55" s="20" t="str">
        <f>IFERROR(VLOOKUP($A55&amp;"_"&amp;P$5,Database!$A:$F,6,0),"")</f>
        <v/>
      </c>
      <c r="Q55" s="20" t="str">
        <f>IFERROR(VLOOKUP($A55&amp;"_"&amp;Q$5,Database!$A:$F,6,0),"")</f>
        <v/>
      </c>
      <c r="R55" s="20" t="str">
        <f>IFERROR(VLOOKUP($A55&amp;"_"&amp;R$5,Database!$A:$F,6,0),"")</f>
        <v/>
      </c>
      <c r="S55" s="20" t="str">
        <f>IFERROR(VLOOKUP($A55&amp;"_"&amp;S$5,Database!$A:$F,6,0),"")</f>
        <v/>
      </c>
      <c r="T55" s="20" t="str">
        <f>IFERROR(VLOOKUP($A55&amp;"_"&amp;T$5,Database!$A:$F,6,0),"")</f>
        <v/>
      </c>
      <c r="U55" s="20" t="str">
        <f>IFERROR(VLOOKUP($A55&amp;"_"&amp;U$5,Database!$A:$F,6,0),"")</f>
        <v/>
      </c>
      <c r="V55" s="20" t="str">
        <f>IFERROR(VLOOKUP($A55&amp;"_"&amp;V$5,Database!$A:$F,6,0),"")</f>
        <v/>
      </c>
      <c r="W55" s="20" t="str">
        <f>IFERROR(VLOOKUP($A55&amp;"_"&amp;W$5,Database!$A:$F,6,0),"")</f>
        <v/>
      </c>
      <c r="X55" s="20" t="str">
        <f>IFERROR(VLOOKUP($A55&amp;"_"&amp;X$5,Database!$A:$F,6,0),"")</f>
        <v/>
      </c>
      <c r="Y55" s="20" t="str">
        <f>IFERROR(VLOOKUP($A55&amp;"_"&amp;Y$5,Database!$A:$F,6,0),"")</f>
        <v/>
      </c>
      <c r="Z55" s="20" t="str">
        <f>IFERROR(VLOOKUP($A55&amp;"_"&amp;Z$5,Database!$A:$F,6,0),"")</f>
        <v/>
      </c>
      <c r="AA55" s="20" t="str">
        <f>IFERROR(VLOOKUP($A55&amp;"_"&amp;AA$5,Database!$A:$F,6,0),"")</f>
        <v/>
      </c>
      <c r="AB55" s="20" t="str">
        <f>IFERROR(VLOOKUP($A55&amp;"_"&amp;AB$5,Database!$A:$F,6,0),"")</f>
        <v/>
      </c>
      <c r="AC55" s="20" t="str">
        <f>IFERROR(VLOOKUP($A55&amp;"_"&amp;AC$5,Database!$A:$F,6,0),"")</f>
        <v/>
      </c>
      <c r="AD55" s="20" t="str">
        <f>IFERROR(VLOOKUP($A55&amp;"_"&amp;AD$5,Database!$A:$F,6,0),"")</f>
        <v/>
      </c>
      <c r="AE55" s="20" t="str">
        <f>IFERROR(VLOOKUP($A55&amp;"_"&amp;AE$5,Database!$A:$F,6,0),"")</f>
        <v/>
      </c>
      <c r="AF55" s="20" t="str">
        <f>IFERROR(VLOOKUP($A55&amp;"_"&amp;AF$5,Database!$A:$F,6,0),"")</f>
        <v/>
      </c>
      <c r="AG55" s="20" t="str">
        <f>IFERROR(VLOOKUP($A55&amp;"_"&amp;AG$5,Database!$A:$F,6,0),"")</f>
        <v/>
      </c>
      <c r="AH55" s="20" t="str">
        <f>IFERROR(VLOOKUP($A55&amp;"_"&amp;AH$5,Database!$A:$F,6,0),"")</f>
        <v/>
      </c>
      <c r="AI55" s="20" t="str">
        <f>IFERROR(VLOOKUP($A55&amp;"_"&amp;AI$5,Database!$A:$F,6,0),"")</f>
        <v/>
      </c>
      <c r="AJ55" s="20" t="str">
        <f>IFERROR(VLOOKUP($A55&amp;"_"&amp;AJ$5,Database!$A:$F,6,0),"")</f>
        <v/>
      </c>
      <c r="AK55" s="20" t="str">
        <f>IFERROR(VLOOKUP($A55&amp;"_"&amp;AK$5,Database!$A:$F,6,0),"")</f>
        <v/>
      </c>
    </row>
    <row r="56" spans="1:37" x14ac:dyDescent="0.2">
      <c r="A56" s="17" t="str">
        <f>IF('Employee Master'!A52="","",'Employee Master'!A52)</f>
        <v/>
      </c>
      <c r="B56" s="18" t="str">
        <f>IF('Employee Master'!B52="","",'Employee Master'!B52)</f>
        <v/>
      </c>
      <c r="C56" s="18" t="str">
        <f>IF('Employee Master'!C52="","",'Employee Master'!C52)</f>
        <v/>
      </c>
      <c r="D56" s="19">
        <f t="shared" si="7"/>
        <v>0</v>
      </c>
      <c r="E56" s="19">
        <f t="shared" si="8"/>
        <v>0</v>
      </c>
      <c r="F56" s="19">
        <f t="shared" si="9"/>
        <v>0</v>
      </c>
      <c r="G56" s="20" t="str">
        <f>IFERROR(VLOOKUP($A56&amp;"_"&amp;G$5,Database!$A:$F,6,0),"")</f>
        <v/>
      </c>
      <c r="H56" s="20" t="str">
        <f>IFERROR(VLOOKUP($A56&amp;"_"&amp;H$5,Database!$A:$F,6,0),"")</f>
        <v/>
      </c>
      <c r="I56" s="20" t="str">
        <f>IFERROR(VLOOKUP($A56&amp;"_"&amp;I$5,Database!$A:$F,6,0),"")</f>
        <v/>
      </c>
      <c r="J56" s="20" t="str">
        <f>IFERROR(VLOOKUP($A56&amp;"_"&amp;J$5,Database!$A:$F,6,0),"")</f>
        <v/>
      </c>
      <c r="K56" s="20" t="str">
        <f>IFERROR(VLOOKUP($A56&amp;"_"&amp;K$5,Database!$A:$F,6,0),"")</f>
        <v/>
      </c>
      <c r="L56" s="20" t="str">
        <f>IFERROR(VLOOKUP($A56&amp;"_"&amp;L$5,Database!$A:$F,6,0),"")</f>
        <v/>
      </c>
      <c r="M56" s="20" t="str">
        <f>IFERROR(VLOOKUP($A56&amp;"_"&amp;M$5,Database!$A:$F,6,0),"")</f>
        <v/>
      </c>
      <c r="N56" s="20" t="str">
        <f>IFERROR(VLOOKUP($A56&amp;"_"&amp;N$5,Database!$A:$F,6,0),"")</f>
        <v/>
      </c>
      <c r="O56" s="20" t="str">
        <f>IFERROR(VLOOKUP($A56&amp;"_"&amp;O$5,Database!$A:$F,6,0),"")</f>
        <v/>
      </c>
      <c r="P56" s="20" t="str">
        <f>IFERROR(VLOOKUP($A56&amp;"_"&amp;P$5,Database!$A:$F,6,0),"")</f>
        <v/>
      </c>
      <c r="Q56" s="20" t="str">
        <f>IFERROR(VLOOKUP($A56&amp;"_"&amp;Q$5,Database!$A:$F,6,0),"")</f>
        <v/>
      </c>
      <c r="R56" s="20" t="str">
        <f>IFERROR(VLOOKUP($A56&amp;"_"&amp;R$5,Database!$A:$F,6,0),"")</f>
        <v/>
      </c>
      <c r="S56" s="20" t="str">
        <f>IFERROR(VLOOKUP($A56&amp;"_"&amp;S$5,Database!$A:$F,6,0),"")</f>
        <v/>
      </c>
      <c r="T56" s="20" t="str">
        <f>IFERROR(VLOOKUP($A56&amp;"_"&amp;T$5,Database!$A:$F,6,0),"")</f>
        <v/>
      </c>
      <c r="U56" s="20" t="str">
        <f>IFERROR(VLOOKUP($A56&amp;"_"&amp;U$5,Database!$A:$F,6,0),"")</f>
        <v/>
      </c>
      <c r="V56" s="20" t="str">
        <f>IFERROR(VLOOKUP($A56&amp;"_"&amp;V$5,Database!$A:$F,6,0),"")</f>
        <v/>
      </c>
      <c r="W56" s="20" t="str">
        <f>IFERROR(VLOOKUP($A56&amp;"_"&amp;W$5,Database!$A:$F,6,0),"")</f>
        <v/>
      </c>
      <c r="X56" s="20" t="str">
        <f>IFERROR(VLOOKUP($A56&amp;"_"&amp;X$5,Database!$A:$F,6,0),"")</f>
        <v/>
      </c>
      <c r="Y56" s="20" t="str">
        <f>IFERROR(VLOOKUP($A56&amp;"_"&amp;Y$5,Database!$A:$F,6,0),"")</f>
        <v/>
      </c>
      <c r="Z56" s="20" t="str">
        <f>IFERROR(VLOOKUP($A56&amp;"_"&amp;Z$5,Database!$A:$F,6,0),"")</f>
        <v/>
      </c>
      <c r="AA56" s="20" t="str">
        <f>IFERROR(VLOOKUP($A56&amp;"_"&amp;AA$5,Database!$A:$F,6,0),"")</f>
        <v/>
      </c>
      <c r="AB56" s="20" t="str">
        <f>IFERROR(VLOOKUP($A56&amp;"_"&amp;AB$5,Database!$A:$F,6,0),"")</f>
        <v/>
      </c>
      <c r="AC56" s="20" t="str">
        <f>IFERROR(VLOOKUP($A56&amp;"_"&amp;AC$5,Database!$A:$F,6,0),"")</f>
        <v/>
      </c>
      <c r="AD56" s="20" t="str">
        <f>IFERROR(VLOOKUP($A56&amp;"_"&amp;AD$5,Database!$A:$F,6,0),"")</f>
        <v/>
      </c>
      <c r="AE56" s="20" t="str">
        <f>IFERROR(VLOOKUP($A56&amp;"_"&amp;AE$5,Database!$A:$F,6,0),"")</f>
        <v/>
      </c>
      <c r="AF56" s="20" t="str">
        <f>IFERROR(VLOOKUP($A56&amp;"_"&amp;AF$5,Database!$A:$F,6,0),"")</f>
        <v/>
      </c>
      <c r="AG56" s="20" t="str">
        <f>IFERROR(VLOOKUP($A56&amp;"_"&amp;AG$5,Database!$A:$F,6,0),"")</f>
        <v/>
      </c>
      <c r="AH56" s="20" t="str">
        <f>IFERROR(VLOOKUP($A56&amp;"_"&amp;AH$5,Database!$A:$F,6,0),"")</f>
        <v/>
      </c>
      <c r="AI56" s="20" t="str">
        <f>IFERROR(VLOOKUP($A56&amp;"_"&amp;AI$5,Database!$A:$F,6,0),"")</f>
        <v/>
      </c>
      <c r="AJ56" s="20" t="str">
        <f>IFERROR(VLOOKUP($A56&amp;"_"&amp;AJ$5,Database!$A:$F,6,0),"")</f>
        <v/>
      </c>
      <c r="AK56" s="20" t="str">
        <f>IFERROR(VLOOKUP($A56&amp;"_"&amp;AK$5,Database!$A:$F,6,0),"")</f>
        <v/>
      </c>
    </row>
    <row r="57" spans="1:37" x14ac:dyDescent="0.2">
      <c r="A57" s="17" t="str">
        <f>IF('Employee Master'!A53="","",'Employee Master'!A53)</f>
        <v/>
      </c>
      <c r="B57" s="18" t="str">
        <f>IF('Employee Master'!B53="","",'Employee Master'!B53)</f>
        <v/>
      </c>
      <c r="C57" s="18" t="str">
        <f>IF('Employee Master'!C53="","",'Employee Master'!C53)</f>
        <v/>
      </c>
      <c r="D57" s="19">
        <f t="shared" si="7"/>
        <v>0</v>
      </c>
      <c r="E57" s="19">
        <f t="shared" si="8"/>
        <v>0</v>
      </c>
      <c r="F57" s="19">
        <f t="shared" si="9"/>
        <v>0</v>
      </c>
      <c r="G57" s="20" t="str">
        <f>IFERROR(VLOOKUP($A57&amp;"_"&amp;G$5,Database!$A:$F,6,0),"")</f>
        <v/>
      </c>
      <c r="H57" s="20" t="str">
        <f>IFERROR(VLOOKUP($A57&amp;"_"&amp;H$5,Database!$A:$F,6,0),"")</f>
        <v/>
      </c>
      <c r="I57" s="20" t="str">
        <f>IFERROR(VLOOKUP($A57&amp;"_"&amp;I$5,Database!$A:$F,6,0),"")</f>
        <v/>
      </c>
      <c r="J57" s="20" t="str">
        <f>IFERROR(VLOOKUP($A57&amp;"_"&amp;J$5,Database!$A:$F,6,0),"")</f>
        <v/>
      </c>
      <c r="K57" s="20" t="str">
        <f>IFERROR(VLOOKUP($A57&amp;"_"&amp;K$5,Database!$A:$F,6,0),"")</f>
        <v/>
      </c>
      <c r="L57" s="20" t="str">
        <f>IFERROR(VLOOKUP($A57&amp;"_"&amp;L$5,Database!$A:$F,6,0),"")</f>
        <v/>
      </c>
      <c r="M57" s="20" t="str">
        <f>IFERROR(VLOOKUP($A57&amp;"_"&amp;M$5,Database!$A:$F,6,0),"")</f>
        <v/>
      </c>
      <c r="N57" s="20" t="str">
        <f>IFERROR(VLOOKUP($A57&amp;"_"&amp;N$5,Database!$A:$F,6,0),"")</f>
        <v/>
      </c>
      <c r="O57" s="20" t="str">
        <f>IFERROR(VLOOKUP($A57&amp;"_"&amp;O$5,Database!$A:$F,6,0),"")</f>
        <v/>
      </c>
      <c r="P57" s="20" t="str">
        <f>IFERROR(VLOOKUP($A57&amp;"_"&amp;P$5,Database!$A:$F,6,0),"")</f>
        <v/>
      </c>
      <c r="Q57" s="20" t="str">
        <f>IFERROR(VLOOKUP($A57&amp;"_"&amp;Q$5,Database!$A:$F,6,0),"")</f>
        <v/>
      </c>
      <c r="R57" s="20" t="str">
        <f>IFERROR(VLOOKUP($A57&amp;"_"&amp;R$5,Database!$A:$F,6,0),"")</f>
        <v/>
      </c>
      <c r="S57" s="20" t="str">
        <f>IFERROR(VLOOKUP($A57&amp;"_"&amp;S$5,Database!$A:$F,6,0),"")</f>
        <v/>
      </c>
      <c r="T57" s="20" t="str">
        <f>IFERROR(VLOOKUP($A57&amp;"_"&amp;T$5,Database!$A:$F,6,0),"")</f>
        <v/>
      </c>
      <c r="U57" s="20" t="str">
        <f>IFERROR(VLOOKUP($A57&amp;"_"&amp;U$5,Database!$A:$F,6,0),"")</f>
        <v/>
      </c>
      <c r="V57" s="20" t="str">
        <f>IFERROR(VLOOKUP($A57&amp;"_"&amp;V$5,Database!$A:$F,6,0),"")</f>
        <v/>
      </c>
      <c r="W57" s="20" t="str">
        <f>IFERROR(VLOOKUP($A57&amp;"_"&amp;W$5,Database!$A:$F,6,0),"")</f>
        <v/>
      </c>
      <c r="X57" s="20" t="str">
        <f>IFERROR(VLOOKUP($A57&amp;"_"&amp;X$5,Database!$A:$F,6,0),"")</f>
        <v/>
      </c>
      <c r="Y57" s="20" t="str">
        <f>IFERROR(VLOOKUP($A57&amp;"_"&amp;Y$5,Database!$A:$F,6,0),"")</f>
        <v/>
      </c>
      <c r="Z57" s="20" t="str">
        <f>IFERROR(VLOOKUP($A57&amp;"_"&amp;Z$5,Database!$A:$F,6,0),"")</f>
        <v/>
      </c>
      <c r="AA57" s="20" t="str">
        <f>IFERROR(VLOOKUP($A57&amp;"_"&amp;AA$5,Database!$A:$F,6,0),"")</f>
        <v/>
      </c>
      <c r="AB57" s="20" t="str">
        <f>IFERROR(VLOOKUP($A57&amp;"_"&amp;AB$5,Database!$A:$F,6,0),"")</f>
        <v/>
      </c>
      <c r="AC57" s="20" t="str">
        <f>IFERROR(VLOOKUP($A57&amp;"_"&amp;AC$5,Database!$A:$F,6,0),"")</f>
        <v/>
      </c>
      <c r="AD57" s="20" t="str">
        <f>IFERROR(VLOOKUP($A57&amp;"_"&amp;AD$5,Database!$A:$F,6,0),"")</f>
        <v/>
      </c>
      <c r="AE57" s="20" t="str">
        <f>IFERROR(VLOOKUP($A57&amp;"_"&amp;AE$5,Database!$A:$F,6,0),"")</f>
        <v/>
      </c>
      <c r="AF57" s="20" t="str">
        <f>IFERROR(VLOOKUP($A57&amp;"_"&amp;AF$5,Database!$A:$F,6,0),"")</f>
        <v/>
      </c>
      <c r="AG57" s="20" t="str">
        <f>IFERROR(VLOOKUP($A57&amp;"_"&amp;AG$5,Database!$A:$F,6,0),"")</f>
        <v/>
      </c>
      <c r="AH57" s="20" t="str">
        <f>IFERROR(VLOOKUP($A57&amp;"_"&amp;AH$5,Database!$A:$F,6,0),"")</f>
        <v/>
      </c>
      <c r="AI57" s="20" t="str">
        <f>IFERROR(VLOOKUP($A57&amp;"_"&amp;AI$5,Database!$A:$F,6,0),"")</f>
        <v/>
      </c>
      <c r="AJ57" s="20" t="str">
        <f>IFERROR(VLOOKUP($A57&amp;"_"&amp;AJ$5,Database!$A:$F,6,0),"")</f>
        <v/>
      </c>
      <c r="AK57" s="20" t="str">
        <f>IFERROR(VLOOKUP($A57&amp;"_"&amp;AK$5,Database!$A:$F,6,0),"")</f>
        <v/>
      </c>
    </row>
    <row r="58" spans="1:37" x14ac:dyDescent="0.2">
      <c r="A58" s="17" t="str">
        <f>IF('Employee Master'!A54="","",'Employee Master'!A54)</f>
        <v/>
      </c>
      <c r="B58" s="18" t="str">
        <f>IF('Employee Master'!B54="","",'Employee Master'!B54)</f>
        <v/>
      </c>
      <c r="C58" s="18" t="str">
        <f>IF('Employee Master'!C54="","",'Employee Master'!C54)</f>
        <v/>
      </c>
      <c r="D58" s="19">
        <f t="shared" si="7"/>
        <v>0</v>
      </c>
      <c r="E58" s="19">
        <f t="shared" si="8"/>
        <v>0</v>
      </c>
      <c r="F58" s="19">
        <f t="shared" si="9"/>
        <v>0</v>
      </c>
      <c r="G58" s="20" t="str">
        <f>IFERROR(VLOOKUP($A58&amp;"_"&amp;G$5,Database!$A:$F,6,0),"")</f>
        <v/>
      </c>
      <c r="H58" s="20" t="str">
        <f>IFERROR(VLOOKUP($A58&amp;"_"&amp;H$5,Database!$A:$F,6,0),"")</f>
        <v/>
      </c>
      <c r="I58" s="20" t="str">
        <f>IFERROR(VLOOKUP($A58&amp;"_"&amp;I$5,Database!$A:$F,6,0),"")</f>
        <v/>
      </c>
      <c r="J58" s="20" t="str">
        <f>IFERROR(VLOOKUP($A58&amp;"_"&amp;J$5,Database!$A:$F,6,0),"")</f>
        <v/>
      </c>
      <c r="K58" s="20" t="str">
        <f>IFERROR(VLOOKUP($A58&amp;"_"&amp;K$5,Database!$A:$F,6,0),"")</f>
        <v/>
      </c>
      <c r="L58" s="20" t="str">
        <f>IFERROR(VLOOKUP($A58&amp;"_"&amp;L$5,Database!$A:$F,6,0),"")</f>
        <v/>
      </c>
      <c r="M58" s="20" t="str">
        <f>IFERROR(VLOOKUP($A58&amp;"_"&amp;M$5,Database!$A:$F,6,0),"")</f>
        <v/>
      </c>
      <c r="N58" s="20" t="str">
        <f>IFERROR(VLOOKUP($A58&amp;"_"&amp;N$5,Database!$A:$F,6,0),"")</f>
        <v/>
      </c>
      <c r="O58" s="20" t="str">
        <f>IFERROR(VLOOKUP($A58&amp;"_"&amp;O$5,Database!$A:$F,6,0),"")</f>
        <v/>
      </c>
      <c r="P58" s="20" t="str">
        <f>IFERROR(VLOOKUP($A58&amp;"_"&amp;P$5,Database!$A:$F,6,0),"")</f>
        <v/>
      </c>
      <c r="Q58" s="20" t="str">
        <f>IFERROR(VLOOKUP($A58&amp;"_"&amp;Q$5,Database!$A:$F,6,0),"")</f>
        <v/>
      </c>
      <c r="R58" s="20" t="str">
        <f>IFERROR(VLOOKUP($A58&amp;"_"&amp;R$5,Database!$A:$F,6,0),"")</f>
        <v/>
      </c>
      <c r="S58" s="20" t="str">
        <f>IFERROR(VLOOKUP($A58&amp;"_"&amp;S$5,Database!$A:$F,6,0),"")</f>
        <v/>
      </c>
      <c r="T58" s="20" t="str">
        <f>IFERROR(VLOOKUP($A58&amp;"_"&amp;T$5,Database!$A:$F,6,0),"")</f>
        <v/>
      </c>
      <c r="U58" s="20" t="str">
        <f>IFERROR(VLOOKUP($A58&amp;"_"&amp;U$5,Database!$A:$F,6,0),"")</f>
        <v/>
      </c>
      <c r="V58" s="20" t="str">
        <f>IFERROR(VLOOKUP($A58&amp;"_"&amp;V$5,Database!$A:$F,6,0),"")</f>
        <v/>
      </c>
      <c r="W58" s="20" t="str">
        <f>IFERROR(VLOOKUP($A58&amp;"_"&amp;W$5,Database!$A:$F,6,0),"")</f>
        <v/>
      </c>
      <c r="X58" s="20" t="str">
        <f>IFERROR(VLOOKUP($A58&amp;"_"&amp;X$5,Database!$A:$F,6,0),"")</f>
        <v/>
      </c>
      <c r="Y58" s="20" t="str">
        <f>IFERROR(VLOOKUP($A58&amp;"_"&amp;Y$5,Database!$A:$F,6,0),"")</f>
        <v/>
      </c>
      <c r="Z58" s="20" t="str">
        <f>IFERROR(VLOOKUP($A58&amp;"_"&amp;Z$5,Database!$A:$F,6,0),"")</f>
        <v/>
      </c>
      <c r="AA58" s="20" t="str">
        <f>IFERROR(VLOOKUP($A58&amp;"_"&amp;AA$5,Database!$A:$F,6,0),"")</f>
        <v/>
      </c>
      <c r="AB58" s="20" t="str">
        <f>IFERROR(VLOOKUP($A58&amp;"_"&amp;AB$5,Database!$A:$F,6,0),"")</f>
        <v/>
      </c>
      <c r="AC58" s="20" t="str">
        <f>IFERROR(VLOOKUP($A58&amp;"_"&amp;AC$5,Database!$A:$F,6,0),"")</f>
        <v/>
      </c>
      <c r="AD58" s="20" t="str">
        <f>IFERROR(VLOOKUP($A58&amp;"_"&amp;AD$5,Database!$A:$F,6,0),"")</f>
        <v/>
      </c>
      <c r="AE58" s="20" t="str">
        <f>IFERROR(VLOOKUP($A58&amp;"_"&amp;AE$5,Database!$A:$F,6,0),"")</f>
        <v/>
      </c>
      <c r="AF58" s="20" t="str">
        <f>IFERROR(VLOOKUP($A58&amp;"_"&amp;AF$5,Database!$A:$F,6,0),"")</f>
        <v/>
      </c>
      <c r="AG58" s="20" t="str">
        <f>IFERROR(VLOOKUP($A58&amp;"_"&amp;AG$5,Database!$A:$F,6,0),"")</f>
        <v/>
      </c>
      <c r="AH58" s="20" t="str">
        <f>IFERROR(VLOOKUP($A58&amp;"_"&amp;AH$5,Database!$A:$F,6,0),"")</f>
        <v/>
      </c>
      <c r="AI58" s="20" t="str">
        <f>IFERROR(VLOOKUP($A58&amp;"_"&amp;AI$5,Database!$A:$F,6,0),"")</f>
        <v/>
      </c>
      <c r="AJ58" s="20" t="str">
        <f>IFERROR(VLOOKUP($A58&amp;"_"&amp;AJ$5,Database!$A:$F,6,0),"")</f>
        <v/>
      </c>
      <c r="AK58" s="20" t="str">
        <f>IFERROR(VLOOKUP($A58&amp;"_"&amp;AK$5,Database!$A:$F,6,0),"")</f>
        <v/>
      </c>
    </row>
    <row r="59" spans="1:37" x14ac:dyDescent="0.2">
      <c r="A59" s="17" t="str">
        <f>IF('Employee Master'!A55="","",'Employee Master'!A55)</f>
        <v/>
      </c>
      <c r="B59" s="18" t="str">
        <f>IF('Employee Master'!B55="","",'Employee Master'!B55)</f>
        <v/>
      </c>
      <c r="C59" s="18" t="str">
        <f>IF('Employee Master'!C55="","",'Employee Master'!C55)</f>
        <v/>
      </c>
      <c r="D59" s="19">
        <f t="shared" si="7"/>
        <v>0</v>
      </c>
      <c r="E59" s="19">
        <f t="shared" si="8"/>
        <v>0</v>
      </c>
      <c r="F59" s="19">
        <f t="shared" si="9"/>
        <v>0</v>
      </c>
      <c r="G59" s="20" t="str">
        <f>IFERROR(VLOOKUP($A59&amp;"_"&amp;G$5,Database!$A:$F,6,0),"")</f>
        <v/>
      </c>
      <c r="H59" s="20" t="str">
        <f>IFERROR(VLOOKUP($A59&amp;"_"&amp;H$5,Database!$A:$F,6,0),"")</f>
        <v/>
      </c>
      <c r="I59" s="20" t="str">
        <f>IFERROR(VLOOKUP($A59&amp;"_"&amp;I$5,Database!$A:$F,6,0),"")</f>
        <v/>
      </c>
      <c r="J59" s="20" t="str">
        <f>IFERROR(VLOOKUP($A59&amp;"_"&amp;J$5,Database!$A:$F,6,0),"")</f>
        <v/>
      </c>
      <c r="K59" s="20" t="str">
        <f>IFERROR(VLOOKUP($A59&amp;"_"&amp;K$5,Database!$A:$F,6,0),"")</f>
        <v/>
      </c>
      <c r="L59" s="20" t="str">
        <f>IFERROR(VLOOKUP($A59&amp;"_"&amp;L$5,Database!$A:$F,6,0),"")</f>
        <v/>
      </c>
      <c r="M59" s="20" t="str">
        <f>IFERROR(VLOOKUP($A59&amp;"_"&amp;M$5,Database!$A:$F,6,0),"")</f>
        <v/>
      </c>
      <c r="N59" s="20" t="str">
        <f>IFERROR(VLOOKUP($A59&amp;"_"&amp;N$5,Database!$A:$F,6,0),"")</f>
        <v/>
      </c>
      <c r="O59" s="20" t="str">
        <f>IFERROR(VLOOKUP($A59&amp;"_"&amp;O$5,Database!$A:$F,6,0),"")</f>
        <v/>
      </c>
      <c r="P59" s="20" t="str">
        <f>IFERROR(VLOOKUP($A59&amp;"_"&amp;P$5,Database!$A:$F,6,0),"")</f>
        <v/>
      </c>
      <c r="Q59" s="20" t="str">
        <f>IFERROR(VLOOKUP($A59&amp;"_"&amp;Q$5,Database!$A:$F,6,0),"")</f>
        <v/>
      </c>
      <c r="R59" s="20" t="str">
        <f>IFERROR(VLOOKUP($A59&amp;"_"&amp;R$5,Database!$A:$F,6,0),"")</f>
        <v/>
      </c>
      <c r="S59" s="20" t="str">
        <f>IFERROR(VLOOKUP($A59&amp;"_"&amp;S$5,Database!$A:$F,6,0),"")</f>
        <v/>
      </c>
      <c r="T59" s="20" t="str">
        <f>IFERROR(VLOOKUP($A59&amp;"_"&amp;T$5,Database!$A:$F,6,0),"")</f>
        <v/>
      </c>
      <c r="U59" s="20" t="str">
        <f>IFERROR(VLOOKUP($A59&amp;"_"&amp;U$5,Database!$A:$F,6,0),"")</f>
        <v/>
      </c>
      <c r="V59" s="20" t="str">
        <f>IFERROR(VLOOKUP($A59&amp;"_"&amp;V$5,Database!$A:$F,6,0),"")</f>
        <v/>
      </c>
      <c r="W59" s="20" t="str">
        <f>IFERROR(VLOOKUP($A59&amp;"_"&amp;W$5,Database!$A:$F,6,0),"")</f>
        <v/>
      </c>
      <c r="X59" s="20" t="str">
        <f>IFERROR(VLOOKUP($A59&amp;"_"&amp;X$5,Database!$A:$F,6,0),"")</f>
        <v/>
      </c>
      <c r="Y59" s="20" t="str">
        <f>IFERROR(VLOOKUP($A59&amp;"_"&amp;Y$5,Database!$A:$F,6,0),"")</f>
        <v/>
      </c>
      <c r="Z59" s="20" t="str">
        <f>IFERROR(VLOOKUP($A59&amp;"_"&amp;Z$5,Database!$A:$F,6,0),"")</f>
        <v/>
      </c>
      <c r="AA59" s="20" t="str">
        <f>IFERROR(VLOOKUP($A59&amp;"_"&amp;AA$5,Database!$A:$F,6,0),"")</f>
        <v/>
      </c>
      <c r="AB59" s="20" t="str">
        <f>IFERROR(VLOOKUP($A59&amp;"_"&amp;AB$5,Database!$A:$F,6,0),"")</f>
        <v/>
      </c>
      <c r="AC59" s="20" t="str">
        <f>IFERROR(VLOOKUP($A59&amp;"_"&amp;AC$5,Database!$A:$F,6,0),"")</f>
        <v/>
      </c>
      <c r="AD59" s="20" t="str">
        <f>IFERROR(VLOOKUP($A59&amp;"_"&amp;AD$5,Database!$A:$F,6,0),"")</f>
        <v/>
      </c>
      <c r="AE59" s="20" t="str">
        <f>IFERROR(VLOOKUP($A59&amp;"_"&amp;AE$5,Database!$A:$F,6,0),"")</f>
        <v/>
      </c>
      <c r="AF59" s="20" t="str">
        <f>IFERROR(VLOOKUP($A59&amp;"_"&amp;AF$5,Database!$A:$F,6,0),"")</f>
        <v/>
      </c>
      <c r="AG59" s="20" t="str">
        <f>IFERROR(VLOOKUP($A59&amp;"_"&amp;AG$5,Database!$A:$F,6,0),"")</f>
        <v/>
      </c>
      <c r="AH59" s="20" t="str">
        <f>IFERROR(VLOOKUP($A59&amp;"_"&amp;AH$5,Database!$A:$F,6,0),"")</f>
        <v/>
      </c>
      <c r="AI59" s="20" t="str">
        <f>IFERROR(VLOOKUP($A59&amp;"_"&amp;AI$5,Database!$A:$F,6,0),"")</f>
        <v/>
      </c>
      <c r="AJ59" s="20" t="str">
        <f>IFERROR(VLOOKUP($A59&amp;"_"&amp;AJ$5,Database!$A:$F,6,0),"")</f>
        <v/>
      </c>
      <c r="AK59" s="20" t="str">
        <f>IFERROR(VLOOKUP($A59&amp;"_"&amp;AK$5,Database!$A:$F,6,0),"")</f>
        <v/>
      </c>
    </row>
    <row r="60" spans="1:37" x14ac:dyDescent="0.2">
      <c r="A60" s="17" t="str">
        <f>IF('Employee Master'!A56="","",'Employee Master'!A56)</f>
        <v/>
      </c>
      <c r="B60" s="18" t="str">
        <f>IF('Employee Master'!B56="","",'Employee Master'!B56)</f>
        <v/>
      </c>
      <c r="C60" s="18" t="str">
        <f>IF('Employee Master'!C56="","",'Employee Master'!C56)</f>
        <v/>
      </c>
      <c r="D60" s="19">
        <f t="shared" si="7"/>
        <v>0</v>
      </c>
      <c r="E60" s="19">
        <f t="shared" si="8"/>
        <v>0</v>
      </c>
      <c r="F60" s="19">
        <f t="shared" si="9"/>
        <v>0</v>
      </c>
      <c r="G60" s="20" t="str">
        <f>IFERROR(VLOOKUP($A60&amp;"_"&amp;G$5,Database!$A:$F,6,0),"")</f>
        <v/>
      </c>
      <c r="H60" s="20" t="str">
        <f>IFERROR(VLOOKUP($A60&amp;"_"&amp;H$5,Database!$A:$F,6,0),"")</f>
        <v/>
      </c>
      <c r="I60" s="20" t="str">
        <f>IFERROR(VLOOKUP($A60&amp;"_"&amp;I$5,Database!$A:$F,6,0),"")</f>
        <v/>
      </c>
      <c r="J60" s="20" t="str">
        <f>IFERROR(VLOOKUP($A60&amp;"_"&amp;J$5,Database!$A:$F,6,0),"")</f>
        <v/>
      </c>
      <c r="K60" s="20" t="str">
        <f>IFERROR(VLOOKUP($A60&amp;"_"&amp;K$5,Database!$A:$F,6,0),"")</f>
        <v/>
      </c>
      <c r="L60" s="20" t="str">
        <f>IFERROR(VLOOKUP($A60&amp;"_"&amp;L$5,Database!$A:$F,6,0),"")</f>
        <v/>
      </c>
      <c r="M60" s="20" t="str">
        <f>IFERROR(VLOOKUP($A60&amp;"_"&amp;M$5,Database!$A:$F,6,0),"")</f>
        <v/>
      </c>
      <c r="N60" s="20" t="str">
        <f>IFERROR(VLOOKUP($A60&amp;"_"&amp;N$5,Database!$A:$F,6,0),"")</f>
        <v/>
      </c>
      <c r="O60" s="20" t="str">
        <f>IFERROR(VLOOKUP($A60&amp;"_"&amp;O$5,Database!$A:$F,6,0),"")</f>
        <v/>
      </c>
      <c r="P60" s="20" t="str">
        <f>IFERROR(VLOOKUP($A60&amp;"_"&amp;P$5,Database!$A:$F,6,0),"")</f>
        <v/>
      </c>
      <c r="Q60" s="20" t="str">
        <f>IFERROR(VLOOKUP($A60&amp;"_"&amp;Q$5,Database!$A:$F,6,0),"")</f>
        <v/>
      </c>
      <c r="R60" s="20" t="str">
        <f>IFERROR(VLOOKUP($A60&amp;"_"&amp;R$5,Database!$A:$F,6,0),"")</f>
        <v/>
      </c>
      <c r="S60" s="20" t="str">
        <f>IFERROR(VLOOKUP($A60&amp;"_"&amp;S$5,Database!$A:$F,6,0),"")</f>
        <v/>
      </c>
      <c r="T60" s="20" t="str">
        <f>IFERROR(VLOOKUP($A60&amp;"_"&amp;T$5,Database!$A:$F,6,0),"")</f>
        <v/>
      </c>
      <c r="U60" s="20" t="str">
        <f>IFERROR(VLOOKUP($A60&amp;"_"&amp;U$5,Database!$A:$F,6,0),"")</f>
        <v/>
      </c>
      <c r="V60" s="20" t="str">
        <f>IFERROR(VLOOKUP($A60&amp;"_"&amp;V$5,Database!$A:$F,6,0),"")</f>
        <v/>
      </c>
      <c r="W60" s="20" t="str">
        <f>IFERROR(VLOOKUP($A60&amp;"_"&amp;W$5,Database!$A:$F,6,0),"")</f>
        <v/>
      </c>
      <c r="X60" s="20" t="str">
        <f>IFERROR(VLOOKUP($A60&amp;"_"&amp;X$5,Database!$A:$F,6,0),"")</f>
        <v/>
      </c>
      <c r="Y60" s="20" t="str">
        <f>IFERROR(VLOOKUP($A60&amp;"_"&amp;Y$5,Database!$A:$F,6,0),"")</f>
        <v/>
      </c>
      <c r="Z60" s="20" t="str">
        <f>IFERROR(VLOOKUP($A60&amp;"_"&amp;Z$5,Database!$A:$F,6,0),"")</f>
        <v/>
      </c>
      <c r="AA60" s="20" t="str">
        <f>IFERROR(VLOOKUP($A60&amp;"_"&amp;AA$5,Database!$A:$F,6,0),"")</f>
        <v/>
      </c>
      <c r="AB60" s="20" t="str">
        <f>IFERROR(VLOOKUP($A60&amp;"_"&amp;AB$5,Database!$A:$F,6,0),"")</f>
        <v/>
      </c>
      <c r="AC60" s="20" t="str">
        <f>IFERROR(VLOOKUP($A60&amp;"_"&amp;AC$5,Database!$A:$F,6,0),"")</f>
        <v/>
      </c>
      <c r="AD60" s="20" t="str">
        <f>IFERROR(VLOOKUP($A60&amp;"_"&amp;AD$5,Database!$A:$F,6,0),"")</f>
        <v/>
      </c>
      <c r="AE60" s="20" t="str">
        <f>IFERROR(VLOOKUP($A60&amp;"_"&amp;AE$5,Database!$A:$F,6,0),"")</f>
        <v/>
      </c>
      <c r="AF60" s="20" t="str">
        <f>IFERROR(VLOOKUP($A60&amp;"_"&amp;AF$5,Database!$A:$F,6,0),"")</f>
        <v/>
      </c>
      <c r="AG60" s="20" t="str">
        <f>IFERROR(VLOOKUP($A60&amp;"_"&amp;AG$5,Database!$A:$F,6,0),"")</f>
        <v/>
      </c>
      <c r="AH60" s="20" t="str">
        <f>IFERROR(VLOOKUP($A60&amp;"_"&amp;AH$5,Database!$A:$F,6,0),"")</f>
        <v/>
      </c>
      <c r="AI60" s="20" t="str">
        <f>IFERROR(VLOOKUP($A60&amp;"_"&amp;AI$5,Database!$A:$F,6,0),"")</f>
        <v/>
      </c>
      <c r="AJ60" s="20" t="str">
        <f>IFERROR(VLOOKUP($A60&amp;"_"&amp;AJ$5,Database!$A:$F,6,0),"")</f>
        <v/>
      </c>
      <c r="AK60" s="20" t="str">
        <f>IFERROR(VLOOKUP($A60&amp;"_"&amp;AK$5,Database!$A:$F,6,0),"")</f>
        <v/>
      </c>
    </row>
    <row r="61" spans="1:37" x14ac:dyDescent="0.2">
      <c r="A61" s="17" t="str">
        <f>IF('Employee Master'!A57="","",'Employee Master'!A57)</f>
        <v/>
      </c>
      <c r="B61" s="18" t="str">
        <f>IF('Employee Master'!B57="","",'Employee Master'!B57)</f>
        <v/>
      </c>
      <c r="C61" s="18" t="str">
        <f>IF('Employee Master'!C57="","",'Employee Master'!C57)</f>
        <v/>
      </c>
      <c r="D61" s="19">
        <f t="shared" si="7"/>
        <v>0</v>
      </c>
      <c r="E61" s="19">
        <f t="shared" si="8"/>
        <v>0</v>
      </c>
      <c r="F61" s="19">
        <f t="shared" si="9"/>
        <v>0</v>
      </c>
      <c r="G61" s="20" t="str">
        <f>IFERROR(VLOOKUP($A61&amp;"_"&amp;G$5,Database!$A:$F,6,0),"")</f>
        <v/>
      </c>
      <c r="H61" s="20" t="str">
        <f>IFERROR(VLOOKUP($A61&amp;"_"&amp;H$5,Database!$A:$F,6,0),"")</f>
        <v/>
      </c>
      <c r="I61" s="20" t="str">
        <f>IFERROR(VLOOKUP($A61&amp;"_"&amp;I$5,Database!$A:$F,6,0),"")</f>
        <v/>
      </c>
      <c r="J61" s="20" t="str">
        <f>IFERROR(VLOOKUP($A61&amp;"_"&amp;J$5,Database!$A:$F,6,0),"")</f>
        <v/>
      </c>
      <c r="K61" s="20" t="str">
        <f>IFERROR(VLOOKUP($A61&amp;"_"&amp;K$5,Database!$A:$F,6,0),"")</f>
        <v/>
      </c>
      <c r="L61" s="20" t="str">
        <f>IFERROR(VLOOKUP($A61&amp;"_"&amp;L$5,Database!$A:$F,6,0),"")</f>
        <v/>
      </c>
      <c r="M61" s="20" t="str">
        <f>IFERROR(VLOOKUP($A61&amp;"_"&amp;M$5,Database!$A:$F,6,0),"")</f>
        <v/>
      </c>
      <c r="N61" s="20" t="str">
        <f>IFERROR(VLOOKUP($A61&amp;"_"&amp;N$5,Database!$A:$F,6,0),"")</f>
        <v/>
      </c>
      <c r="O61" s="20" t="str">
        <f>IFERROR(VLOOKUP($A61&amp;"_"&amp;O$5,Database!$A:$F,6,0),"")</f>
        <v/>
      </c>
      <c r="P61" s="20" t="str">
        <f>IFERROR(VLOOKUP($A61&amp;"_"&amp;P$5,Database!$A:$F,6,0),"")</f>
        <v/>
      </c>
      <c r="Q61" s="20" t="str">
        <f>IFERROR(VLOOKUP($A61&amp;"_"&amp;Q$5,Database!$A:$F,6,0),"")</f>
        <v/>
      </c>
      <c r="R61" s="20" t="str">
        <f>IFERROR(VLOOKUP($A61&amp;"_"&amp;R$5,Database!$A:$F,6,0),"")</f>
        <v/>
      </c>
      <c r="S61" s="20" t="str">
        <f>IFERROR(VLOOKUP($A61&amp;"_"&amp;S$5,Database!$A:$F,6,0),"")</f>
        <v/>
      </c>
      <c r="T61" s="20" t="str">
        <f>IFERROR(VLOOKUP($A61&amp;"_"&amp;T$5,Database!$A:$F,6,0),"")</f>
        <v/>
      </c>
      <c r="U61" s="20" t="str">
        <f>IFERROR(VLOOKUP($A61&amp;"_"&amp;U$5,Database!$A:$F,6,0),"")</f>
        <v/>
      </c>
      <c r="V61" s="20" t="str">
        <f>IFERROR(VLOOKUP($A61&amp;"_"&amp;V$5,Database!$A:$F,6,0),"")</f>
        <v/>
      </c>
      <c r="W61" s="20" t="str">
        <f>IFERROR(VLOOKUP($A61&amp;"_"&amp;W$5,Database!$A:$F,6,0),"")</f>
        <v/>
      </c>
      <c r="X61" s="20" t="str">
        <f>IFERROR(VLOOKUP($A61&amp;"_"&amp;X$5,Database!$A:$F,6,0),"")</f>
        <v/>
      </c>
      <c r="Y61" s="20" t="str">
        <f>IFERROR(VLOOKUP($A61&amp;"_"&amp;Y$5,Database!$A:$F,6,0),"")</f>
        <v/>
      </c>
      <c r="Z61" s="20" t="str">
        <f>IFERROR(VLOOKUP($A61&amp;"_"&amp;Z$5,Database!$A:$F,6,0),"")</f>
        <v/>
      </c>
      <c r="AA61" s="20" t="str">
        <f>IFERROR(VLOOKUP($A61&amp;"_"&amp;AA$5,Database!$A:$F,6,0),"")</f>
        <v/>
      </c>
      <c r="AB61" s="20" t="str">
        <f>IFERROR(VLOOKUP($A61&amp;"_"&amp;AB$5,Database!$A:$F,6,0),"")</f>
        <v/>
      </c>
      <c r="AC61" s="20" t="str">
        <f>IFERROR(VLOOKUP($A61&amp;"_"&amp;AC$5,Database!$A:$F,6,0),"")</f>
        <v/>
      </c>
      <c r="AD61" s="20" t="str">
        <f>IFERROR(VLOOKUP($A61&amp;"_"&amp;AD$5,Database!$A:$F,6,0),"")</f>
        <v/>
      </c>
      <c r="AE61" s="20" t="str">
        <f>IFERROR(VLOOKUP($A61&amp;"_"&amp;AE$5,Database!$A:$F,6,0),"")</f>
        <v/>
      </c>
      <c r="AF61" s="20" t="str">
        <f>IFERROR(VLOOKUP($A61&amp;"_"&amp;AF$5,Database!$A:$F,6,0),"")</f>
        <v/>
      </c>
      <c r="AG61" s="20" t="str">
        <f>IFERROR(VLOOKUP($A61&amp;"_"&amp;AG$5,Database!$A:$F,6,0),"")</f>
        <v/>
      </c>
      <c r="AH61" s="20" t="str">
        <f>IFERROR(VLOOKUP($A61&amp;"_"&amp;AH$5,Database!$A:$F,6,0),"")</f>
        <v/>
      </c>
      <c r="AI61" s="20" t="str">
        <f>IFERROR(VLOOKUP($A61&amp;"_"&amp;AI$5,Database!$A:$F,6,0),"")</f>
        <v/>
      </c>
      <c r="AJ61" s="20" t="str">
        <f>IFERROR(VLOOKUP($A61&amp;"_"&amp;AJ$5,Database!$A:$F,6,0),"")</f>
        <v/>
      </c>
      <c r="AK61" s="20" t="str">
        <f>IFERROR(VLOOKUP($A61&amp;"_"&amp;AK$5,Database!$A:$F,6,0),"")</f>
        <v/>
      </c>
    </row>
    <row r="62" spans="1:37" x14ac:dyDescent="0.2">
      <c r="A62" s="17" t="str">
        <f>IF('Employee Master'!A58="","",'Employee Master'!A58)</f>
        <v/>
      </c>
      <c r="B62" s="18" t="str">
        <f>IF('Employee Master'!B58="","",'Employee Master'!B58)</f>
        <v/>
      </c>
      <c r="C62" s="18" t="str">
        <f>IF('Employee Master'!C58="","",'Employee Master'!C58)</f>
        <v/>
      </c>
      <c r="D62" s="19">
        <f t="shared" si="7"/>
        <v>0</v>
      </c>
      <c r="E62" s="19">
        <f t="shared" si="8"/>
        <v>0</v>
      </c>
      <c r="F62" s="19">
        <f t="shared" si="9"/>
        <v>0</v>
      </c>
      <c r="G62" s="20" t="str">
        <f>IFERROR(VLOOKUP($A62&amp;"_"&amp;G$5,Database!$A:$F,6,0),"")</f>
        <v/>
      </c>
      <c r="H62" s="20" t="str">
        <f>IFERROR(VLOOKUP($A62&amp;"_"&amp;H$5,Database!$A:$F,6,0),"")</f>
        <v/>
      </c>
      <c r="I62" s="20" t="str">
        <f>IFERROR(VLOOKUP($A62&amp;"_"&amp;I$5,Database!$A:$F,6,0),"")</f>
        <v/>
      </c>
      <c r="J62" s="20" t="str">
        <f>IFERROR(VLOOKUP($A62&amp;"_"&amp;J$5,Database!$A:$F,6,0),"")</f>
        <v/>
      </c>
      <c r="K62" s="20" t="str">
        <f>IFERROR(VLOOKUP($A62&amp;"_"&amp;K$5,Database!$A:$F,6,0),"")</f>
        <v/>
      </c>
      <c r="L62" s="20" t="str">
        <f>IFERROR(VLOOKUP($A62&amp;"_"&amp;L$5,Database!$A:$F,6,0),"")</f>
        <v/>
      </c>
      <c r="M62" s="20" t="str">
        <f>IFERROR(VLOOKUP($A62&amp;"_"&amp;M$5,Database!$A:$F,6,0),"")</f>
        <v/>
      </c>
      <c r="N62" s="20" t="str">
        <f>IFERROR(VLOOKUP($A62&amp;"_"&amp;N$5,Database!$A:$F,6,0),"")</f>
        <v/>
      </c>
      <c r="O62" s="20" t="str">
        <f>IFERROR(VLOOKUP($A62&amp;"_"&amp;O$5,Database!$A:$F,6,0),"")</f>
        <v/>
      </c>
      <c r="P62" s="20" t="str">
        <f>IFERROR(VLOOKUP($A62&amp;"_"&amp;P$5,Database!$A:$F,6,0),"")</f>
        <v/>
      </c>
      <c r="Q62" s="20" t="str">
        <f>IFERROR(VLOOKUP($A62&amp;"_"&amp;Q$5,Database!$A:$F,6,0),"")</f>
        <v/>
      </c>
      <c r="R62" s="20" t="str">
        <f>IFERROR(VLOOKUP($A62&amp;"_"&amp;R$5,Database!$A:$F,6,0),"")</f>
        <v/>
      </c>
      <c r="S62" s="20" t="str">
        <f>IFERROR(VLOOKUP($A62&amp;"_"&amp;S$5,Database!$A:$F,6,0),"")</f>
        <v/>
      </c>
      <c r="T62" s="20" t="str">
        <f>IFERROR(VLOOKUP($A62&amp;"_"&amp;T$5,Database!$A:$F,6,0),"")</f>
        <v/>
      </c>
      <c r="U62" s="20" t="str">
        <f>IFERROR(VLOOKUP($A62&amp;"_"&amp;U$5,Database!$A:$F,6,0),"")</f>
        <v/>
      </c>
      <c r="V62" s="20" t="str">
        <f>IFERROR(VLOOKUP($A62&amp;"_"&amp;V$5,Database!$A:$F,6,0),"")</f>
        <v/>
      </c>
      <c r="W62" s="20" t="str">
        <f>IFERROR(VLOOKUP($A62&amp;"_"&amp;W$5,Database!$A:$F,6,0),"")</f>
        <v/>
      </c>
      <c r="X62" s="20" t="str">
        <f>IFERROR(VLOOKUP($A62&amp;"_"&amp;X$5,Database!$A:$F,6,0),"")</f>
        <v/>
      </c>
      <c r="Y62" s="20" t="str">
        <f>IFERROR(VLOOKUP($A62&amp;"_"&amp;Y$5,Database!$A:$F,6,0),"")</f>
        <v/>
      </c>
      <c r="Z62" s="20" t="str">
        <f>IFERROR(VLOOKUP($A62&amp;"_"&amp;Z$5,Database!$A:$F,6,0),"")</f>
        <v/>
      </c>
      <c r="AA62" s="20" t="str">
        <f>IFERROR(VLOOKUP($A62&amp;"_"&amp;AA$5,Database!$A:$F,6,0),"")</f>
        <v/>
      </c>
      <c r="AB62" s="20" t="str">
        <f>IFERROR(VLOOKUP($A62&amp;"_"&amp;AB$5,Database!$A:$F,6,0),"")</f>
        <v/>
      </c>
      <c r="AC62" s="20" t="str">
        <f>IFERROR(VLOOKUP($A62&amp;"_"&amp;AC$5,Database!$A:$F,6,0),"")</f>
        <v/>
      </c>
      <c r="AD62" s="20" t="str">
        <f>IFERROR(VLOOKUP($A62&amp;"_"&amp;AD$5,Database!$A:$F,6,0),"")</f>
        <v/>
      </c>
      <c r="AE62" s="20" t="str">
        <f>IFERROR(VLOOKUP($A62&amp;"_"&amp;AE$5,Database!$A:$F,6,0),"")</f>
        <v/>
      </c>
      <c r="AF62" s="20" t="str">
        <f>IFERROR(VLOOKUP($A62&amp;"_"&amp;AF$5,Database!$A:$F,6,0),"")</f>
        <v/>
      </c>
      <c r="AG62" s="20" t="str">
        <f>IFERROR(VLOOKUP($A62&amp;"_"&amp;AG$5,Database!$A:$F,6,0),"")</f>
        <v/>
      </c>
      <c r="AH62" s="20" t="str">
        <f>IFERROR(VLOOKUP($A62&amp;"_"&amp;AH$5,Database!$A:$F,6,0),"")</f>
        <v/>
      </c>
      <c r="AI62" s="20" t="str">
        <f>IFERROR(VLOOKUP($A62&amp;"_"&amp;AI$5,Database!$A:$F,6,0),"")</f>
        <v/>
      </c>
      <c r="AJ62" s="20" t="str">
        <f>IFERROR(VLOOKUP($A62&amp;"_"&amp;AJ$5,Database!$A:$F,6,0),"")</f>
        <v/>
      </c>
      <c r="AK62" s="20" t="str">
        <f>IFERROR(VLOOKUP($A62&amp;"_"&amp;AK$5,Database!$A:$F,6,0),"")</f>
        <v/>
      </c>
    </row>
    <row r="63" spans="1:37" x14ac:dyDescent="0.2">
      <c r="A63" s="17" t="str">
        <f>IF('Employee Master'!A59="","",'Employee Master'!A59)</f>
        <v/>
      </c>
      <c r="B63" s="18" t="str">
        <f>IF('Employee Master'!B59="","",'Employee Master'!B59)</f>
        <v/>
      </c>
      <c r="C63" s="18" t="str">
        <f>IF('Employee Master'!C59="","",'Employee Master'!C59)</f>
        <v/>
      </c>
      <c r="D63" s="19">
        <f t="shared" si="7"/>
        <v>0</v>
      </c>
      <c r="E63" s="19">
        <f t="shared" si="8"/>
        <v>0</v>
      </c>
      <c r="F63" s="19">
        <f t="shared" si="9"/>
        <v>0</v>
      </c>
      <c r="G63" s="20" t="str">
        <f>IFERROR(VLOOKUP($A63&amp;"_"&amp;G$5,Database!$A:$F,6,0),"")</f>
        <v/>
      </c>
      <c r="H63" s="20" t="str">
        <f>IFERROR(VLOOKUP($A63&amp;"_"&amp;H$5,Database!$A:$F,6,0),"")</f>
        <v/>
      </c>
      <c r="I63" s="20" t="str">
        <f>IFERROR(VLOOKUP($A63&amp;"_"&amp;I$5,Database!$A:$F,6,0),"")</f>
        <v/>
      </c>
      <c r="J63" s="20" t="str">
        <f>IFERROR(VLOOKUP($A63&amp;"_"&amp;J$5,Database!$A:$F,6,0),"")</f>
        <v/>
      </c>
      <c r="K63" s="20" t="str">
        <f>IFERROR(VLOOKUP($A63&amp;"_"&amp;K$5,Database!$A:$F,6,0),"")</f>
        <v/>
      </c>
      <c r="L63" s="20" t="str">
        <f>IFERROR(VLOOKUP($A63&amp;"_"&amp;L$5,Database!$A:$F,6,0),"")</f>
        <v/>
      </c>
      <c r="M63" s="20" t="str">
        <f>IFERROR(VLOOKUP($A63&amp;"_"&amp;M$5,Database!$A:$F,6,0),"")</f>
        <v/>
      </c>
      <c r="N63" s="20" t="str">
        <f>IFERROR(VLOOKUP($A63&amp;"_"&amp;N$5,Database!$A:$F,6,0),"")</f>
        <v/>
      </c>
      <c r="O63" s="20" t="str">
        <f>IFERROR(VLOOKUP($A63&amp;"_"&amp;O$5,Database!$A:$F,6,0),"")</f>
        <v/>
      </c>
      <c r="P63" s="20" t="str">
        <f>IFERROR(VLOOKUP($A63&amp;"_"&amp;P$5,Database!$A:$F,6,0),"")</f>
        <v/>
      </c>
      <c r="Q63" s="20" t="str">
        <f>IFERROR(VLOOKUP($A63&amp;"_"&amp;Q$5,Database!$A:$F,6,0),"")</f>
        <v/>
      </c>
      <c r="R63" s="20" t="str">
        <f>IFERROR(VLOOKUP($A63&amp;"_"&amp;R$5,Database!$A:$F,6,0),"")</f>
        <v/>
      </c>
      <c r="S63" s="20" t="str">
        <f>IFERROR(VLOOKUP($A63&amp;"_"&amp;S$5,Database!$A:$F,6,0),"")</f>
        <v/>
      </c>
      <c r="T63" s="20" t="str">
        <f>IFERROR(VLOOKUP($A63&amp;"_"&amp;T$5,Database!$A:$F,6,0),"")</f>
        <v/>
      </c>
      <c r="U63" s="20" t="str">
        <f>IFERROR(VLOOKUP($A63&amp;"_"&amp;U$5,Database!$A:$F,6,0),"")</f>
        <v/>
      </c>
      <c r="V63" s="20" t="str">
        <f>IFERROR(VLOOKUP($A63&amp;"_"&amp;V$5,Database!$A:$F,6,0),"")</f>
        <v/>
      </c>
      <c r="W63" s="20" t="str">
        <f>IFERROR(VLOOKUP($A63&amp;"_"&amp;W$5,Database!$A:$F,6,0),"")</f>
        <v/>
      </c>
      <c r="X63" s="20" t="str">
        <f>IFERROR(VLOOKUP($A63&amp;"_"&amp;X$5,Database!$A:$F,6,0),"")</f>
        <v/>
      </c>
      <c r="Y63" s="20" t="str">
        <f>IFERROR(VLOOKUP($A63&amp;"_"&amp;Y$5,Database!$A:$F,6,0),"")</f>
        <v/>
      </c>
      <c r="Z63" s="20" t="str">
        <f>IFERROR(VLOOKUP($A63&amp;"_"&amp;Z$5,Database!$A:$F,6,0),"")</f>
        <v/>
      </c>
      <c r="AA63" s="20" t="str">
        <f>IFERROR(VLOOKUP($A63&amp;"_"&amp;AA$5,Database!$A:$F,6,0),"")</f>
        <v/>
      </c>
      <c r="AB63" s="20" t="str">
        <f>IFERROR(VLOOKUP($A63&amp;"_"&amp;AB$5,Database!$A:$F,6,0),"")</f>
        <v/>
      </c>
      <c r="AC63" s="20" t="str">
        <f>IFERROR(VLOOKUP($A63&amp;"_"&amp;AC$5,Database!$A:$F,6,0),"")</f>
        <v/>
      </c>
      <c r="AD63" s="20" t="str">
        <f>IFERROR(VLOOKUP($A63&amp;"_"&amp;AD$5,Database!$A:$F,6,0),"")</f>
        <v/>
      </c>
      <c r="AE63" s="20" t="str">
        <f>IFERROR(VLOOKUP($A63&amp;"_"&amp;AE$5,Database!$A:$F,6,0),"")</f>
        <v/>
      </c>
      <c r="AF63" s="20" t="str">
        <f>IFERROR(VLOOKUP($A63&amp;"_"&amp;AF$5,Database!$A:$F,6,0),"")</f>
        <v/>
      </c>
      <c r="AG63" s="20" t="str">
        <f>IFERROR(VLOOKUP($A63&amp;"_"&amp;AG$5,Database!$A:$F,6,0),"")</f>
        <v/>
      </c>
      <c r="AH63" s="20" t="str">
        <f>IFERROR(VLOOKUP($A63&amp;"_"&amp;AH$5,Database!$A:$F,6,0),"")</f>
        <v/>
      </c>
      <c r="AI63" s="20" t="str">
        <f>IFERROR(VLOOKUP($A63&amp;"_"&amp;AI$5,Database!$A:$F,6,0),"")</f>
        <v/>
      </c>
      <c r="AJ63" s="20" t="str">
        <f>IFERROR(VLOOKUP($A63&amp;"_"&amp;AJ$5,Database!$A:$F,6,0),"")</f>
        <v/>
      </c>
      <c r="AK63" s="20" t="str">
        <f>IFERROR(VLOOKUP($A63&amp;"_"&amp;AK$5,Database!$A:$F,6,0),"")</f>
        <v/>
      </c>
    </row>
    <row r="64" spans="1:37" x14ac:dyDescent="0.2">
      <c r="A64" s="17" t="str">
        <f>IF('Employee Master'!A60="","",'Employee Master'!A60)</f>
        <v/>
      </c>
      <c r="B64" s="18" t="str">
        <f>IF('Employee Master'!B60="","",'Employee Master'!B60)</f>
        <v/>
      </c>
      <c r="C64" s="18" t="str">
        <f>IF('Employee Master'!C60="","",'Employee Master'!C60)</f>
        <v/>
      </c>
      <c r="D64" s="19">
        <f t="shared" si="7"/>
        <v>0</v>
      </c>
      <c r="E64" s="19">
        <f t="shared" si="8"/>
        <v>0</v>
      </c>
      <c r="F64" s="19">
        <f t="shared" si="9"/>
        <v>0</v>
      </c>
      <c r="G64" s="20" t="str">
        <f>IFERROR(VLOOKUP($A64&amp;"_"&amp;G$5,Database!$A:$F,6,0),"")</f>
        <v/>
      </c>
      <c r="H64" s="20" t="str">
        <f>IFERROR(VLOOKUP($A64&amp;"_"&amp;H$5,Database!$A:$F,6,0),"")</f>
        <v/>
      </c>
      <c r="I64" s="20" t="str">
        <f>IFERROR(VLOOKUP($A64&amp;"_"&amp;I$5,Database!$A:$F,6,0),"")</f>
        <v/>
      </c>
      <c r="J64" s="20" t="str">
        <f>IFERROR(VLOOKUP($A64&amp;"_"&amp;J$5,Database!$A:$F,6,0),"")</f>
        <v/>
      </c>
      <c r="K64" s="20" t="str">
        <f>IFERROR(VLOOKUP($A64&amp;"_"&amp;K$5,Database!$A:$F,6,0),"")</f>
        <v/>
      </c>
      <c r="L64" s="20" t="str">
        <f>IFERROR(VLOOKUP($A64&amp;"_"&amp;L$5,Database!$A:$F,6,0),"")</f>
        <v/>
      </c>
      <c r="M64" s="20" t="str">
        <f>IFERROR(VLOOKUP($A64&amp;"_"&amp;M$5,Database!$A:$F,6,0),"")</f>
        <v/>
      </c>
      <c r="N64" s="20" t="str">
        <f>IFERROR(VLOOKUP($A64&amp;"_"&amp;N$5,Database!$A:$F,6,0),"")</f>
        <v/>
      </c>
      <c r="O64" s="20" t="str">
        <f>IFERROR(VLOOKUP($A64&amp;"_"&amp;O$5,Database!$A:$F,6,0),"")</f>
        <v/>
      </c>
      <c r="P64" s="20" t="str">
        <f>IFERROR(VLOOKUP($A64&amp;"_"&amp;P$5,Database!$A:$F,6,0),"")</f>
        <v/>
      </c>
      <c r="Q64" s="20" t="str">
        <f>IFERROR(VLOOKUP($A64&amp;"_"&amp;Q$5,Database!$A:$F,6,0),"")</f>
        <v/>
      </c>
      <c r="R64" s="20" t="str">
        <f>IFERROR(VLOOKUP($A64&amp;"_"&amp;R$5,Database!$A:$F,6,0),"")</f>
        <v/>
      </c>
      <c r="S64" s="20" t="str">
        <f>IFERROR(VLOOKUP($A64&amp;"_"&amp;S$5,Database!$A:$F,6,0),"")</f>
        <v/>
      </c>
      <c r="T64" s="20" t="str">
        <f>IFERROR(VLOOKUP($A64&amp;"_"&amp;T$5,Database!$A:$F,6,0),"")</f>
        <v/>
      </c>
      <c r="U64" s="20" t="str">
        <f>IFERROR(VLOOKUP($A64&amp;"_"&amp;U$5,Database!$A:$F,6,0),"")</f>
        <v/>
      </c>
      <c r="V64" s="20" t="str">
        <f>IFERROR(VLOOKUP($A64&amp;"_"&amp;V$5,Database!$A:$F,6,0),"")</f>
        <v/>
      </c>
      <c r="W64" s="20" t="str">
        <f>IFERROR(VLOOKUP($A64&amp;"_"&amp;W$5,Database!$A:$F,6,0),"")</f>
        <v/>
      </c>
      <c r="X64" s="20" t="str">
        <f>IFERROR(VLOOKUP($A64&amp;"_"&amp;X$5,Database!$A:$F,6,0),"")</f>
        <v/>
      </c>
      <c r="Y64" s="20" t="str">
        <f>IFERROR(VLOOKUP($A64&amp;"_"&amp;Y$5,Database!$A:$F,6,0),"")</f>
        <v/>
      </c>
      <c r="Z64" s="20" t="str">
        <f>IFERROR(VLOOKUP($A64&amp;"_"&amp;Z$5,Database!$A:$F,6,0),"")</f>
        <v/>
      </c>
      <c r="AA64" s="20" t="str">
        <f>IFERROR(VLOOKUP($A64&amp;"_"&amp;AA$5,Database!$A:$F,6,0),"")</f>
        <v/>
      </c>
      <c r="AB64" s="20" t="str">
        <f>IFERROR(VLOOKUP($A64&amp;"_"&amp;AB$5,Database!$A:$F,6,0),"")</f>
        <v/>
      </c>
      <c r="AC64" s="20" t="str">
        <f>IFERROR(VLOOKUP($A64&amp;"_"&amp;AC$5,Database!$A:$F,6,0),"")</f>
        <v/>
      </c>
      <c r="AD64" s="20" t="str">
        <f>IFERROR(VLOOKUP($A64&amp;"_"&amp;AD$5,Database!$A:$F,6,0),"")</f>
        <v/>
      </c>
      <c r="AE64" s="20" t="str">
        <f>IFERROR(VLOOKUP($A64&amp;"_"&amp;AE$5,Database!$A:$F,6,0),"")</f>
        <v/>
      </c>
      <c r="AF64" s="20" t="str">
        <f>IFERROR(VLOOKUP($A64&amp;"_"&amp;AF$5,Database!$A:$F,6,0),"")</f>
        <v/>
      </c>
      <c r="AG64" s="20" t="str">
        <f>IFERROR(VLOOKUP($A64&amp;"_"&amp;AG$5,Database!$A:$F,6,0),"")</f>
        <v/>
      </c>
      <c r="AH64" s="20" t="str">
        <f>IFERROR(VLOOKUP($A64&amp;"_"&amp;AH$5,Database!$A:$F,6,0),"")</f>
        <v/>
      </c>
      <c r="AI64" s="20" t="str">
        <f>IFERROR(VLOOKUP($A64&amp;"_"&amp;AI$5,Database!$A:$F,6,0),"")</f>
        <v/>
      </c>
      <c r="AJ64" s="20" t="str">
        <f>IFERROR(VLOOKUP($A64&amp;"_"&amp;AJ$5,Database!$A:$F,6,0),"")</f>
        <v/>
      </c>
      <c r="AK64" s="20" t="str">
        <f>IFERROR(VLOOKUP($A64&amp;"_"&amp;AK$5,Database!$A:$F,6,0),"")</f>
        <v/>
      </c>
    </row>
    <row r="65" spans="1:37" x14ac:dyDescent="0.2">
      <c r="A65" s="17" t="str">
        <f>IF('Employee Master'!A61="","",'Employee Master'!A61)</f>
        <v/>
      </c>
      <c r="B65" s="18" t="str">
        <f>IF('Employee Master'!B61="","",'Employee Master'!B61)</f>
        <v/>
      </c>
      <c r="C65" s="18" t="str">
        <f>IF('Employee Master'!C61="","",'Employee Master'!C61)</f>
        <v/>
      </c>
      <c r="D65" s="19">
        <f t="shared" si="7"/>
        <v>0</v>
      </c>
      <c r="E65" s="19">
        <f t="shared" si="8"/>
        <v>0</v>
      </c>
      <c r="F65" s="19">
        <f t="shared" si="9"/>
        <v>0</v>
      </c>
      <c r="G65" s="20" t="str">
        <f>IFERROR(VLOOKUP($A65&amp;"_"&amp;G$5,Database!$A:$F,6,0),"")</f>
        <v/>
      </c>
      <c r="H65" s="20" t="str">
        <f>IFERROR(VLOOKUP($A65&amp;"_"&amp;H$5,Database!$A:$F,6,0),"")</f>
        <v/>
      </c>
      <c r="I65" s="20" t="str">
        <f>IFERROR(VLOOKUP($A65&amp;"_"&amp;I$5,Database!$A:$F,6,0),"")</f>
        <v/>
      </c>
      <c r="J65" s="20" t="str">
        <f>IFERROR(VLOOKUP($A65&amp;"_"&amp;J$5,Database!$A:$F,6,0),"")</f>
        <v/>
      </c>
      <c r="K65" s="20" t="str">
        <f>IFERROR(VLOOKUP($A65&amp;"_"&amp;K$5,Database!$A:$F,6,0),"")</f>
        <v/>
      </c>
      <c r="L65" s="20" t="str">
        <f>IFERROR(VLOOKUP($A65&amp;"_"&amp;L$5,Database!$A:$F,6,0),"")</f>
        <v/>
      </c>
      <c r="M65" s="20" t="str">
        <f>IFERROR(VLOOKUP($A65&amp;"_"&amp;M$5,Database!$A:$F,6,0),"")</f>
        <v/>
      </c>
      <c r="N65" s="20" t="str">
        <f>IFERROR(VLOOKUP($A65&amp;"_"&amp;N$5,Database!$A:$F,6,0),"")</f>
        <v/>
      </c>
      <c r="O65" s="20" t="str">
        <f>IFERROR(VLOOKUP($A65&amp;"_"&amp;O$5,Database!$A:$F,6,0),"")</f>
        <v/>
      </c>
      <c r="P65" s="20" t="str">
        <f>IFERROR(VLOOKUP($A65&amp;"_"&amp;P$5,Database!$A:$F,6,0),"")</f>
        <v/>
      </c>
      <c r="Q65" s="20" t="str">
        <f>IFERROR(VLOOKUP($A65&amp;"_"&amp;Q$5,Database!$A:$F,6,0),"")</f>
        <v/>
      </c>
      <c r="R65" s="20" t="str">
        <f>IFERROR(VLOOKUP($A65&amp;"_"&amp;R$5,Database!$A:$F,6,0),"")</f>
        <v/>
      </c>
      <c r="S65" s="20" t="str">
        <f>IFERROR(VLOOKUP($A65&amp;"_"&amp;S$5,Database!$A:$F,6,0),"")</f>
        <v/>
      </c>
      <c r="T65" s="20" t="str">
        <f>IFERROR(VLOOKUP($A65&amp;"_"&amp;T$5,Database!$A:$F,6,0),"")</f>
        <v/>
      </c>
      <c r="U65" s="20" t="str">
        <f>IFERROR(VLOOKUP($A65&amp;"_"&amp;U$5,Database!$A:$F,6,0),"")</f>
        <v/>
      </c>
      <c r="V65" s="20" t="str">
        <f>IFERROR(VLOOKUP($A65&amp;"_"&amp;V$5,Database!$A:$F,6,0),"")</f>
        <v/>
      </c>
      <c r="W65" s="20" t="str">
        <f>IFERROR(VLOOKUP($A65&amp;"_"&amp;W$5,Database!$A:$F,6,0),"")</f>
        <v/>
      </c>
      <c r="X65" s="20" t="str">
        <f>IFERROR(VLOOKUP($A65&amp;"_"&amp;X$5,Database!$A:$F,6,0),"")</f>
        <v/>
      </c>
      <c r="Y65" s="20" t="str">
        <f>IFERROR(VLOOKUP($A65&amp;"_"&amp;Y$5,Database!$A:$F,6,0),"")</f>
        <v/>
      </c>
      <c r="Z65" s="20" t="str">
        <f>IFERROR(VLOOKUP($A65&amp;"_"&amp;Z$5,Database!$A:$F,6,0),"")</f>
        <v/>
      </c>
      <c r="AA65" s="20" t="str">
        <f>IFERROR(VLOOKUP($A65&amp;"_"&amp;AA$5,Database!$A:$F,6,0),"")</f>
        <v/>
      </c>
      <c r="AB65" s="20" t="str">
        <f>IFERROR(VLOOKUP($A65&amp;"_"&amp;AB$5,Database!$A:$F,6,0),"")</f>
        <v/>
      </c>
      <c r="AC65" s="20" t="str">
        <f>IFERROR(VLOOKUP($A65&amp;"_"&amp;AC$5,Database!$A:$F,6,0),"")</f>
        <v/>
      </c>
      <c r="AD65" s="20" t="str">
        <f>IFERROR(VLOOKUP($A65&amp;"_"&amp;AD$5,Database!$A:$F,6,0),"")</f>
        <v/>
      </c>
      <c r="AE65" s="20" t="str">
        <f>IFERROR(VLOOKUP($A65&amp;"_"&amp;AE$5,Database!$A:$F,6,0),"")</f>
        <v/>
      </c>
      <c r="AF65" s="20" t="str">
        <f>IFERROR(VLOOKUP($A65&amp;"_"&amp;AF$5,Database!$A:$F,6,0),"")</f>
        <v/>
      </c>
      <c r="AG65" s="20" t="str">
        <f>IFERROR(VLOOKUP($A65&amp;"_"&amp;AG$5,Database!$A:$F,6,0),"")</f>
        <v/>
      </c>
      <c r="AH65" s="20" t="str">
        <f>IFERROR(VLOOKUP($A65&amp;"_"&amp;AH$5,Database!$A:$F,6,0),"")</f>
        <v/>
      </c>
      <c r="AI65" s="20" t="str">
        <f>IFERROR(VLOOKUP($A65&amp;"_"&amp;AI$5,Database!$A:$F,6,0),"")</f>
        <v/>
      </c>
      <c r="AJ65" s="20" t="str">
        <f>IFERROR(VLOOKUP($A65&amp;"_"&amp;AJ$5,Database!$A:$F,6,0),"")</f>
        <v/>
      </c>
      <c r="AK65" s="20" t="str">
        <f>IFERROR(VLOOKUP($A65&amp;"_"&amp;AK$5,Database!$A:$F,6,0),"")</f>
        <v/>
      </c>
    </row>
    <row r="66" spans="1:37" x14ac:dyDescent="0.2">
      <c r="A66" s="17" t="str">
        <f>IF('Employee Master'!A62="","",'Employee Master'!A62)</f>
        <v/>
      </c>
      <c r="B66" s="18" t="str">
        <f>IF('Employee Master'!B62="","",'Employee Master'!B62)</f>
        <v/>
      </c>
      <c r="C66" s="18" t="str">
        <f>IF('Employee Master'!C62="","",'Employee Master'!C62)</f>
        <v/>
      </c>
      <c r="D66" s="19">
        <f t="shared" si="7"/>
        <v>0</v>
      </c>
      <c r="E66" s="19">
        <f t="shared" si="8"/>
        <v>0</v>
      </c>
      <c r="F66" s="19">
        <f t="shared" si="9"/>
        <v>0</v>
      </c>
      <c r="G66" s="20" t="str">
        <f>IFERROR(VLOOKUP($A66&amp;"_"&amp;G$5,Database!$A:$F,6,0),"")</f>
        <v/>
      </c>
      <c r="H66" s="20" t="str">
        <f>IFERROR(VLOOKUP($A66&amp;"_"&amp;H$5,Database!$A:$F,6,0),"")</f>
        <v/>
      </c>
      <c r="I66" s="20" t="str">
        <f>IFERROR(VLOOKUP($A66&amp;"_"&amp;I$5,Database!$A:$F,6,0),"")</f>
        <v/>
      </c>
      <c r="J66" s="20" t="str">
        <f>IFERROR(VLOOKUP($A66&amp;"_"&amp;J$5,Database!$A:$F,6,0),"")</f>
        <v/>
      </c>
      <c r="K66" s="20" t="str">
        <f>IFERROR(VLOOKUP($A66&amp;"_"&amp;K$5,Database!$A:$F,6,0),"")</f>
        <v/>
      </c>
      <c r="L66" s="20" t="str">
        <f>IFERROR(VLOOKUP($A66&amp;"_"&amp;L$5,Database!$A:$F,6,0),"")</f>
        <v/>
      </c>
      <c r="M66" s="20" t="str">
        <f>IFERROR(VLOOKUP($A66&amp;"_"&amp;M$5,Database!$A:$F,6,0),"")</f>
        <v/>
      </c>
      <c r="N66" s="20" t="str">
        <f>IFERROR(VLOOKUP($A66&amp;"_"&amp;N$5,Database!$A:$F,6,0),"")</f>
        <v/>
      </c>
      <c r="O66" s="20" t="str">
        <f>IFERROR(VLOOKUP($A66&amp;"_"&amp;O$5,Database!$A:$F,6,0),"")</f>
        <v/>
      </c>
      <c r="P66" s="20" t="str">
        <f>IFERROR(VLOOKUP($A66&amp;"_"&amp;P$5,Database!$A:$F,6,0),"")</f>
        <v/>
      </c>
      <c r="Q66" s="20" t="str">
        <f>IFERROR(VLOOKUP($A66&amp;"_"&amp;Q$5,Database!$A:$F,6,0),"")</f>
        <v/>
      </c>
      <c r="R66" s="20" t="str">
        <f>IFERROR(VLOOKUP($A66&amp;"_"&amp;R$5,Database!$A:$F,6,0),"")</f>
        <v/>
      </c>
      <c r="S66" s="20" t="str">
        <f>IFERROR(VLOOKUP($A66&amp;"_"&amp;S$5,Database!$A:$F,6,0),"")</f>
        <v/>
      </c>
      <c r="T66" s="20" t="str">
        <f>IFERROR(VLOOKUP($A66&amp;"_"&amp;T$5,Database!$A:$F,6,0),"")</f>
        <v/>
      </c>
      <c r="U66" s="20" t="str">
        <f>IFERROR(VLOOKUP($A66&amp;"_"&amp;U$5,Database!$A:$F,6,0),"")</f>
        <v/>
      </c>
      <c r="V66" s="20" t="str">
        <f>IFERROR(VLOOKUP($A66&amp;"_"&amp;V$5,Database!$A:$F,6,0),"")</f>
        <v/>
      </c>
      <c r="W66" s="20" t="str">
        <f>IFERROR(VLOOKUP($A66&amp;"_"&amp;W$5,Database!$A:$F,6,0),"")</f>
        <v/>
      </c>
      <c r="X66" s="20" t="str">
        <f>IFERROR(VLOOKUP($A66&amp;"_"&amp;X$5,Database!$A:$F,6,0),"")</f>
        <v/>
      </c>
      <c r="Y66" s="20" t="str">
        <f>IFERROR(VLOOKUP($A66&amp;"_"&amp;Y$5,Database!$A:$F,6,0),"")</f>
        <v/>
      </c>
      <c r="Z66" s="20" t="str">
        <f>IFERROR(VLOOKUP($A66&amp;"_"&amp;Z$5,Database!$A:$F,6,0),"")</f>
        <v/>
      </c>
      <c r="AA66" s="20" t="str">
        <f>IFERROR(VLOOKUP($A66&amp;"_"&amp;AA$5,Database!$A:$F,6,0),"")</f>
        <v/>
      </c>
      <c r="AB66" s="20" t="str">
        <f>IFERROR(VLOOKUP($A66&amp;"_"&amp;AB$5,Database!$A:$F,6,0),"")</f>
        <v/>
      </c>
      <c r="AC66" s="20" t="str">
        <f>IFERROR(VLOOKUP($A66&amp;"_"&amp;AC$5,Database!$A:$F,6,0),"")</f>
        <v/>
      </c>
      <c r="AD66" s="20" t="str">
        <f>IFERROR(VLOOKUP($A66&amp;"_"&amp;AD$5,Database!$A:$F,6,0),"")</f>
        <v/>
      </c>
      <c r="AE66" s="20" t="str">
        <f>IFERROR(VLOOKUP($A66&amp;"_"&amp;AE$5,Database!$A:$F,6,0),"")</f>
        <v/>
      </c>
      <c r="AF66" s="20" t="str">
        <f>IFERROR(VLOOKUP($A66&amp;"_"&amp;AF$5,Database!$A:$F,6,0),"")</f>
        <v/>
      </c>
      <c r="AG66" s="20" t="str">
        <f>IFERROR(VLOOKUP($A66&amp;"_"&amp;AG$5,Database!$A:$F,6,0),"")</f>
        <v/>
      </c>
      <c r="AH66" s="20" t="str">
        <f>IFERROR(VLOOKUP($A66&amp;"_"&amp;AH$5,Database!$A:$F,6,0),"")</f>
        <v/>
      </c>
      <c r="AI66" s="20" t="str">
        <f>IFERROR(VLOOKUP($A66&amp;"_"&amp;AI$5,Database!$A:$F,6,0),"")</f>
        <v/>
      </c>
      <c r="AJ66" s="20" t="str">
        <f>IFERROR(VLOOKUP($A66&amp;"_"&amp;AJ$5,Database!$A:$F,6,0),"")</f>
        <v/>
      </c>
      <c r="AK66" s="20" t="str">
        <f>IFERROR(VLOOKUP($A66&amp;"_"&amp;AK$5,Database!$A:$F,6,0),"")</f>
        <v/>
      </c>
    </row>
    <row r="67" spans="1:37" x14ac:dyDescent="0.2">
      <c r="A67" s="17" t="str">
        <f>IF('Employee Master'!A63="","",'Employee Master'!A63)</f>
        <v/>
      </c>
      <c r="B67" s="18" t="str">
        <f>IF('Employee Master'!B63="","",'Employee Master'!B63)</f>
        <v/>
      </c>
      <c r="C67" s="18" t="str">
        <f>IF('Employee Master'!C63="","",'Employee Master'!C63)</f>
        <v/>
      </c>
      <c r="D67" s="19">
        <f t="shared" si="7"/>
        <v>0</v>
      </c>
      <c r="E67" s="19">
        <f t="shared" si="8"/>
        <v>0</v>
      </c>
      <c r="F67" s="19">
        <f t="shared" si="9"/>
        <v>0</v>
      </c>
      <c r="G67" s="20" t="str">
        <f>IFERROR(VLOOKUP($A67&amp;"_"&amp;G$5,Database!$A:$F,6,0),"")</f>
        <v/>
      </c>
      <c r="H67" s="20" t="str">
        <f>IFERROR(VLOOKUP($A67&amp;"_"&amp;H$5,Database!$A:$F,6,0),"")</f>
        <v/>
      </c>
      <c r="I67" s="20" t="str">
        <f>IFERROR(VLOOKUP($A67&amp;"_"&amp;I$5,Database!$A:$F,6,0),"")</f>
        <v/>
      </c>
      <c r="J67" s="20" t="str">
        <f>IFERROR(VLOOKUP($A67&amp;"_"&amp;J$5,Database!$A:$F,6,0),"")</f>
        <v/>
      </c>
      <c r="K67" s="20" t="str">
        <f>IFERROR(VLOOKUP($A67&amp;"_"&amp;K$5,Database!$A:$F,6,0),"")</f>
        <v/>
      </c>
      <c r="L67" s="20" t="str">
        <f>IFERROR(VLOOKUP($A67&amp;"_"&amp;L$5,Database!$A:$F,6,0),"")</f>
        <v/>
      </c>
      <c r="M67" s="20" t="str">
        <f>IFERROR(VLOOKUP($A67&amp;"_"&amp;M$5,Database!$A:$F,6,0),"")</f>
        <v/>
      </c>
      <c r="N67" s="20" t="str">
        <f>IFERROR(VLOOKUP($A67&amp;"_"&amp;N$5,Database!$A:$F,6,0),"")</f>
        <v/>
      </c>
      <c r="O67" s="20" t="str">
        <f>IFERROR(VLOOKUP($A67&amp;"_"&amp;O$5,Database!$A:$F,6,0),"")</f>
        <v/>
      </c>
      <c r="P67" s="20" t="str">
        <f>IFERROR(VLOOKUP($A67&amp;"_"&amp;P$5,Database!$A:$F,6,0),"")</f>
        <v/>
      </c>
      <c r="Q67" s="20" t="str">
        <f>IFERROR(VLOOKUP($A67&amp;"_"&amp;Q$5,Database!$A:$F,6,0),"")</f>
        <v/>
      </c>
      <c r="R67" s="20" t="str">
        <f>IFERROR(VLOOKUP($A67&amp;"_"&amp;R$5,Database!$A:$F,6,0),"")</f>
        <v/>
      </c>
      <c r="S67" s="20" t="str">
        <f>IFERROR(VLOOKUP($A67&amp;"_"&amp;S$5,Database!$A:$F,6,0),"")</f>
        <v/>
      </c>
      <c r="T67" s="20" t="str">
        <f>IFERROR(VLOOKUP($A67&amp;"_"&amp;T$5,Database!$A:$F,6,0),"")</f>
        <v/>
      </c>
      <c r="U67" s="20" t="str">
        <f>IFERROR(VLOOKUP($A67&amp;"_"&amp;U$5,Database!$A:$F,6,0),"")</f>
        <v/>
      </c>
      <c r="V67" s="20" t="str">
        <f>IFERROR(VLOOKUP($A67&amp;"_"&amp;V$5,Database!$A:$F,6,0),"")</f>
        <v/>
      </c>
      <c r="W67" s="20" t="str">
        <f>IFERROR(VLOOKUP($A67&amp;"_"&amp;W$5,Database!$A:$F,6,0),"")</f>
        <v/>
      </c>
      <c r="X67" s="20" t="str">
        <f>IFERROR(VLOOKUP($A67&amp;"_"&amp;X$5,Database!$A:$F,6,0),"")</f>
        <v/>
      </c>
      <c r="Y67" s="20" t="str">
        <f>IFERROR(VLOOKUP($A67&amp;"_"&amp;Y$5,Database!$A:$F,6,0),"")</f>
        <v/>
      </c>
      <c r="Z67" s="20" t="str">
        <f>IFERROR(VLOOKUP($A67&amp;"_"&amp;Z$5,Database!$A:$F,6,0),"")</f>
        <v/>
      </c>
      <c r="AA67" s="20" t="str">
        <f>IFERROR(VLOOKUP($A67&amp;"_"&amp;AA$5,Database!$A:$F,6,0),"")</f>
        <v/>
      </c>
      <c r="AB67" s="20" t="str">
        <f>IFERROR(VLOOKUP($A67&amp;"_"&amp;AB$5,Database!$A:$F,6,0),"")</f>
        <v/>
      </c>
      <c r="AC67" s="20" t="str">
        <f>IFERROR(VLOOKUP($A67&amp;"_"&amp;AC$5,Database!$A:$F,6,0),"")</f>
        <v/>
      </c>
      <c r="AD67" s="20" t="str">
        <f>IFERROR(VLOOKUP($A67&amp;"_"&amp;AD$5,Database!$A:$F,6,0),"")</f>
        <v/>
      </c>
      <c r="AE67" s="20" t="str">
        <f>IFERROR(VLOOKUP($A67&amp;"_"&amp;AE$5,Database!$A:$F,6,0),"")</f>
        <v/>
      </c>
      <c r="AF67" s="20" t="str">
        <f>IFERROR(VLOOKUP($A67&amp;"_"&amp;AF$5,Database!$A:$F,6,0),"")</f>
        <v/>
      </c>
      <c r="AG67" s="20" t="str">
        <f>IFERROR(VLOOKUP($A67&amp;"_"&amp;AG$5,Database!$A:$F,6,0),"")</f>
        <v/>
      </c>
      <c r="AH67" s="20" t="str">
        <f>IFERROR(VLOOKUP($A67&amp;"_"&amp;AH$5,Database!$A:$F,6,0),"")</f>
        <v/>
      </c>
      <c r="AI67" s="20" t="str">
        <f>IFERROR(VLOOKUP($A67&amp;"_"&amp;AI$5,Database!$A:$F,6,0),"")</f>
        <v/>
      </c>
      <c r="AJ67" s="20" t="str">
        <f>IFERROR(VLOOKUP($A67&amp;"_"&amp;AJ$5,Database!$A:$F,6,0),"")</f>
        <v/>
      </c>
      <c r="AK67" s="20" t="str">
        <f>IFERROR(VLOOKUP($A67&amp;"_"&amp;AK$5,Database!$A:$F,6,0),"")</f>
        <v/>
      </c>
    </row>
    <row r="68" spans="1:37" x14ac:dyDescent="0.2">
      <c r="A68" s="17" t="str">
        <f>IF('Employee Master'!A64="","",'Employee Master'!A64)</f>
        <v/>
      </c>
      <c r="B68" s="18" t="str">
        <f>IF('Employee Master'!B64="","",'Employee Master'!B64)</f>
        <v/>
      </c>
      <c r="C68" s="18" t="str">
        <f>IF('Employee Master'!C64="","",'Employee Master'!C64)</f>
        <v/>
      </c>
      <c r="D68" s="19">
        <f t="shared" si="7"/>
        <v>0</v>
      </c>
      <c r="E68" s="19">
        <f t="shared" si="8"/>
        <v>0</v>
      </c>
      <c r="F68" s="19">
        <f t="shared" si="9"/>
        <v>0</v>
      </c>
      <c r="G68" s="20" t="str">
        <f>IFERROR(VLOOKUP($A68&amp;"_"&amp;G$5,Database!$A:$F,6,0),"")</f>
        <v/>
      </c>
      <c r="H68" s="20" t="str">
        <f>IFERROR(VLOOKUP($A68&amp;"_"&amp;H$5,Database!$A:$F,6,0),"")</f>
        <v/>
      </c>
      <c r="I68" s="20" t="str">
        <f>IFERROR(VLOOKUP($A68&amp;"_"&amp;I$5,Database!$A:$F,6,0),"")</f>
        <v/>
      </c>
      <c r="J68" s="20" t="str">
        <f>IFERROR(VLOOKUP($A68&amp;"_"&amp;J$5,Database!$A:$F,6,0),"")</f>
        <v/>
      </c>
      <c r="K68" s="20" t="str">
        <f>IFERROR(VLOOKUP($A68&amp;"_"&amp;K$5,Database!$A:$F,6,0),"")</f>
        <v/>
      </c>
      <c r="L68" s="20" t="str">
        <f>IFERROR(VLOOKUP($A68&amp;"_"&amp;L$5,Database!$A:$F,6,0),"")</f>
        <v/>
      </c>
      <c r="M68" s="20" t="str">
        <f>IFERROR(VLOOKUP($A68&amp;"_"&amp;M$5,Database!$A:$F,6,0),"")</f>
        <v/>
      </c>
      <c r="N68" s="20" t="str">
        <f>IFERROR(VLOOKUP($A68&amp;"_"&amp;N$5,Database!$A:$F,6,0),"")</f>
        <v/>
      </c>
      <c r="O68" s="20" t="str">
        <f>IFERROR(VLOOKUP($A68&amp;"_"&amp;O$5,Database!$A:$F,6,0),"")</f>
        <v/>
      </c>
      <c r="P68" s="20" t="str">
        <f>IFERROR(VLOOKUP($A68&amp;"_"&amp;P$5,Database!$A:$F,6,0),"")</f>
        <v/>
      </c>
      <c r="Q68" s="20" t="str">
        <f>IFERROR(VLOOKUP($A68&amp;"_"&amp;Q$5,Database!$A:$F,6,0),"")</f>
        <v/>
      </c>
      <c r="R68" s="20" t="str">
        <f>IFERROR(VLOOKUP($A68&amp;"_"&amp;R$5,Database!$A:$F,6,0),"")</f>
        <v/>
      </c>
      <c r="S68" s="20" t="str">
        <f>IFERROR(VLOOKUP($A68&amp;"_"&amp;S$5,Database!$A:$F,6,0),"")</f>
        <v/>
      </c>
      <c r="T68" s="20" t="str">
        <f>IFERROR(VLOOKUP($A68&amp;"_"&amp;T$5,Database!$A:$F,6,0),"")</f>
        <v/>
      </c>
      <c r="U68" s="20" t="str">
        <f>IFERROR(VLOOKUP($A68&amp;"_"&amp;U$5,Database!$A:$F,6,0),"")</f>
        <v/>
      </c>
      <c r="V68" s="20" t="str">
        <f>IFERROR(VLOOKUP($A68&amp;"_"&amp;V$5,Database!$A:$F,6,0),"")</f>
        <v/>
      </c>
      <c r="W68" s="20" t="str">
        <f>IFERROR(VLOOKUP($A68&amp;"_"&amp;W$5,Database!$A:$F,6,0),"")</f>
        <v/>
      </c>
      <c r="X68" s="20" t="str">
        <f>IFERROR(VLOOKUP($A68&amp;"_"&amp;X$5,Database!$A:$F,6,0),"")</f>
        <v/>
      </c>
      <c r="Y68" s="20" t="str">
        <f>IFERROR(VLOOKUP($A68&amp;"_"&amp;Y$5,Database!$A:$F,6,0),"")</f>
        <v/>
      </c>
      <c r="Z68" s="20" t="str">
        <f>IFERROR(VLOOKUP($A68&amp;"_"&amp;Z$5,Database!$A:$F,6,0),"")</f>
        <v/>
      </c>
      <c r="AA68" s="20" t="str">
        <f>IFERROR(VLOOKUP($A68&amp;"_"&amp;AA$5,Database!$A:$F,6,0),"")</f>
        <v/>
      </c>
      <c r="AB68" s="20" t="str">
        <f>IFERROR(VLOOKUP($A68&amp;"_"&amp;AB$5,Database!$A:$F,6,0),"")</f>
        <v/>
      </c>
      <c r="AC68" s="20" t="str">
        <f>IFERROR(VLOOKUP($A68&amp;"_"&amp;AC$5,Database!$A:$F,6,0),"")</f>
        <v/>
      </c>
      <c r="AD68" s="20" t="str">
        <f>IFERROR(VLOOKUP($A68&amp;"_"&amp;AD$5,Database!$A:$F,6,0),"")</f>
        <v/>
      </c>
      <c r="AE68" s="20" t="str">
        <f>IFERROR(VLOOKUP($A68&amp;"_"&amp;AE$5,Database!$A:$F,6,0),"")</f>
        <v/>
      </c>
      <c r="AF68" s="20" t="str">
        <f>IFERROR(VLOOKUP($A68&amp;"_"&amp;AF$5,Database!$A:$F,6,0),"")</f>
        <v/>
      </c>
      <c r="AG68" s="20" t="str">
        <f>IFERROR(VLOOKUP($A68&amp;"_"&amp;AG$5,Database!$A:$F,6,0),"")</f>
        <v/>
      </c>
      <c r="AH68" s="20" t="str">
        <f>IFERROR(VLOOKUP($A68&amp;"_"&amp;AH$5,Database!$A:$F,6,0),"")</f>
        <v/>
      </c>
      <c r="AI68" s="20" t="str">
        <f>IFERROR(VLOOKUP($A68&amp;"_"&amp;AI$5,Database!$A:$F,6,0),"")</f>
        <v/>
      </c>
      <c r="AJ68" s="20" t="str">
        <f>IFERROR(VLOOKUP($A68&amp;"_"&amp;AJ$5,Database!$A:$F,6,0),"")</f>
        <v/>
      </c>
      <c r="AK68" s="20" t="str">
        <f>IFERROR(VLOOKUP($A68&amp;"_"&amp;AK$5,Database!$A:$F,6,0),"")</f>
        <v/>
      </c>
    </row>
    <row r="69" spans="1:37" x14ac:dyDescent="0.2">
      <c r="A69" s="17" t="str">
        <f>IF('Employee Master'!A65="","",'Employee Master'!A65)</f>
        <v/>
      </c>
      <c r="B69" s="18" t="str">
        <f>IF('Employee Master'!B65="","",'Employee Master'!B65)</f>
        <v/>
      </c>
      <c r="C69" s="18" t="str">
        <f>IF('Employee Master'!C65="","",'Employee Master'!C65)</f>
        <v/>
      </c>
      <c r="D69" s="19">
        <f t="shared" si="7"/>
        <v>0</v>
      </c>
      <c r="E69" s="19">
        <f t="shared" si="8"/>
        <v>0</v>
      </c>
      <c r="F69" s="19">
        <f t="shared" si="9"/>
        <v>0</v>
      </c>
      <c r="G69" s="20" t="str">
        <f>IFERROR(VLOOKUP($A69&amp;"_"&amp;G$5,Database!$A:$F,6,0),"")</f>
        <v/>
      </c>
      <c r="H69" s="20" t="str">
        <f>IFERROR(VLOOKUP($A69&amp;"_"&amp;H$5,Database!$A:$F,6,0),"")</f>
        <v/>
      </c>
      <c r="I69" s="20" t="str">
        <f>IFERROR(VLOOKUP($A69&amp;"_"&amp;I$5,Database!$A:$F,6,0),"")</f>
        <v/>
      </c>
      <c r="J69" s="20" t="str">
        <f>IFERROR(VLOOKUP($A69&amp;"_"&amp;J$5,Database!$A:$F,6,0),"")</f>
        <v/>
      </c>
      <c r="K69" s="20" t="str">
        <f>IFERROR(VLOOKUP($A69&amp;"_"&amp;K$5,Database!$A:$F,6,0),"")</f>
        <v/>
      </c>
      <c r="L69" s="20" t="str">
        <f>IFERROR(VLOOKUP($A69&amp;"_"&amp;L$5,Database!$A:$F,6,0),"")</f>
        <v/>
      </c>
      <c r="M69" s="20" t="str">
        <f>IFERROR(VLOOKUP($A69&amp;"_"&amp;M$5,Database!$A:$F,6,0),"")</f>
        <v/>
      </c>
      <c r="N69" s="20" t="str">
        <f>IFERROR(VLOOKUP($A69&amp;"_"&amp;N$5,Database!$A:$F,6,0),"")</f>
        <v/>
      </c>
      <c r="O69" s="20" t="str">
        <f>IFERROR(VLOOKUP($A69&amp;"_"&amp;O$5,Database!$A:$F,6,0),"")</f>
        <v/>
      </c>
      <c r="P69" s="20" t="str">
        <f>IFERROR(VLOOKUP($A69&amp;"_"&amp;P$5,Database!$A:$F,6,0),"")</f>
        <v/>
      </c>
      <c r="Q69" s="20" t="str">
        <f>IFERROR(VLOOKUP($A69&amp;"_"&amp;Q$5,Database!$A:$F,6,0),"")</f>
        <v/>
      </c>
      <c r="R69" s="20" t="str">
        <f>IFERROR(VLOOKUP($A69&amp;"_"&amp;R$5,Database!$A:$F,6,0),"")</f>
        <v/>
      </c>
      <c r="S69" s="20" t="str">
        <f>IFERROR(VLOOKUP($A69&amp;"_"&amp;S$5,Database!$A:$F,6,0),"")</f>
        <v/>
      </c>
      <c r="T69" s="20" t="str">
        <f>IFERROR(VLOOKUP($A69&amp;"_"&amp;T$5,Database!$A:$F,6,0),"")</f>
        <v/>
      </c>
      <c r="U69" s="20" t="str">
        <f>IFERROR(VLOOKUP($A69&amp;"_"&amp;U$5,Database!$A:$F,6,0),"")</f>
        <v/>
      </c>
      <c r="V69" s="20" t="str">
        <f>IFERROR(VLOOKUP($A69&amp;"_"&amp;V$5,Database!$A:$F,6,0),"")</f>
        <v/>
      </c>
      <c r="W69" s="20" t="str">
        <f>IFERROR(VLOOKUP($A69&amp;"_"&amp;W$5,Database!$A:$F,6,0),"")</f>
        <v/>
      </c>
      <c r="X69" s="20" t="str">
        <f>IFERROR(VLOOKUP($A69&amp;"_"&amp;X$5,Database!$A:$F,6,0),"")</f>
        <v/>
      </c>
      <c r="Y69" s="20" t="str">
        <f>IFERROR(VLOOKUP($A69&amp;"_"&amp;Y$5,Database!$A:$F,6,0),"")</f>
        <v/>
      </c>
      <c r="Z69" s="20" t="str">
        <f>IFERROR(VLOOKUP($A69&amp;"_"&amp;Z$5,Database!$A:$F,6,0),"")</f>
        <v/>
      </c>
      <c r="AA69" s="20" t="str">
        <f>IFERROR(VLOOKUP($A69&amp;"_"&amp;AA$5,Database!$A:$F,6,0),"")</f>
        <v/>
      </c>
      <c r="AB69" s="20" t="str">
        <f>IFERROR(VLOOKUP($A69&amp;"_"&amp;AB$5,Database!$A:$F,6,0),"")</f>
        <v/>
      </c>
      <c r="AC69" s="20" t="str">
        <f>IFERROR(VLOOKUP($A69&amp;"_"&amp;AC$5,Database!$A:$F,6,0),"")</f>
        <v/>
      </c>
      <c r="AD69" s="20" t="str">
        <f>IFERROR(VLOOKUP($A69&amp;"_"&amp;AD$5,Database!$A:$F,6,0),"")</f>
        <v/>
      </c>
      <c r="AE69" s="20" t="str">
        <f>IFERROR(VLOOKUP($A69&amp;"_"&amp;AE$5,Database!$A:$F,6,0),"")</f>
        <v/>
      </c>
      <c r="AF69" s="20" t="str">
        <f>IFERROR(VLOOKUP($A69&amp;"_"&amp;AF$5,Database!$A:$F,6,0),"")</f>
        <v/>
      </c>
      <c r="AG69" s="20" t="str">
        <f>IFERROR(VLOOKUP($A69&amp;"_"&amp;AG$5,Database!$A:$F,6,0),"")</f>
        <v/>
      </c>
      <c r="AH69" s="20" t="str">
        <f>IFERROR(VLOOKUP($A69&amp;"_"&amp;AH$5,Database!$A:$F,6,0),"")</f>
        <v/>
      </c>
      <c r="AI69" s="20" t="str">
        <f>IFERROR(VLOOKUP($A69&amp;"_"&amp;AI$5,Database!$A:$F,6,0),"")</f>
        <v/>
      </c>
      <c r="AJ69" s="20" t="str">
        <f>IFERROR(VLOOKUP($A69&amp;"_"&amp;AJ$5,Database!$A:$F,6,0),"")</f>
        <v/>
      </c>
      <c r="AK69" s="20" t="str">
        <f>IFERROR(VLOOKUP($A69&amp;"_"&amp;AK$5,Database!$A:$F,6,0),"")</f>
        <v/>
      </c>
    </row>
    <row r="70" spans="1:37" x14ac:dyDescent="0.2">
      <c r="A70" s="17" t="str">
        <f>IF('Employee Master'!A66="","",'Employee Master'!A66)</f>
        <v/>
      </c>
      <c r="B70" s="18" t="str">
        <f>IF('Employee Master'!B66="","",'Employee Master'!B66)</f>
        <v/>
      </c>
      <c r="C70" s="18" t="str">
        <f>IF('Employee Master'!C66="","",'Employee Master'!C66)</f>
        <v/>
      </c>
      <c r="D70" s="19">
        <f t="shared" si="7"/>
        <v>0</v>
      </c>
      <c r="E70" s="19">
        <f t="shared" si="8"/>
        <v>0</v>
      </c>
      <c r="F70" s="19">
        <f t="shared" si="9"/>
        <v>0</v>
      </c>
      <c r="G70" s="20" t="str">
        <f>IFERROR(VLOOKUP($A70&amp;"_"&amp;G$5,Database!$A:$F,6,0),"")</f>
        <v/>
      </c>
      <c r="H70" s="20" t="str">
        <f>IFERROR(VLOOKUP($A70&amp;"_"&amp;H$5,Database!$A:$F,6,0),"")</f>
        <v/>
      </c>
      <c r="I70" s="20" t="str">
        <f>IFERROR(VLOOKUP($A70&amp;"_"&amp;I$5,Database!$A:$F,6,0),"")</f>
        <v/>
      </c>
      <c r="J70" s="20" t="str">
        <f>IFERROR(VLOOKUP($A70&amp;"_"&amp;J$5,Database!$A:$F,6,0),"")</f>
        <v/>
      </c>
      <c r="K70" s="20" t="str">
        <f>IFERROR(VLOOKUP($A70&amp;"_"&amp;K$5,Database!$A:$F,6,0),"")</f>
        <v/>
      </c>
      <c r="L70" s="20" t="str">
        <f>IFERROR(VLOOKUP($A70&amp;"_"&amp;L$5,Database!$A:$F,6,0),"")</f>
        <v/>
      </c>
      <c r="M70" s="20" t="str">
        <f>IFERROR(VLOOKUP($A70&amp;"_"&amp;M$5,Database!$A:$F,6,0),"")</f>
        <v/>
      </c>
      <c r="N70" s="20" t="str">
        <f>IFERROR(VLOOKUP($A70&amp;"_"&amp;N$5,Database!$A:$F,6,0),"")</f>
        <v/>
      </c>
      <c r="O70" s="20" t="str">
        <f>IFERROR(VLOOKUP($A70&amp;"_"&amp;O$5,Database!$A:$F,6,0),"")</f>
        <v/>
      </c>
      <c r="P70" s="20" t="str">
        <f>IFERROR(VLOOKUP($A70&amp;"_"&amp;P$5,Database!$A:$F,6,0),"")</f>
        <v/>
      </c>
      <c r="Q70" s="20" t="str">
        <f>IFERROR(VLOOKUP($A70&amp;"_"&amp;Q$5,Database!$A:$F,6,0),"")</f>
        <v/>
      </c>
      <c r="R70" s="20" t="str">
        <f>IFERROR(VLOOKUP($A70&amp;"_"&amp;R$5,Database!$A:$F,6,0),"")</f>
        <v/>
      </c>
      <c r="S70" s="20" t="str">
        <f>IFERROR(VLOOKUP($A70&amp;"_"&amp;S$5,Database!$A:$F,6,0),"")</f>
        <v/>
      </c>
      <c r="T70" s="20" t="str">
        <f>IFERROR(VLOOKUP($A70&amp;"_"&amp;T$5,Database!$A:$F,6,0),"")</f>
        <v/>
      </c>
      <c r="U70" s="20" t="str">
        <f>IFERROR(VLOOKUP($A70&amp;"_"&amp;U$5,Database!$A:$F,6,0),"")</f>
        <v/>
      </c>
      <c r="V70" s="20" t="str">
        <f>IFERROR(VLOOKUP($A70&amp;"_"&amp;V$5,Database!$A:$F,6,0),"")</f>
        <v/>
      </c>
      <c r="W70" s="20" t="str">
        <f>IFERROR(VLOOKUP($A70&amp;"_"&amp;W$5,Database!$A:$F,6,0),"")</f>
        <v/>
      </c>
      <c r="X70" s="20" t="str">
        <f>IFERROR(VLOOKUP($A70&amp;"_"&amp;X$5,Database!$A:$F,6,0),"")</f>
        <v/>
      </c>
      <c r="Y70" s="20" t="str">
        <f>IFERROR(VLOOKUP($A70&amp;"_"&amp;Y$5,Database!$A:$F,6,0),"")</f>
        <v/>
      </c>
      <c r="Z70" s="20" t="str">
        <f>IFERROR(VLOOKUP($A70&amp;"_"&amp;Z$5,Database!$A:$F,6,0),"")</f>
        <v/>
      </c>
      <c r="AA70" s="20" t="str">
        <f>IFERROR(VLOOKUP($A70&amp;"_"&amp;AA$5,Database!$A:$F,6,0),"")</f>
        <v/>
      </c>
      <c r="AB70" s="20" t="str">
        <f>IFERROR(VLOOKUP($A70&amp;"_"&amp;AB$5,Database!$A:$F,6,0),"")</f>
        <v/>
      </c>
      <c r="AC70" s="20" t="str">
        <f>IFERROR(VLOOKUP($A70&amp;"_"&amp;AC$5,Database!$A:$F,6,0),"")</f>
        <v/>
      </c>
      <c r="AD70" s="20" t="str">
        <f>IFERROR(VLOOKUP($A70&amp;"_"&amp;AD$5,Database!$A:$F,6,0),"")</f>
        <v/>
      </c>
      <c r="AE70" s="20" t="str">
        <f>IFERROR(VLOOKUP($A70&amp;"_"&amp;AE$5,Database!$A:$F,6,0),"")</f>
        <v/>
      </c>
      <c r="AF70" s="20" t="str">
        <f>IFERROR(VLOOKUP($A70&amp;"_"&amp;AF$5,Database!$A:$F,6,0),"")</f>
        <v/>
      </c>
      <c r="AG70" s="20" t="str">
        <f>IFERROR(VLOOKUP($A70&amp;"_"&amp;AG$5,Database!$A:$F,6,0),"")</f>
        <v/>
      </c>
      <c r="AH70" s="20" t="str">
        <f>IFERROR(VLOOKUP($A70&amp;"_"&amp;AH$5,Database!$A:$F,6,0),"")</f>
        <v/>
      </c>
      <c r="AI70" s="20" t="str">
        <f>IFERROR(VLOOKUP($A70&amp;"_"&amp;AI$5,Database!$A:$F,6,0),"")</f>
        <v/>
      </c>
      <c r="AJ70" s="20" t="str">
        <f>IFERROR(VLOOKUP($A70&amp;"_"&amp;AJ$5,Database!$A:$F,6,0),"")</f>
        <v/>
      </c>
      <c r="AK70" s="20" t="str">
        <f>IFERROR(VLOOKUP($A70&amp;"_"&amp;AK$5,Database!$A:$F,6,0),"")</f>
        <v/>
      </c>
    </row>
    <row r="71" spans="1:37" x14ac:dyDescent="0.2">
      <c r="A71" s="17" t="str">
        <f>IF('Employee Master'!A67="","",'Employee Master'!A67)</f>
        <v/>
      </c>
      <c r="B71" s="18" t="str">
        <f>IF('Employee Master'!B67="","",'Employee Master'!B67)</f>
        <v/>
      </c>
      <c r="C71" s="18" t="str">
        <f>IF('Employee Master'!C67="","",'Employee Master'!C67)</f>
        <v/>
      </c>
      <c r="D71" s="19">
        <f t="shared" si="7"/>
        <v>0</v>
      </c>
      <c r="E71" s="19">
        <f t="shared" si="8"/>
        <v>0</v>
      </c>
      <c r="F71" s="19">
        <f t="shared" si="9"/>
        <v>0</v>
      </c>
      <c r="G71" s="20" t="str">
        <f>IFERROR(VLOOKUP($A71&amp;"_"&amp;G$5,Database!$A:$F,6,0),"")</f>
        <v/>
      </c>
      <c r="H71" s="20" t="str">
        <f>IFERROR(VLOOKUP($A71&amp;"_"&amp;H$5,Database!$A:$F,6,0),"")</f>
        <v/>
      </c>
      <c r="I71" s="20" t="str">
        <f>IFERROR(VLOOKUP($A71&amp;"_"&amp;I$5,Database!$A:$F,6,0),"")</f>
        <v/>
      </c>
      <c r="J71" s="20" t="str">
        <f>IFERROR(VLOOKUP($A71&amp;"_"&amp;J$5,Database!$A:$F,6,0),"")</f>
        <v/>
      </c>
      <c r="K71" s="20" t="str">
        <f>IFERROR(VLOOKUP($A71&amp;"_"&amp;K$5,Database!$A:$F,6,0),"")</f>
        <v/>
      </c>
      <c r="L71" s="20" t="str">
        <f>IFERROR(VLOOKUP($A71&amp;"_"&amp;L$5,Database!$A:$F,6,0),"")</f>
        <v/>
      </c>
      <c r="M71" s="20" t="str">
        <f>IFERROR(VLOOKUP($A71&amp;"_"&amp;M$5,Database!$A:$F,6,0),"")</f>
        <v/>
      </c>
      <c r="N71" s="20" t="str">
        <f>IFERROR(VLOOKUP($A71&amp;"_"&amp;N$5,Database!$A:$F,6,0),"")</f>
        <v/>
      </c>
      <c r="O71" s="20" t="str">
        <f>IFERROR(VLOOKUP($A71&amp;"_"&amp;O$5,Database!$A:$F,6,0),"")</f>
        <v/>
      </c>
      <c r="P71" s="20" t="str">
        <f>IFERROR(VLOOKUP($A71&amp;"_"&amp;P$5,Database!$A:$F,6,0),"")</f>
        <v/>
      </c>
      <c r="Q71" s="20" t="str">
        <f>IFERROR(VLOOKUP($A71&amp;"_"&amp;Q$5,Database!$A:$F,6,0),"")</f>
        <v/>
      </c>
      <c r="R71" s="20" t="str">
        <f>IFERROR(VLOOKUP($A71&amp;"_"&amp;R$5,Database!$A:$F,6,0),"")</f>
        <v/>
      </c>
      <c r="S71" s="20" t="str">
        <f>IFERROR(VLOOKUP($A71&amp;"_"&amp;S$5,Database!$A:$F,6,0),"")</f>
        <v/>
      </c>
      <c r="T71" s="20" t="str">
        <f>IFERROR(VLOOKUP($A71&amp;"_"&amp;T$5,Database!$A:$F,6,0),"")</f>
        <v/>
      </c>
      <c r="U71" s="20" t="str">
        <f>IFERROR(VLOOKUP($A71&amp;"_"&amp;U$5,Database!$A:$F,6,0),"")</f>
        <v/>
      </c>
      <c r="V71" s="20" t="str">
        <f>IFERROR(VLOOKUP($A71&amp;"_"&amp;V$5,Database!$A:$F,6,0),"")</f>
        <v/>
      </c>
      <c r="W71" s="20" t="str">
        <f>IFERROR(VLOOKUP($A71&amp;"_"&amp;W$5,Database!$A:$F,6,0),"")</f>
        <v/>
      </c>
      <c r="X71" s="20" t="str">
        <f>IFERROR(VLOOKUP($A71&amp;"_"&amp;X$5,Database!$A:$F,6,0),"")</f>
        <v/>
      </c>
      <c r="Y71" s="20" t="str">
        <f>IFERROR(VLOOKUP($A71&amp;"_"&amp;Y$5,Database!$A:$F,6,0),"")</f>
        <v/>
      </c>
      <c r="Z71" s="20" t="str">
        <f>IFERROR(VLOOKUP($A71&amp;"_"&amp;Z$5,Database!$A:$F,6,0),"")</f>
        <v/>
      </c>
      <c r="AA71" s="20" t="str">
        <f>IFERROR(VLOOKUP($A71&amp;"_"&amp;AA$5,Database!$A:$F,6,0),"")</f>
        <v/>
      </c>
      <c r="AB71" s="20" t="str">
        <f>IFERROR(VLOOKUP($A71&amp;"_"&amp;AB$5,Database!$A:$F,6,0),"")</f>
        <v/>
      </c>
      <c r="AC71" s="20" t="str">
        <f>IFERROR(VLOOKUP($A71&amp;"_"&amp;AC$5,Database!$A:$F,6,0),"")</f>
        <v/>
      </c>
      <c r="AD71" s="20" t="str">
        <f>IFERROR(VLOOKUP($A71&amp;"_"&amp;AD$5,Database!$A:$F,6,0),"")</f>
        <v/>
      </c>
      <c r="AE71" s="20" t="str">
        <f>IFERROR(VLOOKUP($A71&amp;"_"&amp;AE$5,Database!$A:$F,6,0),"")</f>
        <v/>
      </c>
      <c r="AF71" s="20" t="str">
        <f>IFERROR(VLOOKUP($A71&amp;"_"&amp;AF$5,Database!$A:$F,6,0),"")</f>
        <v/>
      </c>
      <c r="AG71" s="20" t="str">
        <f>IFERROR(VLOOKUP($A71&amp;"_"&amp;AG$5,Database!$A:$F,6,0),"")</f>
        <v/>
      </c>
      <c r="AH71" s="20" t="str">
        <f>IFERROR(VLOOKUP($A71&amp;"_"&amp;AH$5,Database!$A:$F,6,0),"")</f>
        <v/>
      </c>
      <c r="AI71" s="20" t="str">
        <f>IFERROR(VLOOKUP($A71&amp;"_"&amp;AI$5,Database!$A:$F,6,0),"")</f>
        <v/>
      </c>
      <c r="AJ71" s="20" t="str">
        <f>IFERROR(VLOOKUP($A71&amp;"_"&amp;AJ$5,Database!$A:$F,6,0),"")</f>
        <v/>
      </c>
      <c r="AK71" s="20" t="str">
        <f>IFERROR(VLOOKUP($A71&amp;"_"&amp;AK$5,Database!$A:$F,6,0),"")</f>
        <v/>
      </c>
    </row>
    <row r="72" spans="1:37" x14ac:dyDescent="0.2">
      <c r="A72" s="17" t="str">
        <f>IF('Employee Master'!A68="","",'Employee Master'!A68)</f>
        <v/>
      </c>
      <c r="B72" s="18" t="str">
        <f>IF('Employee Master'!B68="","",'Employee Master'!B68)</f>
        <v/>
      </c>
      <c r="C72" s="18" t="str">
        <f>IF('Employee Master'!C68="","",'Employee Master'!C68)</f>
        <v/>
      </c>
      <c r="D72" s="19">
        <f t="shared" si="7"/>
        <v>0</v>
      </c>
      <c r="E72" s="19">
        <f t="shared" si="8"/>
        <v>0</v>
      </c>
      <c r="F72" s="19">
        <f t="shared" si="9"/>
        <v>0</v>
      </c>
      <c r="G72" s="20" t="str">
        <f>IFERROR(VLOOKUP($A72&amp;"_"&amp;G$5,Database!$A:$F,6,0),"")</f>
        <v/>
      </c>
      <c r="H72" s="20" t="str">
        <f>IFERROR(VLOOKUP($A72&amp;"_"&amp;H$5,Database!$A:$F,6,0),"")</f>
        <v/>
      </c>
      <c r="I72" s="20" t="str">
        <f>IFERROR(VLOOKUP($A72&amp;"_"&amp;I$5,Database!$A:$F,6,0),"")</f>
        <v/>
      </c>
      <c r="J72" s="20" t="str">
        <f>IFERROR(VLOOKUP($A72&amp;"_"&amp;J$5,Database!$A:$F,6,0),"")</f>
        <v/>
      </c>
      <c r="K72" s="20" t="str">
        <f>IFERROR(VLOOKUP($A72&amp;"_"&amp;K$5,Database!$A:$F,6,0),"")</f>
        <v/>
      </c>
      <c r="L72" s="20" t="str">
        <f>IFERROR(VLOOKUP($A72&amp;"_"&amp;L$5,Database!$A:$F,6,0),"")</f>
        <v/>
      </c>
      <c r="M72" s="20" t="str">
        <f>IFERROR(VLOOKUP($A72&amp;"_"&amp;M$5,Database!$A:$F,6,0),"")</f>
        <v/>
      </c>
      <c r="N72" s="20" t="str">
        <f>IFERROR(VLOOKUP($A72&amp;"_"&amp;N$5,Database!$A:$F,6,0),"")</f>
        <v/>
      </c>
      <c r="O72" s="20" t="str">
        <f>IFERROR(VLOOKUP($A72&amp;"_"&amp;O$5,Database!$A:$F,6,0),"")</f>
        <v/>
      </c>
      <c r="P72" s="20" t="str">
        <f>IFERROR(VLOOKUP($A72&amp;"_"&amp;P$5,Database!$A:$F,6,0),"")</f>
        <v/>
      </c>
      <c r="Q72" s="20" t="str">
        <f>IFERROR(VLOOKUP($A72&amp;"_"&amp;Q$5,Database!$A:$F,6,0),"")</f>
        <v/>
      </c>
      <c r="R72" s="20" t="str">
        <f>IFERROR(VLOOKUP($A72&amp;"_"&amp;R$5,Database!$A:$F,6,0),"")</f>
        <v/>
      </c>
      <c r="S72" s="20" t="str">
        <f>IFERROR(VLOOKUP($A72&amp;"_"&amp;S$5,Database!$A:$F,6,0),"")</f>
        <v/>
      </c>
      <c r="T72" s="20" t="str">
        <f>IFERROR(VLOOKUP($A72&amp;"_"&amp;T$5,Database!$A:$F,6,0),"")</f>
        <v/>
      </c>
      <c r="U72" s="20" t="str">
        <f>IFERROR(VLOOKUP($A72&amp;"_"&amp;U$5,Database!$A:$F,6,0),"")</f>
        <v/>
      </c>
      <c r="V72" s="20" t="str">
        <f>IFERROR(VLOOKUP($A72&amp;"_"&amp;V$5,Database!$A:$F,6,0),"")</f>
        <v/>
      </c>
      <c r="W72" s="20" t="str">
        <f>IFERROR(VLOOKUP($A72&amp;"_"&amp;W$5,Database!$A:$F,6,0),"")</f>
        <v/>
      </c>
      <c r="X72" s="20" t="str">
        <f>IFERROR(VLOOKUP($A72&amp;"_"&amp;X$5,Database!$A:$F,6,0),"")</f>
        <v/>
      </c>
      <c r="Y72" s="20" t="str">
        <f>IFERROR(VLOOKUP($A72&amp;"_"&amp;Y$5,Database!$A:$F,6,0),"")</f>
        <v/>
      </c>
      <c r="Z72" s="20" t="str">
        <f>IFERROR(VLOOKUP($A72&amp;"_"&amp;Z$5,Database!$A:$F,6,0),"")</f>
        <v/>
      </c>
      <c r="AA72" s="20" t="str">
        <f>IFERROR(VLOOKUP($A72&amp;"_"&amp;AA$5,Database!$A:$F,6,0),"")</f>
        <v/>
      </c>
      <c r="AB72" s="20" t="str">
        <f>IFERROR(VLOOKUP($A72&amp;"_"&amp;AB$5,Database!$A:$F,6,0),"")</f>
        <v/>
      </c>
      <c r="AC72" s="20" t="str">
        <f>IFERROR(VLOOKUP($A72&amp;"_"&amp;AC$5,Database!$A:$F,6,0),"")</f>
        <v/>
      </c>
      <c r="AD72" s="20" t="str">
        <f>IFERROR(VLOOKUP($A72&amp;"_"&amp;AD$5,Database!$A:$F,6,0),"")</f>
        <v/>
      </c>
      <c r="AE72" s="20" t="str">
        <f>IFERROR(VLOOKUP($A72&amp;"_"&amp;AE$5,Database!$A:$F,6,0),"")</f>
        <v/>
      </c>
      <c r="AF72" s="20" t="str">
        <f>IFERROR(VLOOKUP($A72&amp;"_"&amp;AF$5,Database!$A:$F,6,0),"")</f>
        <v/>
      </c>
      <c r="AG72" s="20" t="str">
        <f>IFERROR(VLOOKUP($A72&amp;"_"&amp;AG$5,Database!$A:$F,6,0),"")</f>
        <v/>
      </c>
      <c r="AH72" s="20" t="str">
        <f>IFERROR(VLOOKUP($A72&amp;"_"&amp;AH$5,Database!$A:$F,6,0),"")</f>
        <v/>
      </c>
      <c r="AI72" s="20" t="str">
        <f>IFERROR(VLOOKUP($A72&amp;"_"&amp;AI$5,Database!$A:$F,6,0),"")</f>
        <v/>
      </c>
      <c r="AJ72" s="20" t="str">
        <f>IFERROR(VLOOKUP($A72&amp;"_"&amp;AJ$5,Database!$A:$F,6,0),"")</f>
        <v/>
      </c>
      <c r="AK72" s="20" t="str">
        <f>IFERROR(VLOOKUP($A72&amp;"_"&amp;AK$5,Database!$A:$F,6,0),"")</f>
        <v/>
      </c>
    </row>
    <row r="73" spans="1:37" x14ac:dyDescent="0.2">
      <c r="A73" s="17" t="str">
        <f>IF('Employee Master'!A69="","",'Employee Master'!A69)</f>
        <v/>
      </c>
      <c r="B73" s="18" t="str">
        <f>IF('Employee Master'!B69="","",'Employee Master'!B69)</f>
        <v/>
      </c>
      <c r="C73" s="18" t="str">
        <f>IF('Employee Master'!C69="","",'Employee Master'!C69)</f>
        <v/>
      </c>
      <c r="D73" s="19">
        <f t="shared" si="7"/>
        <v>0</v>
      </c>
      <c r="E73" s="19">
        <f t="shared" si="8"/>
        <v>0</v>
      </c>
      <c r="F73" s="19">
        <f t="shared" si="9"/>
        <v>0</v>
      </c>
      <c r="G73" s="20" t="str">
        <f>IFERROR(VLOOKUP($A73&amp;"_"&amp;G$5,Database!$A:$F,6,0),"")</f>
        <v/>
      </c>
      <c r="H73" s="20" t="str">
        <f>IFERROR(VLOOKUP($A73&amp;"_"&amp;H$5,Database!$A:$F,6,0),"")</f>
        <v/>
      </c>
      <c r="I73" s="20" t="str">
        <f>IFERROR(VLOOKUP($A73&amp;"_"&amp;I$5,Database!$A:$F,6,0),"")</f>
        <v/>
      </c>
      <c r="J73" s="20" t="str">
        <f>IFERROR(VLOOKUP($A73&amp;"_"&amp;J$5,Database!$A:$F,6,0),"")</f>
        <v/>
      </c>
      <c r="K73" s="20" t="str">
        <f>IFERROR(VLOOKUP($A73&amp;"_"&amp;K$5,Database!$A:$F,6,0),"")</f>
        <v/>
      </c>
      <c r="L73" s="20" t="str">
        <f>IFERROR(VLOOKUP($A73&amp;"_"&amp;L$5,Database!$A:$F,6,0),"")</f>
        <v/>
      </c>
      <c r="M73" s="20" t="str">
        <f>IFERROR(VLOOKUP($A73&amp;"_"&amp;M$5,Database!$A:$F,6,0),"")</f>
        <v/>
      </c>
      <c r="N73" s="20" t="str">
        <f>IFERROR(VLOOKUP($A73&amp;"_"&amp;N$5,Database!$A:$F,6,0),"")</f>
        <v/>
      </c>
      <c r="O73" s="20" t="str">
        <f>IFERROR(VLOOKUP($A73&amp;"_"&amp;O$5,Database!$A:$F,6,0),"")</f>
        <v/>
      </c>
      <c r="P73" s="20" t="str">
        <f>IFERROR(VLOOKUP($A73&amp;"_"&amp;P$5,Database!$A:$F,6,0),"")</f>
        <v/>
      </c>
      <c r="Q73" s="20" t="str">
        <f>IFERROR(VLOOKUP($A73&amp;"_"&amp;Q$5,Database!$A:$F,6,0),"")</f>
        <v/>
      </c>
      <c r="R73" s="20" t="str">
        <f>IFERROR(VLOOKUP($A73&amp;"_"&amp;R$5,Database!$A:$F,6,0),"")</f>
        <v/>
      </c>
      <c r="S73" s="20" t="str">
        <f>IFERROR(VLOOKUP($A73&amp;"_"&amp;S$5,Database!$A:$F,6,0),"")</f>
        <v/>
      </c>
      <c r="T73" s="20" t="str">
        <f>IFERROR(VLOOKUP($A73&amp;"_"&amp;T$5,Database!$A:$F,6,0),"")</f>
        <v/>
      </c>
      <c r="U73" s="20" t="str">
        <f>IFERROR(VLOOKUP($A73&amp;"_"&amp;U$5,Database!$A:$F,6,0),"")</f>
        <v/>
      </c>
      <c r="V73" s="20" t="str">
        <f>IFERROR(VLOOKUP($A73&amp;"_"&amp;V$5,Database!$A:$F,6,0),"")</f>
        <v/>
      </c>
      <c r="W73" s="20" t="str">
        <f>IFERROR(VLOOKUP($A73&amp;"_"&amp;W$5,Database!$A:$F,6,0),"")</f>
        <v/>
      </c>
      <c r="X73" s="20" t="str">
        <f>IFERROR(VLOOKUP($A73&amp;"_"&amp;X$5,Database!$A:$F,6,0),"")</f>
        <v/>
      </c>
      <c r="Y73" s="20" t="str">
        <f>IFERROR(VLOOKUP($A73&amp;"_"&amp;Y$5,Database!$A:$F,6,0),"")</f>
        <v/>
      </c>
      <c r="Z73" s="20" t="str">
        <f>IFERROR(VLOOKUP($A73&amp;"_"&amp;Z$5,Database!$A:$F,6,0),"")</f>
        <v/>
      </c>
      <c r="AA73" s="20" t="str">
        <f>IFERROR(VLOOKUP($A73&amp;"_"&amp;AA$5,Database!$A:$F,6,0),"")</f>
        <v/>
      </c>
      <c r="AB73" s="20" t="str">
        <f>IFERROR(VLOOKUP($A73&amp;"_"&amp;AB$5,Database!$A:$F,6,0),"")</f>
        <v/>
      </c>
      <c r="AC73" s="20" t="str">
        <f>IFERROR(VLOOKUP($A73&amp;"_"&amp;AC$5,Database!$A:$F,6,0),"")</f>
        <v/>
      </c>
      <c r="AD73" s="20" t="str">
        <f>IFERROR(VLOOKUP($A73&amp;"_"&amp;AD$5,Database!$A:$F,6,0),"")</f>
        <v/>
      </c>
      <c r="AE73" s="20" t="str">
        <f>IFERROR(VLOOKUP($A73&amp;"_"&amp;AE$5,Database!$A:$F,6,0),"")</f>
        <v/>
      </c>
      <c r="AF73" s="20" t="str">
        <f>IFERROR(VLOOKUP($A73&amp;"_"&amp;AF$5,Database!$A:$F,6,0),"")</f>
        <v/>
      </c>
      <c r="AG73" s="20" t="str">
        <f>IFERROR(VLOOKUP($A73&amp;"_"&amp;AG$5,Database!$A:$F,6,0),"")</f>
        <v/>
      </c>
      <c r="AH73" s="20" t="str">
        <f>IFERROR(VLOOKUP($A73&amp;"_"&amp;AH$5,Database!$A:$F,6,0),"")</f>
        <v/>
      </c>
      <c r="AI73" s="20" t="str">
        <f>IFERROR(VLOOKUP($A73&amp;"_"&amp;AI$5,Database!$A:$F,6,0),"")</f>
        <v/>
      </c>
      <c r="AJ73" s="20" t="str">
        <f>IFERROR(VLOOKUP($A73&amp;"_"&amp;AJ$5,Database!$A:$F,6,0),"")</f>
        <v/>
      </c>
      <c r="AK73" s="20" t="str">
        <f>IFERROR(VLOOKUP($A73&amp;"_"&amp;AK$5,Database!$A:$F,6,0),"")</f>
        <v/>
      </c>
    </row>
    <row r="74" spans="1:37" x14ac:dyDescent="0.2">
      <c r="A74" s="17" t="str">
        <f>IF('Employee Master'!A70="","",'Employee Master'!A70)</f>
        <v/>
      </c>
      <c r="B74" s="18" t="str">
        <f>IF('Employee Master'!B70="","",'Employee Master'!B70)</f>
        <v/>
      </c>
      <c r="C74" s="18" t="str">
        <f>IF('Employee Master'!C70="","",'Employee Master'!C70)</f>
        <v/>
      </c>
      <c r="D74" s="19">
        <f t="shared" si="7"/>
        <v>0</v>
      </c>
      <c r="E74" s="19">
        <f t="shared" si="8"/>
        <v>0</v>
      </c>
      <c r="F74" s="19">
        <f t="shared" si="9"/>
        <v>0</v>
      </c>
      <c r="G74" s="20" t="str">
        <f>IFERROR(VLOOKUP($A74&amp;"_"&amp;G$5,Database!$A:$F,6,0),"")</f>
        <v/>
      </c>
      <c r="H74" s="20" t="str">
        <f>IFERROR(VLOOKUP($A74&amp;"_"&amp;H$5,Database!$A:$F,6,0),"")</f>
        <v/>
      </c>
      <c r="I74" s="20" t="str">
        <f>IFERROR(VLOOKUP($A74&amp;"_"&amp;I$5,Database!$A:$F,6,0),"")</f>
        <v/>
      </c>
      <c r="J74" s="20" t="str">
        <f>IFERROR(VLOOKUP($A74&amp;"_"&amp;J$5,Database!$A:$F,6,0),"")</f>
        <v/>
      </c>
      <c r="K74" s="20" t="str">
        <f>IFERROR(VLOOKUP($A74&amp;"_"&amp;K$5,Database!$A:$F,6,0),"")</f>
        <v/>
      </c>
      <c r="L74" s="20" t="str">
        <f>IFERROR(VLOOKUP($A74&amp;"_"&amp;L$5,Database!$A:$F,6,0),"")</f>
        <v/>
      </c>
      <c r="M74" s="20" t="str">
        <f>IFERROR(VLOOKUP($A74&amp;"_"&amp;M$5,Database!$A:$F,6,0),"")</f>
        <v/>
      </c>
      <c r="N74" s="20" t="str">
        <f>IFERROR(VLOOKUP($A74&amp;"_"&amp;N$5,Database!$A:$F,6,0),"")</f>
        <v/>
      </c>
      <c r="O74" s="20" t="str">
        <f>IFERROR(VLOOKUP($A74&amp;"_"&amp;O$5,Database!$A:$F,6,0),"")</f>
        <v/>
      </c>
      <c r="P74" s="20" t="str">
        <f>IFERROR(VLOOKUP($A74&amp;"_"&amp;P$5,Database!$A:$F,6,0),"")</f>
        <v/>
      </c>
      <c r="Q74" s="20" t="str">
        <f>IFERROR(VLOOKUP($A74&amp;"_"&amp;Q$5,Database!$A:$F,6,0),"")</f>
        <v/>
      </c>
      <c r="R74" s="20" t="str">
        <f>IFERROR(VLOOKUP($A74&amp;"_"&amp;R$5,Database!$A:$F,6,0),"")</f>
        <v/>
      </c>
      <c r="S74" s="20" t="str">
        <f>IFERROR(VLOOKUP($A74&amp;"_"&amp;S$5,Database!$A:$F,6,0),"")</f>
        <v/>
      </c>
      <c r="T74" s="20" t="str">
        <f>IFERROR(VLOOKUP($A74&amp;"_"&amp;T$5,Database!$A:$F,6,0),"")</f>
        <v/>
      </c>
      <c r="U74" s="20" t="str">
        <f>IFERROR(VLOOKUP($A74&amp;"_"&amp;U$5,Database!$A:$F,6,0),"")</f>
        <v/>
      </c>
      <c r="V74" s="20" t="str">
        <f>IFERROR(VLOOKUP($A74&amp;"_"&amp;V$5,Database!$A:$F,6,0),"")</f>
        <v/>
      </c>
      <c r="W74" s="20" t="str">
        <f>IFERROR(VLOOKUP($A74&amp;"_"&amp;W$5,Database!$A:$F,6,0),"")</f>
        <v/>
      </c>
      <c r="X74" s="20" t="str">
        <f>IFERROR(VLOOKUP($A74&amp;"_"&amp;X$5,Database!$A:$F,6,0),"")</f>
        <v/>
      </c>
      <c r="Y74" s="20" t="str">
        <f>IFERROR(VLOOKUP($A74&amp;"_"&amp;Y$5,Database!$A:$F,6,0),"")</f>
        <v/>
      </c>
      <c r="Z74" s="20" t="str">
        <f>IFERROR(VLOOKUP($A74&amp;"_"&amp;Z$5,Database!$A:$F,6,0),"")</f>
        <v/>
      </c>
      <c r="AA74" s="20" t="str">
        <f>IFERROR(VLOOKUP($A74&amp;"_"&amp;AA$5,Database!$A:$F,6,0),"")</f>
        <v/>
      </c>
      <c r="AB74" s="20" t="str">
        <f>IFERROR(VLOOKUP($A74&amp;"_"&amp;AB$5,Database!$A:$F,6,0),"")</f>
        <v/>
      </c>
      <c r="AC74" s="20" t="str">
        <f>IFERROR(VLOOKUP($A74&amp;"_"&amp;AC$5,Database!$A:$F,6,0),"")</f>
        <v/>
      </c>
      <c r="AD74" s="20" t="str">
        <f>IFERROR(VLOOKUP($A74&amp;"_"&amp;AD$5,Database!$A:$F,6,0),"")</f>
        <v/>
      </c>
      <c r="AE74" s="20" t="str">
        <f>IFERROR(VLOOKUP($A74&amp;"_"&amp;AE$5,Database!$A:$F,6,0),"")</f>
        <v/>
      </c>
      <c r="AF74" s="20" t="str">
        <f>IFERROR(VLOOKUP($A74&amp;"_"&amp;AF$5,Database!$A:$F,6,0),"")</f>
        <v/>
      </c>
      <c r="AG74" s="20" t="str">
        <f>IFERROR(VLOOKUP($A74&amp;"_"&amp;AG$5,Database!$A:$F,6,0),"")</f>
        <v/>
      </c>
      <c r="AH74" s="20" t="str">
        <f>IFERROR(VLOOKUP($A74&amp;"_"&amp;AH$5,Database!$A:$F,6,0),"")</f>
        <v/>
      </c>
      <c r="AI74" s="20" t="str">
        <f>IFERROR(VLOOKUP($A74&amp;"_"&amp;AI$5,Database!$A:$F,6,0),"")</f>
        <v/>
      </c>
      <c r="AJ74" s="20" t="str">
        <f>IFERROR(VLOOKUP($A74&amp;"_"&amp;AJ$5,Database!$A:$F,6,0),"")</f>
        <v/>
      </c>
      <c r="AK74" s="20" t="str">
        <f>IFERROR(VLOOKUP($A74&amp;"_"&amp;AK$5,Database!$A:$F,6,0),"")</f>
        <v/>
      </c>
    </row>
    <row r="75" spans="1:37" x14ac:dyDescent="0.2">
      <c r="A75" s="17" t="str">
        <f>IF('Employee Master'!A71="","",'Employee Master'!A71)</f>
        <v/>
      </c>
      <c r="B75" s="18" t="str">
        <f>IF('Employee Master'!B71="","",'Employee Master'!B71)</f>
        <v/>
      </c>
      <c r="C75" s="18" t="str">
        <f>IF('Employee Master'!C71="","",'Employee Master'!C71)</f>
        <v/>
      </c>
      <c r="D75" s="19">
        <f t="shared" si="7"/>
        <v>0</v>
      </c>
      <c r="E75" s="19">
        <f t="shared" si="8"/>
        <v>0</v>
      </c>
      <c r="F75" s="19">
        <f t="shared" si="9"/>
        <v>0</v>
      </c>
      <c r="G75" s="20" t="str">
        <f>IFERROR(VLOOKUP($A75&amp;"_"&amp;G$5,Database!$A:$F,6,0),"")</f>
        <v/>
      </c>
      <c r="H75" s="20" t="str">
        <f>IFERROR(VLOOKUP($A75&amp;"_"&amp;H$5,Database!$A:$F,6,0),"")</f>
        <v/>
      </c>
      <c r="I75" s="20" t="str">
        <f>IFERROR(VLOOKUP($A75&amp;"_"&amp;I$5,Database!$A:$F,6,0),"")</f>
        <v/>
      </c>
      <c r="J75" s="20" t="str">
        <f>IFERROR(VLOOKUP($A75&amp;"_"&amp;J$5,Database!$A:$F,6,0),"")</f>
        <v/>
      </c>
      <c r="K75" s="20" t="str">
        <f>IFERROR(VLOOKUP($A75&amp;"_"&amp;K$5,Database!$A:$F,6,0),"")</f>
        <v/>
      </c>
      <c r="L75" s="20" t="str">
        <f>IFERROR(VLOOKUP($A75&amp;"_"&amp;L$5,Database!$A:$F,6,0),"")</f>
        <v/>
      </c>
      <c r="M75" s="20" t="str">
        <f>IFERROR(VLOOKUP($A75&amp;"_"&amp;M$5,Database!$A:$F,6,0),"")</f>
        <v/>
      </c>
      <c r="N75" s="20" t="str">
        <f>IFERROR(VLOOKUP($A75&amp;"_"&amp;N$5,Database!$A:$F,6,0),"")</f>
        <v/>
      </c>
      <c r="O75" s="20" t="str">
        <f>IFERROR(VLOOKUP($A75&amp;"_"&amp;O$5,Database!$A:$F,6,0),"")</f>
        <v/>
      </c>
      <c r="P75" s="20" t="str">
        <f>IFERROR(VLOOKUP($A75&amp;"_"&amp;P$5,Database!$A:$F,6,0),"")</f>
        <v/>
      </c>
      <c r="Q75" s="20" t="str">
        <f>IFERROR(VLOOKUP($A75&amp;"_"&amp;Q$5,Database!$A:$F,6,0),"")</f>
        <v/>
      </c>
      <c r="R75" s="20" t="str">
        <f>IFERROR(VLOOKUP($A75&amp;"_"&amp;R$5,Database!$A:$F,6,0),"")</f>
        <v/>
      </c>
      <c r="S75" s="20" t="str">
        <f>IFERROR(VLOOKUP($A75&amp;"_"&amp;S$5,Database!$A:$F,6,0),"")</f>
        <v/>
      </c>
      <c r="T75" s="20" t="str">
        <f>IFERROR(VLOOKUP($A75&amp;"_"&amp;T$5,Database!$A:$F,6,0),"")</f>
        <v/>
      </c>
      <c r="U75" s="20" t="str">
        <f>IFERROR(VLOOKUP($A75&amp;"_"&amp;U$5,Database!$A:$F,6,0),"")</f>
        <v/>
      </c>
      <c r="V75" s="20" t="str">
        <f>IFERROR(VLOOKUP($A75&amp;"_"&amp;V$5,Database!$A:$F,6,0),"")</f>
        <v/>
      </c>
      <c r="W75" s="20" t="str">
        <f>IFERROR(VLOOKUP($A75&amp;"_"&amp;W$5,Database!$A:$F,6,0),"")</f>
        <v/>
      </c>
      <c r="X75" s="20" t="str">
        <f>IFERROR(VLOOKUP($A75&amp;"_"&amp;X$5,Database!$A:$F,6,0),"")</f>
        <v/>
      </c>
      <c r="Y75" s="20" t="str">
        <f>IFERROR(VLOOKUP($A75&amp;"_"&amp;Y$5,Database!$A:$F,6,0),"")</f>
        <v/>
      </c>
      <c r="Z75" s="20" t="str">
        <f>IFERROR(VLOOKUP($A75&amp;"_"&amp;Z$5,Database!$A:$F,6,0),"")</f>
        <v/>
      </c>
      <c r="AA75" s="20" t="str">
        <f>IFERROR(VLOOKUP($A75&amp;"_"&amp;AA$5,Database!$A:$F,6,0),"")</f>
        <v/>
      </c>
      <c r="AB75" s="20" t="str">
        <f>IFERROR(VLOOKUP($A75&amp;"_"&amp;AB$5,Database!$A:$F,6,0),"")</f>
        <v/>
      </c>
      <c r="AC75" s="20" t="str">
        <f>IFERROR(VLOOKUP($A75&amp;"_"&amp;AC$5,Database!$A:$F,6,0),"")</f>
        <v/>
      </c>
      <c r="AD75" s="20" t="str">
        <f>IFERROR(VLOOKUP($A75&amp;"_"&amp;AD$5,Database!$A:$F,6,0),"")</f>
        <v/>
      </c>
      <c r="AE75" s="20" t="str">
        <f>IFERROR(VLOOKUP($A75&amp;"_"&amp;AE$5,Database!$A:$F,6,0),"")</f>
        <v/>
      </c>
      <c r="AF75" s="20" t="str">
        <f>IFERROR(VLOOKUP($A75&amp;"_"&amp;AF$5,Database!$A:$F,6,0),"")</f>
        <v/>
      </c>
      <c r="AG75" s="20" t="str">
        <f>IFERROR(VLOOKUP($A75&amp;"_"&amp;AG$5,Database!$A:$F,6,0),"")</f>
        <v/>
      </c>
      <c r="AH75" s="20" t="str">
        <f>IFERROR(VLOOKUP($A75&amp;"_"&amp;AH$5,Database!$A:$F,6,0),"")</f>
        <v/>
      </c>
      <c r="AI75" s="20" t="str">
        <f>IFERROR(VLOOKUP($A75&amp;"_"&amp;AI$5,Database!$A:$F,6,0),"")</f>
        <v/>
      </c>
      <c r="AJ75" s="20" t="str">
        <f>IFERROR(VLOOKUP($A75&amp;"_"&amp;AJ$5,Database!$A:$F,6,0),"")</f>
        <v/>
      </c>
      <c r="AK75" s="20" t="str">
        <f>IFERROR(VLOOKUP($A75&amp;"_"&amp;AK$5,Database!$A:$F,6,0),"")</f>
        <v/>
      </c>
    </row>
    <row r="76" spans="1:37" x14ac:dyDescent="0.2">
      <c r="A76" s="17" t="str">
        <f>IF('Employee Master'!A72="","",'Employee Master'!A72)</f>
        <v/>
      </c>
      <c r="B76" s="18" t="str">
        <f>IF('Employee Master'!B72="","",'Employee Master'!B72)</f>
        <v/>
      </c>
      <c r="C76" s="18" t="str">
        <f>IF('Employee Master'!C72="","",'Employee Master'!C72)</f>
        <v/>
      </c>
      <c r="D76" s="19">
        <f t="shared" si="7"/>
        <v>0</v>
      </c>
      <c r="E76" s="19">
        <f t="shared" si="8"/>
        <v>0</v>
      </c>
      <c r="F76" s="19">
        <f t="shared" si="9"/>
        <v>0</v>
      </c>
      <c r="G76" s="20" t="str">
        <f>IFERROR(VLOOKUP($A76&amp;"_"&amp;G$5,Database!$A:$F,6,0),"")</f>
        <v/>
      </c>
      <c r="H76" s="20" t="str">
        <f>IFERROR(VLOOKUP($A76&amp;"_"&amp;H$5,Database!$A:$F,6,0),"")</f>
        <v/>
      </c>
      <c r="I76" s="20" t="str">
        <f>IFERROR(VLOOKUP($A76&amp;"_"&amp;I$5,Database!$A:$F,6,0),"")</f>
        <v/>
      </c>
      <c r="J76" s="20" t="str">
        <f>IFERROR(VLOOKUP($A76&amp;"_"&amp;J$5,Database!$A:$F,6,0),"")</f>
        <v/>
      </c>
      <c r="K76" s="20" t="str">
        <f>IFERROR(VLOOKUP($A76&amp;"_"&amp;K$5,Database!$A:$F,6,0),"")</f>
        <v/>
      </c>
      <c r="L76" s="20" t="str">
        <f>IFERROR(VLOOKUP($A76&amp;"_"&amp;L$5,Database!$A:$F,6,0),"")</f>
        <v/>
      </c>
      <c r="M76" s="20" t="str">
        <f>IFERROR(VLOOKUP($A76&amp;"_"&amp;M$5,Database!$A:$F,6,0),"")</f>
        <v/>
      </c>
      <c r="N76" s="20" t="str">
        <f>IFERROR(VLOOKUP($A76&amp;"_"&amp;N$5,Database!$A:$F,6,0),"")</f>
        <v/>
      </c>
      <c r="O76" s="20" t="str">
        <f>IFERROR(VLOOKUP($A76&amp;"_"&amp;O$5,Database!$A:$F,6,0),"")</f>
        <v/>
      </c>
      <c r="P76" s="20" t="str">
        <f>IFERROR(VLOOKUP($A76&amp;"_"&amp;P$5,Database!$A:$F,6,0),"")</f>
        <v/>
      </c>
      <c r="Q76" s="20" t="str">
        <f>IFERROR(VLOOKUP($A76&amp;"_"&amp;Q$5,Database!$A:$F,6,0),"")</f>
        <v/>
      </c>
      <c r="R76" s="20" t="str">
        <f>IFERROR(VLOOKUP($A76&amp;"_"&amp;R$5,Database!$A:$F,6,0),"")</f>
        <v/>
      </c>
      <c r="S76" s="20" t="str">
        <f>IFERROR(VLOOKUP($A76&amp;"_"&amp;S$5,Database!$A:$F,6,0),"")</f>
        <v/>
      </c>
      <c r="T76" s="20" t="str">
        <f>IFERROR(VLOOKUP($A76&amp;"_"&amp;T$5,Database!$A:$F,6,0),"")</f>
        <v/>
      </c>
      <c r="U76" s="20" t="str">
        <f>IFERROR(VLOOKUP($A76&amp;"_"&amp;U$5,Database!$A:$F,6,0),"")</f>
        <v/>
      </c>
      <c r="V76" s="20" t="str">
        <f>IFERROR(VLOOKUP($A76&amp;"_"&amp;V$5,Database!$A:$F,6,0),"")</f>
        <v/>
      </c>
      <c r="W76" s="20" t="str">
        <f>IFERROR(VLOOKUP($A76&amp;"_"&amp;W$5,Database!$A:$F,6,0),"")</f>
        <v/>
      </c>
      <c r="X76" s="20" t="str">
        <f>IFERROR(VLOOKUP($A76&amp;"_"&amp;X$5,Database!$A:$F,6,0),"")</f>
        <v/>
      </c>
      <c r="Y76" s="20" t="str">
        <f>IFERROR(VLOOKUP($A76&amp;"_"&amp;Y$5,Database!$A:$F,6,0),"")</f>
        <v/>
      </c>
      <c r="Z76" s="20" t="str">
        <f>IFERROR(VLOOKUP($A76&amp;"_"&amp;Z$5,Database!$A:$F,6,0),"")</f>
        <v/>
      </c>
      <c r="AA76" s="20" t="str">
        <f>IFERROR(VLOOKUP($A76&amp;"_"&amp;AA$5,Database!$A:$F,6,0),"")</f>
        <v/>
      </c>
      <c r="AB76" s="20" t="str">
        <f>IFERROR(VLOOKUP($A76&amp;"_"&amp;AB$5,Database!$A:$F,6,0),"")</f>
        <v/>
      </c>
      <c r="AC76" s="20" t="str">
        <f>IFERROR(VLOOKUP($A76&amp;"_"&amp;AC$5,Database!$A:$F,6,0),"")</f>
        <v/>
      </c>
      <c r="AD76" s="20" t="str">
        <f>IFERROR(VLOOKUP($A76&amp;"_"&amp;AD$5,Database!$A:$F,6,0),"")</f>
        <v/>
      </c>
      <c r="AE76" s="20" t="str">
        <f>IFERROR(VLOOKUP($A76&amp;"_"&amp;AE$5,Database!$A:$F,6,0),"")</f>
        <v/>
      </c>
      <c r="AF76" s="20" t="str">
        <f>IFERROR(VLOOKUP($A76&amp;"_"&amp;AF$5,Database!$A:$F,6,0),"")</f>
        <v/>
      </c>
      <c r="AG76" s="20" t="str">
        <f>IFERROR(VLOOKUP($A76&amp;"_"&amp;AG$5,Database!$A:$F,6,0),"")</f>
        <v/>
      </c>
      <c r="AH76" s="20" t="str">
        <f>IFERROR(VLOOKUP($A76&amp;"_"&amp;AH$5,Database!$A:$F,6,0),"")</f>
        <v/>
      </c>
      <c r="AI76" s="20" t="str">
        <f>IFERROR(VLOOKUP($A76&amp;"_"&amp;AI$5,Database!$A:$F,6,0),"")</f>
        <v/>
      </c>
      <c r="AJ76" s="20" t="str">
        <f>IFERROR(VLOOKUP($A76&amp;"_"&amp;AJ$5,Database!$A:$F,6,0),"")</f>
        <v/>
      </c>
      <c r="AK76" s="20" t="str">
        <f>IFERROR(VLOOKUP($A76&amp;"_"&amp;AK$5,Database!$A:$F,6,0),"")</f>
        <v/>
      </c>
    </row>
    <row r="77" spans="1:37" x14ac:dyDescent="0.2">
      <c r="A77" s="17" t="str">
        <f>IF('Employee Master'!A73="","",'Employee Master'!A73)</f>
        <v/>
      </c>
      <c r="B77" s="18" t="str">
        <f>IF('Employee Master'!B73="","",'Employee Master'!B73)</f>
        <v/>
      </c>
      <c r="C77" s="18" t="str">
        <f>IF('Employee Master'!C73="","",'Employee Master'!C73)</f>
        <v/>
      </c>
      <c r="D77" s="19">
        <f t="shared" si="7"/>
        <v>0</v>
      </c>
      <c r="E77" s="19">
        <f t="shared" si="8"/>
        <v>0</v>
      </c>
      <c r="F77" s="19">
        <f t="shared" si="9"/>
        <v>0</v>
      </c>
      <c r="G77" s="20" t="str">
        <f>IFERROR(VLOOKUP($A77&amp;"_"&amp;G$5,Database!$A:$F,6,0),"")</f>
        <v/>
      </c>
      <c r="H77" s="20" t="str">
        <f>IFERROR(VLOOKUP($A77&amp;"_"&amp;H$5,Database!$A:$F,6,0),"")</f>
        <v/>
      </c>
      <c r="I77" s="20" t="str">
        <f>IFERROR(VLOOKUP($A77&amp;"_"&amp;I$5,Database!$A:$F,6,0),"")</f>
        <v/>
      </c>
      <c r="J77" s="20" t="str">
        <f>IFERROR(VLOOKUP($A77&amp;"_"&amp;J$5,Database!$A:$F,6,0),"")</f>
        <v/>
      </c>
      <c r="K77" s="20" t="str">
        <f>IFERROR(VLOOKUP($A77&amp;"_"&amp;K$5,Database!$A:$F,6,0),"")</f>
        <v/>
      </c>
      <c r="L77" s="20" t="str">
        <f>IFERROR(VLOOKUP($A77&amp;"_"&amp;L$5,Database!$A:$F,6,0),"")</f>
        <v/>
      </c>
      <c r="M77" s="20" t="str">
        <f>IFERROR(VLOOKUP($A77&amp;"_"&amp;M$5,Database!$A:$F,6,0),"")</f>
        <v/>
      </c>
      <c r="N77" s="20" t="str">
        <f>IFERROR(VLOOKUP($A77&amp;"_"&amp;N$5,Database!$A:$F,6,0),"")</f>
        <v/>
      </c>
      <c r="O77" s="20" t="str">
        <f>IFERROR(VLOOKUP($A77&amp;"_"&amp;O$5,Database!$A:$F,6,0),"")</f>
        <v/>
      </c>
      <c r="P77" s="20" t="str">
        <f>IFERROR(VLOOKUP($A77&amp;"_"&amp;P$5,Database!$A:$F,6,0),"")</f>
        <v/>
      </c>
      <c r="Q77" s="20" t="str">
        <f>IFERROR(VLOOKUP($A77&amp;"_"&amp;Q$5,Database!$A:$F,6,0),"")</f>
        <v/>
      </c>
      <c r="R77" s="20" t="str">
        <f>IFERROR(VLOOKUP($A77&amp;"_"&amp;R$5,Database!$A:$F,6,0),"")</f>
        <v/>
      </c>
      <c r="S77" s="20" t="str">
        <f>IFERROR(VLOOKUP($A77&amp;"_"&amp;S$5,Database!$A:$F,6,0),"")</f>
        <v/>
      </c>
      <c r="T77" s="20" t="str">
        <f>IFERROR(VLOOKUP($A77&amp;"_"&amp;T$5,Database!$A:$F,6,0),"")</f>
        <v/>
      </c>
      <c r="U77" s="20" t="str">
        <f>IFERROR(VLOOKUP($A77&amp;"_"&amp;U$5,Database!$A:$F,6,0),"")</f>
        <v/>
      </c>
      <c r="V77" s="20" t="str">
        <f>IFERROR(VLOOKUP($A77&amp;"_"&amp;V$5,Database!$A:$F,6,0),"")</f>
        <v/>
      </c>
      <c r="W77" s="20" t="str">
        <f>IFERROR(VLOOKUP($A77&amp;"_"&amp;W$5,Database!$A:$F,6,0),"")</f>
        <v/>
      </c>
      <c r="X77" s="20" t="str">
        <f>IFERROR(VLOOKUP($A77&amp;"_"&amp;X$5,Database!$A:$F,6,0),"")</f>
        <v/>
      </c>
      <c r="Y77" s="20" t="str">
        <f>IFERROR(VLOOKUP($A77&amp;"_"&amp;Y$5,Database!$A:$F,6,0),"")</f>
        <v/>
      </c>
      <c r="Z77" s="20" t="str">
        <f>IFERROR(VLOOKUP($A77&amp;"_"&amp;Z$5,Database!$A:$F,6,0),"")</f>
        <v/>
      </c>
      <c r="AA77" s="20" t="str">
        <f>IFERROR(VLOOKUP($A77&amp;"_"&amp;AA$5,Database!$A:$F,6,0),"")</f>
        <v/>
      </c>
      <c r="AB77" s="20" t="str">
        <f>IFERROR(VLOOKUP($A77&amp;"_"&amp;AB$5,Database!$A:$F,6,0),"")</f>
        <v/>
      </c>
      <c r="AC77" s="20" t="str">
        <f>IFERROR(VLOOKUP($A77&amp;"_"&amp;AC$5,Database!$A:$F,6,0),"")</f>
        <v/>
      </c>
      <c r="AD77" s="20" t="str">
        <f>IFERROR(VLOOKUP($A77&amp;"_"&amp;AD$5,Database!$A:$F,6,0),"")</f>
        <v/>
      </c>
      <c r="AE77" s="20" t="str">
        <f>IFERROR(VLOOKUP($A77&amp;"_"&amp;AE$5,Database!$A:$F,6,0),"")</f>
        <v/>
      </c>
      <c r="AF77" s="20" t="str">
        <f>IFERROR(VLOOKUP($A77&amp;"_"&amp;AF$5,Database!$A:$F,6,0),"")</f>
        <v/>
      </c>
      <c r="AG77" s="20" t="str">
        <f>IFERROR(VLOOKUP($A77&amp;"_"&amp;AG$5,Database!$A:$F,6,0),"")</f>
        <v/>
      </c>
      <c r="AH77" s="20" t="str">
        <f>IFERROR(VLOOKUP($A77&amp;"_"&amp;AH$5,Database!$A:$F,6,0),"")</f>
        <v/>
      </c>
      <c r="AI77" s="20" t="str">
        <f>IFERROR(VLOOKUP($A77&amp;"_"&amp;AI$5,Database!$A:$F,6,0),"")</f>
        <v/>
      </c>
      <c r="AJ77" s="20" t="str">
        <f>IFERROR(VLOOKUP($A77&amp;"_"&amp;AJ$5,Database!$A:$F,6,0),"")</f>
        <v/>
      </c>
      <c r="AK77" s="20" t="str">
        <f>IFERROR(VLOOKUP($A77&amp;"_"&amp;AK$5,Database!$A:$F,6,0),"")</f>
        <v/>
      </c>
    </row>
    <row r="78" spans="1:37" x14ac:dyDescent="0.2">
      <c r="A78" s="17" t="str">
        <f>IF('Employee Master'!A74="","",'Employee Master'!A74)</f>
        <v/>
      </c>
      <c r="B78" s="18" t="str">
        <f>IF('Employee Master'!B74="","",'Employee Master'!B74)</f>
        <v/>
      </c>
      <c r="C78" s="18" t="str">
        <f>IF('Employee Master'!C74="","",'Employee Master'!C74)</f>
        <v/>
      </c>
      <c r="D78" s="19">
        <f t="shared" si="7"/>
        <v>0</v>
      </c>
      <c r="E78" s="19">
        <f t="shared" si="8"/>
        <v>0</v>
      </c>
      <c r="F78" s="19">
        <f t="shared" si="9"/>
        <v>0</v>
      </c>
      <c r="G78" s="20" t="str">
        <f>IFERROR(VLOOKUP($A78&amp;"_"&amp;G$5,Database!$A:$F,6,0),"")</f>
        <v/>
      </c>
      <c r="H78" s="20" t="str">
        <f>IFERROR(VLOOKUP($A78&amp;"_"&amp;H$5,Database!$A:$F,6,0),"")</f>
        <v/>
      </c>
      <c r="I78" s="20" t="str">
        <f>IFERROR(VLOOKUP($A78&amp;"_"&amp;I$5,Database!$A:$F,6,0),"")</f>
        <v/>
      </c>
      <c r="J78" s="20" t="str">
        <f>IFERROR(VLOOKUP($A78&amp;"_"&amp;J$5,Database!$A:$F,6,0),"")</f>
        <v/>
      </c>
      <c r="K78" s="20" t="str">
        <f>IFERROR(VLOOKUP($A78&amp;"_"&amp;K$5,Database!$A:$F,6,0),"")</f>
        <v/>
      </c>
      <c r="L78" s="20" t="str">
        <f>IFERROR(VLOOKUP($A78&amp;"_"&amp;L$5,Database!$A:$F,6,0),"")</f>
        <v/>
      </c>
      <c r="M78" s="20" t="str">
        <f>IFERROR(VLOOKUP($A78&amp;"_"&amp;M$5,Database!$A:$F,6,0),"")</f>
        <v/>
      </c>
      <c r="N78" s="20" t="str">
        <f>IFERROR(VLOOKUP($A78&amp;"_"&amp;N$5,Database!$A:$F,6,0),"")</f>
        <v/>
      </c>
      <c r="O78" s="20" t="str">
        <f>IFERROR(VLOOKUP($A78&amp;"_"&amp;O$5,Database!$A:$F,6,0),"")</f>
        <v/>
      </c>
      <c r="P78" s="20" t="str">
        <f>IFERROR(VLOOKUP($A78&amp;"_"&amp;P$5,Database!$A:$F,6,0),"")</f>
        <v/>
      </c>
      <c r="Q78" s="20" t="str">
        <f>IFERROR(VLOOKUP($A78&amp;"_"&amp;Q$5,Database!$A:$F,6,0),"")</f>
        <v/>
      </c>
      <c r="R78" s="20" t="str">
        <f>IFERROR(VLOOKUP($A78&amp;"_"&amp;R$5,Database!$A:$F,6,0),"")</f>
        <v/>
      </c>
      <c r="S78" s="20" t="str">
        <f>IFERROR(VLOOKUP($A78&amp;"_"&amp;S$5,Database!$A:$F,6,0),"")</f>
        <v/>
      </c>
      <c r="T78" s="20" t="str">
        <f>IFERROR(VLOOKUP($A78&amp;"_"&amp;T$5,Database!$A:$F,6,0),"")</f>
        <v/>
      </c>
      <c r="U78" s="20" t="str">
        <f>IFERROR(VLOOKUP($A78&amp;"_"&amp;U$5,Database!$A:$F,6,0),"")</f>
        <v/>
      </c>
      <c r="V78" s="20" t="str">
        <f>IFERROR(VLOOKUP($A78&amp;"_"&amp;V$5,Database!$A:$F,6,0),"")</f>
        <v/>
      </c>
      <c r="W78" s="20" t="str">
        <f>IFERROR(VLOOKUP($A78&amp;"_"&amp;W$5,Database!$A:$F,6,0),"")</f>
        <v/>
      </c>
      <c r="X78" s="20" t="str">
        <f>IFERROR(VLOOKUP($A78&amp;"_"&amp;X$5,Database!$A:$F,6,0),"")</f>
        <v/>
      </c>
      <c r="Y78" s="20" t="str">
        <f>IFERROR(VLOOKUP($A78&amp;"_"&amp;Y$5,Database!$A:$F,6,0),"")</f>
        <v/>
      </c>
      <c r="Z78" s="20" t="str">
        <f>IFERROR(VLOOKUP($A78&amp;"_"&amp;Z$5,Database!$A:$F,6,0),"")</f>
        <v/>
      </c>
      <c r="AA78" s="20" t="str">
        <f>IFERROR(VLOOKUP($A78&amp;"_"&amp;AA$5,Database!$A:$F,6,0),"")</f>
        <v/>
      </c>
      <c r="AB78" s="20" t="str">
        <f>IFERROR(VLOOKUP($A78&amp;"_"&amp;AB$5,Database!$A:$F,6,0),"")</f>
        <v/>
      </c>
      <c r="AC78" s="20" t="str">
        <f>IFERROR(VLOOKUP($A78&amp;"_"&amp;AC$5,Database!$A:$F,6,0),"")</f>
        <v/>
      </c>
      <c r="AD78" s="20" t="str">
        <f>IFERROR(VLOOKUP($A78&amp;"_"&amp;AD$5,Database!$A:$F,6,0),"")</f>
        <v/>
      </c>
      <c r="AE78" s="20" t="str">
        <f>IFERROR(VLOOKUP($A78&amp;"_"&amp;AE$5,Database!$A:$F,6,0),"")</f>
        <v/>
      </c>
      <c r="AF78" s="20" t="str">
        <f>IFERROR(VLOOKUP($A78&amp;"_"&amp;AF$5,Database!$A:$F,6,0),"")</f>
        <v/>
      </c>
      <c r="AG78" s="20" t="str">
        <f>IFERROR(VLOOKUP($A78&amp;"_"&amp;AG$5,Database!$A:$F,6,0),"")</f>
        <v/>
      </c>
      <c r="AH78" s="20" t="str">
        <f>IFERROR(VLOOKUP($A78&amp;"_"&amp;AH$5,Database!$A:$F,6,0),"")</f>
        <v/>
      </c>
      <c r="AI78" s="20" t="str">
        <f>IFERROR(VLOOKUP($A78&amp;"_"&amp;AI$5,Database!$A:$F,6,0),"")</f>
        <v/>
      </c>
      <c r="AJ78" s="20" t="str">
        <f>IFERROR(VLOOKUP($A78&amp;"_"&amp;AJ$5,Database!$A:$F,6,0),"")</f>
        <v/>
      </c>
      <c r="AK78" s="20" t="str">
        <f>IFERROR(VLOOKUP($A78&amp;"_"&amp;AK$5,Database!$A:$F,6,0),"")</f>
        <v/>
      </c>
    </row>
    <row r="79" spans="1:37" x14ac:dyDescent="0.2">
      <c r="A79" s="17" t="str">
        <f>IF('Employee Master'!A75="","",'Employee Master'!A75)</f>
        <v/>
      </c>
      <c r="B79" s="18" t="str">
        <f>IF('Employee Master'!B75="","",'Employee Master'!B75)</f>
        <v/>
      </c>
      <c r="C79" s="18" t="str">
        <f>IF('Employee Master'!C75="","",'Employee Master'!C75)</f>
        <v/>
      </c>
      <c r="D79" s="19">
        <f t="shared" si="7"/>
        <v>0</v>
      </c>
      <c r="E79" s="19">
        <f t="shared" si="8"/>
        <v>0</v>
      </c>
      <c r="F79" s="19">
        <f t="shared" si="9"/>
        <v>0</v>
      </c>
      <c r="G79" s="20" t="str">
        <f>IFERROR(VLOOKUP($A79&amp;"_"&amp;G$5,Database!$A:$F,6,0),"")</f>
        <v/>
      </c>
      <c r="H79" s="20" t="str">
        <f>IFERROR(VLOOKUP($A79&amp;"_"&amp;H$5,Database!$A:$F,6,0),"")</f>
        <v/>
      </c>
      <c r="I79" s="20" t="str">
        <f>IFERROR(VLOOKUP($A79&amp;"_"&amp;I$5,Database!$A:$F,6,0),"")</f>
        <v/>
      </c>
      <c r="J79" s="20" t="str">
        <f>IFERROR(VLOOKUP($A79&amp;"_"&amp;J$5,Database!$A:$F,6,0),"")</f>
        <v/>
      </c>
      <c r="K79" s="20" t="str">
        <f>IFERROR(VLOOKUP($A79&amp;"_"&amp;K$5,Database!$A:$F,6,0),"")</f>
        <v/>
      </c>
      <c r="L79" s="20" t="str">
        <f>IFERROR(VLOOKUP($A79&amp;"_"&amp;L$5,Database!$A:$F,6,0),"")</f>
        <v/>
      </c>
      <c r="M79" s="20" t="str">
        <f>IFERROR(VLOOKUP($A79&amp;"_"&amp;M$5,Database!$A:$F,6,0),"")</f>
        <v/>
      </c>
      <c r="N79" s="20" t="str">
        <f>IFERROR(VLOOKUP($A79&amp;"_"&amp;N$5,Database!$A:$F,6,0),"")</f>
        <v/>
      </c>
      <c r="O79" s="20" t="str">
        <f>IFERROR(VLOOKUP($A79&amp;"_"&amp;O$5,Database!$A:$F,6,0),"")</f>
        <v/>
      </c>
      <c r="P79" s="20" t="str">
        <f>IFERROR(VLOOKUP($A79&amp;"_"&amp;P$5,Database!$A:$F,6,0),"")</f>
        <v/>
      </c>
      <c r="Q79" s="20" t="str">
        <f>IFERROR(VLOOKUP($A79&amp;"_"&amp;Q$5,Database!$A:$F,6,0),"")</f>
        <v/>
      </c>
      <c r="R79" s="20" t="str">
        <f>IFERROR(VLOOKUP($A79&amp;"_"&amp;R$5,Database!$A:$F,6,0),"")</f>
        <v/>
      </c>
      <c r="S79" s="20" t="str">
        <f>IFERROR(VLOOKUP($A79&amp;"_"&amp;S$5,Database!$A:$F,6,0),"")</f>
        <v/>
      </c>
      <c r="T79" s="20" t="str">
        <f>IFERROR(VLOOKUP($A79&amp;"_"&amp;T$5,Database!$A:$F,6,0),"")</f>
        <v/>
      </c>
      <c r="U79" s="20" t="str">
        <f>IFERROR(VLOOKUP($A79&amp;"_"&amp;U$5,Database!$A:$F,6,0),"")</f>
        <v/>
      </c>
      <c r="V79" s="20" t="str">
        <f>IFERROR(VLOOKUP($A79&amp;"_"&amp;V$5,Database!$A:$F,6,0),"")</f>
        <v/>
      </c>
      <c r="W79" s="20" t="str">
        <f>IFERROR(VLOOKUP($A79&amp;"_"&amp;W$5,Database!$A:$F,6,0),"")</f>
        <v/>
      </c>
      <c r="X79" s="20" t="str">
        <f>IFERROR(VLOOKUP($A79&amp;"_"&amp;X$5,Database!$A:$F,6,0),"")</f>
        <v/>
      </c>
      <c r="Y79" s="20" t="str">
        <f>IFERROR(VLOOKUP($A79&amp;"_"&amp;Y$5,Database!$A:$F,6,0),"")</f>
        <v/>
      </c>
      <c r="Z79" s="20" t="str">
        <f>IFERROR(VLOOKUP($A79&amp;"_"&amp;Z$5,Database!$A:$F,6,0),"")</f>
        <v/>
      </c>
      <c r="AA79" s="20" t="str">
        <f>IFERROR(VLOOKUP($A79&amp;"_"&amp;AA$5,Database!$A:$F,6,0),"")</f>
        <v/>
      </c>
      <c r="AB79" s="20" t="str">
        <f>IFERROR(VLOOKUP($A79&amp;"_"&amp;AB$5,Database!$A:$F,6,0),"")</f>
        <v/>
      </c>
      <c r="AC79" s="20" t="str">
        <f>IFERROR(VLOOKUP($A79&amp;"_"&amp;AC$5,Database!$A:$F,6,0),"")</f>
        <v/>
      </c>
      <c r="AD79" s="20" t="str">
        <f>IFERROR(VLOOKUP($A79&amp;"_"&amp;AD$5,Database!$A:$F,6,0),"")</f>
        <v/>
      </c>
      <c r="AE79" s="20" t="str">
        <f>IFERROR(VLOOKUP($A79&amp;"_"&amp;AE$5,Database!$A:$F,6,0),"")</f>
        <v/>
      </c>
      <c r="AF79" s="20" t="str">
        <f>IFERROR(VLOOKUP($A79&amp;"_"&amp;AF$5,Database!$A:$F,6,0),"")</f>
        <v/>
      </c>
      <c r="AG79" s="20" t="str">
        <f>IFERROR(VLOOKUP($A79&amp;"_"&amp;AG$5,Database!$A:$F,6,0),"")</f>
        <v/>
      </c>
      <c r="AH79" s="20" t="str">
        <f>IFERROR(VLOOKUP($A79&amp;"_"&amp;AH$5,Database!$A:$F,6,0),"")</f>
        <v/>
      </c>
      <c r="AI79" s="20" t="str">
        <f>IFERROR(VLOOKUP($A79&amp;"_"&amp;AI$5,Database!$A:$F,6,0),"")</f>
        <v/>
      </c>
      <c r="AJ79" s="20" t="str">
        <f>IFERROR(VLOOKUP($A79&amp;"_"&amp;AJ$5,Database!$A:$F,6,0),"")</f>
        <v/>
      </c>
      <c r="AK79" s="20" t="str">
        <f>IFERROR(VLOOKUP($A79&amp;"_"&amp;AK$5,Database!$A:$F,6,0),"")</f>
        <v/>
      </c>
    </row>
    <row r="80" spans="1:37" x14ac:dyDescent="0.2">
      <c r="A80" s="17" t="str">
        <f>IF('Employee Master'!A76="","",'Employee Master'!A76)</f>
        <v/>
      </c>
      <c r="B80" s="18" t="str">
        <f>IF('Employee Master'!B76="","",'Employee Master'!B76)</f>
        <v/>
      </c>
      <c r="C80" s="18" t="str">
        <f>IF('Employee Master'!C76="","",'Employee Master'!C76)</f>
        <v/>
      </c>
      <c r="D80" s="19">
        <f t="shared" si="7"/>
        <v>0</v>
      </c>
      <c r="E80" s="19">
        <f t="shared" si="8"/>
        <v>0</v>
      </c>
      <c r="F80" s="19">
        <f t="shared" si="9"/>
        <v>0</v>
      </c>
      <c r="G80" s="20" t="str">
        <f>IFERROR(VLOOKUP($A80&amp;"_"&amp;G$5,Database!$A:$F,6,0),"")</f>
        <v/>
      </c>
      <c r="H80" s="20" t="str">
        <f>IFERROR(VLOOKUP($A80&amp;"_"&amp;H$5,Database!$A:$F,6,0),"")</f>
        <v/>
      </c>
      <c r="I80" s="20" t="str">
        <f>IFERROR(VLOOKUP($A80&amp;"_"&amp;I$5,Database!$A:$F,6,0),"")</f>
        <v/>
      </c>
      <c r="J80" s="20" t="str">
        <f>IFERROR(VLOOKUP($A80&amp;"_"&amp;J$5,Database!$A:$F,6,0),"")</f>
        <v/>
      </c>
      <c r="K80" s="20" t="str">
        <f>IFERROR(VLOOKUP($A80&amp;"_"&amp;K$5,Database!$A:$F,6,0),"")</f>
        <v/>
      </c>
      <c r="L80" s="20" t="str">
        <f>IFERROR(VLOOKUP($A80&amp;"_"&amp;L$5,Database!$A:$F,6,0),"")</f>
        <v/>
      </c>
      <c r="M80" s="20" t="str">
        <f>IFERROR(VLOOKUP($A80&amp;"_"&amp;M$5,Database!$A:$F,6,0),"")</f>
        <v/>
      </c>
      <c r="N80" s="20" t="str">
        <f>IFERROR(VLOOKUP($A80&amp;"_"&amp;N$5,Database!$A:$F,6,0),"")</f>
        <v/>
      </c>
      <c r="O80" s="20" t="str">
        <f>IFERROR(VLOOKUP($A80&amp;"_"&amp;O$5,Database!$A:$F,6,0),"")</f>
        <v/>
      </c>
      <c r="P80" s="20" t="str">
        <f>IFERROR(VLOOKUP($A80&amp;"_"&amp;P$5,Database!$A:$F,6,0),"")</f>
        <v/>
      </c>
      <c r="Q80" s="20" t="str">
        <f>IFERROR(VLOOKUP($A80&amp;"_"&amp;Q$5,Database!$A:$F,6,0),"")</f>
        <v/>
      </c>
      <c r="R80" s="20" t="str">
        <f>IFERROR(VLOOKUP($A80&amp;"_"&amp;R$5,Database!$A:$F,6,0),"")</f>
        <v/>
      </c>
      <c r="S80" s="20" t="str">
        <f>IFERROR(VLOOKUP($A80&amp;"_"&amp;S$5,Database!$A:$F,6,0),"")</f>
        <v/>
      </c>
      <c r="T80" s="20" t="str">
        <f>IFERROR(VLOOKUP($A80&amp;"_"&amp;T$5,Database!$A:$F,6,0),"")</f>
        <v/>
      </c>
      <c r="U80" s="20" t="str">
        <f>IFERROR(VLOOKUP($A80&amp;"_"&amp;U$5,Database!$A:$F,6,0),"")</f>
        <v/>
      </c>
      <c r="V80" s="20" t="str">
        <f>IFERROR(VLOOKUP($A80&amp;"_"&amp;V$5,Database!$A:$F,6,0),"")</f>
        <v/>
      </c>
      <c r="W80" s="20" t="str">
        <f>IFERROR(VLOOKUP($A80&amp;"_"&amp;W$5,Database!$A:$F,6,0),"")</f>
        <v/>
      </c>
      <c r="X80" s="20" t="str">
        <f>IFERROR(VLOOKUP($A80&amp;"_"&amp;X$5,Database!$A:$F,6,0),"")</f>
        <v/>
      </c>
      <c r="Y80" s="20" t="str">
        <f>IFERROR(VLOOKUP($A80&amp;"_"&amp;Y$5,Database!$A:$F,6,0),"")</f>
        <v/>
      </c>
      <c r="Z80" s="20" t="str">
        <f>IFERROR(VLOOKUP($A80&amp;"_"&amp;Z$5,Database!$A:$F,6,0),"")</f>
        <v/>
      </c>
      <c r="AA80" s="20" t="str">
        <f>IFERROR(VLOOKUP($A80&amp;"_"&amp;AA$5,Database!$A:$F,6,0),"")</f>
        <v/>
      </c>
      <c r="AB80" s="20" t="str">
        <f>IFERROR(VLOOKUP($A80&amp;"_"&amp;AB$5,Database!$A:$F,6,0),"")</f>
        <v/>
      </c>
      <c r="AC80" s="20" t="str">
        <f>IFERROR(VLOOKUP($A80&amp;"_"&amp;AC$5,Database!$A:$F,6,0),"")</f>
        <v/>
      </c>
      <c r="AD80" s="20" t="str">
        <f>IFERROR(VLOOKUP($A80&amp;"_"&amp;AD$5,Database!$A:$F,6,0),"")</f>
        <v/>
      </c>
      <c r="AE80" s="20" t="str">
        <f>IFERROR(VLOOKUP($A80&amp;"_"&amp;AE$5,Database!$A:$F,6,0),"")</f>
        <v/>
      </c>
      <c r="AF80" s="20" t="str">
        <f>IFERROR(VLOOKUP($A80&amp;"_"&amp;AF$5,Database!$A:$F,6,0),"")</f>
        <v/>
      </c>
      <c r="AG80" s="20" t="str">
        <f>IFERROR(VLOOKUP($A80&amp;"_"&amp;AG$5,Database!$A:$F,6,0),"")</f>
        <v/>
      </c>
      <c r="AH80" s="20" t="str">
        <f>IFERROR(VLOOKUP($A80&amp;"_"&amp;AH$5,Database!$A:$F,6,0),"")</f>
        <v/>
      </c>
      <c r="AI80" s="20" t="str">
        <f>IFERROR(VLOOKUP($A80&amp;"_"&amp;AI$5,Database!$A:$F,6,0),"")</f>
        <v/>
      </c>
      <c r="AJ80" s="20" t="str">
        <f>IFERROR(VLOOKUP($A80&amp;"_"&amp;AJ$5,Database!$A:$F,6,0),"")</f>
        <v/>
      </c>
      <c r="AK80" s="20" t="str">
        <f>IFERROR(VLOOKUP($A80&amp;"_"&amp;AK$5,Database!$A:$F,6,0),"")</f>
        <v/>
      </c>
    </row>
    <row r="81" spans="1:37" x14ac:dyDescent="0.2">
      <c r="A81" s="17" t="str">
        <f>IF('Employee Master'!A77="","",'Employee Master'!A77)</f>
        <v/>
      </c>
      <c r="B81" s="18" t="str">
        <f>IF('Employee Master'!B77="","",'Employee Master'!B77)</f>
        <v/>
      </c>
      <c r="C81" s="18" t="str">
        <f>IF('Employee Master'!C77="","",'Employee Master'!C77)</f>
        <v/>
      </c>
      <c r="D81" s="19">
        <f t="shared" si="7"/>
        <v>0</v>
      </c>
      <c r="E81" s="19">
        <f t="shared" si="8"/>
        <v>0</v>
      </c>
      <c r="F81" s="19">
        <f t="shared" si="9"/>
        <v>0</v>
      </c>
      <c r="G81" s="20" t="str">
        <f>IFERROR(VLOOKUP($A81&amp;"_"&amp;G$5,Database!$A:$F,6,0),"")</f>
        <v/>
      </c>
      <c r="H81" s="20" t="str">
        <f>IFERROR(VLOOKUP($A81&amp;"_"&amp;H$5,Database!$A:$F,6,0),"")</f>
        <v/>
      </c>
      <c r="I81" s="20" t="str">
        <f>IFERROR(VLOOKUP($A81&amp;"_"&amp;I$5,Database!$A:$F,6,0),"")</f>
        <v/>
      </c>
      <c r="J81" s="20" t="str">
        <f>IFERROR(VLOOKUP($A81&amp;"_"&amp;J$5,Database!$A:$F,6,0),"")</f>
        <v/>
      </c>
      <c r="K81" s="20" t="str">
        <f>IFERROR(VLOOKUP($A81&amp;"_"&amp;K$5,Database!$A:$F,6,0),"")</f>
        <v/>
      </c>
      <c r="L81" s="20" t="str">
        <f>IFERROR(VLOOKUP($A81&amp;"_"&amp;L$5,Database!$A:$F,6,0),"")</f>
        <v/>
      </c>
      <c r="M81" s="20" t="str">
        <f>IFERROR(VLOOKUP($A81&amp;"_"&amp;M$5,Database!$A:$F,6,0),"")</f>
        <v/>
      </c>
      <c r="N81" s="20" t="str">
        <f>IFERROR(VLOOKUP($A81&amp;"_"&amp;N$5,Database!$A:$F,6,0),"")</f>
        <v/>
      </c>
      <c r="O81" s="20" t="str">
        <f>IFERROR(VLOOKUP($A81&amp;"_"&amp;O$5,Database!$A:$F,6,0),"")</f>
        <v/>
      </c>
      <c r="P81" s="20" t="str">
        <f>IFERROR(VLOOKUP($A81&amp;"_"&amp;P$5,Database!$A:$F,6,0),"")</f>
        <v/>
      </c>
      <c r="Q81" s="20" t="str">
        <f>IFERROR(VLOOKUP($A81&amp;"_"&amp;Q$5,Database!$A:$F,6,0),"")</f>
        <v/>
      </c>
      <c r="R81" s="20" t="str">
        <f>IFERROR(VLOOKUP($A81&amp;"_"&amp;R$5,Database!$A:$F,6,0),"")</f>
        <v/>
      </c>
      <c r="S81" s="20" t="str">
        <f>IFERROR(VLOOKUP($A81&amp;"_"&amp;S$5,Database!$A:$F,6,0),"")</f>
        <v/>
      </c>
      <c r="T81" s="20" t="str">
        <f>IFERROR(VLOOKUP($A81&amp;"_"&amp;T$5,Database!$A:$F,6,0),"")</f>
        <v/>
      </c>
      <c r="U81" s="20" t="str">
        <f>IFERROR(VLOOKUP($A81&amp;"_"&amp;U$5,Database!$A:$F,6,0),"")</f>
        <v/>
      </c>
      <c r="V81" s="20" t="str">
        <f>IFERROR(VLOOKUP($A81&amp;"_"&amp;V$5,Database!$A:$F,6,0),"")</f>
        <v/>
      </c>
      <c r="W81" s="20" t="str">
        <f>IFERROR(VLOOKUP($A81&amp;"_"&amp;W$5,Database!$A:$F,6,0),"")</f>
        <v/>
      </c>
      <c r="X81" s="20" t="str">
        <f>IFERROR(VLOOKUP($A81&amp;"_"&amp;X$5,Database!$A:$F,6,0),"")</f>
        <v/>
      </c>
      <c r="Y81" s="20" t="str">
        <f>IFERROR(VLOOKUP($A81&amp;"_"&amp;Y$5,Database!$A:$F,6,0),"")</f>
        <v/>
      </c>
      <c r="Z81" s="20" t="str">
        <f>IFERROR(VLOOKUP($A81&amp;"_"&amp;Z$5,Database!$A:$F,6,0),"")</f>
        <v/>
      </c>
      <c r="AA81" s="20" t="str">
        <f>IFERROR(VLOOKUP($A81&amp;"_"&amp;AA$5,Database!$A:$F,6,0),"")</f>
        <v/>
      </c>
      <c r="AB81" s="20" t="str">
        <f>IFERROR(VLOOKUP($A81&amp;"_"&amp;AB$5,Database!$A:$F,6,0),"")</f>
        <v/>
      </c>
      <c r="AC81" s="20" t="str">
        <f>IFERROR(VLOOKUP($A81&amp;"_"&amp;AC$5,Database!$A:$F,6,0),"")</f>
        <v/>
      </c>
      <c r="AD81" s="20" t="str">
        <f>IFERROR(VLOOKUP($A81&amp;"_"&amp;AD$5,Database!$A:$F,6,0),"")</f>
        <v/>
      </c>
      <c r="AE81" s="20" t="str">
        <f>IFERROR(VLOOKUP($A81&amp;"_"&amp;AE$5,Database!$A:$F,6,0),"")</f>
        <v/>
      </c>
      <c r="AF81" s="20" t="str">
        <f>IFERROR(VLOOKUP($A81&amp;"_"&amp;AF$5,Database!$A:$F,6,0),"")</f>
        <v/>
      </c>
      <c r="AG81" s="20" t="str">
        <f>IFERROR(VLOOKUP($A81&amp;"_"&amp;AG$5,Database!$A:$F,6,0),"")</f>
        <v/>
      </c>
      <c r="AH81" s="20" t="str">
        <f>IFERROR(VLOOKUP($A81&amp;"_"&amp;AH$5,Database!$A:$F,6,0),"")</f>
        <v/>
      </c>
      <c r="AI81" s="20" t="str">
        <f>IFERROR(VLOOKUP($A81&amp;"_"&amp;AI$5,Database!$A:$F,6,0),"")</f>
        <v/>
      </c>
      <c r="AJ81" s="20" t="str">
        <f>IFERROR(VLOOKUP($A81&amp;"_"&amp;AJ$5,Database!$A:$F,6,0),"")</f>
        <v/>
      </c>
      <c r="AK81" s="20" t="str">
        <f>IFERROR(VLOOKUP($A81&amp;"_"&amp;AK$5,Database!$A:$F,6,0),"")</f>
        <v/>
      </c>
    </row>
    <row r="82" spans="1:37" x14ac:dyDescent="0.2">
      <c r="A82" s="17" t="str">
        <f>IF('Employee Master'!A78="","",'Employee Master'!A78)</f>
        <v/>
      </c>
      <c r="B82" s="18" t="str">
        <f>IF('Employee Master'!B78="","",'Employee Master'!B78)</f>
        <v/>
      </c>
      <c r="C82" s="18" t="str">
        <f>IF('Employee Master'!C78="","",'Employee Master'!C78)</f>
        <v/>
      </c>
      <c r="D82" s="19">
        <f t="shared" si="7"/>
        <v>0</v>
      </c>
      <c r="E82" s="19">
        <f t="shared" si="8"/>
        <v>0</v>
      </c>
      <c r="F82" s="19">
        <f t="shared" si="9"/>
        <v>0</v>
      </c>
      <c r="G82" s="20" t="str">
        <f>IFERROR(VLOOKUP($A82&amp;"_"&amp;G$5,Database!$A:$F,6,0),"")</f>
        <v/>
      </c>
      <c r="H82" s="20" t="str">
        <f>IFERROR(VLOOKUP($A82&amp;"_"&amp;H$5,Database!$A:$F,6,0),"")</f>
        <v/>
      </c>
      <c r="I82" s="20" t="str">
        <f>IFERROR(VLOOKUP($A82&amp;"_"&amp;I$5,Database!$A:$F,6,0),"")</f>
        <v/>
      </c>
      <c r="J82" s="20" t="str">
        <f>IFERROR(VLOOKUP($A82&amp;"_"&amp;J$5,Database!$A:$F,6,0),"")</f>
        <v/>
      </c>
      <c r="K82" s="20" t="str">
        <f>IFERROR(VLOOKUP($A82&amp;"_"&amp;K$5,Database!$A:$F,6,0),"")</f>
        <v/>
      </c>
      <c r="L82" s="20" t="str">
        <f>IFERROR(VLOOKUP($A82&amp;"_"&amp;L$5,Database!$A:$F,6,0),"")</f>
        <v/>
      </c>
      <c r="M82" s="20" t="str">
        <f>IFERROR(VLOOKUP($A82&amp;"_"&amp;M$5,Database!$A:$F,6,0),"")</f>
        <v/>
      </c>
      <c r="N82" s="20" t="str">
        <f>IFERROR(VLOOKUP($A82&amp;"_"&amp;N$5,Database!$A:$F,6,0),"")</f>
        <v/>
      </c>
      <c r="O82" s="20" t="str">
        <f>IFERROR(VLOOKUP($A82&amp;"_"&amp;O$5,Database!$A:$F,6,0),"")</f>
        <v/>
      </c>
      <c r="P82" s="20" t="str">
        <f>IFERROR(VLOOKUP($A82&amp;"_"&amp;P$5,Database!$A:$F,6,0),"")</f>
        <v/>
      </c>
      <c r="Q82" s="20" t="str">
        <f>IFERROR(VLOOKUP($A82&amp;"_"&amp;Q$5,Database!$A:$F,6,0),"")</f>
        <v/>
      </c>
      <c r="R82" s="20" t="str">
        <f>IFERROR(VLOOKUP($A82&amp;"_"&amp;R$5,Database!$A:$F,6,0),"")</f>
        <v/>
      </c>
      <c r="S82" s="20" t="str">
        <f>IFERROR(VLOOKUP($A82&amp;"_"&amp;S$5,Database!$A:$F,6,0),"")</f>
        <v/>
      </c>
      <c r="T82" s="20" t="str">
        <f>IFERROR(VLOOKUP($A82&amp;"_"&amp;T$5,Database!$A:$F,6,0),"")</f>
        <v/>
      </c>
      <c r="U82" s="20" t="str">
        <f>IFERROR(VLOOKUP($A82&amp;"_"&amp;U$5,Database!$A:$F,6,0),"")</f>
        <v/>
      </c>
      <c r="V82" s="20" t="str">
        <f>IFERROR(VLOOKUP($A82&amp;"_"&amp;V$5,Database!$A:$F,6,0),"")</f>
        <v/>
      </c>
      <c r="W82" s="20" t="str">
        <f>IFERROR(VLOOKUP($A82&amp;"_"&amp;W$5,Database!$A:$F,6,0),"")</f>
        <v/>
      </c>
      <c r="X82" s="20" t="str">
        <f>IFERROR(VLOOKUP($A82&amp;"_"&amp;X$5,Database!$A:$F,6,0),"")</f>
        <v/>
      </c>
      <c r="Y82" s="20" t="str">
        <f>IFERROR(VLOOKUP($A82&amp;"_"&amp;Y$5,Database!$A:$F,6,0),"")</f>
        <v/>
      </c>
      <c r="Z82" s="20" t="str">
        <f>IFERROR(VLOOKUP($A82&amp;"_"&amp;Z$5,Database!$A:$F,6,0),"")</f>
        <v/>
      </c>
      <c r="AA82" s="20" t="str">
        <f>IFERROR(VLOOKUP($A82&amp;"_"&amp;AA$5,Database!$A:$F,6,0),"")</f>
        <v/>
      </c>
      <c r="AB82" s="20" t="str">
        <f>IFERROR(VLOOKUP($A82&amp;"_"&amp;AB$5,Database!$A:$F,6,0),"")</f>
        <v/>
      </c>
      <c r="AC82" s="20" t="str">
        <f>IFERROR(VLOOKUP($A82&amp;"_"&amp;AC$5,Database!$A:$F,6,0),"")</f>
        <v/>
      </c>
      <c r="AD82" s="20" t="str">
        <f>IFERROR(VLOOKUP($A82&amp;"_"&amp;AD$5,Database!$A:$F,6,0),"")</f>
        <v/>
      </c>
      <c r="AE82" s="20" t="str">
        <f>IFERROR(VLOOKUP($A82&amp;"_"&amp;AE$5,Database!$A:$F,6,0),"")</f>
        <v/>
      </c>
      <c r="AF82" s="20" t="str">
        <f>IFERROR(VLOOKUP($A82&amp;"_"&amp;AF$5,Database!$A:$F,6,0),"")</f>
        <v/>
      </c>
      <c r="AG82" s="20" t="str">
        <f>IFERROR(VLOOKUP($A82&amp;"_"&amp;AG$5,Database!$A:$F,6,0),"")</f>
        <v/>
      </c>
      <c r="AH82" s="20" t="str">
        <f>IFERROR(VLOOKUP($A82&amp;"_"&amp;AH$5,Database!$A:$F,6,0),"")</f>
        <v/>
      </c>
      <c r="AI82" s="20" t="str">
        <f>IFERROR(VLOOKUP($A82&amp;"_"&amp;AI$5,Database!$A:$F,6,0),"")</f>
        <v/>
      </c>
      <c r="AJ82" s="20" t="str">
        <f>IFERROR(VLOOKUP($A82&amp;"_"&amp;AJ$5,Database!$A:$F,6,0),"")</f>
        <v/>
      </c>
      <c r="AK82" s="20" t="str">
        <f>IFERROR(VLOOKUP($A82&amp;"_"&amp;AK$5,Database!$A:$F,6,0),"")</f>
        <v/>
      </c>
    </row>
    <row r="83" spans="1:37" x14ac:dyDescent="0.2">
      <c r="A83" s="17" t="str">
        <f>IF('Employee Master'!A79="","",'Employee Master'!A79)</f>
        <v/>
      </c>
      <c r="B83" s="18" t="str">
        <f>IF('Employee Master'!B79="","",'Employee Master'!B79)</f>
        <v/>
      </c>
      <c r="C83" s="18" t="str">
        <f>IF('Employee Master'!C79="","",'Employee Master'!C79)</f>
        <v/>
      </c>
      <c r="D83" s="19">
        <f t="shared" si="7"/>
        <v>0</v>
      </c>
      <c r="E83" s="19">
        <f t="shared" si="8"/>
        <v>0</v>
      </c>
      <c r="F83" s="19">
        <f t="shared" si="9"/>
        <v>0</v>
      </c>
      <c r="G83" s="20" t="str">
        <f>IFERROR(VLOOKUP($A83&amp;"_"&amp;G$5,Database!$A:$F,6,0),"")</f>
        <v/>
      </c>
      <c r="H83" s="20" t="str">
        <f>IFERROR(VLOOKUP($A83&amp;"_"&amp;H$5,Database!$A:$F,6,0),"")</f>
        <v/>
      </c>
      <c r="I83" s="20" t="str">
        <f>IFERROR(VLOOKUP($A83&amp;"_"&amp;I$5,Database!$A:$F,6,0),"")</f>
        <v/>
      </c>
      <c r="J83" s="20" t="str">
        <f>IFERROR(VLOOKUP($A83&amp;"_"&amp;J$5,Database!$A:$F,6,0),"")</f>
        <v/>
      </c>
      <c r="K83" s="20" t="str">
        <f>IFERROR(VLOOKUP($A83&amp;"_"&amp;K$5,Database!$A:$F,6,0),"")</f>
        <v/>
      </c>
      <c r="L83" s="20" t="str">
        <f>IFERROR(VLOOKUP($A83&amp;"_"&amp;L$5,Database!$A:$F,6,0),"")</f>
        <v/>
      </c>
      <c r="M83" s="20" t="str">
        <f>IFERROR(VLOOKUP($A83&amp;"_"&amp;M$5,Database!$A:$F,6,0),"")</f>
        <v/>
      </c>
      <c r="N83" s="20" t="str">
        <f>IFERROR(VLOOKUP($A83&amp;"_"&amp;N$5,Database!$A:$F,6,0),"")</f>
        <v/>
      </c>
      <c r="O83" s="20" t="str">
        <f>IFERROR(VLOOKUP($A83&amp;"_"&amp;O$5,Database!$A:$F,6,0),"")</f>
        <v/>
      </c>
      <c r="P83" s="20" t="str">
        <f>IFERROR(VLOOKUP($A83&amp;"_"&amp;P$5,Database!$A:$F,6,0),"")</f>
        <v/>
      </c>
      <c r="Q83" s="20" t="str">
        <f>IFERROR(VLOOKUP($A83&amp;"_"&amp;Q$5,Database!$A:$F,6,0),"")</f>
        <v/>
      </c>
      <c r="R83" s="20" t="str">
        <f>IFERROR(VLOOKUP($A83&amp;"_"&amp;R$5,Database!$A:$F,6,0),"")</f>
        <v/>
      </c>
      <c r="S83" s="20" t="str">
        <f>IFERROR(VLOOKUP($A83&amp;"_"&amp;S$5,Database!$A:$F,6,0),"")</f>
        <v/>
      </c>
      <c r="T83" s="20" t="str">
        <f>IFERROR(VLOOKUP($A83&amp;"_"&amp;T$5,Database!$A:$F,6,0),"")</f>
        <v/>
      </c>
      <c r="U83" s="20" t="str">
        <f>IFERROR(VLOOKUP($A83&amp;"_"&amp;U$5,Database!$A:$F,6,0),"")</f>
        <v/>
      </c>
      <c r="V83" s="20" t="str">
        <f>IFERROR(VLOOKUP($A83&amp;"_"&amp;V$5,Database!$A:$F,6,0),"")</f>
        <v/>
      </c>
      <c r="W83" s="20" t="str">
        <f>IFERROR(VLOOKUP($A83&amp;"_"&amp;W$5,Database!$A:$F,6,0),"")</f>
        <v/>
      </c>
      <c r="X83" s="20" t="str">
        <f>IFERROR(VLOOKUP($A83&amp;"_"&amp;X$5,Database!$A:$F,6,0),"")</f>
        <v/>
      </c>
      <c r="Y83" s="20" t="str">
        <f>IFERROR(VLOOKUP($A83&amp;"_"&amp;Y$5,Database!$A:$F,6,0),"")</f>
        <v/>
      </c>
      <c r="Z83" s="20" t="str">
        <f>IFERROR(VLOOKUP($A83&amp;"_"&amp;Z$5,Database!$A:$F,6,0),"")</f>
        <v/>
      </c>
      <c r="AA83" s="20" t="str">
        <f>IFERROR(VLOOKUP($A83&amp;"_"&amp;AA$5,Database!$A:$F,6,0),"")</f>
        <v/>
      </c>
      <c r="AB83" s="20" t="str">
        <f>IFERROR(VLOOKUP($A83&amp;"_"&amp;AB$5,Database!$A:$F,6,0),"")</f>
        <v/>
      </c>
      <c r="AC83" s="20" t="str">
        <f>IFERROR(VLOOKUP($A83&amp;"_"&amp;AC$5,Database!$A:$F,6,0),"")</f>
        <v/>
      </c>
      <c r="AD83" s="20" t="str">
        <f>IFERROR(VLOOKUP($A83&amp;"_"&amp;AD$5,Database!$A:$F,6,0),"")</f>
        <v/>
      </c>
      <c r="AE83" s="20" t="str">
        <f>IFERROR(VLOOKUP($A83&amp;"_"&amp;AE$5,Database!$A:$F,6,0),"")</f>
        <v/>
      </c>
      <c r="AF83" s="20" t="str">
        <f>IFERROR(VLOOKUP($A83&amp;"_"&amp;AF$5,Database!$A:$F,6,0),"")</f>
        <v/>
      </c>
      <c r="AG83" s="20" t="str">
        <f>IFERROR(VLOOKUP($A83&amp;"_"&amp;AG$5,Database!$A:$F,6,0),"")</f>
        <v/>
      </c>
      <c r="AH83" s="20" t="str">
        <f>IFERROR(VLOOKUP($A83&amp;"_"&amp;AH$5,Database!$A:$F,6,0),"")</f>
        <v/>
      </c>
      <c r="AI83" s="20" t="str">
        <f>IFERROR(VLOOKUP($A83&amp;"_"&amp;AI$5,Database!$A:$F,6,0),"")</f>
        <v/>
      </c>
      <c r="AJ83" s="20" t="str">
        <f>IFERROR(VLOOKUP($A83&amp;"_"&amp;AJ$5,Database!$A:$F,6,0),"")</f>
        <v/>
      </c>
      <c r="AK83" s="20" t="str">
        <f>IFERROR(VLOOKUP($A83&amp;"_"&amp;AK$5,Database!$A:$F,6,0),"")</f>
        <v/>
      </c>
    </row>
    <row r="84" spans="1:37" x14ac:dyDescent="0.2">
      <c r="A84" s="17" t="str">
        <f>IF('Employee Master'!A80="","",'Employee Master'!A80)</f>
        <v/>
      </c>
      <c r="B84" s="18" t="str">
        <f>IF('Employee Master'!B80="","",'Employee Master'!B80)</f>
        <v/>
      </c>
      <c r="C84" s="18" t="str">
        <f>IF('Employee Master'!C80="","",'Employee Master'!C80)</f>
        <v/>
      </c>
      <c r="D84" s="19">
        <f t="shared" si="7"/>
        <v>0</v>
      </c>
      <c r="E84" s="19">
        <f t="shared" si="8"/>
        <v>0</v>
      </c>
      <c r="F84" s="19">
        <f t="shared" si="9"/>
        <v>0</v>
      </c>
      <c r="G84" s="20" t="str">
        <f>IFERROR(VLOOKUP($A84&amp;"_"&amp;G$5,Database!$A:$F,6,0),"")</f>
        <v/>
      </c>
      <c r="H84" s="20" t="str">
        <f>IFERROR(VLOOKUP($A84&amp;"_"&amp;H$5,Database!$A:$F,6,0),"")</f>
        <v/>
      </c>
      <c r="I84" s="20" t="str">
        <f>IFERROR(VLOOKUP($A84&amp;"_"&amp;I$5,Database!$A:$F,6,0),"")</f>
        <v/>
      </c>
      <c r="J84" s="20" t="str">
        <f>IFERROR(VLOOKUP($A84&amp;"_"&amp;J$5,Database!$A:$F,6,0),"")</f>
        <v/>
      </c>
      <c r="K84" s="20" t="str">
        <f>IFERROR(VLOOKUP($A84&amp;"_"&amp;K$5,Database!$A:$F,6,0),"")</f>
        <v/>
      </c>
      <c r="L84" s="20" t="str">
        <f>IFERROR(VLOOKUP($A84&amp;"_"&amp;L$5,Database!$A:$F,6,0),"")</f>
        <v/>
      </c>
      <c r="M84" s="20" t="str">
        <f>IFERROR(VLOOKUP($A84&amp;"_"&amp;M$5,Database!$A:$F,6,0),"")</f>
        <v/>
      </c>
      <c r="N84" s="20" t="str">
        <f>IFERROR(VLOOKUP($A84&amp;"_"&amp;N$5,Database!$A:$F,6,0),"")</f>
        <v/>
      </c>
      <c r="O84" s="20" t="str">
        <f>IFERROR(VLOOKUP($A84&amp;"_"&amp;O$5,Database!$A:$F,6,0),"")</f>
        <v/>
      </c>
      <c r="P84" s="20" t="str">
        <f>IFERROR(VLOOKUP($A84&amp;"_"&amp;P$5,Database!$A:$F,6,0),"")</f>
        <v/>
      </c>
      <c r="Q84" s="20" t="str">
        <f>IFERROR(VLOOKUP($A84&amp;"_"&amp;Q$5,Database!$A:$F,6,0),"")</f>
        <v/>
      </c>
      <c r="R84" s="20" t="str">
        <f>IFERROR(VLOOKUP($A84&amp;"_"&amp;R$5,Database!$A:$F,6,0),"")</f>
        <v/>
      </c>
      <c r="S84" s="20" t="str">
        <f>IFERROR(VLOOKUP($A84&amp;"_"&amp;S$5,Database!$A:$F,6,0),"")</f>
        <v/>
      </c>
      <c r="T84" s="20" t="str">
        <f>IFERROR(VLOOKUP($A84&amp;"_"&amp;T$5,Database!$A:$F,6,0),"")</f>
        <v/>
      </c>
      <c r="U84" s="20" t="str">
        <f>IFERROR(VLOOKUP($A84&amp;"_"&amp;U$5,Database!$A:$F,6,0),"")</f>
        <v/>
      </c>
      <c r="V84" s="20" t="str">
        <f>IFERROR(VLOOKUP($A84&amp;"_"&amp;V$5,Database!$A:$F,6,0),"")</f>
        <v/>
      </c>
      <c r="W84" s="20" t="str">
        <f>IFERROR(VLOOKUP($A84&amp;"_"&amp;W$5,Database!$A:$F,6,0),"")</f>
        <v/>
      </c>
      <c r="X84" s="20" t="str">
        <f>IFERROR(VLOOKUP($A84&amp;"_"&amp;X$5,Database!$A:$F,6,0),"")</f>
        <v/>
      </c>
      <c r="Y84" s="20" t="str">
        <f>IFERROR(VLOOKUP($A84&amp;"_"&amp;Y$5,Database!$A:$F,6,0),"")</f>
        <v/>
      </c>
      <c r="Z84" s="20" t="str">
        <f>IFERROR(VLOOKUP($A84&amp;"_"&amp;Z$5,Database!$A:$F,6,0),"")</f>
        <v/>
      </c>
      <c r="AA84" s="20" t="str">
        <f>IFERROR(VLOOKUP($A84&amp;"_"&amp;AA$5,Database!$A:$F,6,0),"")</f>
        <v/>
      </c>
      <c r="AB84" s="20" t="str">
        <f>IFERROR(VLOOKUP($A84&amp;"_"&amp;AB$5,Database!$A:$F,6,0),"")</f>
        <v/>
      </c>
      <c r="AC84" s="20" t="str">
        <f>IFERROR(VLOOKUP($A84&amp;"_"&amp;AC$5,Database!$A:$F,6,0),"")</f>
        <v/>
      </c>
      <c r="AD84" s="20" t="str">
        <f>IFERROR(VLOOKUP($A84&amp;"_"&amp;AD$5,Database!$A:$F,6,0),"")</f>
        <v/>
      </c>
      <c r="AE84" s="20" t="str">
        <f>IFERROR(VLOOKUP($A84&amp;"_"&amp;AE$5,Database!$A:$F,6,0),"")</f>
        <v/>
      </c>
      <c r="AF84" s="20" t="str">
        <f>IFERROR(VLOOKUP($A84&amp;"_"&amp;AF$5,Database!$A:$F,6,0),"")</f>
        <v/>
      </c>
      <c r="AG84" s="20" t="str">
        <f>IFERROR(VLOOKUP($A84&amp;"_"&amp;AG$5,Database!$A:$F,6,0),"")</f>
        <v/>
      </c>
      <c r="AH84" s="20" t="str">
        <f>IFERROR(VLOOKUP($A84&amp;"_"&amp;AH$5,Database!$A:$F,6,0),"")</f>
        <v/>
      </c>
      <c r="AI84" s="20" t="str">
        <f>IFERROR(VLOOKUP($A84&amp;"_"&amp;AI$5,Database!$A:$F,6,0),"")</f>
        <v/>
      </c>
      <c r="AJ84" s="20" t="str">
        <f>IFERROR(VLOOKUP($A84&amp;"_"&amp;AJ$5,Database!$A:$F,6,0),"")</f>
        <v/>
      </c>
      <c r="AK84" s="20" t="str">
        <f>IFERROR(VLOOKUP($A84&amp;"_"&amp;AK$5,Database!$A:$F,6,0),"")</f>
        <v/>
      </c>
    </row>
    <row r="85" spans="1:37" x14ac:dyDescent="0.2">
      <c r="A85" s="17" t="str">
        <f>IF('Employee Master'!A81="","",'Employee Master'!A81)</f>
        <v/>
      </c>
      <c r="B85" s="18" t="str">
        <f>IF('Employee Master'!B81="","",'Employee Master'!B81)</f>
        <v/>
      </c>
      <c r="C85" s="18" t="str">
        <f>IF('Employee Master'!C81="","",'Employee Master'!C81)</f>
        <v/>
      </c>
      <c r="D85" s="19">
        <f t="shared" si="7"/>
        <v>0</v>
      </c>
      <c r="E85" s="19">
        <f t="shared" si="8"/>
        <v>0</v>
      </c>
      <c r="F85" s="19">
        <f t="shared" si="9"/>
        <v>0</v>
      </c>
      <c r="G85" s="20" t="str">
        <f>IFERROR(VLOOKUP($A85&amp;"_"&amp;G$5,Database!$A:$F,6,0),"")</f>
        <v/>
      </c>
      <c r="H85" s="20" t="str">
        <f>IFERROR(VLOOKUP($A85&amp;"_"&amp;H$5,Database!$A:$F,6,0),"")</f>
        <v/>
      </c>
      <c r="I85" s="20" t="str">
        <f>IFERROR(VLOOKUP($A85&amp;"_"&amp;I$5,Database!$A:$F,6,0),"")</f>
        <v/>
      </c>
      <c r="J85" s="20" t="str">
        <f>IFERROR(VLOOKUP($A85&amp;"_"&amp;J$5,Database!$A:$F,6,0),"")</f>
        <v/>
      </c>
      <c r="K85" s="20" t="str">
        <f>IFERROR(VLOOKUP($A85&amp;"_"&amp;K$5,Database!$A:$F,6,0),"")</f>
        <v/>
      </c>
      <c r="L85" s="20" t="str">
        <f>IFERROR(VLOOKUP($A85&amp;"_"&amp;L$5,Database!$A:$F,6,0),"")</f>
        <v/>
      </c>
      <c r="M85" s="20" t="str">
        <f>IFERROR(VLOOKUP($A85&amp;"_"&amp;M$5,Database!$A:$F,6,0),"")</f>
        <v/>
      </c>
      <c r="N85" s="20" t="str">
        <f>IFERROR(VLOOKUP($A85&amp;"_"&amp;N$5,Database!$A:$F,6,0),"")</f>
        <v/>
      </c>
      <c r="O85" s="20" t="str">
        <f>IFERROR(VLOOKUP($A85&amp;"_"&amp;O$5,Database!$A:$F,6,0),"")</f>
        <v/>
      </c>
      <c r="P85" s="20" t="str">
        <f>IFERROR(VLOOKUP($A85&amp;"_"&amp;P$5,Database!$A:$F,6,0),"")</f>
        <v/>
      </c>
      <c r="Q85" s="20" t="str">
        <f>IFERROR(VLOOKUP($A85&amp;"_"&amp;Q$5,Database!$A:$F,6,0),"")</f>
        <v/>
      </c>
      <c r="R85" s="20" t="str">
        <f>IFERROR(VLOOKUP($A85&amp;"_"&amp;R$5,Database!$A:$F,6,0),"")</f>
        <v/>
      </c>
      <c r="S85" s="20" t="str">
        <f>IFERROR(VLOOKUP($A85&amp;"_"&amp;S$5,Database!$A:$F,6,0),"")</f>
        <v/>
      </c>
      <c r="T85" s="20" t="str">
        <f>IFERROR(VLOOKUP($A85&amp;"_"&amp;T$5,Database!$A:$F,6,0),"")</f>
        <v/>
      </c>
      <c r="U85" s="20" t="str">
        <f>IFERROR(VLOOKUP($A85&amp;"_"&amp;U$5,Database!$A:$F,6,0),"")</f>
        <v/>
      </c>
      <c r="V85" s="20" t="str">
        <f>IFERROR(VLOOKUP($A85&amp;"_"&amp;V$5,Database!$A:$F,6,0),"")</f>
        <v/>
      </c>
      <c r="W85" s="20" t="str">
        <f>IFERROR(VLOOKUP($A85&amp;"_"&amp;W$5,Database!$A:$F,6,0),"")</f>
        <v/>
      </c>
      <c r="X85" s="20" t="str">
        <f>IFERROR(VLOOKUP($A85&amp;"_"&amp;X$5,Database!$A:$F,6,0),"")</f>
        <v/>
      </c>
      <c r="Y85" s="20" t="str">
        <f>IFERROR(VLOOKUP($A85&amp;"_"&amp;Y$5,Database!$A:$F,6,0),"")</f>
        <v/>
      </c>
      <c r="Z85" s="20" t="str">
        <f>IFERROR(VLOOKUP($A85&amp;"_"&amp;Z$5,Database!$A:$F,6,0),"")</f>
        <v/>
      </c>
      <c r="AA85" s="20" t="str">
        <f>IFERROR(VLOOKUP($A85&amp;"_"&amp;AA$5,Database!$A:$F,6,0),"")</f>
        <v/>
      </c>
      <c r="AB85" s="20" t="str">
        <f>IFERROR(VLOOKUP($A85&amp;"_"&amp;AB$5,Database!$A:$F,6,0),"")</f>
        <v/>
      </c>
      <c r="AC85" s="20" t="str">
        <f>IFERROR(VLOOKUP($A85&amp;"_"&amp;AC$5,Database!$A:$F,6,0),"")</f>
        <v/>
      </c>
      <c r="AD85" s="20" t="str">
        <f>IFERROR(VLOOKUP($A85&amp;"_"&amp;AD$5,Database!$A:$F,6,0),"")</f>
        <v/>
      </c>
      <c r="AE85" s="20" t="str">
        <f>IFERROR(VLOOKUP($A85&amp;"_"&amp;AE$5,Database!$A:$F,6,0),"")</f>
        <v/>
      </c>
      <c r="AF85" s="20" t="str">
        <f>IFERROR(VLOOKUP($A85&amp;"_"&amp;AF$5,Database!$A:$F,6,0),"")</f>
        <v/>
      </c>
      <c r="AG85" s="20" t="str">
        <f>IFERROR(VLOOKUP($A85&amp;"_"&amp;AG$5,Database!$A:$F,6,0),"")</f>
        <v/>
      </c>
      <c r="AH85" s="20" t="str">
        <f>IFERROR(VLOOKUP($A85&amp;"_"&amp;AH$5,Database!$A:$F,6,0),"")</f>
        <v/>
      </c>
      <c r="AI85" s="20" t="str">
        <f>IFERROR(VLOOKUP($A85&amp;"_"&amp;AI$5,Database!$A:$F,6,0),"")</f>
        <v/>
      </c>
      <c r="AJ85" s="20" t="str">
        <f>IFERROR(VLOOKUP($A85&amp;"_"&amp;AJ$5,Database!$A:$F,6,0),"")</f>
        <v/>
      </c>
      <c r="AK85" s="20" t="str">
        <f>IFERROR(VLOOKUP($A85&amp;"_"&amp;AK$5,Database!$A:$F,6,0),"")</f>
        <v/>
      </c>
    </row>
    <row r="86" spans="1:37" x14ac:dyDescent="0.2">
      <c r="A86" s="17" t="str">
        <f>IF('Employee Master'!A82="","",'Employee Master'!A82)</f>
        <v/>
      </c>
      <c r="B86" s="18" t="str">
        <f>IF('Employee Master'!B82="","",'Employee Master'!B82)</f>
        <v/>
      </c>
      <c r="C86" s="18" t="str">
        <f>IF('Employee Master'!C82="","",'Employee Master'!C82)</f>
        <v/>
      </c>
      <c r="D86" s="19">
        <f t="shared" si="7"/>
        <v>0</v>
      </c>
      <c r="E86" s="19">
        <f t="shared" si="8"/>
        <v>0</v>
      </c>
      <c r="F86" s="19">
        <f t="shared" si="9"/>
        <v>0</v>
      </c>
      <c r="G86" s="20" t="str">
        <f>IFERROR(VLOOKUP($A86&amp;"_"&amp;G$5,Database!$A:$F,6,0),"")</f>
        <v/>
      </c>
      <c r="H86" s="20" t="str">
        <f>IFERROR(VLOOKUP($A86&amp;"_"&amp;H$5,Database!$A:$F,6,0),"")</f>
        <v/>
      </c>
      <c r="I86" s="20" t="str">
        <f>IFERROR(VLOOKUP($A86&amp;"_"&amp;I$5,Database!$A:$F,6,0),"")</f>
        <v/>
      </c>
      <c r="J86" s="20" t="str">
        <f>IFERROR(VLOOKUP($A86&amp;"_"&amp;J$5,Database!$A:$F,6,0),"")</f>
        <v/>
      </c>
      <c r="K86" s="20" t="str">
        <f>IFERROR(VLOOKUP($A86&amp;"_"&amp;K$5,Database!$A:$F,6,0),"")</f>
        <v/>
      </c>
      <c r="L86" s="20" t="str">
        <f>IFERROR(VLOOKUP($A86&amp;"_"&amp;L$5,Database!$A:$F,6,0),"")</f>
        <v/>
      </c>
      <c r="M86" s="20" t="str">
        <f>IFERROR(VLOOKUP($A86&amp;"_"&amp;M$5,Database!$A:$F,6,0),"")</f>
        <v/>
      </c>
      <c r="N86" s="20" t="str">
        <f>IFERROR(VLOOKUP($A86&amp;"_"&amp;N$5,Database!$A:$F,6,0),"")</f>
        <v/>
      </c>
      <c r="O86" s="20" t="str">
        <f>IFERROR(VLOOKUP($A86&amp;"_"&amp;O$5,Database!$A:$F,6,0),"")</f>
        <v/>
      </c>
      <c r="P86" s="20" t="str">
        <f>IFERROR(VLOOKUP($A86&amp;"_"&amp;P$5,Database!$A:$F,6,0),"")</f>
        <v/>
      </c>
      <c r="Q86" s="20" t="str">
        <f>IFERROR(VLOOKUP($A86&amp;"_"&amp;Q$5,Database!$A:$F,6,0),"")</f>
        <v/>
      </c>
      <c r="R86" s="20" t="str">
        <f>IFERROR(VLOOKUP($A86&amp;"_"&amp;R$5,Database!$A:$F,6,0),"")</f>
        <v/>
      </c>
      <c r="S86" s="20" t="str">
        <f>IFERROR(VLOOKUP($A86&amp;"_"&amp;S$5,Database!$A:$F,6,0),"")</f>
        <v/>
      </c>
      <c r="T86" s="20" t="str">
        <f>IFERROR(VLOOKUP($A86&amp;"_"&amp;T$5,Database!$A:$F,6,0),"")</f>
        <v/>
      </c>
      <c r="U86" s="20" t="str">
        <f>IFERROR(VLOOKUP($A86&amp;"_"&amp;U$5,Database!$A:$F,6,0),"")</f>
        <v/>
      </c>
      <c r="V86" s="20" t="str">
        <f>IFERROR(VLOOKUP($A86&amp;"_"&amp;V$5,Database!$A:$F,6,0),"")</f>
        <v/>
      </c>
      <c r="W86" s="20" t="str">
        <f>IFERROR(VLOOKUP($A86&amp;"_"&amp;W$5,Database!$A:$F,6,0),"")</f>
        <v/>
      </c>
      <c r="X86" s="20" t="str">
        <f>IFERROR(VLOOKUP($A86&amp;"_"&amp;X$5,Database!$A:$F,6,0),"")</f>
        <v/>
      </c>
      <c r="Y86" s="20" t="str">
        <f>IFERROR(VLOOKUP($A86&amp;"_"&amp;Y$5,Database!$A:$F,6,0),"")</f>
        <v/>
      </c>
      <c r="Z86" s="20" t="str">
        <f>IFERROR(VLOOKUP($A86&amp;"_"&amp;Z$5,Database!$A:$F,6,0),"")</f>
        <v/>
      </c>
      <c r="AA86" s="20" t="str">
        <f>IFERROR(VLOOKUP($A86&amp;"_"&amp;AA$5,Database!$A:$F,6,0),"")</f>
        <v/>
      </c>
      <c r="AB86" s="20" t="str">
        <f>IFERROR(VLOOKUP($A86&amp;"_"&amp;AB$5,Database!$A:$F,6,0),"")</f>
        <v/>
      </c>
      <c r="AC86" s="20" t="str">
        <f>IFERROR(VLOOKUP($A86&amp;"_"&amp;AC$5,Database!$A:$F,6,0),"")</f>
        <v/>
      </c>
      <c r="AD86" s="20" t="str">
        <f>IFERROR(VLOOKUP($A86&amp;"_"&amp;AD$5,Database!$A:$F,6,0),"")</f>
        <v/>
      </c>
      <c r="AE86" s="20" t="str">
        <f>IFERROR(VLOOKUP($A86&amp;"_"&amp;AE$5,Database!$A:$F,6,0),"")</f>
        <v/>
      </c>
      <c r="AF86" s="20" t="str">
        <f>IFERROR(VLOOKUP($A86&amp;"_"&amp;AF$5,Database!$A:$F,6,0),"")</f>
        <v/>
      </c>
      <c r="AG86" s="20" t="str">
        <f>IFERROR(VLOOKUP($A86&amp;"_"&amp;AG$5,Database!$A:$F,6,0),"")</f>
        <v/>
      </c>
      <c r="AH86" s="20" t="str">
        <f>IFERROR(VLOOKUP($A86&amp;"_"&amp;AH$5,Database!$A:$F,6,0),"")</f>
        <v/>
      </c>
      <c r="AI86" s="20" t="str">
        <f>IFERROR(VLOOKUP($A86&amp;"_"&amp;AI$5,Database!$A:$F,6,0),"")</f>
        <v/>
      </c>
      <c r="AJ86" s="20" t="str">
        <f>IFERROR(VLOOKUP($A86&amp;"_"&amp;AJ$5,Database!$A:$F,6,0),"")</f>
        <v/>
      </c>
      <c r="AK86" s="20" t="str">
        <f>IFERROR(VLOOKUP($A86&amp;"_"&amp;AK$5,Database!$A:$F,6,0),"")</f>
        <v/>
      </c>
    </row>
    <row r="87" spans="1:37" x14ac:dyDescent="0.2">
      <c r="A87" s="17" t="str">
        <f>IF('Employee Master'!A83="","",'Employee Master'!A83)</f>
        <v/>
      </c>
      <c r="B87" s="18" t="str">
        <f>IF('Employee Master'!B83="","",'Employee Master'!B83)</f>
        <v/>
      </c>
      <c r="C87" s="18" t="str">
        <f>IF('Employee Master'!C83="","",'Employee Master'!C83)</f>
        <v/>
      </c>
      <c r="D87" s="19">
        <f t="shared" si="7"/>
        <v>0</v>
      </c>
      <c r="E87" s="19">
        <f t="shared" si="8"/>
        <v>0</v>
      </c>
      <c r="F87" s="19">
        <f t="shared" si="9"/>
        <v>0</v>
      </c>
      <c r="G87" s="20" t="str">
        <f>IFERROR(VLOOKUP($A87&amp;"_"&amp;G$5,Database!$A:$F,6,0),"")</f>
        <v/>
      </c>
      <c r="H87" s="20" t="str">
        <f>IFERROR(VLOOKUP($A87&amp;"_"&amp;H$5,Database!$A:$F,6,0),"")</f>
        <v/>
      </c>
      <c r="I87" s="20" t="str">
        <f>IFERROR(VLOOKUP($A87&amp;"_"&amp;I$5,Database!$A:$F,6,0),"")</f>
        <v/>
      </c>
      <c r="J87" s="20" t="str">
        <f>IFERROR(VLOOKUP($A87&amp;"_"&amp;J$5,Database!$A:$F,6,0),"")</f>
        <v/>
      </c>
      <c r="K87" s="20" t="str">
        <f>IFERROR(VLOOKUP($A87&amp;"_"&amp;K$5,Database!$A:$F,6,0),"")</f>
        <v/>
      </c>
      <c r="L87" s="20" t="str">
        <f>IFERROR(VLOOKUP($A87&amp;"_"&amp;L$5,Database!$A:$F,6,0),"")</f>
        <v/>
      </c>
      <c r="M87" s="20" t="str">
        <f>IFERROR(VLOOKUP($A87&amp;"_"&amp;M$5,Database!$A:$F,6,0),"")</f>
        <v/>
      </c>
      <c r="N87" s="20" t="str">
        <f>IFERROR(VLOOKUP($A87&amp;"_"&amp;N$5,Database!$A:$F,6,0),"")</f>
        <v/>
      </c>
      <c r="O87" s="20" t="str">
        <f>IFERROR(VLOOKUP($A87&amp;"_"&amp;O$5,Database!$A:$F,6,0),"")</f>
        <v/>
      </c>
      <c r="P87" s="20" t="str">
        <f>IFERROR(VLOOKUP($A87&amp;"_"&amp;P$5,Database!$A:$F,6,0),"")</f>
        <v/>
      </c>
      <c r="Q87" s="20" t="str">
        <f>IFERROR(VLOOKUP($A87&amp;"_"&amp;Q$5,Database!$A:$F,6,0),"")</f>
        <v/>
      </c>
      <c r="R87" s="20" t="str">
        <f>IFERROR(VLOOKUP($A87&amp;"_"&amp;R$5,Database!$A:$F,6,0),"")</f>
        <v/>
      </c>
      <c r="S87" s="20" t="str">
        <f>IFERROR(VLOOKUP($A87&amp;"_"&amp;S$5,Database!$A:$F,6,0),"")</f>
        <v/>
      </c>
      <c r="T87" s="20" t="str">
        <f>IFERROR(VLOOKUP($A87&amp;"_"&amp;T$5,Database!$A:$F,6,0),"")</f>
        <v/>
      </c>
      <c r="U87" s="20" t="str">
        <f>IFERROR(VLOOKUP($A87&amp;"_"&amp;U$5,Database!$A:$F,6,0),"")</f>
        <v/>
      </c>
      <c r="V87" s="20" t="str">
        <f>IFERROR(VLOOKUP($A87&amp;"_"&amp;V$5,Database!$A:$F,6,0),"")</f>
        <v/>
      </c>
      <c r="W87" s="20" t="str">
        <f>IFERROR(VLOOKUP($A87&amp;"_"&amp;W$5,Database!$A:$F,6,0),"")</f>
        <v/>
      </c>
      <c r="X87" s="20" t="str">
        <f>IFERROR(VLOOKUP($A87&amp;"_"&amp;X$5,Database!$A:$F,6,0),"")</f>
        <v/>
      </c>
      <c r="Y87" s="20" t="str">
        <f>IFERROR(VLOOKUP($A87&amp;"_"&amp;Y$5,Database!$A:$F,6,0),"")</f>
        <v/>
      </c>
      <c r="Z87" s="20" t="str">
        <f>IFERROR(VLOOKUP($A87&amp;"_"&amp;Z$5,Database!$A:$F,6,0),"")</f>
        <v/>
      </c>
      <c r="AA87" s="20" t="str">
        <f>IFERROR(VLOOKUP($A87&amp;"_"&amp;AA$5,Database!$A:$F,6,0),"")</f>
        <v/>
      </c>
      <c r="AB87" s="20" t="str">
        <f>IFERROR(VLOOKUP($A87&amp;"_"&amp;AB$5,Database!$A:$F,6,0),"")</f>
        <v/>
      </c>
      <c r="AC87" s="20" t="str">
        <f>IFERROR(VLOOKUP($A87&amp;"_"&amp;AC$5,Database!$A:$F,6,0),"")</f>
        <v/>
      </c>
      <c r="AD87" s="20" t="str">
        <f>IFERROR(VLOOKUP($A87&amp;"_"&amp;AD$5,Database!$A:$F,6,0),"")</f>
        <v/>
      </c>
      <c r="AE87" s="20" t="str">
        <f>IFERROR(VLOOKUP($A87&amp;"_"&amp;AE$5,Database!$A:$F,6,0),"")</f>
        <v/>
      </c>
      <c r="AF87" s="20" t="str">
        <f>IFERROR(VLOOKUP($A87&amp;"_"&amp;AF$5,Database!$A:$F,6,0),"")</f>
        <v/>
      </c>
      <c r="AG87" s="20" t="str">
        <f>IFERROR(VLOOKUP($A87&amp;"_"&amp;AG$5,Database!$A:$F,6,0),"")</f>
        <v/>
      </c>
      <c r="AH87" s="20" t="str">
        <f>IFERROR(VLOOKUP($A87&amp;"_"&amp;AH$5,Database!$A:$F,6,0),"")</f>
        <v/>
      </c>
      <c r="AI87" s="20" t="str">
        <f>IFERROR(VLOOKUP($A87&amp;"_"&amp;AI$5,Database!$A:$F,6,0),"")</f>
        <v/>
      </c>
      <c r="AJ87" s="20" t="str">
        <f>IFERROR(VLOOKUP($A87&amp;"_"&amp;AJ$5,Database!$A:$F,6,0),"")</f>
        <v/>
      </c>
      <c r="AK87" s="20" t="str">
        <f>IFERROR(VLOOKUP($A87&amp;"_"&amp;AK$5,Database!$A:$F,6,0),"")</f>
        <v/>
      </c>
    </row>
    <row r="88" spans="1:37" x14ac:dyDescent="0.2">
      <c r="A88" s="17" t="str">
        <f>IF('Employee Master'!A84="","",'Employee Master'!A84)</f>
        <v/>
      </c>
      <c r="B88" s="18" t="str">
        <f>IF('Employee Master'!B84="","",'Employee Master'!B84)</f>
        <v/>
      </c>
      <c r="C88" s="18" t="str">
        <f>IF('Employee Master'!C84="","",'Employee Master'!C84)</f>
        <v/>
      </c>
      <c r="D88" s="19">
        <f t="shared" si="7"/>
        <v>0</v>
      </c>
      <c r="E88" s="19">
        <f t="shared" si="8"/>
        <v>0</v>
      </c>
      <c r="F88" s="19">
        <f t="shared" si="9"/>
        <v>0</v>
      </c>
      <c r="G88" s="20" t="str">
        <f>IFERROR(VLOOKUP($A88&amp;"_"&amp;G$5,Database!$A:$F,6,0),"")</f>
        <v/>
      </c>
      <c r="H88" s="20" t="str">
        <f>IFERROR(VLOOKUP($A88&amp;"_"&amp;H$5,Database!$A:$F,6,0),"")</f>
        <v/>
      </c>
      <c r="I88" s="20" t="str">
        <f>IFERROR(VLOOKUP($A88&amp;"_"&amp;I$5,Database!$A:$F,6,0),"")</f>
        <v/>
      </c>
      <c r="J88" s="20" t="str">
        <f>IFERROR(VLOOKUP($A88&amp;"_"&amp;J$5,Database!$A:$F,6,0),"")</f>
        <v/>
      </c>
      <c r="K88" s="20" t="str">
        <f>IFERROR(VLOOKUP($A88&amp;"_"&amp;K$5,Database!$A:$F,6,0),"")</f>
        <v/>
      </c>
      <c r="L88" s="20" t="str">
        <f>IFERROR(VLOOKUP($A88&amp;"_"&amp;L$5,Database!$A:$F,6,0),"")</f>
        <v/>
      </c>
      <c r="M88" s="20" t="str">
        <f>IFERROR(VLOOKUP($A88&amp;"_"&amp;M$5,Database!$A:$F,6,0),"")</f>
        <v/>
      </c>
      <c r="N88" s="20" t="str">
        <f>IFERROR(VLOOKUP($A88&amp;"_"&amp;N$5,Database!$A:$F,6,0),"")</f>
        <v/>
      </c>
      <c r="O88" s="20" t="str">
        <f>IFERROR(VLOOKUP($A88&amp;"_"&amp;O$5,Database!$A:$F,6,0),"")</f>
        <v/>
      </c>
      <c r="P88" s="20" t="str">
        <f>IFERROR(VLOOKUP($A88&amp;"_"&amp;P$5,Database!$A:$F,6,0),"")</f>
        <v/>
      </c>
      <c r="Q88" s="20" t="str">
        <f>IFERROR(VLOOKUP($A88&amp;"_"&amp;Q$5,Database!$A:$F,6,0),"")</f>
        <v/>
      </c>
      <c r="R88" s="20" t="str">
        <f>IFERROR(VLOOKUP($A88&amp;"_"&amp;R$5,Database!$A:$F,6,0),"")</f>
        <v/>
      </c>
      <c r="S88" s="20" t="str">
        <f>IFERROR(VLOOKUP($A88&amp;"_"&amp;S$5,Database!$A:$F,6,0),"")</f>
        <v/>
      </c>
      <c r="T88" s="20" t="str">
        <f>IFERROR(VLOOKUP($A88&amp;"_"&amp;T$5,Database!$A:$F,6,0),"")</f>
        <v/>
      </c>
      <c r="U88" s="20" t="str">
        <f>IFERROR(VLOOKUP($A88&amp;"_"&amp;U$5,Database!$A:$F,6,0),"")</f>
        <v/>
      </c>
      <c r="V88" s="20" t="str">
        <f>IFERROR(VLOOKUP($A88&amp;"_"&amp;V$5,Database!$A:$F,6,0),"")</f>
        <v/>
      </c>
      <c r="W88" s="20" t="str">
        <f>IFERROR(VLOOKUP($A88&amp;"_"&amp;W$5,Database!$A:$F,6,0),"")</f>
        <v/>
      </c>
      <c r="X88" s="20" t="str">
        <f>IFERROR(VLOOKUP($A88&amp;"_"&amp;X$5,Database!$A:$F,6,0),"")</f>
        <v/>
      </c>
      <c r="Y88" s="20" t="str">
        <f>IFERROR(VLOOKUP($A88&amp;"_"&amp;Y$5,Database!$A:$F,6,0),"")</f>
        <v/>
      </c>
      <c r="Z88" s="20" t="str">
        <f>IFERROR(VLOOKUP($A88&amp;"_"&amp;Z$5,Database!$A:$F,6,0),"")</f>
        <v/>
      </c>
      <c r="AA88" s="20" t="str">
        <f>IFERROR(VLOOKUP($A88&amp;"_"&amp;AA$5,Database!$A:$F,6,0),"")</f>
        <v/>
      </c>
      <c r="AB88" s="20" t="str">
        <f>IFERROR(VLOOKUP($A88&amp;"_"&amp;AB$5,Database!$A:$F,6,0),"")</f>
        <v/>
      </c>
      <c r="AC88" s="20" t="str">
        <f>IFERROR(VLOOKUP($A88&amp;"_"&amp;AC$5,Database!$A:$F,6,0),"")</f>
        <v/>
      </c>
      <c r="AD88" s="20" t="str">
        <f>IFERROR(VLOOKUP($A88&amp;"_"&amp;AD$5,Database!$A:$F,6,0),"")</f>
        <v/>
      </c>
      <c r="AE88" s="20" t="str">
        <f>IFERROR(VLOOKUP($A88&amp;"_"&amp;AE$5,Database!$A:$F,6,0),"")</f>
        <v/>
      </c>
      <c r="AF88" s="20" t="str">
        <f>IFERROR(VLOOKUP($A88&amp;"_"&amp;AF$5,Database!$A:$F,6,0),"")</f>
        <v/>
      </c>
      <c r="AG88" s="20" t="str">
        <f>IFERROR(VLOOKUP($A88&amp;"_"&amp;AG$5,Database!$A:$F,6,0),"")</f>
        <v/>
      </c>
      <c r="AH88" s="20" t="str">
        <f>IFERROR(VLOOKUP($A88&amp;"_"&amp;AH$5,Database!$A:$F,6,0),"")</f>
        <v/>
      </c>
      <c r="AI88" s="20" t="str">
        <f>IFERROR(VLOOKUP($A88&amp;"_"&amp;AI$5,Database!$A:$F,6,0),"")</f>
        <v/>
      </c>
      <c r="AJ88" s="20" t="str">
        <f>IFERROR(VLOOKUP($A88&amp;"_"&amp;AJ$5,Database!$A:$F,6,0),"")</f>
        <v/>
      </c>
      <c r="AK88" s="20" t="str">
        <f>IFERROR(VLOOKUP($A88&amp;"_"&amp;AK$5,Database!$A:$F,6,0),"")</f>
        <v/>
      </c>
    </row>
    <row r="89" spans="1:37" x14ac:dyDescent="0.2">
      <c r="A89" s="17" t="str">
        <f>IF('Employee Master'!A85="","",'Employee Master'!A85)</f>
        <v/>
      </c>
      <c r="B89" s="18" t="str">
        <f>IF('Employee Master'!B85="","",'Employee Master'!B85)</f>
        <v/>
      </c>
      <c r="C89" s="18" t="str">
        <f>IF('Employee Master'!C85="","",'Employee Master'!C85)</f>
        <v/>
      </c>
      <c r="D89" s="19">
        <f t="shared" si="7"/>
        <v>0</v>
      </c>
      <c r="E89" s="19">
        <f t="shared" si="8"/>
        <v>0</v>
      </c>
      <c r="F89" s="19">
        <f t="shared" si="9"/>
        <v>0</v>
      </c>
      <c r="G89" s="20" t="str">
        <f>IFERROR(VLOOKUP($A89&amp;"_"&amp;G$5,Database!$A:$F,6,0),"")</f>
        <v/>
      </c>
      <c r="H89" s="20" t="str">
        <f>IFERROR(VLOOKUP($A89&amp;"_"&amp;H$5,Database!$A:$F,6,0),"")</f>
        <v/>
      </c>
      <c r="I89" s="20" t="str">
        <f>IFERROR(VLOOKUP($A89&amp;"_"&amp;I$5,Database!$A:$F,6,0),"")</f>
        <v/>
      </c>
      <c r="J89" s="20" t="str">
        <f>IFERROR(VLOOKUP($A89&amp;"_"&amp;J$5,Database!$A:$F,6,0),"")</f>
        <v/>
      </c>
      <c r="K89" s="20" t="str">
        <f>IFERROR(VLOOKUP($A89&amp;"_"&amp;K$5,Database!$A:$F,6,0),"")</f>
        <v/>
      </c>
      <c r="L89" s="20" t="str">
        <f>IFERROR(VLOOKUP($A89&amp;"_"&amp;L$5,Database!$A:$F,6,0),"")</f>
        <v/>
      </c>
      <c r="M89" s="20" t="str">
        <f>IFERROR(VLOOKUP($A89&amp;"_"&amp;M$5,Database!$A:$F,6,0),"")</f>
        <v/>
      </c>
      <c r="N89" s="20" t="str">
        <f>IFERROR(VLOOKUP($A89&amp;"_"&amp;N$5,Database!$A:$F,6,0),"")</f>
        <v/>
      </c>
      <c r="O89" s="20" t="str">
        <f>IFERROR(VLOOKUP($A89&amp;"_"&amp;O$5,Database!$A:$F,6,0),"")</f>
        <v/>
      </c>
      <c r="P89" s="20" t="str">
        <f>IFERROR(VLOOKUP($A89&amp;"_"&amp;P$5,Database!$A:$F,6,0),"")</f>
        <v/>
      </c>
      <c r="Q89" s="20" t="str">
        <f>IFERROR(VLOOKUP($A89&amp;"_"&amp;Q$5,Database!$A:$F,6,0),"")</f>
        <v/>
      </c>
      <c r="R89" s="20" t="str">
        <f>IFERROR(VLOOKUP($A89&amp;"_"&amp;R$5,Database!$A:$F,6,0),"")</f>
        <v/>
      </c>
      <c r="S89" s="20" t="str">
        <f>IFERROR(VLOOKUP($A89&amp;"_"&amp;S$5,Database!$A:$F,6,0),"")</f>
        <v/>
      </c>
      <c r="T89" s="20" t="str">
        <f>IFERROR(VLOOKUP($A89&amp;"_"&amp;T$5,Database!$A:$F,6,0),"")</f>
        <v/>
      </c>
      <c r="U89" s="20" t="str">
        <f>IFERROR(VLOOKUP($A89&amp;"_"&amp;U$5,Database!$A:$F,6,0),"")</f>
        <v/>
      </c>
      <c r="V89" s="20" t="str">
        <f>IFERROR(VLOOKUP($A89&amp;"_"&amp;V$5,Database!$A:$F,6,0),"")</f>
        <v/>
      </c>
      <c r="W89" s="20" t="str">
        <f>IFERROR(VLOOKUP($A89&amp;"_"&amp;W$5,Database!$A:$F,6,0),"")</f>
        <v/>
      </c>
      <c r="X89" s="20" t="str">
        <f>IFERROR(VLOOKUP($A89&amp;"_"&amp;X$5,Database!$A:$F,6,0),"")</f>
        <v/>
      </c>
      <c r="Y89" s="20" t="str">
        <f>IFERROR(VLOOKUP($A89&amp;"_"&amp;Y$5,Database!$A:$F,6,0),"")</f>
        <v/>
      </c>
      <c r="Z89" s="20" t="str">
        <f>IFERROR(VLOOKUP($A89&amp;"_"&amp;Z$5,Database!$A:$F,6,0),"")</f>
        <v/>
      </c>
      <c r="AA89" s="20" t="str">
        <f>IFERROR(VLOOKUP($A89&amp;"_"&amp;AA$5,Database!$A:$F,6,0),"")</f>
        <v/>
      </c>
      <c r="AB89" s="20" t="str">
        <f>IFERROR(VLOOKUP($A89&amp;"_"&amp;AB$5,Database!$A:$F,6,0),"")</f>
        <v/>
      </c>
      <c r="AC89" s="20" t="str">
        <f>IFERROR(VLOOKUP($A89&amp;"_"&amp;AC$5,Database!$A:$F,6,0),"")</f>
        <v/>
      </c>
      <c r="AD89" s="20" t="str">
        <f>IFERROR(VLOOKUP($A89&amp;"_"&amp;AD$5,Database!$A:$F,6,0),"")</f>
        <v/>
      </c>
      <c r="AE89" s="20" t="str">
        <f>IFERROR(VLOOKUP($A89&amp;"_"&amp;AE$5,Database!$A:$F,6,0),"")</f>
        <v/>
      </c>
      <c r="AF89" s="20" t="str">
        <f>IFERROR(VLOOKUP($A89&amp;"_"&amp;AF$5,Database!$A:$F,6,0),"")</f>
        <v/>
      </c>
      <c r="AG89" s="20" t="str">
        <f>IFERROR(VLOOKUP($A89&amp;"_"&amp;AG$5,Database!$A:$F,6,0),"")</f>
        <v/>
      </c>
      <c r="AH89" s="20" t="str">
        <f>IFERROR(VLOOKUP($A89&amp;"_"&amp;AH$5,Database!$A:$F,6,0),"")</f>
        <v/>
      </c>
      <c r="AI89" s="20" t="str">
        <f>IFERROR(VLOOKUP($A89&amp;"_"&amp;AI$5,Database!$A:$F,6,0),"")</f>
        <v/>
      </c>
      <c r="AJ89" s="20" t="str">
        <f>IFERROR(VLOOKUP($A89&amp;"_"&amp;AJ$5,Database!$A:$F,6,0),"")</f>
        <v/>
      </c>
      <c r="AK89" s="20" t="str">
        <f>IFERROR(VLOOKUP($A89&amp;"_"&amp;AK$5,Database!$A:$F,6,0),"")</f>
        <v/>
      </c>
    </row>
    <row r="90" spans="1:37" x14ac:dyDescent="0.2">
      <c r="A90" s="17" t="str">
        <f>IF('Employee Master'!A86="","",'Employee Master'!A86)</f>
        <v/>
      </c>
      <c r="B90" s="18" t="str">
        <f>IF('Employee Master'!B86="","",'Employee Master'!B86)</f>
        <v/>
      </c>
      <c r="C90" s="18" t="str">
        <f>IF('Employee Master'!C86="","",'Employee Master'!C86)</f>
        <v/>
      </c>
      <c r="D90" s="19">
        <f t="shared" si="7"/>
        <v>0</v>
      </c>
      <c r="E90" s="19">
        <f t="shared" si="8"/>
        <v>0</v>
      </c>
      <c r="F90" s="19">
        <f t="shared" si="9"/>
        <v>0</v>
      </c>
      <c r="G90" s="20" t="str">
        <f>IFERROR(VLOOKUP($A90&amp;"_"&amp;G$5,Database!$A:$F,6,0),"")</f>
        <v/>
      </c>
      <c r="H90" s="20" t="str">
        <f>IFERROR(VLOOKUP($A90&amp;"_"&amp;H$5,Database!$A:$F,6,0),"")</f>
        <v/>
      </c>
      <c r="I90" s="20" t="str">
        <f>IFERROR(VLOOKUP($A90&amp;"_"&amp;I$5,Database!$A:$F,6,0),"")</f>
        <v/>
      </c>
      <c r="J90" s="20" t="str">
        <f>IFERROR(VLOOKUP($A90&amp;"_"&amp;J$5,Database!$A:$F,6,0),"")</f>
        <v/>
      </c>
      <c r="K90" s="20" t="str">
        <f>IFERROR(VLOOKUP($A90&amp;"_"&amp;K$5,Database!$A:$F,6,0),"")</f>
        <v/>
      </c>
      <c r="L90" s="20" t="str">
        <f>IFERROR(VLOOKUP($A90&amp;"_"&amp;L$5,Database!$A:$F,6,0),"")</f>
        <v/>
      </c>
      <c r="M90" s="20" t="str">
        <f>IFERROR(VLOOKUP($A90&amp;"_"&amp;M$5,Database!$A:$F,6,0),"")</f>
        <v/>
      </c>
      <c r="N90" s="20" t="str">
        <f>IFERROR(VLOOKUP($A90&amp;"_"&amp;N$5,Database!$A:$F,6,0),"")</f>
        <v/>
      </c>
      <c r="O90" s="20" t="str">
        <f>IFERROR(VLOOKUP($A90&amp;"_"&amp;O$5,Database!$A:$F,6,0),"")</f>
        <v/>
      </c>
      <c r="P90" s="20" t="str">
        <f>IFERROR(VLOOKUP($A90&amp;"_"&amp;P$5,Database!$A:$F,6,0),"")</f>
        <v/>
      </c>
      <c r="Q90" s="20" t="str">
        <f>IFERROR(VLOOKUP($A90&amp;"_"&amp;Q$5,Database!$A:$F,6,0),"")</f>
        <v/>
      </c>
      <c r="R90" s="20" t="str">
        <f>IFERROR(VLOOKUP($A90&amp;"_"&amp;R$5,Database!$A:$F,6,0),"")</f>
        <v/>
      </c>
      <c r="S90" s="20" t="str">
        <f>IFERROR(VLOOKUP($A90&amp;"_"&amp;S$5,Database!$A:$F,6,0),"")</f>
        <v/>
      </c>
      <c r="T90" s="20" t="str">
        <f>IFERROR(VLOOKUP($A90&amp;"_"&amp;T$5,Database!$A:$F,6,0),"")</f>
        <v/>
      </c>
      <c r="U90" s="20" t="str">
        <f>IFERROR(VLOOKUP($A90&amp;"_"&amp;U$5,Database!$A:$F,6,0),"")</f>
        <v/>
      </c>
      <c r="V90" s="20" t="str">
        <f>IFERROR(VLOOKUP($A90&amp;"_"&amp;V$5,Database!$A:$F,6,0),"")</f>
        <v/>
      </c>
      <c r="W90" s="20" t="str">
        <f>IFERROR(VLOOKUP($A90&amp;"_"&amp;W$5,Database!$A:$F,6,0),"")</f>
        <v/>
      </c>
      <c r="X90" s="20" t="str">
        <f>IFERROR(VLOOKUP($A90&amp;"_"&amp;X$5,Database!$A:$F,6,0),"")</f>
        <v/>
      </c>
      <c r="Y90" s="20" t="str">
        <f>IFERROR(VLOOKUP($A90&amp;"_"&amp;Y$5,Database!$A:$F,6,0),"")</f>
        <v/>
      </c>
      <c r="Z90" s="20" t="str">
        <f>IFERROR(VLOOKUP($A90&amp;"_"&amp;Z$5,Database!$A:$F,6,0),"")</f>
        <v/>
      </c>
      <c r="AA90" s="20" t="str">
        <f>IFERROR(VLOOKUP($A90&amp;"_"&amp;AA$5,Database!$A:$F,6,0),"")</f>
        <v/>
      </c>
      <c r="AB90" s="20" t="str">
        <f>IFERROR(VLOOKUP($A90&amp;"_"&amp;AB$5,Database!$A:$F,6,0),"")</f>
        <v/>
      </c>
      <c r="AC90" s="20" t="str">
        <f>IFERROR(VLOOKUP($A90&amp;"_"&amp;AC$5,Database!$A:$F,6,0),"")</f>
        <v/>
      </c>
      <c r="AD90" s="20" t="str">
        <f>IFERROR(VLOOKUP($A90&amp;"_"&amp;AD$5,Database!$A:$F,6,0),"")</f>
        <v/>
      </c>
      <c r="AE90" s="20" t="str">
        <f>IFERROR(VLOOKUP($A90&amp;"_"&amp;AE$5,Database!$A:$F,6,0),"")</f>
        <v/>
      </c>
      <c r="AF90" s="20" t="str">
        <f>IFERROR(VLOOKUP($A90&amp;"_"&amp;AF$5,Database!$A:$F,6,0),"")</f>
        <v/>
      </c>
      <c r="AG90" s="20" t="str">
        <f>IFERROR(VLOOKUP($A90&amp;"_"&amp;AG$5,Database!$A:$F,6,0),"")</f>
        <v/>
      </c>
      <c r="AH90" s="20" t="str">
        <f>IFERROR(VLOOKUP($A90&amp;"_"&amp;AH$5,Database!$A:$F,6,0),"")</f>
        <v/>
      </c>
      <c r="AI90" s="20" t="str">
        <f>IFERROR(VLOOKUP($A90&amp;"_"&amp;AI$5,Database!$A:$F,6,0),"")</f>
        <v/>
      </c>
      <c r="AJ90" s="20" t="str">
        <f>IFERROR(VLOOKUP($A90&amp;"_"&amp;AJ$5,Database!$A:$F,6,0),"")</f>
        <v/>
      </c>
      <c r="AK90" s="20" t="str">
        <f>IFERROR(VLOOKUP($A90&amp;"_"&amp;AK$5,Database!$A:$F,6,0),"")</f>
        <v/>
      </c>
    </row>
    <row r="91" spans="1:37" x14ac:dyDescent="0.2">
      <c r="A91" s="17" t="str">
        <f>IF('Employee Master'!A87="","",'Employee Master'!A87)</f>
        <v/>
      </c>
      <c r="B91" s="18" t="str">
        <f>IF('Employee Master'!B87="","",'Employee Master'!B87)</f>
        <v/>
      </c>
      <c r="C91" s="18" t="str">
        <f>IF('Employee Master'!C87="","",'Employee Master'!C87)</f>
        <v/>
      </c>
      <c r="D91" s="19">
        <f t="shared" si="7"/>
        <v>0</v>
      </c>
      <c r="E91" s="19">
        <f t="shared" si="8"/>
        <v>0</v>
      </c>
      <c r="F91" s="19">
        <f t="shared" si="9"/>
        <v>0</v>
      </c>
      <c r="G91" s="20" t="str">
        <f>IFERROR(VLOOKUP($A91&amp;"_"&amp;G$5,Database!$A:$F,6,0),"")</f>
        <v/>
      </c>
      <c r="H91" s="20" t="str">
        <f>IFERROR(VLOOKUP($A91&amp;"_"&amp;H$5,Database!$A:$F,6,0),"")</f>
        <v/>
      </c>
      <c r="I91" s="20" t="str">
        <f>IFERROR(VLOOKUP($A91&amp;"_"&amp;I$5,Database!$A:$F,6,0),"")</f>
        <v/>
      </c>
      <c r="J91" s="20" t="str">
        <f>IFERROR(VLOOKUP($A91&amp;"_"&amp;J$5,Database!$A:$F,6,0),"")</f>
        <v/>
      </c>
      <c r="K91" s="20" t="str">
        <f>IFERROR(VLOOKUP($A91&amp;"_"&amp;K$5,Database!$A:$F,6,0),"")</f>
        <v/>
      </c>
      <c r="L91" s="20" t="str">
        <f>IFERROR(VLOOKUP($A91&amp;"_"&amp;L$5,Database!$A:$F,6,0),"")</f>
        <v/>
      </c>
      <c r="M91" s="20" t="str">
        <f>IFERROR(VLOOKUP($A91&amp;"_"&amp;M$5,Database!$A:$F,6,0),"")</f>
        <v/>
      </c>
      <c r="N91" s="20" t="str">
        <f>IFERROR(VLOOKUP($A91&amp;"_"&amp;N$5,Database!$A:$F,6,0),"")</f>
        <v/>
      </c>
      <c r="O91" s="20" t="str">
        <f>IFERROR(VLOOKUP($A91&amp;"_"&amp;O$5,Database!$A:$F,6,0),"")</f>
        <v/>
      </c>
      <c r="P91" s="20" t="str">
        <f>IFERROR(VLOOKUP($A91&amp;"_"&amp;P$5,Database!$A:$F,6,0),"")</f>
        <v/>
      </c>
      <c r="Q91" s="20" t="str">
        <f>IFERROR(VLOOKUP($A91&amp;"_"&amp;Q$5,Database!$A:$F,6,0),"")</f>
        <v/>
      </c>
      <c r="R91" s="20" t="str">
        <f>IFERROR(VLOOKUP($A91&amp;"_"&amp;R$5,Database!$A:$F,6,0),"")</f>
        <v/>
      </c>
      <c r="S91" s="20" t="str">
        <f>IFERROR(VLOOKUP($A91&amp;"_"&amp;S$5,Database!$A:$F,6,0),"")</f>
        <v/>
      </c>
      <c r="T91" s="20" t="str">
        <f>IFERROR(VLOOKUP($A91&amp;"_"&amp;T$5,Database!$A:$F,6,0),"")</f>
        <v/>
      </c>
      <c r="U91" s="20" t="str">
        <f>IFERROR(VLOOKUP($A91&amp;"_"&amp;U$5,Database!$A:$F,6,0),"")</f>
        <v/>
      </c>
      <c r="V91" s="20" t="str">
        <f>IFERROR(VLOOKUP($A91&amp;"_"&amp;V$5,Database!$A:$F,6,0),"")</f>
        <v/>
      </c>
      <c r="W91" s="20" t="str">
        <f>IFERROR(VLOOKUP($A91&amp;"_"&amp;W$5,Database!$A:$F,6,0),"")</f>
        <v/>
      </c>
      <c r="X91" s="20" t="str">
        <f>IFERROR(VLOOKUP($A91&amp;"_"&amp;X$5,Database!$A:$F,6,0),"")</f>
        <v/>
      </c>
      <c r="Y91" s="20" t="str">
        <f>IFERROR(VLOOKUP($A91&amp;"_"&amp;Y$5,Database!$A:$F,6,0),"")</f>
        <v/>
      </c>
      <c r="Z91" s="20" t="str">
        <f>IFERROR(VLOOKUP($A91&amp;"_"&amp;Z$5,Database!$A:$F,6,0),"")</f>
        <v/>
      </c>
      <c r="AA91" s="20" t="str">
        <f>IFERROR(VLOOKUP($A91&amp;"_"&amp;AA$5,Database!$A:$F,6,0),"")</f>
        <v/>
      </c>
      <c r="AB91" s="20" t="str">
        <f>IFERROR(VLOOKUP($A91&amp;"_"&amp;AB$5,Database!$A:$F,6,0),"")</f>
        <v/>
      </c>
      <c r="AC91" s="20" t="str">
        <f>IFERROR(VLOOKUP($A91&amp;"_"&amp;AC$5,Database!$A:$F,6,0),"")</f>
        <v/>
      </c>
      <c r="AD91" s="20" t="str">
        <f>IFERROR(VLOOKUP($A91&amp;"_"&amp;AD$5,Database!$A:$F,6,0),"")</f>
        <v/>
      </c>
      <c r="AE91" s="20" t="str">
        <f>IFERROR(VLOOKUP($A91&amp;"_"&amp;AE$5,Database!$A:$F,6,0),"")</f>
        <v/>
      </c>
      <c r="AF91" s="20" t="str">
        <f>IFERROR(VLOOKUP($A91&amp;"_"&amp;AF$5,Database!$A:$F,6,0),"")</f>
        <v/>
      </c>
      <c r="AG91" s="20" t="str">
        <f>IFERROR(VLOOKUP($A91&amp;"_"&amp;AG$5,Database!$A:$F,6,0),"")</f>
        <v/>
      </c>
      <c r="AH91" s="20" t="str">
        <f>IFERROR(VLOOKUP($A91&amp;"_"&amp;AH$5,Database!$A:$F,6,0),"")</f>
        <v/>
      </c>
      <c r="AI91" s="20" t="str">
        <f>IFERROR(VLOOKUP($A91&amp;"_"&amp;AI$5,Database!$A:$F,6,0),"")</f>
        <v/>
      </c>
      <c r="AJ91" s="20" t="str">
        <f>IFERROR(VLOOKUP($A91&amp;"_"&amp;AJ$5,Database!$A:$F,6,0),"")</f>
        <v/>
      </c>
      <c r="AK91" s="20" t="str">
        <f>IFERROR(VLOOKUP($A91&amp;"_"&amp;AK$5,Database!$A:$F,6,0),"")</f>
        <v/>
      </c>
    </row>
    <row r="92" spans="1:37" x14ac:dyDescent="0.2">
      <c r="A92" s="17" t="str">
        <f>IF('Employee Master'!A88="","",'Employee Master'!A88)</f>
        <v/>
      </c>
      <c r="B92" s="18" t="str">
        <f>IF('Employee Master'!B88="","",'Employee Master'!B88)</f>
        <v/>
      </c>
      <c r="C92" s="18" t="str">
        <f>IF('Employee Master'!C88="","",'Employee Master'!C88)</f>
        <v/>
      </c>
      <c r="D92" s="19">
        <f t="shared" si="7"/>
        <v>0</v>
      </c>
      <c r="E92" s="19">
        <f t="shared" si="8"/>
        <v>0</v>
      </c>
      <c r="F92" s="19">
        <f t="shared" si="9"/>
        <v>0</v>
      </c>
      <c r="G92" s="20" t="str">
        <f>IFERROR(VLOOKUP($A92&amp;"_"&amp;G$5,Database!$A:$F,6,0),"")</f>
        <v/>
      </c>
      <c r="H92" s="20" t="str">
        <f>IFERROR(VLOOKUP($A92&amp;"_"&amp;H$5,Database!$A:$F,6,0),"")</f>
        <v/>
      </c>
      <c r="I92" s="20" t="str">
        <f>IFERROR(VLOOKUP($A92&amp;"_"&amp;I$5,Database!$A:$F,6,0),"")</f>
        <v/>
      </c>
      <c r="J92" s="20" t="str">
        <f>IFERROR(VLOOKUP($A92&amp;"_"&amp;J$5,Database!$A:$F,6,0),"")</f>
        <v/>
      </c>
      <c r="K92" s="20" t="str">
        <f>IFERROR(VLOOKUP($A92&amp;"_"&amp;K$5,Database!$A:$F,6,0),"")</f>
        <v/>
      </c>
      <c r="L92" s="20" t="str">
        <f>IFERROR(VLOOKUP($A92&amp;"_"&amp;L$5,Database!$A:$F,6,0),"")</f>
        <v/>
      </c>
      <c r="M92" s="20" t="str">
        <f>IFERROR(VLOOKUP($A92&amp;"_"&amp;M$5,Database!$A:$F,6,0),"")</f>
        <v/>
      </c>
      <c r="N92" s="20" t="str">
        <f>IFERROR(VLOOKUP($A92&amp;"_"&amp;N$5,Database!$A:$F,6,0),"")</f>
        <v/>
      </c>
      <c r="O92" s="20" t="str">
        <f>IFERROR(VLOOKUP($A92&amp;"_"&amp;O$5,Database!$A:$F,6,0),"")</f>
        <v/>
      </c>
      <c r="P92" s="20" t="str">
        <f>IFERROR(VLOOKUP($A92&amp;"_"&amp;P$5,Database!$A:$F,6,0),"")</f>
        <v/>
      </c>
      <c r="Q92" s="20" t="str">
        <f>IFERROR(VLOOKUP($A92&amp;"_"&amp;Q$5,Database!$A:$F,6,0),"")</f>
        <v/>
      </c>
      <c r="R92" s="20" t="str">
        <f>IFERROR(VLOOKUP($A92&amp;"_"&amp;R$5,Database!$A:$F,6,0),"")</f>
        <v/>
      </c>
      <c r="S92" s="20" t="str">
        <f>IFERROR(VLOOKUP($A92&amp;"_"&amp;S$5,Database!$A:$F,6,0),"")</f>
        <v/>
      </c>
      <c r="T92" s="20" t="str">
        <f>IFERROR(VLOOKUP($A92&amp;"_"&amp;T$5,Database!$A:$F,6,0),"")</f>
        <v/>
      </c>
      <c r="U92" s="20" t="str">
        <f>IFERROR(VLOOKUP($A92&amp;"_"&amp;U$5,Database!$A:$F,6,0),"")</f>
        <v/>
      </c>
      <c r="V92" s="20" t="str">
        <f>IFERROR(VLOOKUP($A92&amp;"_"&amp;V$5,Database!$A:$F,6,0),"")</f>
        <v/>
      </c>
      <c r="W92" s="20" t="str">
        <f>IFERROR(VLOOKUP($A92&amp;"_"&amp;W$5,Database!$A:$F,6,0),"")</f>
        <v/>
      </c>
      <c r="X92" s="20" t="str">
        <f>IFERROR(VLOOKUP($A92&amp;"_"&amp;X$5,Database!$A:$F,6,0),"")</f>
        <v/>
      </c>
      <c r="Y92" s="20" t="str">
        <f>IFERROR(VLOOKUP($A92&amp;"_"&amp;Y$5,Database!$A:$F,6,0),"")</f>
        <v/>
      </c>
      <c r="Z92" s="20" t="str">
        <f>IFERROR(VLOOKUP($A92&amp;"_"&amp;Z$5,Database!$A:$F,6,0),"")</f>
        <v/>
      </c>
      <c r="AA92" s="20" t="str">
        <f>IFERROR(VLOOKUP($A92&amp;"_"&amp;AA$5,Database!$A:$F,6,0),"")</f>
        <v/>
      </c>
      <c r="AB92" s="20" t="str">
        <f>IFERROR(VLOOKUP($A92&amp;"_"&amp;AB$5,Database!$A:$F,6,0),"")</f>
        <v/>
      </c>
      <c r="AC92" s="20" t="str">
        <f>IFERROR(VLOOKUP($A92&amp;"_"&amp;AC$5,Database!$A:$F,6,0),"")</f>
        <v/>
      </c>
      <c r="AD92" s="20" t="str">
        <f>IFERROR(VLOOKUP($A92&amp;"_"&amp;AD$5,Database!$A:$F,6,0),"")</f>
        <v/>
      </c>
      <c r="AE92" s="20" t="str">
        <f>IFERROR(VLOOKUP($A92&amp;"_"&amp;AE$5,Database!$A:$F,6,0),"")</f>
        <v/>
      </c>
      <c r="AF92" s="20" t="str">
        <f>IFERROR(VLOOKUP($A92&amp;"_"&amp;AF$5,Database!$A:$F,6,0),"")</f>
        <v/>
      </c>
      <c r="AG92" s="20" t="str">
        <f>IFERROR(VLOOKUP($A92&amp;"_"&amp;AG$5,Database!$A:$F,6,0),"")</f>
        <v/>
      </c>
      <c r="AH92" s="20" t="str">
        <f>IFERROR(VLOOKUP($A92&amp;"_"&amp;AH$5,Database!$A:$F,6,0),"")</f>
        <v/>
      </c>
      <c r="AI92" s="20" t="str">
        <f>IFERROR(VLOOKUP($A92&amp;"_"&amp;AI$5,Database!$A:$F,6,0),"")</f>
        <v/>
      </c>
      <c r="AJ92" s="20" t="str">
        <f>IFERROR(VLOOKUP($A92&amp;"_"&amp;AJ$5,Database!$A:$F,6,0),"")</f>
        <v/>
      </c>
      <c r="AK92" s="20" t="str">
        <f>IFERROR(VLOOKUP($A92&amp;"_"&amp;AK$5,Database!$A:$F,6,0),"")</f>
        <v/>
      </c>
    </row>
    <row r="93" spans="1:37" x14ac:dyDescent="0.2">
      <c r="A93" s="17" t="str">
        <f>IF('Employee Master'!A89="","",'Employee Master'!A89)</f>
        <v/>
      </c>
      <c r="B93" s="18" t="str">
        <f>IF('Employee Master'!B89="","",'Employee Master'!B89)</f>
        <v/>
      </c>
      <c r="C93" s="18" t="str">
        <f>IF('Employee Master'!C89="","",'Employee Master'!C89)</f>
        <v/>
      </c>
      <c r="D93" s="19">
        <f t="shared" ref="D93:D100" si="10">COUNTIF(G93:AK93,"P")</f>
        <v>0</v>
      </c>
      <c r="E93" s="19">
        <f t="shared" ref="E93:E100" si="11">COUNTIF(G93:AK93,"A")</f>
        <v>0</v>
      </c>
      <c r="F93" s="19">
        <f t="shared" ref="F93:F100" si="12">COUNTIF(G93:AK93,"L")</f>
        <v>0</v>
      </c>
      <c r="G93" s="20" t="str">
        <f>IFERROR(VLOOKUP($A93&amp;"_"&amp;G$5,Database!$A:$F,6,0),"")</f>
        <v/>
      </c>
      <c r="H93" s="20" t="str">
        <f>IFERROR(VLOOKUP($A93&amp;"_"&amp;H$5,Database!$A:$F,6,0),"")</f>
        <v/>
      </c>
      <c r="I93" s="20" t="str">
        <f>IFERROR(VLOOKUP($A93&amp;"_"&amp;I$5,Database!$A:$F,6,0),"")</f>
        <v/>
      </c>
      <c r="J93" s="20" t="str">
        <f>IFERROR(VLOOKUP($A93&amp;"_"&amp;J$5,Database!$A:$F,6,0),"")</f>
        <v/>
      </c>
      <c r="K93" s="20" t="str">
        <f>IFERROR(VLOOKUP($A93&amp;"_"&amp;K$5,Database!$A:$F,6,0),"")</f>
        <v/>
      </c>
      <c r="L93" s="20" t="str">
        <f>IFERROR(VLOOKUP($A93&amp;"_"&amp;L$5,Database!$A:$F,6,0),"")</f>
        <v/>
      </c>
      <c r="M93" s="20" t="str">
        <f>IFERROR(VLOOKUP($A93&amp;"_"&amp;M$5,Database!$A:$F,6,0),"")</f>
        <v/>
      </c>
      <c r="N93" s="20" t="str">
        <f>IFERROR(VLOOKUP($A93&amp;"_"&amp;N$5,Database!$A:$F,6,0),"")</f>
        <v/>
      </c>
      <c r="O93" s="20" t="str">
        <f>IFERROR(VLOOKUP($A93&amp;"_"&amp;O$5,Database!$A:$F,6,0),"")</f>
        <v/>
      </c>
      <c r="P93" s="20" t="str">
        <f>IFERROR(VLOOKUP($A93&amp;"_"&amp;P$5,Database!$A:$F,6,0),"")</f>
        <v/>
      </c>
      <c r="Q93" s="20" t="str">
        <f>IFERROR(VLOOKUP($A93&amp;"_"&amp;Q$5,Database!$A:$F,6,0),"")</f>
        <v/>
      </c>
      <c r="R93" s="20" t="str">
        <f>IFERROR(VLOOKUP($A93&amp;"_"&amp;R$5,Database!$A:$F,6,0),"")</f>
        <v/>
      </c>
      <c r="S93" s="20" t="str">
        <f>IFERROR(VLOOKUP($A93&amp;"_"&amp;S$5,Database!$A:$F,6,0),"")</f>
        <v/>
      </c>
      <c r="T93" s="20" t="str">
        <f>IFERROR(VLOOKUP($A93&amp;"_"&amp;T$5,Database!$A:$F,6,0),"")</f>
        <v/>
      </c>
      <c r="U93" s="20" t="str">
        <f>IFERROR(VLOOKUP($A93&amp;"_"&amp;U$5,Database!$A:$F,6,0),"")</f>
        <v/>
      </c>
      <c r="V93" s="20" t="str">
        <f>IFERROR(VLOOKUP($A93&amp;"_"&amp;V$5,Database!$A:$F,6,0),"")</f>
        <v/>
      </c>
      <c r="W93" s="20" t="str">
        <f>IFERROR(VLOOKUP($A93&amp;"_"&amp;W$5,Database!$A:$F,6,0),"")</f>
        <v/>
      </c>
      <c r="X93" s="20" t="str">
        <f>IFERROR(VLOOKUP($A93&amp;"_"&amp;X$5,Database!$A:$F,6,0),"")</f>
        <v/>
      </c>
      <c r="Y93" s="20" t="str">
        <f>IFERROR(VLOOKUP($A93&amp;"_"&amp;Y$5,Database!$A:$F,6,0),"")</f>
        <v/>
      </c>
      <c r="Z93" s="20" t="str">
        <f>IFERROR(VLOOKUP($A93&amp;"_"&amp;Z$5,Database!$A:$F,6,0),"")</f>
        <v/>
      </c>
      <c r="AA93" s="20" t="str">
        <f>IFERROR(VLOOKUP($A93&amp;"_"&amp;AA$5,Database!$A:$F,6,0),"")</f>
        <v/>
      </c>
      <c r="AB93" s="20" t="str">
        <f>IFERROR(VLOOKUP($A93&amp;"_"&amp;AB$5,Database!$A:$F,6,0),"")</f>
        <v/>
      </c>
      <c r="AC93" s="20" t="str">
        <f>IFERROR(VLOOKUP($A93&amp;"_"&amp;AC$5,Database!$A:$F,6,0),"")</f>
        <v/>
      </c>
      <c r="AD93" s="20" t="str">
        <f>IFERROR(VLOOKUP($A93&amp;"_"&amp;AD$5,Database!$A:$F,6,0),"")</f>
        <v/>
      </c>
      <c r="AE93" s="20" t="str">
        <f>IFERROR(VLOOKUP($A93&amp;"_"&amp;AE$5,Database!$A:$F,6,0),"")</f>
        <v/>
      </c>
      <c r="AF93" s="20" t="str">
        <f>IFERROR(VLOOKUP($A93&amp;"_"&amp;AF$5,Database!$A:$F,6,0),"")</f>
        <v/>
      </c>
      <c r="AG93" s="20" t="str">
        <f>IFERROR(VLOOKUP($A93&amp;"_"&amp;AG$5,Database!$A:$F,6,0),"")</f>
        <v/>
      </c>
      <c r="AH93" s="20" t="str">
        <f>IFERROR(VLOOKUP($A93&amp;"_"&amp;AH$5,Database!$A:$F,6,0),"")</f>
        <v/>
      </c>
      <c r="AI93" s="20" t="str">
        <f>IFERROR(VLOOKUP($A93&amp;"_"&amp;AI$5,Database!$A:$F,6,0),"")</f>
        <v/>
      </c>
      <c r="AJ93" s="20" t="str">
        <f>IFERROR(VLOOKUP($A93&amp;"_"&amp;AJ$5,Database!$A:$F,6,0),"")</f>
        <v/>
      </c>
      <c r="AK93" s="20" t="str">
        <f>IFERROR(VLOOKUP($A93&amp;"_"&amp;AK$5,Database!$A:$F,6,0),"")</f>
        <v/>
      </c>
    </row>
    <row r="94" spans="1:37" x14ac:dyDescent="0.2">
      <c r="A94" s="17" t="str">
        <f>IF('Employee Master'!A90="","",'Employee Master'!A90)</f>
        <v/>
      </c>
      <c r="B94" s="18" t="str">
        <f>IF('Employee Master'!B90="","",'Employee Master'!B90)</f>
        <v/>
      </c>
      <c r="C94" s="18" t="str">
        <f>IF('Employee Master'!C90="","",'Employee Master'!C90)</f>
        <v/>
      </c>
      <c r="D94" s="19">
        <f t="shared" si="10"/>
        <v>0</v>
      </c>
      <c r="E94" s="19">
        <f t="shared" si="11"/>
        <v>0</v>
      </c>
      <c r="F94" s="19">
        <f t="shared" si="12"/>
        <v>0</v>
      </c>
      <c r="G94" s="20" t="str">
        <f>IFERROR(VLOOKUP($A94&amp;"_"&amp;G$5,Database!$A:$F,6,0),"")</f>
        <v/>
      </c>
      <c r="H94" s="20" t="str">
        <f>IFERROR(VLOOKUP($A94&amp;"_"&amp;H$5,Database!$A:$F,6,0),"")</f>
        <v/>
      </c>
      <c r="I94" s="20" t="str">
        <f>IFERROR(VLOOKUP($A94&amp;"_"&amp;I$5,Database!$A:$F,6,0),"")</f>
        <v/>
      </c>
      <c r="J94" s="20" t="str">
        <f>IFERROR(VLOOKUP($A94&amp;"_"&amp;J$5,Database!$A:$F,6,0),"")</f>
        <v/>
      </c>
      <c r="K94" s="20" t="str">
        <f>IFERROR(VLOOKUP($A94&amp;"_"&amp;K$5,Database!$A:$F,6,0),"")</f>
        <v/>
      </c>
      <c r="L94" s="20" t="str">
        <f>IFERROR(VLOOKUP($A94&amp;"_"&amp;L$5,Database!$A:$F,6,0),"")</f>
        <v/>
      </c>
      <c r="M94" s="20" t="str">
        <f>IFERROR(VLOOKUP($A94&amp;"_"&amp;M$5,Database!$A:$F,6,0),"")</f>
        <v/>
      </c>
      <c r="N94" s="20" t="str">
        <f>IFERROR(VLOOKUP($A94&amp;"_"&amp;N$5,Database!$A:$F,6,0),"")</f>
        <v/>
      </c>
      <c r="O94" s="20" t="str">
        <f>IFERROR(VLOOKUP($A94&amp;"_"&amp;O$5,Database!$A:$F,6,0),"")</f>
        <v/>
      </c>
      <c r="P94" s="20" t="str">
        <f>IFERROR(VLOOKUP($A94&amp;"_"&amp;P$5,Database!$A:$F,6,0),"")</f>
        <v/>
      </c>
      <c r="Q94" s="20" t="str">
        <f>IFERROR(VLOOKUP($A94&amp;"_"&amp;Q$5,Database!$A:$F,6,0),"")</f>
        <v/>
      </c>
      <c r="R94" s="20" t="str">
        <f>IFERROR(VLOOKUP($A94&amp;"_"&amp;R$5,Database!$A:$F,6,0),"")</f>
        <v/>
      </c>
      <c r="S94" s="20" t="str">
        <f>IFERROR(VLOOKUP($A94&amp;"_"&amp;S$5,Database!$A:$F,6,0),"")</f>
        <v/>
      </c>
      <c r="T94" s="20" t="str">
        <f>IFERROR(VLOOKUP($A94&amp;"_"&amp;T$5,Database!$A:$F,6,0),"")</f>
        <v/>
      </c>
      <c r="U94" s="20" t="str">
        <f>IFERROR(VLOOKUP($A94&amp;"_"&amp;U$5,Database!$A:$F,6,0),"")</f>
        <v/>
      </c>
      <c r="V94" s="20" t="str">
        <f>IFERROR(VLOOKUP($A94&amp;"_"&amp;V$5,Database!$A:$F,6,0),"")</f>
        <v/>
      </c>
      <c r="W94" s="20" t="str">
        <f>IFERROR(VLOOKUP($A94&amp;"_"&amp;W$5,Database!$A:$F,6,0),"")</f>
        <v/>
      </c>
      <c r="X94" s="20" t="str">
        <f>IFERROR(VLOOKUP($A94&amp;"_"&amp;X$5,Database!$A:$F,6,0),"")</f>
        <v/>
      </c>
      <c r="Y94" s="20" t="str">
        <f>IFERROR(VLOOKUP($A94&amp;"_"&amp;Y$5,Database!$A:$F,6,0),"")</f>
        <v/>
      </c>
      <c r="Z94" s="20" t="str">
        <f>IFERROR(VLOOKUP($A94&amp;"_"&amp;Z$5,Database!$A:$F,6,0),"")</f>
        <v/>
      </c>
      <c r="AA94" s="20" t="str">
        <f>IFERROR(VLOOKUP($A94&amp;"_"&amp;AA$5,Database!$A:$F,6,0),"")</f>
        <v/>
      </c>
      <c r="AB94" s="20" t="str">
        <f>IFERROR(VLOOKUP($A94&amp;"_"&amp;AB$5,Database!$A:$F,6,0),"")</f>
        <v/>
      </c>
      <c r="AC94" s="20" t="str">
        <f>IFERROR(VLOOKUP($A94&amp;"_"&amp;AC$5,Database!$A:$F,6,0),"")</f>
        <v/>
      </c>
      <c r="AD94" s="20" t="str">
        <f>IFERROR(VLOOKUP($A94&amp;"_"&amp;AD$5,Database!$A:$F,6,0),"")</f>
        <v/>
      </c>
      <c r="AE94" s="20" t="str">
        <f>IFERROR(VLOOKUP($A94&amp;"_"&amp;AE$5,Database!$A:$F,6,0),"")</f>
        <v/>
      </c>
      <c r="AF94" s="20" t="str">
        <f>IFERROR(VLOOKUP($A94&amp;"_"&amp;AF$5,Database!$A:$F,6,0),"")</f>
        <v/>
      </c>
      <c r="AG94" s="20" t="str">
        <f>IFERROR(VLOOKUP($A94&amp;"_"&amp;AG$5,Database!$A:$F,6,0),"")</f>
        <v/>
      </c>
      <c r="AH94" s="20" t="str">
        <f>IFERROR(VLOOKUP($A94&amp;"_"&amp;AH$5,Database!$A:$F,6,0),"")</f>
        <v/>
      </c>
      <c r="AI94" s="20" t="str">
        <f>IFERROR(VLOOKUP($A94&amp;"_"&amp;AI$5,Database!$A:$F,6,0),"")</f>
        <v/>
      </c>
      <c r="AJ94" s="20" t="str">
        <f>IFERROR(VLOOKUP($A94&amp;"_"&amp;AJ$5,Database!$A:$F,6,0),"")</f>
        <v/>
      </c>
      <c r="AK94" s="20" t="str">
        <f>IFERROR(VLOOKUP($A94&amp;"_"&amp;AK$5,Database!$A:$F,6,0),"")</f>
        <v/>
      </c>
    </row>
    <row r="95" spans="1:37" x14ac:dyDescent="0.2">
      <c r="A95" s="17" t="str">
        <f>IF('Employee Master'!A91="","",'Employee Master'!A91)</f>
        <v/>
      </c>
      <c r="B95" s="18" t="str">
        <f>IF('Employee Master'!B91="","",'Employee Master'!B91)</f>
        <v/>
      </c>
      <c r="C95" s="18" t="str">
        <f>IF('Employee Master'!C91="","",'Employee Master'!C91)</f>
        <v/>
      </c>
      <c r="D95" s="19">
        <f t="shared" si="10"/>
        <v>0</v>
      </c>
      <c r="E95" s="19">
        <f t="shared" si="11"/>
        <v>0</v>
      </c>
      <c r="F95" s="19">
        <f t="shared" si="12"/>
        <v>0</v>
      </c>
      <c r="G95" s="20" t="str">
        <f>IFERROR(VLOOKUP($A95&amp;"_"&amp;G$5,Database!$A:$F,6,0),"")</f>
        <v/>
      </c>
      <c r="H95" s="20" t="str">
        <f>IFERROR(VLOOKUP($A95&amp;"_"&amp;H$5,Database!$A:$F,6,0),"")</f>
        <v/>
      </c>
      <c r="I95" s="20" t="str">
        <f>IFERROR(VLOOKUP($A95&amp;"_"&amp;I$5,Database!$A:$F,6,0),"")</f>
        <v/>
      </c>
      <c r="J95" s="20" t="str">
        <f>IFERROR(VLOOKUP($A95&amp;"_"&amp;J$5,Database!$A:$F,6,0),"")</f>
        <v/>
      </c>
      <c r="K95" s="20" t="str">
        <f>IFERROR(VLOOKUP($A95&amp;"_"&amp;K$5,Database!$A:$F,6,0),"")</f>
        <v/>
      </c>
      <c r="L95" s="20" t="str">
        <f>IFERROR(VLOOKUP($A95&amp;"_"&amp;L$5,Database!$A:$F,6,0),"")</f>
        <v/>
      </c>
      <c r="M95" s="20" t="str">
        <f>IFERROR(VLOOKUP($A95&amp;"_"&amp;M$5,Database!$A:$F,6,0),"")</f>
        <v/>
      </c>
      <c r="N95" s="20" t="str">
        <f>IFERROR(VLOOKUP($A95&amp;"_"&amp;N$5,Database!$A:$F,6,0),"")</f>
        <v/>
      </c>
      <c r="O95" s="20" t="str">
        <f>IFERROR(VLOOKUP($A95&amp;"_"&amp;O$5,Database!$A:$F,6,0),"")</f>
        <v/>
      </c>
      <c r="P95" s="20" t="str">
        <f>IFERROR(VLOOKUP($A95&amp;"_"&amp;P$5,Database!$A:$F,6,0),"")</f>
        <v/>
      </c>
      <c r="Q95" s="20" t="str">
        <f>IFERROR(VLOOKUP($A95&amp;"_"&amp;Q$5,Database!$A:$F,6,0),"")</f>
        <v/>
      </c>
      <c r="R95" s="20" t="str">
        <f>IFERROR(VLOOKUP($A95&amp;"_"&amp;R$5,Database!$A:$F,6,0),"")</f>
        <v/>
      </c>
      <c r="S95" s="20" t="str">
        <f>IFERROR(VLOOKUP($A95&amp;"_"&amp;S$5,Database!$A:$F,6,0),"")</f>
        <v/>
      </c>
      <c r="T95" s="20" t="str">
        <f>IFERROR(VLOOKUP($A95&amp;"_"&amp;T$5,Database!$A:$F,6,0),"")</f>
        <v/>
      </c>
      <c r="U95" s="20" t="str">
        <f>IFERROR(VLOOKUP($A95&amp;"_"&amp;U$5,Database!$A:$F,6,0),"")</f>
        <v/>
      </c>
      <c r="V95" s="20" t="str">
        <f>IFERROR(VLOOKUP($A95&amp;"_"&amp;V$5,Database!$A:$F,6,0),"")</f>
        <v/>
      </c>
      <c r="W95" s="20" t="str">
        <f>IFERROR(VLOOKUP($A95&amp;"_"&amp;W$5,Database!$A:$F,6,0),"")</f>
        <v/>
      </c>
      <c r="X95" s="20" t="str">
        <f>IFERROR(VLOOKUP($A95&amp;"_"&amp;X$5,Database!$A:$F,6,0),"")</f>
        <v/>
      </c>
      <c r="Y95" s="20" t="str">
        <f>IFERROR(VLOOKUP($A95&amp;"_"&amp;Y$5,Database!$A:$F,6,0),"")</f>
        <v/>
      </c>
      <c r="Z95" s="20" t="str">
        <f>IFERROR(VLOOKUP($A95&amp;"_"&amp;Z$5,Database!$A:$F,6,0),"")</f>
        <v/>
      </c>
      <c r="AA95" s="20" t="str">
        <f>IFERROR(VLOOKUP($A95&amp;"_"&amp;AA$5,Database!$A:$F,6,0),"")</f>
        <v/>
      </c>
      <c r="AB95" s="20" t="str">
        <f>IFERROR(VLOOKUP($A95&amp;"_"&amp;AB$5,Database!$A:$F,6,0),"")</f>
        <v/>
      </c>
      <c r="AC95" s="20" t="str">
        <f>IFERROR(VLOOKUP($A95&amp;"_"&amp;AC$5,Database!$A:$F,6,0),"")</f>
        <v/>
      </c>
      <c r="AD95" s="20" t="str">
        <f>IFERROR(VLOOKUP($A95&amp;"_"&amp;AD$5,Database!$A:$F,6,0),"")</f>
        <v/>
      </c>
      <c r="AE95" s="20" t="str">
        <f>IFERROR(VLOOKUP($A95&amp;"_"&amp;AE$5,Database!$A:$F,6,0),"")</f>
        <v/>
      </c>
      <c r="AF95" s="20" t="str">
        <f>IFERROR(VLOOKUP($A95&amp;"_"&amp;AF$5,Database!$A:$F,6,0),"")</f>
        <v/>
      </c>
      <c r="AG95" s="20" t="str">
        <f>IFERROR(VLOOKUP($A95&amp;"_"&amp;AG$5,Database!$A:$F,6,0),"")</f>
        <v/>
      </c>
      <c r="AH95" s="20" t="str">
        <f>IFERROR(VLOOKUP($A95&amp;"_"&amp;AH$5,Database!$A:$F,6,0),"")</f>
        <v/>
      </c>
      <c r="AI95" s="20" t="str">
        <f>IFERROR(VLOOKUP($A95&amp;"_"&amp;AI$5,Database!$A:$F,6,0),"")</f>
        <v/>
      </c>
      <c r="AJ95" s="20" t="str">
        <f>IFERROR(VLOOKUP($A95&amp;"_"&amp;AJ$5,Database!$A:$F,6,0),"")</f>
        <v/>
      </c>
      <c r="AK95" s="20" t="str">
        <f>IFERROR(VLOOKUP($A95&amp;"_"&amp;AK$5,Database!$A:$F,6,0),"")</f>
        <v/>
      </c>
    </row>
    <row r="96" spans="1:37" x14ac:dyDescent="0.2">
      <c r="A96" s="17" t="str">
        <f>IF('Employee Master'!A92="","",'Employee Master'!A92)</f>
        <v/>
      </c>
      <c r="B96" s="18" t="str">
        <f>IF('Employee Master'!B92="","",'Employee Master'!B92)</f>
        <v/>
      </c>
      <c r="C96" s="18" t="str">
        <f>IF('Employee Master'!C92="","",'Employee Master'!C92)</f>
        <v/>
      </c>
      <c r="D96" s="19">
        <f t="shared" si="10"/>
        <v>0</v>
      </c>
      <c r="E96" s="19">
        <f t="shared" si="11"/>
        <v>0</v>
      </c>
      <c r="F96" s="19">
        <f t="shared" si="12"/>
        <v>0</v>
      </c>
      <c r="G96" s="20" t="str">
        <f>IFERROR(VLOOKUP($A96&amp;"_"&amp;G$5,Database!$A:$F,6,0),"")</f>
        <v/>
      </c>
      <c r="H96" s="20" t="str">
        <f>IFERROR(VLOOKUP($A96&amp;"_"&amp;H$5,Database!$A:$F,6,0),"")</f>
        <v/>
      </c>
      <c r="I96" s="20" t="str">
        <f>IFERROR(VLOOKUP($A96&amp;"_"&amp;I$5,Database!$A:$F,6,0),"")</f>
        <v/>
      </c>
      <c r="J96" s="20" t="str">
        <f>IFERROR(VLOOKUP($A96&amp;"_"&amp;J$5,Database!$A:$F,6,0),"")</f>
        <v/>
      </c>
      <c r="K96" s="20" t="str">
        <f>IFERROR(VLOOKUP($A96&amp;"_"&amp;K$5,Database!$A:$F,6,0),"")</f>
        <v/>
      </c>
      <c r="L96" s="20" t="str">
        <f>IFERROR(VLOOKUP($A96&amp;"_"&amp;L$5,Database!$A:$F,6,0),"")</f>
        <v/>
      </c>
      <c r="M96" s="20" t="str">
        <f>IFERROR(VLOOKUP($A96&amp;"_"&amp;M$5,Database!$A:$F,6,0),"")</f>
        <v/>
      </c>
      <c r="N96" s="20" t="str">
        <f>IFERROR(VLOOKUP($A96&amp;"_"&amp;N$5,Database!$A:$F,6,0),"")</f>
        <v/>
      </c>
      <c r="O96" s="20" t="str">
        <f>IFERROR(VLOOKUP($A96&amp;"_"&amp;O$5,Database!$A:$F,6,0),"")</f>
        <v/>
      </c>
      <c r="P96" s="20" t="str">
        <f>IFERROR(VLOOKUP($A96&amp;"_"&amp;P$5,Database!$A:$F,6,0),"")</f>
        <v/>
      </c>
      <c r="Q96" s="20" t="str">
        <f>IFERROR(VLOOKUP($A96&amp;"_"&amp;Q$5,Database!$A:$F,6,0),"")</f>
        <v/>
      </c>
      <c r="R96" s="20" t="str">
        <f>IFERROR(VLOOKUP($A96&amp;"_"&amp;R$5,Database!$A:$F,6,0),"")</f>
        <v/>
      </c>
      <c r="S96" s="20" t="str">
        <f>IFERROR(VLOOKUP($A96&amp;"_"&amp;S$5,Database!$A:$F,6,0),"")</f>
        <v/>
      </c>
      <c r="T96" s="20" t="str">
        <f>IFERROR(VLOOKUP($A96&amp;"_"&amp;T$5,Database!$A:$F,6,0),"")</f>
        <v/>
      </c>
      <c r="U96" s="20" t="str">
        <f>IFERROR(VLOOKUP($A96&amp;"_"&amp;U$5,Database!$A:$F,6,0),"")</f>
        <v/>
      </c>
      <c r="V96" s="20" t="str">
        <f>IFERROR(VLOOKUP($A96&amp;"_"&amp;V$5,Database!$A:$F,6,0),"")</f>
        <v/>
      </c>
      <c r="W96" s="20" t="str">
        <f>IFERROR(VLOOKUP($A96&amp;"_"&amp;W$5,Database!$A:$F,6,0),"")</f>
        <v/>
      </c>
      <c r="X96" s="20" t="str">
        <f>IFERROR(VLOOKUP($A96&amp;"_"&amp;X$5,Database!$A:$F,6,0),"")</f>
        <v/>
      </c>
      <c r="Y96" s="20" t="str">
        <f>IFERROR(VLOOKUP($A96&amp;"_"&amp;Y$5,Database!$A:$F,6,0),"")</f>
        <v/>
      </c>
      <c r="Z96" s="20" t="str">
        <f>IFERROR(VLOOKUP($A96&amp;"_"&amp;Z$5,Database!$A:$F,6,0),"")</f>
        <v/>
      </c>
      <c r="AA96" s="20" t="str">
        <f>IFERROR(VLOOKUP($A96&amp;"_"&amp;AA$5,Database!$A:$F,6,0),"")</f>
        <v/>
      </c>
      <c r="AB96" s="20" t="str">
        <f>IFERROR(VLOOKUP($A96&amp;"_"&amp;AB$5,Database!$A:$F,6,0),"")</f>
        <v/>
      </c>
      <c r="AC96" s="20" t="str">
        <f>IFERROR(VLOOKUP($A96&amp;"_"&amp;AC$5,Database!$A:$F,6,0),"")</f>
        <v/>
      </c>
      <c r="AD96" s="20" t="str">
        <f>IFERROR(VLOOKUP($A96&amp;"_"&amp;AD$5,Database!$A:$F,6,0),"")</f>
        <v/>
      </c>
      <c r="AE96" s="20" t="str">
        <f>IFERROR(VLOOKUP($A96&amp;"_"&amp;AE$5,Database!$A:$F,6,0),"")</f>
        <v/>
      </c>
      <c r="AF96" s="20" t="str">
        <f>IFERROR(VLOOKUP($A96&amp;"_"&amp;AF$5,Database!$A:$F,6,0),"")</f>
        <v/>
      </c>
      <c r="AG96" s="20" t="str">
        <f>IFERROR(VLOOKUP($A96&amp;"_"&amp;AG$5,Database!$A:$F,6,0),"")</f>
        <v/>
      </c>
      <c r="AH96" s="20" t="str">
        <f>IFERROR(VLOOKUP($A96&amp;"_"&amp;AH$5,Database!$A:$F,6,0),"")</f>
        <v/>
      </c>
      <c r="AI96" s="20" t="str">
        <f>IFERROR(VLOOKUP($A96&amp;"_"&amp;AI$5,Database!$A:$F,6,0),"")</f>
        <v/>
      </c>
      <c r="AJ96" s="20" t="str">
        <f>IFERROR(VLOOKUP($A96&amp;"_"&amp;AJ$5,Database!$A:$F,6,0),"")</f>
        <v/>
      </c>
      <c r="AK96" s="20" t="str">
        <f>IFERROR(VLOOKUP($A96&amp;"_"&amp;AK$5,Database!$A:$F,6,0),"")</f>
        <v/>
      </c>
    </row>
    <row r="97" spans="1:37" x14ac:dyDescent="0.2">
      <c r="A97" s="17" t="str">
        <f>IF('Employee Master'!A93="","",'Employee Master'!A93)</f>
        <v/>
      </c>
      <c r="B97" s="18" t="str">
        <f>IF('Employee Master'!B93="","",'Employee Master'!B93)</f>
        <v/>
      </c>
      <c r="C97" s="18" t="str">
        <f>IF('Employee Master'!C93="","",'Employee Master'!C93)</f>
        <v/>
      </c>
      <c r="D97" s="19">
        <f t="shared" si="10"/>
        <v>0</v>
      </c>
      <c r="E97" s="19">
        <f t="shared" si="11"/>
        <v>0</v>
      </c>
      <c r="F97" s="19">
        <f t="shared" si="12"/>
        <v>0</v>
      </c>
      <c r="G97" s="20" t="str">
        <f>IFERROR(VLOOKUP($A97&amp;"_"&amp;G$5,Database!$A:$F,6,0),"")</f>
        <v/>
      </c>
      <c r="H97" s="20" t="str">
        <f>IFERROR(VLOOKUP($A97&amp;"_"&amp;H$5,Database!$A:$F,6,0),"")</f>
        <v/>
      </c>
      <c r="I97" s="20" t="str">
        <f>IFERROR(VLOOKUP($A97&amp;"_"&amp;I$5,Database!$A:$F,6,0),"")</f>
        <v/>
      </c>
      <c r="J97" s="20" t="str">
        <f>IFERROR(VLOOKUP($A97&amp;"_"&amp;J$5,Database!$A:$F,6,0),"")</f>
        <v/>
      </c>
      <c r="K97" s="20" t="str">
        <f>IFERROR(VLOOKUP($A97&amp;"_"&amp;K$5,Database!$A:$F,6,0),"")</f>
        <v/>
      </c>
      <c r="L97" s="20" t="str">
        <f>IFERROR(VLOOKUP($A97&amp;"_"&amp;L$5,Database!$A:$F,6,0),"")</f>
        <v/>
      </c>
      <c r="M97" s="20" t="str">
        <f>IFERROR(VLOOKUP($A97&amp;"_"&amp;M$5,Database!$A:$F,6,0),"")</f>
        <v/>
      </c>
      <c r="N97" s="20" t="str">
        <f>IFERROR(VLOOKUP($A97&amp;"_"&amp;N$5,Database!$A:$F,6,0),"")</f>
        <v/>
      </c>
      <c r="O97" s="20" t="str">
        <f>IFERROR(VLOOKUP($A97&amp;"_"&amp;O$5,Database!$A:$F,6,0),"")</f>
        <v/>
      </c>
      <c r="P97" s="20" t="str">
        <f>IFERROR(VLOOKUP($A97&amp;"_"&amp;P$5,Database!$A:$F,6,0),"")</f>
        <v/>
      </c>
      <c r="Q97" s="20" t="str">
        <f>IFERROR(VLOOKUP($A97&amp;"_"&amp;Q$5,Database!$A:$F,6,0),"")</f>
        <v/>
      </c>
      <c r="R97" s="20" t="str">
        <f>IFERROR(VLOOKUP($A97&amp;"_"&amp;R$5,Database!$A:$F,6,0),"")</f>
        <v/>
      </c>
      <c r="S97" s="20" t="str">
        <f>IFERROR(VLOOKUP($A97&amp;"_"&amp;S$5,Database!$A:$F,6,0),"")</f>
        <v/>
      </c>
      <c r="T97" s="20" t="str">
        <f>IFERROR(VLOOKUP($A97&amp;"_"&amp;T$5,Database!$A:$F,6,0),"")</f>
        <v/>
      </c>
      <c r="U97" s="20" t="str">
        <f>IFERROR(VLOOKUP($A97&amp;"_"&amp;U$5,Database!$A:$F,6,0),"")</f>
        <v/>
      </c>
      <c r="V97" s="20" t="str">
        <f>IFERROR(VLOOKUP($A97&amp;"_"&amp;V$5,Database!$A:$F,6,0),"")</f>
        <v/>
      </c>
      <c r="W97" s="20" t="str">
        <f>IFERROR(VLOOKUP($A97&amp;"_"&amp;W$5,Database!$A:$F,6,0),"")</f>
        <v/>
      </c>
      <c r="X97" s="20" t="str">
        <f>IFERROR(VLOOKUP($A97&amp;"_"&amp;X$5,Database!$A:$F,6,0),"")</f>
        <v/>
      </c>
      <c r="Y97" s="20" t="str">
        <f>IFERROR(VLOOKUP($A97&amp;"_"&amp;Y$5,Database!$A:$F,6,0),"")</f>
        <v/>
      </c>
      <c r="Z97" s="20" t="str">
        <f>IFERROR(VLOOKUP($A97&amp;"_"&amp;Z$5,Database!$A:$F,6,0),"")</f>
        <v/>
      </c>
      <c r="AA97" s="20" t="str">
        <f>IFERROR(VLOOKUP($A97&amp;"_"&amp;AA$5,Database!$A:$F,6,0),"")</f>
        <v/>
      </c>
      <c r="AB97" s="20" t="str">
        <f>IFERROR(VLOOKUP($A97&amp;"_"&amp;AB$5,Database!$A:$F,6,0),"")</f>
        <v/>
      </c>
      <c r="AC97" s="20" t="str">
        <f>IFERROR(VLOOKUP($A97&amp;"_"&amp;AC$5,Database!$A:$F,6,0),"")</f>
        <v/>
      </c>
      <c r="AD97" s="20" t="str">
        <f>IFERROR(VLOOKUP($A97&amp;"_"&amp;AD$5,Database!$A:$F,6,0),"")</f>
        <v/>
      </c>
      <c r="AE97" s="20" t="str">
        <f>IFERROR(VLOOKUP($A97&amp;"_"&amp;AE$5,Database!$A:$F,6,0),"")</f>
        <v/>
      </c>
      <c r="AF97" s="20" t="str">
        <f>IFERROR(VLOOKUP($A97&amp;"_"&amp;AF$5,Database!$A:$F,6,0),"")</f>
        <v/>
      </c>
      <c r="AG97" s="20" t="str">
        <f>IFERROR(VLOOKUP($A97&amp;"_"&amp;AG$5,Database!$A:$F,6,0),"")</f>
        <v/>
      </c>
      <c r="AH97" s="20" t="str">
        <f>IFERROR(VLOOKUP($A97&amp;"_"&amp;AH$5,Database!$A:$F,6,0),"")</f>
        <v/>
      </c>
      <c r="AI97" s="20" t="str">
        <f>IFERROR(VLOOKUP($A97&amp;"_"&amp;AI$5,Database!$A:$F,6,0),"")</f>
        <v/>
      </c>
      <c r="AJ97" s="20" t="str">
        <f>IFERROR(VLOOKUP($A97&amp;"_"&amp;AJ$5,Database!$A:$F,6,0),"")</f>
        <v/>
      </c>
      <c r="AK97" s="20" t="str">
        <f>IFERROR(VLOOKUP($A97&amp;"_"&amp;AK$5,Database!$A:$F,6,0),"")</f>
        <v/>
      </c>
    </row>
    <row r="98" spans="1:37" x14ac:dyDescent="0.2">
      <c r="A98" s="17" t="str">
        <f>IF('Employee Master'!A94="","",'Employee Master'!A94)</f>
        <v/>
      </c>
      <c r="B98" s="18" t="str">
        <f>IF('Employee Master'!B94="","",'Employee Master'!B94)</f>
        <v/>
      </c>
      <c r="C98" s="18" t="str">
        <f>IF('Employee Master'!C94="","",'Employee Master'!C94)</f>
        <v/>
      </c>
      <c r="D98" s="19">
        <f t="shared" si="10"/>
        <v>0</v>
      </c>
      <c r="E98" s="19">
        <f t="shared" si="11"/>
        <v>0</v>
      </c>
      <c r="F98" s="19">
        <f t="shared" si="12"/>
        <v>0</v>
      </c>
      <c r="G98" s="20" t="str">
        <f>IFERROR(VLOOKUP($A98&amp;"_"&amp;G$5,Database!$A:$F,6,0),"")</f>
        <v/>
      </c>
      <c r="H98" s="20" t="str">
        <f>IFERROR(VLOOKUP($A98&amp;"_"&amp;H$5,Database!$A:$F,6,0),"")</f>
        <v/>
      </c>
      <c r="I98" s="20" t="str">
        <f>IFERROR(VLOOKUP($A98&amp;"_"&amp;I$5,Database!$A:$F,6,0),"")</f>
        <v/>
      </c>
      <c r="J98" s="20" t="str">
        <f>IFERROR(VLOOKUP($A98&amp;"_"&amp;J$5,Database!$A:$F,6,0),"")</f>
        <v/>
      </c>
      <c r="K98" s="20" t="str">
        <f>IFERROR(VLOOKUP($A98&amp;"_"&amp;K$5,Database!$A:$F,6,0),"")</f>
        <v/>
      </c>
      <c r="L98" s="20" t="str">
        <f>IFERROR(VLOOKUP($A98&amp;"_"&amp;L$5,Database!$A:$F,6,0),"")</f>
        <v/>
      </c>
      <c r="M98" s="20" t="str">
        <f>IFERROR(VLOOKUP($A98&amp;"_"&amp;M$5,Database!$A:$F,6,0),"")</f>
        <v/>
      </c>
      <c r="N98" s="20" t="str">
        <f>IFERROR(VLOOKUP($A98&amp;"_"&amp;N$5,Database!$A:$F,6,0),"")</f>
        <v/>
      </c>
      <c r="O98" s="20" t="str">
        <f>IFERROR(VLOOKUP($A98&amp;"_"&amp;O$5,Database!$A:$F,6,0),"")</f>
        <v/>
      </c>
      <c r="P98" s="20" t="str">
        <f>IFERROR(VLOOKUP($A98&amp;"_"&amp;P$5,Database!$A:$F,6,0),"")</f>
        <v/>
      </c>
      <c r="Q98" s="20" t="str">
        <f>IFERROR(VLOOKUP($A98&amp;"_"&amp;Q$5,Database!$A:$F,6,0),"")</f>
        <v/>
      </c>
      <c r="R98" s="20" t="str">
        <f>IFERROR(VLOOKUP($A98&amp;"_"&amp;R$5,Database!$A:$F,6,0),"")</f>
        <v/>
      </c>
      <c r="S98" s="20" t="str">
        <f>IFERROR(VLOOKUP($A98&amp;"_"&amp;S$5,Database!$A:$F,6,0),"")</f>
        <v/>
      </c>
      <c r="T98" s="20" t="str">
        <f>IFERROR(VLOOKUP($A98&amp;"_"&amp;T$5,Database!$A:$F,6,0),"")</f>
        <v/>
      </c>
      <c r="U98" s="20" t="str">
        <f>IFERROR(VLOOKUP($A98&amp;"_"&amp;U$5,Database!$A:$F,6,0),"")</f>
        <v/>
      </c>
      <c r="V98" s="20" t="str">
        <f>IFERROR(VLOOKUP($A98&amp;"_"&amp;V$5,Database!$A:$F,6,0),"")</f>
        <v/>
      </c>
      <c r="W98" s="20" t="str">
        <f>IFERROR(VLOOKUP($A98&amp;"_"&amp;W$5,Database!$A:$F,6,0),"")</f>
        <v/>
      </c>
      <c r="X98" s="20" t="str">
        <f>IFERROR(VLOOKUP($A98&amp;"_"&amp;X$5,Database!$A:$F,6,0),"")</f>
        <v/>
      </c>
      <c r="Y98" s="20" t="str">
        <f>IFERROR(VLOOKUP($A98&amp;"_"&amp;Y$5,Database!$A:$F,6,0),"")</f>
        <v/>
      </c>
      <c r="Z98" s="20" t="str">
        <f>IFERROR(VLOOKUP($A98&amp;"_"&amp;Z$5,Database!$A:$F,6,0),"")</f>
        <v/>
      </c>
      <c r="AA98" s="20" t="str">
        <f>IFERROR(VLOOKUP($A98&amp;"_"&amp;AA$5,Database!$A:$F,6,0),"")</f>
        <v/>
      </c>
      <c r="AB98" s="20" t="str">
        <f>IFERROR(VLOOKUP($A98&amp;"_"&amp;AB$5,Database!$A:$F,6,0),"")</f>
        <v/>
      </c>
      <c r="AC98" s="20" t="str">
        <f>IFERROR(VLOOKUP($A98&amp;"_"&amp;AC$5,Database!$A:$F,6,0),"")</f>
        <v/>
      </c>
      <c r="AD98" s="20" t="str">
        <f>IFERROR(VLOOKUP($A98&amp;"_"&amp;AD$5,Database!$A:$F,6,0),"")</f>
        <v/>
      </c>
      <c r="AE98" s="20" t="str">
        <f>IFERROR(VLOOKUP($A98&amp;"_"&amp;AE$5,Database!$A:$F,6,0),"")</f>
        <v/>
      </c>
      <c r="AF98" s="20" t="str">
        <f>IFERROR(VLOOKUP($A98&amp;"_"&amp;AF$5,Database!$A:$F,6,0),"")</f>
        <v/>
      </c>
      <c r="AG98" s="20" t="str">
        <f>IFERROR(VLOOKUP($A98&amp;"_"&amp;AG$5,Database!$A:$F,6,0),"")</f>
        <v/>
      </c>
      <c r="AH98" s="20" t="str">
        <f>IFERROR(VLOOKUP($A98&amp;"_"&amp;AH$5,Database!$A:$F,6,0),"")</f>
        <v/>
      </c>
      <c r="AI98" s="20" t="str">
        <f>IFERROR(VLOOKUP($A98&amp;"_"&amp;AI$5,Database!$A:$F,6,0),"")</f>
        <v/>
      </c>
      <c r="AJ98" s="20" t="str">
        <f>IFERROR(VLOOKUP($A98&amp;"_"&amp;AJ$5,Database!$A:$F,6,0),"")</f>
        <v/>
      </c>
      <c r="AK98" s="20" t="str">
        <f>IFERROR(VLOOKUP($A98&amp;"_"&amp;AK$5,Database!$A:$F,6,0),"")</f>
        <v/>
      </c>
    </row>
    <row r="99" spans="1:37" x14ac:dyDescent="0.2">
      <c r="A99" s="17" t="str">
        <f>IF('Employee Master'!A95="","",'Employee Master'!A95)</f>
        <v/>
      </c>
      <c r="B99" s="18" t="str">
        <f>IF('Employee Master'!B95="","",'Employee Master'!B95)</f>
        <v/>
      </c>
      <c r="C99" s="18" t="str">
        <f>IF('Employee Master'!C95="","",'Employee Master'!C95)</f>
        <v/>
      </c>
      <c r="D99" s="19">
        <f t="shared" si="10"/>
        <v>0</v>
      </c>
      <c r="E99" s="19">
        <f t="shared" si="11"/>
        <v>0</v>
      </c>
      <c r="F99" s="19">
        <f t="shared" si="12"/>
        <v>0</v>
      </c>
      <c r="G99" s="20" t="str">
        <f>IFERROR(VLOOKUP($A99&amp;"_"&amp;G$5,Database!$A:$F,6,0),"")</f>
        <v/>
      </c>
      <c r="H99" s="20" t="str">
        <f>IFERROR(VLOOKUP($A99&amp;"_"&amp;H$5,Database!$A:$F,6,0),"")</f>
        <v/>
      </c>
      <c r="I99" s="20" t="str">
        <f>IFERROR(VLOOKUP($A99&amp;"_"&amp;I$5,Database!$A:$F,6,0),"")</f>
        <v/>
      </c>
      <c r="J99" s="20" t="str">
        <f>IFERROR(VLOOKUP($A99&amp;"_"&amp;J$5,Database!$A:$F,6,0),"")</f>
        <v/>
      </c>
      <c r="K99" s="20" t="str">
        <f>IFERROR(VLOOKUP($A99&amp;"_"&amp;K$5,Database!$A:$F,6,0),"")</f>
        <v/>
      </c>
      <c r="L99" s="20" t="str">
        <f>IFERROR(VLOOKUP($A99&amp;"_"&amp;L$5,Database!$A:$F,6,0),"")</f>
        <v/>
      </c>
      <c r="M99" s="20" t="str">
        <f>IFERROR(VLOOKUP($A99&amp;"_"&amp;M$5,Database!$A:$F,6,0),"")</f>
        <v/>
      </c>
      <c r="N99" s="20" t="str">
        <f>IFERROR(VLOOKUP($A99&amp;"_"&amp;N$5,Database!$A:$F,6,0),"")</f>
        <v/>
      </c>
      <c r="O99" s="20" t="str">
        <f>IFERROR(VLOOKUP($A99&amp;"_"&amp;O$5,Database!$A:$F,6,0),"")</f>
        <v/>
      </c>
      <c r="P99" s="20" t="str">
        <f>IFERROR(VLOOKUP($A99&amp;"_"&amp;P$5,Database!$A:$F,6,0),"")</f>
        <v/>
      </c>
      <c r="Q99" s="20" t="str">
        <f>IFERROR(VLOOKUP($A99&amp;"_"&amp;Q$5,Database!$A:$F,6,0),"")</f>
        <v/>
      </c>
      <c r="R99" s="20" t="str">
        <f>IFERROR(VLOOKUP($A99&amp;"_"&amp;R$5,Database!$A:$F,6,0),"")</f>
        <v/>
      </c>
      <c r="S99" s="20" t="str">
        <f>IFERROR(VLOOKUP($A99&amp;"_"&amp;S$5,Database!$A:$F,6,0),"")</f>
        <v/>
      </c>
      <c r="T99" s="20" t="str">
        <f>IFERROR(VLOOKUP($A99&amp;"_"&amp;T$5,Database!$A:$F,6,0),"")</f>
        <v/>
      </c>
      <c r="U99" s="20" t="str">
        <f>IFERROR(VLOOKUP($A99&amp;"_"&amp;U$5,Database!$A:$F,6,0),"")</f>
        <v/>
      </c>
      <c r="V99" s="20" t="str">
        <f>IFERROR(VLOOKUP($A99&amp;"_"&amp;V$5,Database!$A:$F,6,0),"")</f>
        <v/>
      </c>
      <c r="W99" s="20" t="str">
        <f>IFERROR(VLOOKUP($A99&amp;"_"&amp;W$5,Database!$A:$F,6,0),"")</f>
        <v/>
      </c>
      <c r="X99" s="20" t="str">
        <f>IFERROR(VLOOKUP($A99&amp;"_"&amp;X$5,Database!$A:$F,6,0),"")</f>
        <v/>
      </c>
      <c r="Y99" s="20" t="str">
        <f>IFERROR(VLOOKUP($A99&amp;"_"&amp;Y$5,Database!$A:$F,6,0),"")</f>
        <v/>
      </c>
      <c r="Z99" s="20" t="str">
        <f>IFERROR(VLOOKUP($A99&amp;"_"&amp;Z$5,Database!$A:$F,6,0),"")</f>
        <v/>
      </c>
      <c r="AA99" s="20" t="str">
        <f>IFERROR(VLOOKUP($A99&amp;"_"&amp;AA$5,Database!$A:$F,6,0),"")</f>
        <v/>
      </c>
      <c r="AB99" s="20" t="str">
        <f>IFERROR(VLOOKUP($A99&amp;"_"&amp;AB$5,Database!$A:$F,6,0),"")</f>
        <v/>
      </c>
      <c r="AC99" s="20" t="str">
        <f>IFERROR(VLOOKUP($A99&amp;"_"&amp;AC$5,Database!$A:$F,6,0),"")</f>
        <v/>
      </c>
      <c r="AD99" s="20" t="str">
        <f>IFERROR(VLOOKUP($A99&amp;"_"&amp;AD$5,Database!$A:$F,6,0),"")</f>
        <v/>
      </c>
      <c r="AE99" s="20" t="str">
        <f>IFERROR(VLOOKUP($A99&amp;"_"&amp;AE$5,Database!$A:$F,6,0),"")</f>
        <v/>
      </c>
      <c r="AF99" s="20" t="str">
        <f>IFERROR(VLOOKUP($A99&amp;"_"&amp;AF$5,Database!$A:$F,6,0),"")</f>
        <v/>
      </c>
      <c r="AG99" s="20" t="str">
        <f>IFERROR(VLOOKUP($A99&amp;"_"&amp;AG$5,Database!$A:$F,6,0),"")</f>
        <v/>
      </c>
      <c r="AH99" s="20" t="str">
        <f>IFERROR(VLOOKUP($A99&amp;"_"&amp;AH$5,Database!$A:$F,6,0),"")</f>
        <v/>
      </c>
      <c r="AI99" s="20" t="str">
        <f>IFERROR(VLOOKUP($A99&amp;"_"&amp;AI$5,Database!$A:$F,6,0),"")</f>
        <v/>
      </c>
      <c r="AJ99" s="20" t="str">
        <f>IFERROR(VLOOKUP($A99&amp;"_"&amp;AJ$5,Database!$A:$F,6,0),"")</f>
        <v/>
      </c>
      <c r="AK99" s="20" t="str">
        <f>IFERROR(VLOOKUP($A99&amp;"_"&amp;AK$5,Database!$A:$F,6,0),"")</f>
        <v/>
      </c>
    </row>
    <row r="100" spans="1:37" x14ac:dyDescent="0.2">
      <c r="A100" s="17" t="str">
        <f>IF('Employee Master'!A96="","",'Employee Master'!A96)</f>
        <v/>
      </c>
      <c r="B100" s="18" t="str">
        <f>IF('Employee Master'!B96="","",'Employee Master'!B96)</f>
        <v/>
      </c>
      <c r="C100" s="18" t="str">
        <f>IF('Employee Master'!C96="","",'Employee Master'!C96)</f>
        <v/>
      </c>
      <c r="D100" s="19">
        <f t="shared" si="10"/>
        <v>0</v>
      </c>
      <c r="E100" s="19">
        <f t="shared" si="11"/>
        <v>0</v>
      </c>
      <c r="F100" s="19">
        <f t="shared" si="12"/>
        <v>0</v>
      </c>
      <c r="G100" s="20" t="str">
        <f>IFERROR(VLOOKUP($A100&amp;"_"&amp;G$5,Database!$A:$F,6,0),"")</f>
        <v/>
      </c>
      <c r="H100" s="20" t="str">
        <f>IFERROR(VLOOKUP($A100&amp;"_"&amp;H$5,Database!$A:$F,6,0),"")</f>
        <v/>
      </c>
      <c r="I100" s="20" t="str">
        <f>IFERROR(VLOOKUP($A100&amp;"_"&amp;I$5,Database!$A:$F,6,0),"")</f>
        <v/>
      </c>
      <c r="J100" s="20" t="str">
        <f>IFERROR(VLOOKUP($A100&amp;"_"&amp;J$5,Database!$A:$F,6,0),"")</f>
        <v/>
      </c>
      <c r="K100" s="20" t="str">
        <f>IFERROR(VLOOKUP($A100&amp;"_"&amp;K$5,Database!$A:$F,6,0),"")</f>
        <v/>
      </c>
      <c r="L100" s="20" t="str">
        <f>IFERROR(VLOOKUP($A100&amp;"_"&amp;L$5,Database!$A:$F,6,0),"")</f>
        <v/>
      </c>
      <c r="M100" s="20" t="str">
        <f>IFERROR(VLOOKUP($A100&amp;"_"&amp;M$5,Database!$A:$F,6,0),"")</f>
        <v/>
      </c>
      <c r="N100" s="20" t="str">
        <f>IFERROR(VLOOKUP($A100&amp;"_"&amp;N$5,Database!$A:$F,6,0),"")</f>
        <v/>
      </c>
      <c r="O100" s="20" t="str">
        <f>IFERROR(VLOOKUP($A100&amp;"_"&amp;O$5,Database!$A:$F,6,0),"")</f>
        <v/>
      </c>
      <c r="P100" s="20" t="str">
        <f>IFERROR(VLOOKUP($A100&amp;"_"&amp;P$5,Database!$A:$F,6,0),"")</f>
        <v/>
      </c>
      <c r="Q100" s="20" t="str">
        <f>IFERROR(VLOOKUP($A100&amp;"_"&amp;Q$5,Database!$A:$F,6,0),"")</f>
        <v/>
      </c>
      <c r="R100" s="20" t="str">
        <f>IFERROR(VLOOKUP($A100&amp;"_"&amp;R$5,Database!$A:$F,6,0),"")</f>
        <v/>
      </c>
      <c r="S100" s="20" t="str">
        <f>IFERROR(VLOOKUP($A100&amp;"_"&amp;S$5,Database!$A:$F,6,0),"")</f>
        <v/>
      </c>
      <c r="T100" s="20" t="str">
        <f>IFERROR(VLOOKUP($A100&amp;"_"&amp;T$5,Database!$A:$F,6,0),"")</f>
        <v/>
      </c>
      <c r="U100" s="20" t="str">
        <f>IFERROR(VLOOKUP($A100&amp;"_"&amp;U$5,Database!$A:$F,6,0),"")</f>
        <v/>
      </c>
      <c r="V100" s="20" t="str">
        <f>IFERROR(VLOOKUP($A100&amp;"_"&amp;V$5,Database!$A:$F,6,0),"")</f>
        <v/>
      </c>
      <c r="W100" s="20" t="str">
        <f>IFERROR(VLOOKUP($A100&amp;"_"&amp;W$5,Database!$A:$F,6,0),"")</f>
        <v/>
      </c>
      <c r="X100" s="20" t="str">
        <f>IFERROR(VLOOKUP($A100&amp;"_"&amp;X$5,Database!$A:$F,6,0),"")</f>
        <v/>
      </c>
      <c r="Y100" s="20" t="str">
        <f>IFERROR(VLOOKUP($A100&amp;"_"&amp;Y$5,Database!$A:$F,6,0),"")</f>
        <v/>
      </c>
      <c r="Z100" s="20" t="str">
        <f>IFERROR(VLOOKUP($A100&amp;"_"&amp;Z$5,Database!$A:$F,6,0),"")</f>
        <v/>
      </c>
      <c r="AA100" s="20" t="str">
        <f>IFERROR(VLOOKUP($A100&amp;"_"&amp;AA$5,Database!$A:$F,6,0),"")</f>
        <v/>
      </c>
      <c r="AB100" s="20" t="str">
        <f>IFERROR(VLOOKUP($A100&amp;"_"&amp;AB$5,Database!$A:$F,6,0),"")</f>
        <v/>
      </c>
      <c r="AC100" s="20" t="str">
        <f>IFERROR(VLOOKUP($A100&amp;"_"&amp;AC$5,Database!$A:$F,6,0),"")</f>
        <v/>
      </c>
      <c r="AD100" s="20" t="str">
        <f>IFERROR(VLOOKUP($A100&amp;"_"&amp;AD$5,Database!$A:$F,6,0),"")</f>
        <v/>
      </c>
      <c r="AE100" s="20" t="str">
        <f>IFERROR(VLOOKUP($A100&amp;"_"&amp;AE$5,Database!$A:$F,6,0),"")</f>
        <v/>
      </c>
      <c r="AF100" s="20" t="str">
        <f>IFERROR(VLOOKUP($A100&amp;"_"&amp;AF$5,Database!$A:$F,6,0),"")</f>
        <v/>
      </c>
      <c r="AG100" s="20" t="str">
        <f>IFERROR(VLOOKUP($A100&amp;"_"&amp;AG$5,Database!$A:$F,6,0),"")</f>
        <v/>
      </c>
      <c r="AH100" s="20" t="str">
        <f>IFERROR(VLOOKUP($A100&amp;"_"&amp;AH$5,Database!$A:$F,6,0),"")</f>
        <v/>
      </c>
      <c r="AI100" s="20" t="str">
        <f>IFERROR(VLOOKUP($A100&amp;"_"&amp;AI$5,Database!$A:$F,6,0),"")</f>
        <v/>
      </c>
      <c r="AJ100" s="20" t="str">
        <f>IFERROR(VLOOKUP($A100&amp;"_"&amp;AJ$5,Database!$A:$F,6,0),"")</f>
        <v/>
      </c>
      <c r="AK100" s="20" t="str">
        <f>IFERROR(VLOOKUP($A100&amp;"_"&amp;AK$5,Database!$A:$F,6,0),"")</f>
        <v/>
      </c>
    </row>
  </sheetData>
  <sheetProtection sheet="1" objects="1" scenarios="1"/>
  <mergeCells count="8">
    <mergeCell ref="B2:B3"/>
    <mergeCell ref="A2:A3"/>
    <mergeCell ref="P2:U3"/>
    <mergeCell ref="X2:AC3"/>
    <mergeCell ref="H4:M4"/>
    <mergeCell ref="P4:U4"/>
    <mergeCell ref="X4:AC4"/>
    <mergeCell ref="H2:M3"/>
  </mergeCells>
  <conditionalFormatting sqref="G6:AK100">
    <cfRule type="cellIs" dxfId="7" priority="9" operator="equal">
      <formula>"L"</formula>
    </cfRule>
    <cfRule type="cellIs" dxfId="6" priority="10" operator="equal">
      <formula>"A"</formula>
    </cfRule>
    <cfRule type="cellIs" dxfId="5" priority="11" operator="equal">
      <formula>"P"</formula>
    </cfRule>
    <cfRule type="cellIs" dxfId="4" priority="12" operator="equal">
      <formula>"WO"</formula>
    </cfRule>
  </conditionalFormatting>
  <conditionalFormatting sqref="D6:D100">
    <cfRule type="dataBar" priority="8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{F844B1B8-6414-4E19-BAF1-5A3DC2696A17}</x14:id>
        </ext>
      </extLst>
    </cfRule>
  </conditionalFormatting>
  <conditionalFormatting sqref="E6:E100">
    <cfRule type="dataBar" priority="7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{B5A2769C-129E-4DA5-A106-73FE94F210E7}</x14:id>
        </ext>
      </extLst>
    </cfRule>
  </conditionalFormatting>
  <conditionalFormatting sqref="F6:F100">
    <cfRule type="dataBar" priority="6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{4F0853D2-468F-4644-9401-C90FFD59CDD7}</x14:id>
        </ext>
      </extLst>
    </cfRule>
  </conditionalFormatting>
  <conditionalFormatting sqref="G5:AK5">
    <cfRule type="notContainsBlanks" dxfId="3" priority="4">
      <formula>LEN(TRIM(G5))&gt;0</formula>
    </cfRule>
  </conditionalFormatting>
  <conditionalFormatting sqref="D6:F100">
    <cfRule type="expression" dxfId="2" priority="2">
      <formula>$A6=""</formula>
    </cfRule>
  </conditionalFormatting>
  <conditionalFormatting sqref="A6:AK100">
    <cfRule type="expression" dxfId="1" priority="1">
      <formula>AND($A6&lt;&gt;"",A$5&lt;&gt;"")</formula>
    </cfRule>
  </conditionalFormatting>
  <dataValidations count="2">
    <dataValidation type="list" allowBlank="1" showInputMessage="1" showErrorMessage="1" sqref="G6:AK100" xr:uid="{2EB015AC-0453-4BF6-9CB8-4C4B388DDB38}">
      <formula1>Attendance_List</formula1>
    </dataValidation>
    <dataValidation type="list" allowBlank="1" showInputMessage="1" showErrorMessage="1" sqref="B2:B3" xr:uid="{8C9EF46E-06F5-4A4A-BE84-54A423B4D800}">
      <formula1>Month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44B1B8-6414-4E19-BAF1-5A3DC2696A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D6:D100</xm:sqref>
        </x14:conditionalFormatting>
        <x14:conditionalFormatting xmlns:xm="http://schemas.microsoft.com/office/excel/2006/main">
          <x14:cfRule type="dataBar" id="{B5A2769C-129E-4DA5-A106-73FE94F21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E6:E100</xm:sqref>
        </x14:conditionalFormatting>
        <x14:conditionalFormatting xmlns:xm="http://schemas.microsoft.com/office/excel/2006/main">
          <x14:cfRule type="dataBar" id="{4F0853D2-468F-4644-9401-C90FFD59CD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F6:F100</xm:sqref>
        </x14:conditionalFormatting>
        <x14:conditionalFormatting xmlns:xm="http://schemas.microsoft.com/office/excel/2006/main">
          <x14:cfRule type="expression" priority="5" id="{460335EB-F0FC-420E-BA9E-CF267C5F2296}">
            <xm:f>AND($A6&lt;&gt;"",OR(TEXT(G$5,"DDDD")=Setting!$G$2,TEXT(G$5,"DDDD")=Setting!$G$3))</xm:f>
            <x14:dxf>
              <font>
                <color theme="0"/>
              </font>
              <fill>
                <patternFill>
                  <bgColor theme="2" tint="-0.499984740745262"/>
                </patternFill>
              </fill>
              <border>
                <left/>
                <right/>
                <top/>
                <bottom/>
              </border>
            </x14:dxf>
          </x14:cfRule>
          <xm:sqref>G6:AK100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8708B-E7E0-44CF-835F-C6713A6085EA}">
  <sheetPr codeName="Sheet5"/>
  <dimension ref="A1:G14"/>
  <sheetViews>
    <sheetView showGridLines="0" workbookViewId="0">
      <selection activeCell="M14" sqref="M14"/>
    </sheetView>
  </sheetViews>
  <sheetFormatPr defaultRowHeight="15" x14ac:dyDescent="0.25"/>
  <cols>
    <col min="1" max="1" width="16.5703125" customWidth="1"/>
    <col min="2" max="3" width="2.5703125" customWidth="1"/>
    <col min="4" max="4" width="13.85546875" bestFit="1" customWidth="1"/>
    <col min="5" max="6" width="2.85546875" customWidth="1"/>
    <col min="7" max="7" width="13.85546875" bestFit="1" customWidth="1"/>
    <col min="9" max="9" width="10.5703125" bestFit="1" customWidth="1"/>
  </cols>
  <sheetData>
    <row r="1" spans="1:7" ht="15" customHeight="1" x14ac:dyDescent="0.25">
      <c r="A1" s="3" t="s">
        <v>150</v>
      </c>
      <c r="D1" s="3" t="s">
        <v>151</v>
      </c>
      <c r="G1" s="3" t="s">
        <v>152</v>
      </c>
    </row>
    <row r="2" spans="1:7" ht="15" customHeight="1" x14ac:dyDescent="0.25">
      <c r="A2" s="1" t="s">
        <v>101</v>
      </c>
      <c r="D2" s="8">
        <v>44531</v>
      </c>
      <c r="E2" s="9"/>
      <c r="G2" s="1" t="s">
        <v>153</v>
      </c>
    </row>
    <row r="3" spans="1:7" ht="15" customHeight="1" x14ac:dyDescent="0.25">
      <c r="A3" s="1" t="s">
        <v>102</v>
      </c>
      <c r="D3" s="8">
        <v>44562</v>
      </c>
      <c r="E3" s="9"/>
      <c r="G3" s="1" t="s">
        <v>154</v>
      </c>
    </row>
    <row r="4" spans="1:7" ht="15" customHeight="1" x14ac:dyDescent="0.25">
      <c r="A4" s="1" t="s">
        <v>155</v>
      </c>
      <c r="D4" s="8">
        <v>44593</v>
      </c>
      <c r="E4" s="9"/>
    </row>
    <row r="5" spans="1:7" ht="15" customHeight="1" x14ac:dyDescent="0.25">
      <c r="A5" s="1" t="s">
        <v>156</v>
      </c>
      <c r="D5" s="8">
        <v>44621</v>
      </c>
      <c r="E5" s="9"/>
    </row>
    <row r="6" spans="1:7" x14ac:dyDescent="0.25">
      <c r="A6" s="1" t="s">
        <v>191</v>
      </c>
      <c r="D6" s="8">
        <v>44652</v>
      </c>
    </row>
    <row r="7" spans="1:7" x14ac:dyDescent="0.25">
      <c r="A7" s="1" t="s">
        <v>250</v>
      </c>
      <c r="D7" s="8">
        <v>44682</v>
      </c>
    </row>
    <row r="8" spans="1:7" x14ac:dyDescent="0.25">
      <c r="D8" s="8">
        <v>44713</v>
      </c>
    </row>
    <row r="9" spans="1:7" x14ac:dyDescent="0.25">
      <c r="D9" s="8">
        <v>44743</v>
      </c>
    </row>
    <row r="10" spans="1:7" x14ac:dyDescent="0.25">
      <c r="D10" s="8">
        <v>44774</v>
      </c>
    </row>
    <row r="11" spans="1:7" x14ac:dyDescent="0.25">
      <c r="D11" s="8">
        <v>44805</v>
      </c>
    </row>
    <row r="12" spans="1:7" x14ac:dyDescent="0.25">
      <c r="D12" s="8">
        <v>44835</v>
      </c>
    </row>
    <row r="13" spans="1:7" x14ac:dyDescent="0.25">
      <c r="D13" s="8">
        <v>44866</v>
      </c>
    </row>
    <row r="14" spans="1:7" x14ac:dyDescent="0.25">
      <c r="D14" s="8">
        <v>44896</v>
      </c>
    </row>
  </sheetData>
  <phoneticPr fontId="10" type="noConversion"/>
  <dataValidations count="1">
    <dataValidation type="list" allowBlank="1" showInputMessage="1" showErrorMessage="1" sqref="G2:G3" xr:uid="{C32E80D3-6163-4174-B088-EA2DC2448EAC}">
      <formula1>"Sunday,Monday,Tuesday,Wednesday,Thursday,Friday,Saturday"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A3594-C85F-402B-A143-706F501FC2A8}">
  <sheetPr codeName="Sheet2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026D6584EA3845BE2C97D8EC055092" ma:contentTypeVersion="10" ma:contentTypeDescription="Create a new document." ma:contentTypeScope="" ma:versionID="a0b8018515d38a87f71bd1040f4ab97d">
  <xsd:schema xmlns:xsd="http://www.w3.org/2001/XMLSchema" xmlns:xs="http://www.w3.org/2001/XMLSchema" xmlns:p="http://schemas.microsoft.com/office/2006/metadata/properties" xmlns:ns2="3efe1613-8ae6-4137-929c-aefd61616b13" xmlns:ns3="a1936826-f334-45ba-b3b4-9b01fbfceae6" targetNamespace="http://schemas.microsoft.com/office/2006/metadata/properties" ma:root="true" ma:fieldsID="75556dd79cca3f8d8d78e14bd6c4baf0" ns2:_="" ns3:_="">
    <xsd:import namespace="3efe1613-8ae6-4137-929c-aefd61616b13"/>
    <xsd:import namespace="a1936826-f334-45ba-b3b4-9b01fbfcea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fe1613-8ae6-4137-929c-aefd61616b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936826-f334-45ba-b3b4-9b01fbfceae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5C28E1-08C9-44E7-99FF-3EEC737CC15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EACB7F-A82D-4F3D-9AD1-A1DE232249E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2178DB1-C891-4C70-B516-69A1158A5C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fe1613-8ae6-4137-929c-aefd61616b13"/>
    <ds:schemaRef ds:uri="a1936826-f334-45ba-b3b4-9b01fbfcea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01F1EA9-FE08-4A00-9B46-18CD8419BFFD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a1936826-f334-45ba-b3b4-9b01fbfceae6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3efe1613-8ae6-4137-929c-aefd61616b13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Index</vt:lpstr>
      <vt:lpstr>Metrics</vt:lpstr>
      <vt:lpstr>Occurances</vt:lpstr>
      <vt:lpstr>Time_card_calculator</vt:lpstr>
      <vt:lpstr>Time_Card</vt:lpstr>
      <vt:lpstr>One on One</vt:lpstr>
      <vt:lpstr>Contact_Info</vt:lpstr>
      <vt:lpstr>Training</vt:lpstr>
      <vt:lpstr>WeekEnd_SignUp</vt:lpstr>
      <vt:lpstr>Brain_Breaks</vt:lpstr>
      <vt:lpstr>Mark Attendance</vt:lpstr>
      <vt:lpstr>Employee Master</vt:lpstr>
      <vt:lpstr>Database</vt:lpstr>
      <vt:lpstr>Attendance Sheet</vt:lpstr>
      <vt:lpstr>Setting</vt:lpstr>
      <vt:lpstr>Settings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PK: An Excel Expert</dc:creator>
  <cp:keywords/>
  <dc:description/>
  <cp:lastModifiedBy>Ulrich Ando</cp:lastModifiedBy>
  <cp:revision/>
  <dcterms:created xsi:type="dcterms:W3CDTF">2020-12-05T11:43:21Z</dcterms:created>
  <dcterms:modified xsi:type="dcterms:W3CDTF">2021-12-16T06:53:53Z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0x01010089026D6584EA3845BE2C97D8EC055092</vt:lpwstr>
  </property>
</Properties>
</file>