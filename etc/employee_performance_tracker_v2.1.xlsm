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hidePivotFieldList="1" defaultThemeVersion="124226"/>
  <mc:AlternateContent xmlns:mc="http://schemas.openxmlformats.org/markup-compatibility/2006">
    <mc:Choice Requires="x15">
      <x15ac:absPath xmlns:x15ac="http://schemas.microsoft.com/office/spreadsheetml/2010/11/ac" url="https://myoffice.accenture.com/personal/ghislain_indama_accenture_com/Documents/Documents/Doc/Universal tracker project/etc/"/>
    </mc:Choice>
  </mc:AlternateContent>
  <xr:revisionPtr revIDLastSave="59" documentId="13_ncr:1_{DD560135-CBFA-4C73-9E89-F6660DF84954}" xr6:coauthVersionLast="46" xr6:coauthVersionMax="46" xr10:uidLastSave="{E5915699-BF15-4E8E-B6DE-644493D194F8}"/>
  <workbookProtection workbookAlgorithmName="SHA-512" workbookHashValue="/r3SK0m+XmaEZ8sKMu+jJB1Y2bjGGY8oqLMvYkZDYOPHe74O7444nV4enzJaU2aU+Zd7l5JLtmVdzVmb2+dRtw==" workbookSaltValue="NHFMn2cOH8AMSJe3xducuA==" workbookSpinCount="100000" lockStructure="1"/>
  <bookViews>
    <workbookView xWindow="-120" yWindow="-120" windowWidth="29040" windowHeight="15840" tabRatio="659" firstSheet="2" activeTab="6" xr2:uid="{00000000-000D-0000-FFFF-FFFF00000000}"/>
  </bookViews>
  <sheets>
    <sheet name="Dashboard" sheetId="19" state="hidden" r:id="rId1"/>
    <sheet name="Overview" sheetId="11" state="hidden" r:id="rId2"/>
    <sheet name="Individual" sheetId="17" r:id="rId3"/>
    <sheet name="Database" sheetId="18" state="veryHidden" r:id="rId4"/>
    <sheet name="Settings" sheetId="16" state="hidden" r:id="rId5"/>
    <sheet name="Import" sheetId="20" state="hidden" r:id="rId6"/>
    <sheet name="from author" sheetId="12" r:id="rId7"/>
    <sheet name="Pivot_NumberOfEmployees" sheetId="22" state="veryHidden" r:id="rId8"/>
    <sheet name="Pivot_Top10DepartmentsChart" sheetId="23" state="veryHidden" r:id="rId9"/>
    <sheet name="Pivot_RatingPerDepartment3Years" sheetId="27" state="veryHidden" r:id="rId10"/>
    <sheet name="Pivot_Top10EmployeesChart" sheetId="33" state="veryHidden" r:id="rId11"/>
    <sheet name="Pivot_Top10EmployeesOfAllTimes" sheetId="28" state="veryHidden" r:id="rId12"/>
    <sheet name="Pivot_Top10EmployeesLastYear" sheetId="29" state="veryHidden" r:id="rId13"/>
    <sheet name="Pivot_Top10DepartmentsOfAllTime" sheetId="30" state="veryHidden" r:id="rId14"/>
    <sheet name="Pivot_Top10DepartmentsLastYear" sheetId="31" state="veryHidden" r:id="rId15"/>
    <sheet name="Pivot_AllCompetencies" sheetId="32" state="veryHidden" r:id="rId16"/>
    <sheet name="Pivot_RatingPerCompetency3Years" sheetId="35" state="veryHidden" r:id="rId17"/>
    <sheet name="Pivot_EmployeePerCompetency" sheetId="36" state="veryHidden" r:id="rId18"/>
  </sheets>
  <definedNames>
    <definedName name="_xlnm._FilterDatabase" localSheetId="4" hidden="1">Settings!$I$5:$I$6</definedName>
    <definedName name="DoesReviewExist">Individual!$AA$5</definedName>
    <definedName name="GroupSelection">Overview!$G$5</definedName>
    <definedName name="ListCountIfVisible">TblEmployeeList[Count if visible]</definedName>
    <definedName name="ListEmployeeID">TblEmployeeList[[#All],[ID]]</definedName>
    <definedName name="ListEmployeeNames">TblEmployeeList[Name and Surname]</definedName>
    <definedName name="ListEmployeeNamesInDatabase">TblDatabase[Name and Surname]</definedName>
    <definedName name="ListOfCompetencies">OFFSET(Settings!$K$14,0,0,NumberOfCompetencies)</definedName>
    <definedName name="ListOfUniqueDepartments">OFFSET(Settings!$AA$5, 0, 0, COUNTA(Settings!$AA:$AA), 1)</definedName>
    <definedName name="ListYearsInDatabase">TblDatabase[Year]</definedName>
    <definedName name="NumberOfCompetencies">Settings!$U$13</definedName>
    <definedName name="NumberOfEmployees">Settings!$U$15</definedName>
    <definedName name="NumberOfPastReviews">Individual!$AA$3</definedName>
    <definedName name="NumberOfUniqueDepartments">Settings!$U$17</definedName>
    <definedName name="OldDoesReviewExist">Individual!$AF$8</definedName>
    <definedName name="_xlnm.Print_Area" localSheetId="0">Dashboard!$B$2:$BS$36</definedName>
    <definedName name="_xlnm.Print_Area" localSheetId="2">Individual!$A$2:$Z$1276</definedName>
    <definedName name="_xlnm.Print_Area" localSheetId="1">Overview!$B$2:$AF$16</definedName>
  </definedNames>
  <calcPr calcId="191029"/>
  <pivotCaches>
    <pivotCache cacheId="0" r:id="rId19"/>
    <pivotCache cacheId="1" r:id="rId20"/>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15" i="11" l="1"/>
  <c r="AE15" i="11"/>
  <c r="AD15" i="11"/>
  <c r="AC15" i="11"/>
  <c r="AB15" i="11"/>
  <c r="AA15" i="11"/>
  <c r="Z15" i="11"/>
  <c r="Y15" i="11"/>
  <c r="X15" i="11"/>
  <c r="W15" i="11"/>
  <c r="V15" i="11"/>
  <c r="U15" i="11"/>
  <c r="T15" i="11"/>
  <c r="S15" i="11"/>
  <c r="R15" i="11"/>
  <c r="Q15" i="11"/>
  <c r="P15" i="11"/>
  <c r="O15" i="11"/>
  <c r="N15" i="11"/>
  <c r="M15" i="11"/>
  <c r="L15" i="11"/>
  <c r="K15" i="11"/>
  <c r="AD14" i="11"/>
  <c r="AC14" i="11"/>
  <c r="AB14" i="11"/>
  <c r="AA14" i="11"/>
  <c r="Z14" i="11"/>
  <c r="Y14" i="11"/>
  <c r="X14" i="11"/>
  <c r="W14" i="11"/>
  <c r="V14" i="11"/>
  <c r="U14" i="11"/>
  <c r="T14" i="11"/>
  <c r="S14" i="11"/>
  <c r="R14" i="11"/>
  <c r="Q14" i="11"/>
  <c r="P14" i="11"/>
  <c r="O14" i="11"/>
  <c r="N14" i="11"/>
  <c r="M14" i="11"/>
  <c r="L14" i="11"/>
  <c r="K14" i="11"/>
  <c r="AD13" i="11"/>
  <c r="AC13" i="11"/>
  <c r="AB13" i="11"/>
  <c r="AA13" i="11"/>
  <c r="Z13" i="11"/>
  <c r="Y13" i="11"/>
  <c r="X13" i="11"/>
  <c r="W13" i="11"/>
  <c r="V13" i="11"/>
  <c r="U13" i="11"/>
  <c r="T13" i="11"/>
  <c r="S13" i="11"/>
  <c r="R13" i="11"/>
  <c r="Q13" i="11"/>
  <c r="P13" i="11"/>
  <c r="O13" i="11"/>
  <c r="N13" i="11"/>
  <c r="M13" i="11"/>
  <c r="L13" i="11"/>
  <c r="K13" i="11"/>
  <c r="G15" i="11"/>
  <c r="G14" i="11"/>
  <c r="G13" i="11"/>
  <c r="C15" i="11"/>
  <c r="C14" i="11"/>
  <c r="C13" i="11"/>
  <c r="B15" i="11"/>
  <c r="B14" i="11"/>
  <c r="B13" i="11"/>
  <c r="F6" i="16"/>
  <c r="M5" i="16" l="1"/>
  <c r="H6" i="19" l="1"/>
  <c r="A19" i="11" l="1"/>
  <c r="B1273" i="17" l="1"/>
  <c r="B1232" i="17"/>
  <c r="B1191" i="17"/>
  <c r="B1150" i="17"/>
  <c r="B1109" i="17"/>
  <c r="B1068" i="17"/>
  <c r="B1027" i="17"/>
  <c r="B986" i="17"/>
  <c r="B945" i="17"/>
  <c r="B904" i="17"/>
  <c r="B863" i="17"/>
  <c r="B822" i="17"/>
  <c r="B781" i="17"/>
  <c r="B740" i="17"/>
  <c r="B699" i="17"/>
  <c r="B658" i="17"/>
  <c r="B617" i="17"/>
  <c r="B576" i="17"/>
  <c r="B535" i="17"/>
  <c r="B494" i="17"/>
  <c r="B453" i="17"/>
  <c r="B412" i="17"/>
  <c r="B371" i="17"/>
  <c r="B330" i="17"/>
  <c r="B289" i="17"/>
  <c r="B248" i="17"/>
  <c r="B207" i="17"/>
  <c r="B166" i="17"/>
  <c r="B125" i="17"/>
  <c r="B84" i="17"/>
  <c r="B40" i="17"/>
  <c r="B1268" i="17"/>
  <c r="B1227" i="17"/>
  <c r="B1186" i="17"/>
  <c r="B1145" i="17"/>
  <c r="B1104" i="17"/>
  <c r="B1063" i="17"/>
  <c r="B1022" i="17"/>
  <c r="B981" i="17"/>
  <c r="B940" i="17"/>
  <c r="B899" i="17"/>
  <c r="B858" i="17"/>
  <c r="B817" i="17"/>
  <c r="B776" i="17"/>
  <c r="B735" i="17"/>
  <c r="B694" i="17"/>
  <c r="B653" i="17"/>
  <c r="B612" i="17"/>
  <c r="B571" i="17"/>
  <c r="B530" i="17"/>
  <c r="B489" i="17"/>
  <c r="B448" i="17"/>
  <c r="B407" i="17"/>
  <c r="B366" i="17"/>
  <c r="B325" i="17"/>
  <c r="B284" i="17"/>
  <c r="B243" i="17"/>
  <c r="B202" i="17"/>
  <c r="B161" i="17"/>
  <c r="B120" i="17"/>
  <c r="B79" i="17"/>
  <c r="B35" i="17"/>
  <c r="B1239" i="17"/>
  <c r="B1198" i="17"/>
  <c r="B1157" i="17"/>
  <c r="B1116" i="17"/>
  <c r="B1075" i="17"/>
  <c r="B1034" i="17"/>
  <c r="B993" i="17"/>
  <c r="B952" i="17"/>
  <c r="B911" i="17"/>
  <c r="B870" i="17"/>
  <c r="B829" i="17"/>
  <c r="B788" i="17"/>
  <c r="B747" i="17"/>
  <c r="B706" i="17"/>
  <c r="B665" i="17"/>
  <c r="B624" i="17"/>
  <c r="B583" i="17"/>
  <c r="B542" i="17"/>
  <c r="B501" i="17"/>
  <c r="B460" i="17"/>
  <c r="B419" i="17"/>
  <c r="B378" i="17"/>
  <c r="B337" i="17"/>
  <c r="B296" i="17"/>
  <c r="B255" i="17"/>
  <c r="B214" i="17"/>
  <c r="B173" i="17"/>
  <c r="B132" i="17"/>
  <c r="B91" i="17"/>
  <c r="B50" i="17"/>
  <c r="B6" i="17"/>
  <c r="Z27" i="19" l="1"/>
  <c r="O8" i="19"/>
  <c r="H11" i="19"/>
  <c r="H8" i="19"/>
  <c r="AN2" i="19"/>
  <c r="D3" i="18"/>
  <c r="H5" i="19"/>
  <c r="Z15" i="19"/>
  <c r="B15" i="19"/>
  <c r="S2" i="19"/>
  <c r="F2" i="36" l="1"/>
  <c r="G2" i="36" l="1"/>
  <c r="F22" i="36"/>
  <c r="G22" i="36" s="1"/>
  <c r="E22" i="36"/>
  <c r="F21" i="36"/>
  <c r="G21" i="36" s="1"/>
  <c r="E21" i="36"/>
  <c r="F20" i="36"/>
  <c r="G20" i="36" s="1"/>
  <c r="E20" i="36"/>
  <c r="F19" i="36"/>
  <c r="G19" i="36" s="1"/>
  <c r="E19" i="36"/>
  <c r="F18" i="36"/>
  <c r="G18" i="36" s="1"/>
  <c r="E18" i="36"/>
  <c r="F17" i="36"/>
  <c r="G17" i="36" s="1"/>
  <c r="E17" i="36"/>
  <c r="F16" i="36"/>
  <c r="G16" i="36" s="1"/>
  <c r="E16" i="36"/>
  <c r="F15" i="36"/>
  <c r="E15" i="36"/>
  <c r="F14" i="36"/>
  <c r="E14" i="36"/>
  <c r="F13" i="36"/>
  <c r="E13" i="36"/>
  <c r="F12" i="36"/>
  <c r="E12" i="36"/>
  <c r="F11" i="36"/>
  <c r="E11" i="36"/>
  <c r="F10" i="36"/>
  <c r="E10" i="36"/>
  <c r="F9" i="36"/>
  <c r="E9" i="36"/>
  <c r="F8" i="36"/>
  <c r="E8" i="36"/>
  <c r="F7" i="36"/>
  <c r="E7" i="36"/>
  <c r="F6" i="36"/>
  <c r="E6" i="36"/>
  <c r="F5" i="36"/>
  <c r="E5" i="36"/>
  <c r="F4" i="36"/>
  <c r="E4" i="36"/>
  <c r="F3" i="36"/>
  <c r="E3" i="36"/>
  <c r="H2" i="19" l="1"/>
  <c r="G2" i="35"/>
  <c r="H2" i="35"/>
  <c r="F2" i="35"/>
  <c r="H22" i="35"/>
  <c r="G22" i="35"/>
  <c r="H21" i="35"/>
  <c r="G21" i="35"/>
  <c r="H20" i="35"/>
  <c r="G20" i="35"/>
  <c r="H19" i="35"/>
  <c r="G19" i="35"/>
  <c r="H18" i="35"/>
  <c r="G18" i="35"/>
  <c r="H17" i="35"/>
  <c r="G17" i="35"/>
  <c r="H16" i="35"/>
  <c r="G16" i="35"/>
  <c r="H15" i="35"/>
  <c r="G15" i="35"/>
  <c r="H14" i="35"/>
  <c r="G14" i="35"/>
  <c r="H13" i="35"/>
  <c r="G13" i="35"/>
  <c r="H12" i="35"/>
  <c r="G12" i="35"/>
  <c r="H11" i="35"/>
  <c r="G11" i="35"/>
  <c r="H10" i="35"/>
  <c r="G10" i="35"/>
  <c r="H9" i="35"/>
  <c r="G9" i="35"/>
  <c r="H8" i="35"/>
  <c r="G8" i="35"/>
  <c r="H7" i="35"/>
  <c r="G7" i="35"/>
  <c r="H6" i="35"/>
  <c r="G6" i="35"/>
  <c r="H5" i="35"/>
  <c r="G5" i="35"/>
  <c r="H4" i="35"/>
  <c r="G4" i="35"/>
  <c r="H3" i="35"/>
  <c r="G3" i="35"/>
  <c r="F4" i="35"/>
  <c r="F5" i="35"/>
  <c r="F6" i="35"/>
  <c r="F7" i="35"/>
  <c r="F8" i="35"/>
  <c r="F9" i="35"/>
  <c r="F10" i="35"/>
  <c r="F11" i="35"/>
  <c r="F12" i="35"/>
  <c r="F13" i="35"/>
  <c r="F14" i="35"/>
  <c r="F15" i="35"/>
  <c r="F16" i="35"/>
  <c r="F17" i="35"/>
  <c r="F18" i="35"/>
  <c r="F19" i="35"/>
  <c r="F20" i="35"/>
  <c r="F21" i="35"/>
  <c r="F22" i="35"/>
  <c r="E4" i="35"/>
  <c r="E5" i="35"/>
  <c r="E6" i="35"/>
  <c r="E7" i="35"/>
  <c r="E8" i="35"/>
  <c r="E9" i="35"/>
  <c r="E10" i="35"/>
  <c r="E11" i="35"/>
  <c r="E12" i="35"/>
  <c r="E13" i="35"/>
  <c r="E14" i="35"/>
  <c r="E15" i="35"/>
  <c r="E16" i="35"/>
  <c r="E17" i="35"/>
  <c r="E18" i="35"/>
  <c r="E19" i="35"/>
  <c r="E20" i="35"/>
  <c r="E21" i="35"/>
  <c r="E22" i="35"/>
  <c r="F3" i="35"/>
  <c r="E3" i="35"/>
  <c r="E22" i="32"/>
  <c r="E21" i="32"/>
  <c r="E20" i="32"/>
  <c r="E19" i="32"/>
  <c r="E18" i="32"/>
  <c r="E17" i="32"/>
  <c r="E16" i="32"/>
  <c r="E15" i="32"/>
  <c r="E14" i="32"/>
  <c r="E13" i="32"/>
  <c r="E12" i="32"/>
  <c r="E11" i="32"/>
  <c r="E10" i="32"/>
  <c r="E9" i="32"/>
  <c r="E8" i="32"/>
  <c r="E7" i="32"/>
  <c r="E6" i="32"/>
  <c r="E5" i="32"/>
  <c r="E4" i="32"/>
  <c r="E3" i="32"/>
  <c r="BB3" i="18"/>
  <c r="AY22" i="19"/>
  <c r="AY2" i="19"/>
  <c r="BA3" i="18"/>
  <c r="D22" i="32" l="1"/>
  <c r="D19" i="32"/>
  <c r="D20" i="32"/>
  <c r="D21" i="32"/>
  <c r="D11" i="32"/>
  <c r="D12" i="32"/>
  <c r="D13" i="32"/>
  <c r="D14" i="32"/>
  <c r="D15" i="32"/>
  <c r="D16" i="32"/>
  <c r="D17" i="32"/>
  <c r="D18" i="32"/>
  <c r="D4" i="32"/>
  <c r="D5" i="32"/>
  <c r="D6" i="32"/>
  <c r="D7" i="32"/>
  <c r="D8" i="32"/>
  <c r="D9" i="32"/>
  <c r="D10" i="32"/>
  <c r="D3" i="32"/>
  <c r="BJ22" i="19"/>
  <c r="BJ2" i="19"/>
  <c r="F22" i="32" l="1"/>
  <c r="H22" i="32" s="1"/>
  <c r="F10" i="32"/>
  <c r="H10" i="32" s="1"/>
  <c r="F18" i="32"/>
  <c r="H18" i="32" s="1"/>
  <c r="F14" i="32"/>
  <c r="F6" i="32"/>
  <c r="H6" i="32" s="1"/>
  <c r="F21" i="32"/>
  <c r="H21" i="32" s="1"/>
  <c r="F17" i="32"/>
  <c r="H17" i="32" s="1"/>
  <c r="F13" i="32"/>
  <c r="H13" i="32" s="1"/>
  <c r="F9" i="32"/>
  <c r="H9" i="32" s="1"/>
  <c r="F5" i="32"/>
  <c r="F20" i="32"/>
  <c r="H20" i="32" s="1"/>
  <c r="F16" i="32"/>
  <c r="H16" i="32" s="1"/>
  <c r="F12" i="32"/>
  <c r="F8" i="32"/>
  <c r="H8" i="32" s="1"/>
  <c r="F4" i="32"/>
  <c r="H4" i="32" s="1"/>
  <c r="F3" i="32"/>
  <c r="H3" i="32" s="1"/>
  <c r="F19" i="32"/>
  <c r="H19" i="32" s="1"/>
  <c r="F15" i="32"/>
  <c r="H15" i="32" s="1"/>
  <c r="F11" i="32"/>
  <c r="F7" i="32"/>
  <c r="H7" i="32" s="1"/>
  <c r="AW3" i="18"/>
  <c r="G14" i="32" l="1"/>
  <c r="G22" i="32"/>
  <c r="G11" i="32"/>
  <c r="G18" i="32"/>
  <c r="G12" i="32"/>
  <c r="H14" i="32"/>
  <c r="H12" i="32"/>
  <c r="H11" i="32"/>
  <c r="G13" i="32"/>
  <c r="G16" i="32"/>
  <c r="G20" i="32"/>
  <c r="G17" i="32"/>
  <c r="G19" i="32"/>
  <c r="G6" i="32"/>
  <c r="G5" i="32"/>
  <c r="G9" i="32"/>
  <c r="G4" i="32"/>
  <c r="G15" i="32"/>
  <c r="G7" i="32"/>
  <c r="G3" i="32"/>
  <c r="G8" i="32"/>
  <c r="H5" i="32"/>
  <c r="G21" i="32"/>
  <c r="G10" i="32"/>
  <c r="I7" i="32" l="1"/>
  <c r="I10" i="32"/>
  <c r="I4" i="32"/>
  <c r="I8" i="32"/>
  <c r="I20" i="32"/>
  <c r="I22" i="32"/>
  <c r="I18" i="32"/>
  <c r="I19" i="32"/>
  <c r="I14" i="32"/>
  <c r="I9" i="32"/>
  <c r="I5" i="32"/>
  <c r="I11" i="32"/>
  <c r="I16" i="32"/>
  <c r="I21" i="32"/>
  <c r="I6" i="32"/>
  <c r="I12" i="32"/>
  <c r="I3" i="32"/>
  <c r="I17" i="32"/>
  <c r="I13" i="32"/>
  <c r="I15" i="32"/>
  <c r="C18" i="11" l="1"/>
  <c r="C17" i="11"/>
  <c r="F8" i="16" l="1"/>
  <c r="F7" i="16"/>
  <c r="C3" i="18" l="1"/>
  <c r="G13" i="36" l="1"/>
  <c r="G12" i="36"/>
  <c r="G15" i="36"/>
  <c r="G11" i="36"/>
  <c r="G14" i="36"/>
  <c r="G10" i="36"/>
  <c r="G3" i="36"/>
  <c r="G6" i="36"/>
  <c r="G8" i="36"/>
  <c r="G9" i="36"/>
  <c r="G4" i="36"/>
  <c r="G5" i="36"/>
  <c r="G7" i="36"/>
  <c r="C3" i="20"/>
  <c r="C2" i="20" l="1"/>
  <c r="F8" i="20"/>
  <c r="E8" i="20"/>
  <c r="V8" i="16"/>
  <c r="V7" i="16"/>
  <c r="V6" i="16"/>
  <c r="V5" i="16"/>
  <c r="O1244" i="17" l="1"/>
  <c r="N1244" i="17"/>
  <c r="M1244" i="17"/>
  <c r="L1244" i="17"/>
  <c r="K1244" i="17"/>
  <c r="J1244" i="17"/>
  <c r="I1244" i="17"/>
  <c r="H1244" i="17"/>
  <c r="G1244" i="17"/>
  <c r="F1244" i="17"/>
  <c r="O1203" i="17"/>
  <c r="N1203" i="17"/>
  <c r="M1203" i="17"/>
  <c r="L1203" i="17"/>
  <c r="K1203" i="17"/>
  <c r="J1203" i="17"/>
  <c r="I1203" i="17"/>
  <c r="H1203" i="17"/>
  <c r="G1203" i="17"/>
  <c r="F1203" i="17"/>
  <c r="O1162" i="17"/>
  <c r="N1162" i="17"/>
  <c r="M1162" i="17"/>
  <c r="L1162" i="17"/>
  <c r="K1162" i="17"/>
  <c r="J1162" i="17"/>
  <c r="I1162" i="17"/>
  <c r="H1162" i="17"/>
  <c r="G1162" i="17"/>
  <c r="F1162" i="17"/>
  <c r="O1121" i="17"/>
  <c r="N1121" i="17"/>
  <c r="M1121" i="17"/>
  <c r="L1121" i="17"/>
  <c r="K1121" i="17"/>
  <c r="J1121" i="17"/>
  <c r="I1121" i="17"/>
  <c r="H1121" i="17"/>
  <c r="G1121" i="17"/>
  <c r="F1121" i="17"/>
  <c r="O1080" i="17"/>
  <c r="N1080" i="17"/>
  <c r="M1080" i="17"/>
  <c r="L1080" i="17"/>
  <c r="K1080" i="17"/>
  <c r="J1080" i="17"/>
  <c r="I1080" i="17"/>
  <c r="H1080" i="17"/>
  <c r="G1080" i="17"/>
  <c r="F1080" i="17"/>
  <c r="O1039" i="17"/>
  <c r="N1039" i="17"/>
  <c r="M1039" i="17"/>
  <c r="L1039" i="17"/>
  <c r="K1039" i="17"/>
  <c r="J1039" i="17"/>
  <c r="I1039" i="17"/>
  <c r="H1039" i="17"/>
  <c r="G1039" i="17"/>
  <c r="F1039" i="17"/>
  <c r="O998" i="17"/>
  <c r="N998" i="17"/>
  <c r="M998" i="17"/>
  <c r="L998" i="17"/>
  <c r="K998" i="17"/>
  <c r="J998" i="17"/>
  <c r="I998" i="17"/>
  <c r="H998" i="17"/>
  <c r="G998" i="17"/>
  <c r="F998" i="17"/>
  <c r="O957" i="17"/>
  <c r="N957" i="17"/>
  <c r="M957" i="17"/>
  <c r="L957" i="17"/>
  <c r="K957" i="17"/>
  <c r="J957" i="17"/>
  <c r="I957" i="17"/>
  <c r="H957" i="17"/>
  <c r="G957" i="17"/>
  <c r="F957" i="17"/>
  <c r="O916" i="17"/>
  <c r="N916" i="17"/>
  <c r="M916" i="17"/>
  <c r="L916" i="17"/>
  <c r="K916" i="17"/>
  <c r="J916" i="17"/>
  <c r="I916" i="17"/>
  <c r="H916" i="17"/>
  <c r="G916" i="17"/>
  <c r="F916" i="17"/>
  <c r="O875" i="17"/>
  <c r="N875" i="17"/>
  <c r="M875" i="17"/>
  <c r="L875" i="17"/>
  <c r="K875" i="17"/>
  <c r="J875" i="17"/>
  <c r="I875" i="17"/>
  <c r="H875" i="17"/>
  <c r="G875" i="17"/>
  <c r="F875" i="17"/>
  <c r="O834" i="17"/>
  <c r="N834" i="17"/>
  <c r="M834" i="17"/>
  <c r="L834" i="17"/>
  <c r="K834" i="17"/>
  <c r="J834" i="17"/>
  <c r="I834" i="17"/>
  <c r="H834" i="17"/>
  <c r="G834" i="17"/>
  <c r="F834" i="17"/>
  <c r="O793" i="17"/>
  <c r="N793" i="17"/>
  <c r="M793" i="17"/>
  <c r="L793" i="17"/>
  <c r="K793" i="17"/>
  <c r="J793" i="17"/>
  <c r="I793" i="17"/>
  <c r="H793" i="17"/>
  <c r="G793" i="17"/>
  <c r="F793" i="17"/>
  <c r="O752" i="17"/>
  <c r="N752" i="17"/>
  <c r="M752" i="17"/>
  <c r="L752" i="17"/>
  <c r="K752" i="17"/>
  <c r="J752" i="17"/>
  <c r="I752" i="17"/>
  <c r="H752" i="17"/>
  <c r="G752" i="17"/>
  <c r="F752" i="17"/>
  <c r="O711" i="17"/>
  <c r="N711" i="17"/>
  <c r="M711" i="17"/>
  <c r="L711" i="17"/>
  <c r="K711" i="17"/>
  <c r="J711" i="17"/>
  <c r="I711" i="17"/>
  <c r="H711" i="17"/>
  <c r="G711" i="17"/>
  <c r="F711" i="17"/>
  <c r="O670" i="17"/>
  <c r="N670" i="17"/>
  <c r="M670" i="17"/>
  <c r="L670" i="17"/>
  <c r="K670" i="17"/>
  <c r="J670" i="17"/>
  <c r="I670" i="17"/>
  <c r="H670" i="17"/>
  <c r="G670" i="17"/>
  <c r="F670" i="17"/>
  <c r="O629" i="17"/>
  <c r="N629" i="17"/>
  <c r="M629" i="17"/>
  <c r="L629" i="17"/>
  <c r="K629" i="17"/>
  <c r="J629" i="17"/>
  <c r="I629" i="17"/>
  <c r="H629" i="17"/>
  <c r="G629" i="17"/>
  <c r="F629" i="17"/>
  <c r="O588" i="17"/>
  <c r="N588" i="17"/>
  <c r="M588" i="17"/>
  <c r="L588" i="17"/>
  <c r="K588" i="17"/>
  <c r="J588" i="17"/>
  <c r="I588" i="17"/>
  <c r="H588" i="17"/>
  <c r="G588" i="17"/>
  <c r="F588" i="17"/>
  <c r="O547" i="17"/>
  <c r="N547" i="17"/>
  <c r="M547" i="17"/>
  <c r="L547" i="17"/>
  <c r="K547" i="17"/>
  <c r="J547" i="17"/>
  <c r="I547" i="17"/>
  <c r="H547" i="17"/>
  <c r="G547" i="17"/>
  <c r="F547" i="17"/>
  <c r="O506" i="17"/>
  <c r="N506" i="17"/>
  <c r="M506" i="17"/>
  <c r="L506" i="17"/>
  <c r="K506" i="17"/>
  <c r="J506" i="17"/>
  <c r="I506" i="17"/>
  <c r="H506" i="17"/>
  <c r="G506" i="17"/>
  <c r="F506" i="17"/>
  <c r="O465" i="17"/>
  <c r="N465" i="17"/>
  <c r="M465" i="17"/>
  <c r="L465" i="17"/>
  <c r="K465" i="17"/>
  <c r="J465" i="17"/>
  <c r="I465" i="17"/>
  <c r="H465" i="17"/>
  <c r="G465" i="17"/>
  <c r="F465" i="17"/>
  <c r="O424" i="17"/>
  <c r="N424" i="17"/>
  <c r="M424" i="17"/>
  <c r="L424" i="17"/>
  <c r="K424" i="17"/>
  <c r="J424" i="17"/>
  <c r="I424" i="17"/>
  <c r="H424" i="17"/>
  <c r="G424" i="17"/>
  <c r="F424" i="17"/>
  <c r="O383" i="17"/>
  <c r="N383" i="17"/>
  <c r="M383" i="17"/>
  <c r="L383" i="17"/>
  <c r="K383" i="17"/>
  <c r="J383" i="17"/>
  <c r="I383" i="17"/>
  <c r="H383" i="17"/>
  <c r="G383" i="17"/>
  <c r="F383" i="17"/>
  <c r="O342" i="17"/>
  <c r="N342" i="17"/>
  <c r="M342" i="17"/>
  <c r="L342" i="17"/>
  <c r="K342" i="17"/>
  <c r="J342" i="17"/>
  <c r="I342" i="17"/>
  <c r="H342" i="17"/>
  <c r="G342" i="17"/>
  <c r="F342" i="17"/>
  <c r="O301" i="17"/>
  <c r="N301" i="17"/>
  <c r="M301" i="17"/>
  <c r="L301" i="17"/>
  <c r="K301" i="17"/>
  <c r="J301" i="17"/>
  <c r="I301" i="17"/>
  <c r="H301" i="17"/>
  <c r="G301" i="17"/>
  <c r="F301" i="17"/>
  <c r="O260" i="17"/>
  <c r="N260" i="17"/>
  <c r="M260" i="17"/>
  <c r="L260" i="17"/>
  <c r="K260" i="17"/>
  <c r="J260" i="17"/>
  <c r="I260" i="17"/>
  <c r="H260" i="17"/>
  <c r="G260" i="17"/>
  <c r="F260" i="17"/>
  <c r="O219" i="17"/>
  <c r="N219" i="17"/>
  <c r="M219" i="17"/>
  <c r="L219" i="17"/>
  <c r="K219" i="17"/>
  <c r="J219" i="17"/>
  <c r="I219" i="17"/>
  <c r="H219" i="17"/>
  <c r="G219" i="17"/>
  <c r="F219" i="17"/>
  <c r="O178" i="17"/>
  <c r="N178" i="17"/>
  <c r="M178" i="17"/>
  <c r="L178" i="17"/>
  <c r="K178" i="17"/>
  <c r="J178" i="17"/>
  <c r="I178" i="17"/>
  <c r="H178" i="17"/>
  <c r="G178" i="17"/>
  <c r="F178" i="17"/>
  <c r="O137" i="17"/>
  <c r="N137" i="17"/>
  <c r="M137" i="17"/>
  <c r="L137" i="17"/>
  <c r="K137" i="17"/>
  <c r="J137" i="17"/>
  <c r="I137" i="17"/>
  <c r="H137" i="17"/>
  <c r="G137" i="17"/>
  <c r="F137" i="17"/>
  <c r="O96" i="17"/>
  <c r="N96" i="17"/>
  <c r="M96" i="17"/>
  <c r="L96" i="17"/>
  <c r="K96" i="17"/>
  <c r="J96" i="17"/>
  <c r="I96" i="17"/>
  <c r="H96" i="17"/>
  <c r="G96" i="17"/>
  <c r="F96" i="17"/>
  <c r="A89" i="17"/>
  <c r="A130" i="17" s="1"/>
  <c r="A171" i="17" s="1"/>
  <c r="A212" i="17" s="1"/>
  <c r="A253" i="17" s="1"/>
  <c r="A294" i="17" s="1"/>
  <c r="A335" i="17" s="1"/>
  <c r="A376" i="17" s="1"/>
  <c r="A417" i="17" s="1"/>
  <c r="A458" i="17" s="1"/>
  <c r="A499" i="17" s="1"/>
  <c r="A540" i="17" s="1"/>
  <c r="A581" i="17" s="1"/>
  <c r="A622" i="17" s="1"/>
  <c r="A663" i="17" s="1"/>
  <c r="A704" i="17" s="1"/>
  <c r="A745" i="17" s="1"/>
  <c r="A786" i="17" s="1"/>
  <c r="A827" i="17" s="1"/>
  <c r="A868" i="17" s="1"/>
  <c r="A909" i="17" s="1"/>
  <c r="A950" i="17" s="1"/>
  <c r="A991" i="17" s="1"/>
  <c r="A1032" i="17" s="1"/>
  <c r="A1073" i="17" s="1"/>
  <c r="A1114" i="17" s="1"/>
  <c r="A1155" i="17" s="1"/>
  <c r="A1196" i="17" s="1"/>
  <c r="A1237" i="17" s="1"/>
  <c r="O55" i="17"/>
  <c r="N55" i="17"/>
  <c r="M55" i="17"/>
  <c r="L55" i="17"/>
  <c r="K55" i="17"/>
  <c r="J55" i="17"/>
  <c r="I55" i="17"/>
  <c r="H55" i="17"/>
  <c r="G55" i="17"/>
  <c r="F55" i="17"/>
  <c r="C48" i="17"/>
  <c r="C89" i="17" l="1"/>
  <c r="C130" i="17" l="1"/>
  <c r="C171" i="17" l="1"/>
  <c r="C212" i="17" l="1"/>
  <c r="C253" i="17" l="1"/>
  <c r="C294" i="17" l="1"/>
  <c r="C335" i="17" l="1"/>
  <c r="C376" i="17" l="1"/>
  <c r="C417" i="17" l="1"/>
  <c r="C458" i="17" l="1"/>
  <c r="C499" i="17" l="1"/>
  <c r="C540" i="17" l="1"/>
  <c r="C581" i="17" l="1"/>
  <c r="C622" i="17" l="1"/>
  <c r="C663" i="17" l="1"/>
  <c r="C704" i="17" l="1"/>
  <c r="C745" i="17" l="1"/>
  <c r="C786" i="17" l="1"/>
  <c r="C827" i="17" l="1"/>
  <c r="C868" i="17" l="1"/>
  <c r="C909" i="17" l="1"/>
  <c r="C950" i="17" l="1"/>
  <c r="C991" i="17" l="1"/>
  <c r="C1032" i="17" l="1"/>
  <c r="C1073" i="17" l="1"/>
  <c r="C1114" i="17" l="1"/>
  <c r="C1155" i="17" l="1"/>
  <c r="C1196" i="17" l="1"/>
  <c r="C1237" i="17" l="1"/>
  <c r="AN11" i="17" l="1"/>
  <c r="AJ11" i="17"/>
  <c r="AF11" i="17"/>
  <c r="H3" i="16" l="1"/>
  <c r="U17" i="16" l="1" a="1"/>
  <c r="U17" i="16" s="1"/>
  <c r="O11" i="19" s="1"/>
  <c r="V4" i="16" l="1"/>
  <c r="V3" i="16"/>
  <c r="K8" i="16"/>
  <c r="C16" i="11"/>
  <c r="AE13" i="17" a="1"/>
  <c r="AE13" i="17" s="1"/>
  <c r="AA13" i="17" s="1"/>
  <c r="AE14" i="17" a="1"/>
  <c r="AE14" i="17" s="1"/>
  <c r="AA14" i="17" s="1"/>
  <c r="AE15" i="17" a="1"/>
  <c r="AE15" i="17" s="1"/>
  <c r="AA15" i="17" s="1"/>
  <c r="AE16" i="17" a="1"/>
  <c r="AE16" i="17" s="1"/>
  <c r="AA16" i="17" s="1"/>
  <c r="AE17" i="17" a="1"/>
  <c r="AE17" i="17" s="1"/>
  <c r="AA17" i="17" s="1"/>
  <c r="AE18" i="17" a="1"/>
  <c r="AE18" i="17" s="1"/>
  <c r="AA18" i="17" s="1"/>
  <c r="AE19" i="17" a="1"/>
  <c r="AE19" i="17" s="1"/>
  <c r="AA19" i="17" s="1"/>
  <c r="AE20" i="17" a="1"/>
  <c r="AE20" i="17" s="1"/>
  <c r="AA20" i="17" s="1"/>
  <c r="AE21" i="17" a="1"/>
  <c r="AE21" i="17" s="1"/>
  <c r="AA21" i="17" s="1"/>
  <c r="AE22" i="17" a="1"/>
  <c r="AE22" i="17" s="1"/>
  <c r="AA22" i="17" s="1"/>
  <c r="AE23" i="17" a="1"/>
  <c r="AE23" i="17" s="1"/>
  <c r="AA23" i="17" s="1"/>
  <c r="AE24" i="17" a="1"/>
  <c r="AE24" i="17" s="1"/>
  <c r="AA24" i="17" s="1"/>
  <c r="AE25" i="17" a="1"/>
  <c r="AE25" i="17" s="1"/>
  <c r="AA25" i="17" s="1"/>
  <c r="AE26" i="17" a="1"/>
  <c r="AE26" i="17" s="1"/>
  <c r="AA26" i="17" s="1"/>
  <c r="AE27" i="17" a="1"/>
  <c r="AE27" i="17" s="1"/>
  <c r="AA27" i="17" s="1"/>
  <c r="AE28" i="17" a="1"/>
  <c r="AE28" i="17" s="1"/>
  <c r="AA28" i="17" s="1"/>
  <c r="AE29" i="17" a="1"/>
  <c r="AE29" i="17" s="1"/>
  <c r="AA29" i="17" s="1"/>
  <c r="AE30" i="17" a="1"/>
  <c r="AE30" i="17" s="1"/>
  <c r="AA30" i="17" s="1"/>
  <c r="AE31" i="17" a="1"/>
  <c r="AE31" i="17" s="1"/>
  <c r="AA31" i="17" s="1"/>
  <c r="AE12" i="17" a="1"/>
  <c r="AE12" i="17" s="1"/>
  <c r="K10" i="16"/>
  <c r="AA12" i="17" l="1"/>
  <c r="B10" i="11"/>
  <c r="B12" i="11"/>
  <c r="I2" i="17" l="1"/>
  <c r="L5" i="17" l="1"/>
  <c r="C12" i="11"/>
  <c r="U15" i="16"/>
  <c r="F2" i="17"/>
  <c r="U13" i="16"/>
  <c r="AD5" i="11"/>
  <c r="AD18" i="11" s="1"/>
  <c r="AC5" i="11"/>
  <c r="AC18" i="11" s="1"/>
  <c r="AB5" i="11"/>
  <c r="AB18" i="11" s="1"/>
  <c r="AA5" i="11"/>
  <c r="AA18" i="11" s="1"/>
  <c r="Z5" i="11"/>
  <c r="Z18" i="11" s="1"/>
  <c r="Y5" i="11"/>
  <c r="Y18" i="11" s="1"/>
  <c r="X5" i="11"/>
  <c r="X18" i="11" s="1"/>
  <c r="W5" i="11"/>
  <c r="V5" i="11"/>
  <c r="U5" i="11"/>
  <c r="T5" i="11"/>
  <c r="S5" i="11"/>
  <c r="R5" i="11"/>
  <c r="Q5" i="11"/>
  <c r="P5" i="11"/>
  <c r="O5" i="11"/>
  <c r="N5" i="11"/>
  <c r="M5" i="11"/>
  <c r="L5" i="11"/>
  <c r="K5" i="11"/>
  <c r="C5" i="11"/>
  <c r="G8" i="11"/>
  <c r="C10" i="11"/>
  <c r="G10" i="11"/>
  <c r="G12" i="11"/>
  <c r="U11" i="16" s="1"/>
  <c r="B20" i="17"/>
  <c r="B64" i="17" s="1"/>
  <c r="B105" i="17" s="1"/>
  <c r="B146" i="17" s="1"/>
  <c r="B187" i="17" s="1"/>
  <c r="B228" i="17" s="1"/>
  <c r="B269" i="17" s="1"/>
  <c r="B310" i="17" s="1"/>
  <c r="B351" i="17" s="1"/>
  <c r="B392" i="17" s="1"/>
  <c r="B433" i="17" s="1"/>
  <c r="B474" i="17" s="1"/>
  <c r="B515" i="17" s="1"/>
  <c r="B556" i="17" s="1"/>
  <c r="B597" i="17" s="1"/>
  <c r="B638" i="17" s="1"/>
  <c r="B679" i="17" s="1"/>
  <c r="B720" i="17" s="1"/>
  <c r="B761" i="17" s="1"/>
  <c r="B802" i="17" s="1"/>
  <c r="B843" i="17" s="1"/>
  <c r="B884" i="17" s="1"/>
  <c r="B925" i="17" s="1"/>
  <c r="B966" i="17" s="1"/>
  <c r="B1007" i="17" s="1"/>
  <c r="B1048" i="17" s="1"/>
  <c r="B1089" i="17" s="1"/>
  <c r="B1130" i="17" s="1"/>
  <c r="B1171" i="17" s="1"/>
  <c r="B1212" i="17" s="1"/>
  <c r="B1253" i="17" s="1"/>
  <c r="B31" i="17"/>
  <c r="B75" i="17" s="1"/>
  <c r="B116" i="17" s="1"/>
  <c r="B157" i="17" s="1"/>
  <c r="B198" i="17" s="1"/>
  <c r="B239" i="17" s="1"/>
  <c r="B280" i="17" s="1"/>
  <c r="B321" i="17" s="1"/>
  <c r="B362" i="17" s="1"/>
  <c r="B403" i="17" s="1"/>
  <c r="B444" i="17" s="1"/>
  <c r="B485" i="17" s="1"/>
  <c r="B526" i="17" s="1"/>
  <c r="B567" i="17" s="1"/>
  <c r="B608" i="17" s="1"/>
  <c r="B649" i="17" s="1"/>
  <c r="B690" i="17" s="1"/>
  <c r="B731" i="17" s="1"/>
  <c r="B772" i="17" s="1"/>
  <c r="B813" i="17" s="1"/>
  <c r="B854" i="17" s="1"/>
  <c r="B895" i="17" s="1"/>
  <c r="B936" i="17" s="1"/>
  <c r="B977" i="17" s="1"/>
  <c r="B1018" i="17" s="1"/>
  <c r="B1059" i="17" s="1"/>
  <c r="B1100" i="17" s="1"/>
  <c r="B1141" i="17" s="1"/>
  <c r="B1182" i="17" s="1"/>
  <c r="B1223" i="17" s="1"/>
  <c r="B1264" i="17" s="1"/>
  <c r="B30" i="17"/>
  <c r="B74" i="17" s="1"/>
  <c r="B115" i="17" s="1"/>
  <c r="B156" i="17" s="1"/>
  <c r="B197" i="17" s="1"/>
  <c r="B238" i="17" s="1"/>
  <c r="B279" i="17" s="1"/>
  <c r="B320" i="17" s="1"/>
  <c r="B361" i="17" s="1"/>
  <c r="B402" i="17" s="1"/>
  <c r="B443" i="17" s="1"/>
  <c r="B484" i="17" s="1"/>
  <c r="B525" i="17" s="1"/>
  <c r="B566" i="17" s="1"/>
  <c r="B607" i="17" s="1"/>
  <c r="B648" i="17" s="1"/>
  <c r="B689" i="17" s="1"/>
  <c r="B730" i="17" s="1"/>
  <c r="B771" i="17" s="1"/>
  <c r="B812" i="17" s="1"/>
  <c r="B853" i="17" s="1"/>
  <c r="B894" i="17" s="1"/>
  <c r="B935" i="17" s="1"/>
  <c r="B976" i="17" s="1"/>
  <c r="B1017" i="17" s="1"/>
  <c r="B1058" i="17" s="1"/>
  <c r="B1099" i="17" s="1"/>
  <c r="B1140" i="17" s="1"/>
  <c r="B1181" i="17" s="1"/>
  <c r="B1222" i="17" s="1"/>
  <c r="B1263" i="17" s="1"/>
  <c r="B29" i="17"/>
  <c r="B73" i="17" s="1"/>
  <c r="B114" i="17" s="1"/>
  <c r="B155" i="17" s="1"/>
  <c r="B196" i="17" s="1"/>
  <c r="B237" i="17" s="1"/>
  <c r="B278" i="17" s="1"/>
  <c r="B319" i="17" s="1"/>
  <c r="B360" i="17" s="1"/>
  <c r="B401" i="17" s="1"/>
  <c r="B442" i="17" s="1"/>
  <c r="B483" i="17" s="1"/>
  <c r="B524" i="17" s="1"/>
  <c r="B565" i="17" s="1"/>
  <c r="B606" i="17" s="1"/>
  <c r="B647" i="17" s="1"/>
  <c r="B688" i="17" s="1"/>
  <c r="B729" i="17" s="1"/>
  <c r="B770" i="17" s="1"/>
  <c r="B811" i="17" s="1"/>
  <c r="B852" i="17" s="1"/>
  <c r="B893" i="17" s="1"/>
  <c r="B934" i="17" s="1"/>
  <c r="B975" i="17" s="1"/>
  <c r="B1016" i="17" s="1"/>
  <c r="B1057" i="17" s="1"/>
  <c r="B1098" i="17" s="1"/>
  <c r="B1139" i="17" s="1"/>
  <c r="B1180" i="17" s="1"/>
  <c r="B1221" i="17" s="1"/>
  <c r="B1262" i="17" s="1"/>
  <c r="B28" i="17"/>
  <c r="B72" i="17" s="1"/>
  <c r="B113" i="17" s="1"/>
  <c r="B154" i="17" s="1"/>
  <c r="B195" i="17" s="1"/>
  <c r="B236" i="17" s="1"/>
  <c r="B277" i="17" s="1"/>
  <c r="B318" i="17" s="1"/>
  <c r="B359" i="17" s="1"/>
  <c r="B400" i="17" s="1"/>
  <c r="B441" i="17" s="1"/>
  <c r="B482" i="17" s="1"/>
  <c r="B523" i="17" s="1"/>
  <c r="B564" i="17" s="1"/>
  <c r="B605" i="17" s="1"/>
  <c r="B646" i="17" s="1"/>
  <c r="B687" i="17" s="1"/>
  <c r="B728" i="17" s="1"/>
  <c r="B769" i="17" s="1"/>
  <c r="B810" i="17" s="1"/>
  <c r="B851" i="17" s="1"/>
  <c r="B892" i="17" s="1"/>
  <c r="B933" i="17" s="1"/>
  <c r="B974" i="17" s="1"/>
  <c r="B1015" i="17" s="1"/>
  <c r="B1056" i="17" s="1"/>
  <c r="B1097" i="17" s="1"/>
  <c r="B1138" i="17" s="1"/>
  <c r="B1179" i="17" s="1"/>
  <c r="B1220" i="17" s="1"/>
  <c r="B1261" i="17" s="1"/>
  <c r="B27" i="17"/>
  <c r="B71" i="17" s="1"/>
  <c r="B112" i="17" s="1"/>
  <c r="B153" i="17" s="1"/>
  <c r="B194" i="17" s="1"/>
  <c r="B235" i="17" s="1"/>
  <c r="B276" i="17" s="1"/>
  <c r="B317" i="17" s="1"/>
  <c r="B358" i="17" s="1"/>
  <c r="B399" i="17" s="1"/>
  <c r="B440" i="17" s="1"/>
  <c r="B481" i="17" s="1"/>
  <c r="B522" i="17" s="1"/>
  <c r="B563" i="17" s="1"/>
  <c r="B604" i="17" s="1"/>
  <c r="B645" i="17" s="1"/>
  <c r="B686" i="17" s="1"/>
  <c r="B727" i="17" s="1"/>
  <c r="B768" i="17" s="1"/>
  <c r="B809" i="17" s="1"/>
  <c r="B850" i="17" s="1"/>
  <c r="B891" i="17" s="1"/>
  <c r="B932" i="17" s="1"/>
  <c r="B973" i="17" s="1"/>
  <c r="B1014" i="17" s="1"/>
  <c r="B1055" i="17" s="1"/>
  <c r="B1096" i="17" s="1"/>
  <c r="B1137" i="17" s="1"/>
  <c r="B1178" i="17" s="1"/>
  <c r="B1219" i="17" s="1"/>
  <c r="B1260" i="17" s="1"/>
  <c r="B26" i="17"/>
  <c r="B70" i="17" s="1"/>
  <c r="B111" i="17" s="1"/>
  <c r="B152" i="17" s="1"/>
  <c r="B193" i="17" s="1"/>
  <c r="B234" i="17" s="1"/>
  <c r="B275" i="17" s="1"/>
  <c r="B316" i="17" s="1"/>
  <c r="B357" i="17" s="1"/>
  <c r="B398" i="17" s="1"/>
  <c r="B439" i="17" s="1"/>
  <c r="B480" i="17" s="1"/>
  <c r="B521" i="17" s="1"/>
  <c r="B562" i="17" s="1"/>
  <c r="B603" i="17" s="1"/>
  <c r="B644" i="17" s="1"/>
  <c r="B685" i="17" s="1"/>
  <c r="B726" i="17" s="1"/>
  <c r="B767" i="17" s="1"/>
  <c r="B808" i="17" s="1"/>
  <c r="B849" i="17" s="1"/>
  <c r="B890" i="17" s="1"/>
  <c r="B931" i="17" s="1"/>
  <c r="B972" i="17" s="1"/>
  <c r="B1013" i="17" s="1"/>
  <c r="B1054" i="17" s="1"/>
  <c r="B1095" i="17" s="1"/>
  <c r="B1136" i="17" s="1"/>
  <c r="B1177" i="17" s="1"/>
  <c r="B1218" i="17" s="1"/>
  <c r="B1259" i="17" s="1"/>
  <c r="B25" i="17"/>
  <c r="B69" i="17" s="1"/>
  <c r="B110" i="17" s="1"/>
  <c r="B151" i="17" s="1"/>
  <c r="B192" i="17" s="1"/>
  <c r="B233" i="17" s="1"/>
  <c r="B274" i="17" s="1"/>
  <c r="B315" i="17" s="1"/>
  <c r="B356" i="17" s="1"/>
  <c r="B397" i="17" s="1"/>
  <c r="B438" i="17" s="1"/>
  <c r="B479" i="17" s="1"/>
  <c r="B520" i="17" s="1"/>
  <c r="B561" i="17" s="1"/>
  <c r="B602" i="17" s="1"/>
  <c r="B643" i="17" s="1"/>
  <c r="B684" i="17" s="1"/>
  <c r="B725" i="17" s="1"/>
  <c r="B766" i="17" s="1"/>
  <c r="B807" i="17" s="1"/>
  <c r="B848" i="17" s="1"/>
  <c r="B889" i="17" s="1"/>
  <c r="B930" i="17" s="1"/>
  <c r="B971" i="17" s="1"/>
  <c r="B1012" i="17" s="1"/>
  <c r="B1053" i="17" s="1"/>
  <c r="B1094" i="17" s="1"/>
  <c r="B1135" i="17" s="1"/>
  <c r="B1176" i="17" s="1"/>
  <c r="B1217" i="17" s="1"/>
  <c r="B1258" i="17" s="1"/>
  <c r="B24" i="17"/>
  <c r="B68" i="17" s="1"/>
  <c r="B109" i="17" s="1"/>
  <c r="B150" i="17" s="1"/>
  <c r="B191" i="17" s="1"/>
  <c r="B232" i="17" s="1"/>
  <c r="B273" i="17" s="1"/>
  <c r="B314" i="17" s="1"/>
  <c r="B355" i="17" s="1"/>
  <c r="B396" i="17" s="1"/>
  <c r="B437" i="17" s="1"/>
  <c r="B478" i="17" s="1"/>
  <c r="B519" i="17" s="1"/>
  <c r="B560" i="17" s="1"/>
  <c r="B601" i="17" s="1"/>
  <c r="B642" i="17" s="1"/>
  <c r="B683" i="17" s="1"/>
  <c r="B724" i="17" s="1"/>
  <c r="B765" i="17" s="1"/>
  <c r="B806" i="17" s="1"/>
  <c r="B847" i="17" s="1"/>
  <c r="B888" i="17" s="1"/>
  <c r="B929" i="17" s="1"/>
  <c r="B970" i="17" s="1"/>
  <c r="B1011" i="17" s="1"/>
  <c r="B1052" i="17" s="1"/>
  <c r="B1093" i="17" s="1"/>
  <c r="B1134" i="17" s="1"/>
  <c r="B1175" i="17" s="1"/>
  <c r="B1216" i="17" s="1"/>
  <c r="B1257" i="17" s="1"/>
  <c r="B23" i="17"/>
  <c r="B67" i="17" s="1"/>
  <c r="B108" i="17" s="1"/>
  <c r="B149" i="17" s="1"/>
  <c r="B190" i="17" s="1"/>
  <c r="B231" i="17" s="1"/>
  <c r="B272" i="17" s="1"/>
  <c r="B313" i="17" s="1"/>
  <c r="B354" i="17" s="1"/>
  <c r="B395" i="17" s="1"/>
  <c r="B436" i="17" s="1"/>
  <c r="B477" i="17" s="1"/>
  <c r="B518" i="17" s="1"/>
  <c r="B559" i="17" s="1"/>
  <c r="B600" i="17" s="1"/>
  <c r="B641" i="17" s="1"/>
  <c r="B682" i="17" s="1"/>
  <c r="B723" i="17" s="1"/>
  <c r="B764" i="17" s="1"/>
  <c r="B805" i="17" s="1"/>
  <c r="B846" i="17" s="1"/>
  <c r="B887" i="17" s="1"/>
  <c r="B928" i="17" s="1"/>
  <c r="B969" i="17" s="1"/>
  <c r="B1010" i="17" s="1"/>
  <c r="B1051" i="17" s="1"/>
  <c r="B1092" i="17" s="1"/>
  <c r="B1133" i="17" s="1"/>
  <c r="B1174" i="17" s="1"/>
  <c r="B1215" i="17" s="1"/>
  <c r="B1256" i="17" s="1"/>
  <c r="B22" i="17"/>
  <c r="B66" i="17" s="1"/>
  <c r="B107" i="17" s="1"/>
  <c r="B148" i="17" s="1"/>
  <c r="B189" i="17" s="1"/>
  <c r="B230" i="17" s="1"/>
  <c r="B271" i="17" s="1"/>
  <c r="B312" i="17" s="1"/>
  <c r="B353" i="17" s="1"/>
  <c r="B394" i="17" s="1"/>
  <c r="B435" i="17" s="1"/>
  <c r="B476" i="17" s="1"/>
  <c r="B517" i="17" s="1"/>
  <c r="B558" i="17" s="1"/>
  <c r="B599" i="17" s="1"/>
  <c r="B640" i="17" s="1"/>
  <c r="B681" i="17" s="1"/>
  <c r="B722" i="17" s="1"/>
  <c r="B763" i="17" s="1"/>
  <c r="B804" i="17" s="1"/>
  <c r="B845" i="17" s="1"/>
  <c r="B886" i="17" s="1"/>
  <c r="B927" i="17" s="1"/>
  <c r="B968" i="17" s="1"/>
  <c r="B1009" i="17" s="1"/>
  <c r="B1050" i="17" s="1"/>
  <c r="B1091" i="17" s="1"/>
  <c r="B1132" i="17" s="1"/>
  <c r="B1173" i="17" s="1"/>
  <c r="B1214" i="17" s="1"/>
  <c r="B1255" i="17" s="1"/>
  <c r="B21" i="17"/>
  <c r="B65" i="17" s="1"/>
  <c r="B106" i="17" s="1"/>
  <c r="B147" i="17" s="1"/>
  <c r="B188" i="17" s="1"/>
  <c r="B229" i="17" s="1"/>
  <c r="B270" i="17" s="1"/>
  <c r="B311" i="17" s="1"/>
  <c r="B352" i="17" s="1"/>
  <c r="B393" i="17" s="1"/>
  <c r="B434" i="17" s="1"/>
  <c r="B475" i="17" s="1"/>
  <c r="B516" i="17" s="1"/>
  <c r="B557" i="17" s="1"/>
  <c r="B598" i="17" s="1"/>
  <c r="B639" i="17" s="1"/>
  <c r="B680" i="17" s="1"/>
  <c r="B721" i="17" s="1"/>
  <c r="B762" i="17" s="1"/>
  <c r="B803" i="17" s="1"/>
  <c r="B844" i="17" s="1"/>
  <c r="B885" i="17" s="1"/>
  <c r="B926" i="17" s="1"/>
  <c r="B967" i="17" s="1"/>
  <c r="B1008" i="17" s="1"/>
  <c r="B1049" i="17" s="1"/>
  <c r="B1090" i="17" s="1"/>
  <c r="B1131" i="17" s="1"/>
  <c r="B1172" i="17" s="1"/>
  <c r="B1213" i="17" s="1"/>
  <c r="B1254" i="17" s="1"/>
  <c r="B19" i="17"/>
  <c r="B63" i="17" s="1"/>
  <c r="B104" i="17" s="1"/>
  <c r="B145" i="17" s="1"/>
  <c r="B186" i="17" s="1"/>
  <c r="B227" i="17" s="1"/>
  <c r="B268" i="17" s="1"/>
  <c r="B309" i="17" s="1"/>
  <c r="B350" i="17" s="1"/>
  <c r="B391" i="17" s="1"/>
  <c r="B432" i="17" s="1"/>
  <c r="B473" i="17" s="1"/>
  <c r="B514" i="17" s="1"/>
  <c r="B555" i="17" s="1"/>
  <c r="B596" i="17" s="1"/>
  <c r="B637" i="17" s="1"/>
  <c r="B678" i="17" s="1"/>
  <c r="B719" i="17" s="1"/>
  <c r="B760" i="17" s="1"/>
  <c r="B801" i="17" s="1"/>
  <c r="B842" i="17" s="1"/>
  <c r="B883" i="17" s="1"/>
  <c r="B924" i="17" s="1"/>
  <c r="B965" i="17" s="1"/>
  <c r="B1006" i="17" s="1"/>
  <c r="B1047" i="17" s="1"/>
  <c r="B1088" i="17" s="1"/>
  <c r="B1129" i="17" s="1"/>
  <c r="B1170" i="17" s="1"/>
  <c r="B1211" i="17" s="1"/>
  <c r="B1252" i="17" s="1"/>
  <c r="B18" i="17"/>
  <c r="B62" i="17" s="1"/>
  <c r="B103" i="17" s="1"/>
  <c r="B144" i="17" s="1"/>
  <c r="B185" i="17" s="1"/>
  <c r="B226" i="17" s="1"/>
  <c r="B267" i="17" s="1"/>
  <c r="B308" i="17" s="1"/>
  <c r="B349" i="17" s="1"/>
  <c r="B390" i="17" s="1"/>
  <c r="B431" i="17" s="1"/>
  <c r="B472" i="17" s="1"/>
  <c r="B513" i="17" s="1"/>
  <c r="B554" i="17" s="1"/>
  <c r="B595" i="17" s="1"/>
  <c r="B636" i="17" s="1"/>
  <c r="B677" i="17" s="1"/>
  <c r="B718" i="17" s="1"/>
  <c r="B759" i="17" s="1"/>
  <c r="B800" i="17" s="1"/>
  <c r="B841" i="17" s="1"/>
  <c r="B882" i="17" s="1"/>
  <c r="B923" i="17" s="1"/>
  <c r="B964" i="17" s="1"/>
  <c r="B1005" i="17" s="1"/>
  <c r="B1046" i="17" s="1"/>
  <c r="B1087" i="17" s="1"/>
  <c r="B1128" i="17" s="1"/>
  <c r="B1169" i="17" s="1"/>
  <c r="B1210" i="17" s="1"/>
  <c r="B1251" i="17" s="1"/>
  <c r="B17" i="17"/>
  <c r="B61" i="17" s="1"/>
  <c r="B102" i="17" s="1"/>
  <c r="B143" i="17" s="1"/>
  <c r="B184" i="17" s="1"/>
  <c r="B225" i="17" s="1"/>
  <c r="B266" i="17" s="1"/>
  <c r="B307" i="17" s="1"/>
  <c r="B348" i="17" s="1"/>
  <c r="B389" i="17" s="1"/>
  <c r="B430" i="17" s="1"/>
  <c r="B471" i="17" s="1"/>
  <c r="B512" i="17" s="1"/>
  <c r="B553" i="17" s="1"/>
  <c r="B594" i="17" s="1"/>
  <c r="B635" i="17" s="1"/>
  <c r="B676" i="17" s="1"/>
  <c r="B717" i="17" s="1"/>
  <c r="B758" i="17" s="1"/>
  <c r="B799" i="17" s="1"/>
  <c r="B840" i="17" s="1"/>
  <c r="B881" i="17" s="1"/>
  <c r="B922" i="17" s="1"/>
  <c r="B963" i="17" s="1"/>
  <c r="B1004" i="17" s="1"/>
  <c r="B1045" i="17" s="1"/>
  <c r="B1086" i="17" s="1"/>
  <c r="B1127" i="17" s="1"/>
  <c r="B1168" i="17" s="1"/>
  <c r="B1209" i="17" s="1"/>
  <c r="B1250" i="17" s="1"/>
  <c r="B16" i="17"/>
  <c r="B60" i="17" s="1"/>
  <c r="B101" i="17" s="1"/>
  <c r="B142" i="17" s="1"/>
  <c r="B183" i="17" s="1"/>
  <c r="B224" i="17" s="1"/>
  <c r="B265" i="17" s="1"/>
  <c r="B306" i="17" s="1"/>
  <c r="B347" i="17" s="1"/>
  <c r="B388" i="17" s="1"/>
  <c r="B429" i="17" s="1"/>
  <c r="B470" i="17" s="1"/>
  <c r="B511" i="17" s="1"/>
  <c r="B552" i="17" s="1"/>
  <c r="B593" i="17" s="1"/>
  <c r="B634" i="17" s="1"/>
  <c r="B675" i="17" s="1"/>
  <c r="B716" i="17" s="1"/>
  <c r="B757" i="17" s="1"/>
  <c r="B798" i="17" s="1"/>
  <c r="B839" i="17" s="1"/>
  <c r="B880" i="17" s="1"/>
  <c r="B921" i="17" s="1"/>
  <c r="B962" i="17" s="1"/>
  <c r="B1003" i="17" s="1"/>
  <c r="B1044" i="17" s="1"/>
  <c r="B1085" i="17" s="1"/>
  <c r="B1126" i="17" s="1"/>
  <c r="B1167" i="17" s="1"/>
  <c r="B1208" i="17" s="1"/>
  <c r="B1249" i="17" s="1"/>
  <c r="B15" i="17"/>
  <c r="B59" i="17" s="1"/>
  <c r="B100" i="17" s="1"/>
  <c r="B141" i="17" s="1"/>
  <c r="B182" i="17" s="1"/>
  <c r="B223" i="17" s="1"/>
  <c r="B264" i="17" s="1"/>
  <c r="B305" i="17" s="1"/>
  <c r="B346" i="17" s="1"/>
  <c r="B387" i="17" s="1"/>
  <c r="B428" i="17" s="1"/>
  <c r="B469" i="17" s="1"/>
  <c r="B510" i="17" s="1"/>
  <c r="B551" i="17" s="1"/>
  <c r="B592" i="17" s="1"/>
  <c r="B633" i="17" s="1"/>
  <c r="B674" i="17" s="1"/>
  <c r="B715" i="17" s="1"/>
  <c r="B756" i="17" s="1"/>
  <c r="B797" i="17" s="1"/>
  <c r="B838" i="17" s="1"/>
  <c r="B879" i="17" s="1"/>
  <c r="B920" i="17" s="1"/>
  <c r="B961" i="17" s="1"/>
  <c r="B1002" i="17" s="1"/>
  <c r="B1043" i="17" s="1"/>
  <c r="B1084" i="17" s="1"/>
  <c r="B1125" i="17" s="1"/>
  <c r="B1166" i="17" s="1"/>
  <c r="B1207" i="17" s="1"/>
  <c r="B1248" i="17" s="1"/>
  <c r="B14" i="17"/>
  <c r="B58" i="17" s="1"/>
  <c r="B99" i="17" s="1"/>
  <c r="B140" i="17" s="1"/>
  <c r="B181" i="17" s="1"/>
  <c r="B222" i="17" s="1"/>
  <c r="B263" i="17" s="1"/>
  <c r="B304" i="17" s="1"/>
  <c r="B345" i="17" s="1"/>
  <c r="B386" i="17" s="1"/>
  <c r="B427" i="17" s="1"/>
  <c r="B468" i="17" s="1"/>
  <c r="B509" i="17" s="1"/>
  <c r="B550" i="17" s="1"/>
  <c r="B591" i="17" s="1"/>
  <c r="B632" i="17" s="1"/>
  <c r="B673" i="17" s="1"/>
  <c r="B714" i="17" s="1"/>
  <c r="B755" i="17" s="1"/>
  <c r="B796" i="17" s="1"/>
  <c r="B837" i="17" s="1"/>
  <c r="B878" i="17" s="1"/>
  <c r="B919" i="17" s="1"/>
  <c r="B960" i="17" s="1"/>
  <c r="B1001" i="17" s="1"/>
  <c r="B1042" i="17" s="1"/>
  <c r="B1083" i="17" s="1"/>
  <c r="B1124" i="17" s="1"/>
  <c r="B1165" i="17" s="1"/>
  <c r="B1206" i="17" s="1"/>
  <c r="B1247" i="17" s="1"/>
  <c r="B13" i="17"/>
  <c r="B57" i="17" s="1"/>
  <c r="B98" i="17" s="1"/>
  <c r="B139" i="17" s="1"/>
  <c r="B180" i="17" s="1"/>
  <c r="B221" i="17" s="1"/>
  <c r="B262" i="17" s="1"/>
  <c r="B303" i="17" s="1"/>
  <c r="B344" i="17" s="1"/>
  <c r="B385" i="17" s="1"/>
  <c r="B426" i="17" s="1"/>
  <c r="B467" i="17" s="1"/>
  <c r="B508" i="17" s="1"/>
  <c r="B549" i="17" s="1"/>
  <c r="B590" i="17" s="1"/>
  <c r="B631" i="17" s="1"/>
  <c r="B672" i="17" s="1"/>
  <c r="B713" i="17" s="1"/>
  <c r="B754" i="17" s="1"/>
  <c r="B795" i="17" s="1"/>
  <c r="B836" i="17" s="1"/>
  <c r="B877" i="17" s="1"/>
  <c r="B918" i="17" s="1"/>
  <c r="B959" i="17" s="1"/>
  <c r="B1000" i="17" s="1"/>
  <c r="B1041" i="17" s="1"/>
  <c r="B1082" i="17" s="1"/>
  <c r="B1123" i="17" s="1"/>
  <c r="B1164" i="17" s="1"/>
  <c r="B1205" i="17" s="1"/>
  <c r="B1246" i="17" s="1"/>
  <c r="B12" i="17"/>
  <c r="B56" i="17" s="1"/>
  <c r="B97" i="17" s="1"/>
  <c r="B138" i="17" s="1"/>
  <c r="B179" i="17" s="1"/>
  <c r="B220" i="17" s="1"/>
  <c r="B261" i="17" s="1"/>
  <c r="B302" i="17" s="1"/>
  <c r="B343" i="17" s="1"/>
  <c r="B384" i="17" s="1"/>
  <c r="B425" i="17" s="1"/>
  <c r="B466" i="17" s="1"/>
  <c r="B507" i="17" s="1"/>
  <c r="B548" i="17" s="1"/>
  <c r="B589" i="17" s="1"/>
  <c r="B630" i="17" s="1"/>
  <c r="B671" i="17" s="1"/>
  <c r="B712" i="17" s="1"/>
  <c r="B753" i="17" s="1"/>
  <c r="B794" i="17" s="1"/>
  <c r="B835" i="17" s="1"/>
  <c r="B876" i="17" s="1"/>
  <c r="B917" i="17" s="1"/>
  <c r="B958" i="17" s="1"/>
  <c r="B999" i="17" s="1"/>
  <c r="B1040" i="17" s="1"/>
  <c r="B1081" i="17" s="1"/>
  <c r="B1122" i="17" s="1"/>
  <c r="B1163" i="17" s="1"/>
  <c r="B1204" i="17" s="1"/>
  <c r="B1245" i="17" s="1"/>
  <c r="N2" i="11"/>
  <c r="K2" i="11"/>
  <c r="I3" i="16"/>
  <c r="C2" i="16"/>
  <c r="K9" i="16"/>
  <c r="K3" i="16"/>
  <c r="AE13" i="11" l="1"/>
  <c r="AF13" i="11" s="1"/>
  <c r="AE14" i="11"/>
  <c r="AF14" i="11" s="1"/>
  <c r="AY3" i="18"/>
  <c r="AZ3" i="18" s="1"/>
  <c r="E32" i="17"/>
  <c r="E33" i="17" s="1"/>
  <c r="X17" i="11"/>
  <c r="AB17" i="11"/>
  <c r="Y17" i="11"/>
  <c r="AC17" i="11"/>
  <c r="Z17" i="11"/>
  <c r="AD17" i="11"/>
  <c r="W17" i="11"/>
  <c r="AA17" i="11"/>
  <c r="AA75" i="17"/>
  <c r="AA56" i="17"/>
  <c r="AA59" i="17"/>
  <c r="AA70" i="17"/>
  <c r="AA62" i="17"/>
  <c r="AA65" i="17"/>
  <c r="AA64" i="17"/>
  <c r="AA60" i="17"/>
  <c r="AA63" i="17"/>
  <c r="AA73" i="17"/>
  <c r="AA61" i="17"/>
  <c r="AA68" i="17"/>
  <c r="AA67" i="17"/>
  <c r="AA74" i="17"/>
  <c r="AA66" i="17"/>
  <c r="AA58" i="17"/>
  <c r="AA69" i="17"/>
  <c r="AA57" i="17"/>
  <c r="AA72" i="17"/>
  <c r="AA71" i="17"/>
  <c r="AA109" i="17"/>
  <c r="AA112" i="17"/>
  <c r="AA115" i="17"/>
  <c r="AA99" i="17"/>
  <c r="AA110" i="17"/>
  <c r="AA102" i="17"/>
  <c r="AA97" i="17"/>
  <c r="AA111" i="17"/>
  <c r="AA116" i="17"/>
  <c r="AA100" i="17"/>
  <c r="AA113" i="17"/>
  <c r="AA105" i="17"/>
  <c r="AA104" i="17"/>
  <c r="AA107" i="17"/>
  <c r="AA114" i="17"/>
  <c r="AA106" i="17"/>
  <c r="AA98" i="17"/>
  <c r="AA101" i="17"/>
  <c r="AA108" i="17"/>
  <c r="AA103" i="17"/>
  <c r="AA150" i="17"/>
  <c r="AA142" i="17"/>
  <c r="AA149" i="17"/>
  <c r="AA143" i="17"/>
  <c r="AA145" i="17"/>
  <c r="AA141" i="17"/>
  <c r="AA147" i="17"/>
  <c r="AA152" i="17"/>
  <c r="AA148" i="17"/>
  <c r="AA154" i="17"/>
  <c r="AA146" i="17"/>
  <c r="AA138" i="17"/>
  <c r="AA153" i="17"/>
  <c r="AA151" i="17"/>
  <c r="AA157" i="17"/>
  <c r="AA155" i="17"/>
  <c r="AA139" i="17"/>
  <c r="AA156" i="17"/>
  <c r="AA140" i="17"/>
  <c r="AA144" i="17"/>
  <c r="AA196" i="17"/>
  <c r="AA188" i="17"/>
  <c r="AA198" i="17"/>
  <c r="AA189" i="17"/>
  <c r="AA186" i="17"/>
  <c r="AA181" i="17"/>
  <c r="AA179" i="17"/>
  <c r="AA187" i="17"/>
  <c r="AA194" i="17"/>
  <c r="AA197" i="17"/>
  <c r="AA192" i="17"/>
  <c r="AA184" i="17"/>
  <c r="AA182" i="17"/>
  <c r="AA195" i="17"/>
  <c r="AA193" i="17"/>
  <c r="AA190" i="17"/>
  <c r="AA183" i="17"/>
  <c r="AA191" i="17"/>
  <c r="AA180" i="17"/>
  <c r="AA185" i="17"/>
  <c r="AA233" i="17"/>
  <c r="AA225" i="17"/>
  <c r="AA228" i="17"/>
  <c r="AA221" i="17"/>
  <c r="AA232" i="17"/>
  <c r="AA222" i="17"/>
  <c r="AA235" i="17"/>
  <c r="AA226" i="17"/>
  <c r="AA239" i="17"/>
  <c r="AA230" i="17"/>
  <c r="AA220" i="17"/>
  <c r="AA227" i="17"/>
  <c r="AA224" i="17"/>
  <c r="AA237" i="17"/>
  <c r="AA229" i="17"/>
  <c r="AA231" i="17"/>
  <c r="AA234" i="17"/>
  <c r="AA238" i="17"/>
  <c r="AA223" i="17"/>
  <c r="AA236" i="17"/>
  <c r="AA268" i="17"/>
  <c r="AA270" i="17"/>
  <c r="AA275" i="17"/>
  <c r="AA267" i="17"/>
  <c r="AA277" i="17"/>
  <c r="AA269" i="17"/>
  <c r="AA261" i="17"/>
  <c r="AA274" i="17"/>
  <c r="AA280" i="17"/>
  <c r="AA278" i="17"/>
  <c r="AA266" i="17"/>
  <c r="AA262" i="17"/>
  <c r="AA279" i="17"/>
  <c r="AA271" i="17"/>
  <c r="AA263" i="17"/>
  <c r="AA273" i="17"/>
  <c r="AA265" i="17"/>
  <c r="AA276" i="17"/>
  <c r="AA264" i="17"/>
  <c r="AA272" i="17"/>
  <c r="AA317" i="17"/>
  <c r="AA309" i="17"/>
  <c r="AA312" i="17"/>
  <c r="AA316" i="17"/>
  <c r="AA302" i="17"/>
  <c r="AA315" i="17"/>
  <c r="AA307" i="17"/>
  <c r="AA314" i="17"/>
  <c r="AA318" i="17"/>
  <c r="AA321" i="17"/>
  <c r="AA313" i="17"/>
  <c r="AA305" i="17"/>
  <c r="AA320" i="17"/>
  <c r="AA304" i="17"/>
  <c r="AA308" i="17"/>
  <c r="AA319" i="17"/>
  <c r="AA311" i="17"/>
  <c r="AA303" i="17"/>
  <c r="AA306" i="17"/>
  <c r="AA310" i="17"/>
  <c r="AA361" i="17"/>
  <c r="AA353" i="17"/>
  <c r="AA345" i="17"/>
  <c r="AA352" i="17"/>
  <c r="AA358" i="17"/>
  <c r="AA359" i="17"/>
  <c r="AA351" i="17"/>
  <c r="AA343" i="17"/>
  <c r="AA348" i="17"/>
  <c r="AA362" i="17"/>
  <c r="AA357" i="17"/>
  <c r="AA349" i="17"/>
  <c r="AA360" i="17"/>
  <c r="AA344" i="17"/>
  <c r="AA350" i="17"/>
  <c r="AA356" i="17"/>
  <c r="AA355" i="17"/>
  <c r="AA347" i="17"/>
  <c r="AA354" i="17"/>
  <c r="AA346" i="17"/>
  <c r="AA398" i="17"/>
  <c r="AA386" i="17"/>
  <c r="AA403" i="17"/>
  <c r="AA395" i="17"/>
  <c r="AA387" i="17"/>
  <c r="AA401" i="17"/>
  <c r="AA393" i="17"/>
  <c r="AA385" i="17"/>
  <c r="AA396" i="17"/>
  <c r="AA384" i="17"/>
  <c r="AA390" i="17"/>
  <c r="AA394" i="17"/>
  <c r="AA402" i="17"/>
  <c r="AA399" i="17"/>
  <c r="AA391" i="17"/>
  <c r="AA397" i="17"/>
  <c r="AA389" i="17"/>
  <c r="AA388" i="17"/>
  <c r="AA400" i="17"/>
  <c r="AA392" i="17"/>
  <c r="AA438" i="17"/>
  <c r="AA441" i="17"/>
  <c r="AA433" i="17"/>
  <c r="AA425" i="17"/>
  <c r="AA432" i="17"/>
  <c r="AA436" i="17"/>
  <c r="AA439" i="17"/>
  <c r="AA431" i="17"/>
  <c r="AA426" i="17"/>
  <c r="AA430" i="17"/>
  <c r="AA442" i="17"/>
  <c r="AA434" i="17"/>
  <c r="AA437" i="17"/>
  <c r="AA429" i="17"/>
  <c r="AA444" i="17"/>
  <c r="AA440" i="17"/>
  <c r="AA443" i="17"/>
  <c r="AA435" i="17"/>
  <c r="AA427" i="17"/>
  <c r="AA428" i="17"/>
  <c r="AA478" i="17"/>
  <c r="AA470" i="17"/>
  <c r="AA485" i="17"/>
  <c r="AA477" i="17"/>
  <c r="AA469" i="17"/>
  <c r="AA479" i="17"/>
  <c r="AA471" i="17"/>
  <c r="AA468" i="17"/>
  <c r="AA476" i="17"/>
  <c r="AA482" i="17"/>
  <c r="AA474" i="17"/>
  <c r="AA466" i="17"/>
  <c r="AA481" i="17"/>
  <c r="AA473" i="17"/>
  <c r="AA483" i="17"/>
  <c r="AA475" i="17"/>
  <c r="AA467" i="17"/>
  <c r="AA484" i="17"/>
  <c r="AA480" i="17"/>
  <c r="AA472" i="17"/>
  <c r="AA519" i="17"/>
  <c r="AA511" i="17"/>
  <c r="AA526" i="17"/>
  <c r="AA518" i="17"/>
  <c r="AA510" i="17"/>
  <c r="AA525" i="17"/>
  <c r="AA517" i="17"/>
  <c r="AA509" i="17"/>
  <c r="AA512" i="17"/>
  <c r="AA524" i="17"/>
  <c r="AA520" i="17"/>
  <c r="AA523" i="17"/>
  <c r="AA515" i="17"/>
  <c r="AA507" i="17"/>
  <c r="AA522" i="17"/>
  <c r="AA514" i="17"/>
  <c r="AA521" i="17"/>
  <c r="AA513" i="17"/>
  <c r="AA516" i="17"/>
  <c r="AA508" i="17"/>
  <c r="AA565" i="17"/>
  <c r="AA557" i="17"/>
  <c r="AA549" i="17"/>
  <c r="AA548" i="17"/>
  <c r="AA567" i="17"/>
  <c r="AA559" i="17"/>
  <c r="AA551" i="17"/>
  <c r="AA566" i="17"/>
  <c r="AA558" i="17"/>
  <c r="AA550" i="17"/>
  <c r="AA552" i="17"/>
  <c r="AA561" i="17"/>
  <c r="AA553" i="17"/>
  <c r="AA564" i="17"/>
  <c r="AA560" i="17"/>
  <c r="AA563" i="17"/>
  <c r="AA555" i="17"/>
  <c r="AA562" i="17"/>
  <c r="AA554" i="17"/>
  <c r="AA556" i="17"/>
  <c r="AA608" i="17"/>
  <c r="AA600" i="17"/>
  <c r="AA592" i="17"/>
  <c r="AA602" i="17"/>
  <c r="AA601" i="17"/>
  <c r="AA593" i="17"/>
  <c r="AA603" i="17"/>
  <c r="AA595" i="17"/>
  <c r="AA594" i="17"/>
  <c r="AA590" i="17"/>
  <c r="AA589" i="17"/>
  <c r="AA598" i="17"/>
  <c r="AA604" i="17"/>
  <c r="AA596" i="17"/>
  <c r="AA605" i="17"/>
  <c r="AA597" i="17"/>
  <c r="AA607" i="17"/>
  <c r="AA599" i="17"/>
  <c r="AA591" i="17"/>
  <c r="AA606" i="17"/>
  <c r="AA647" i="17"/>
  <c r="AA639" i="17"/>
  <c r="AA631" i="17"/>
  <c r="AA634" i="17"/>
  <c r="AA649" i="17"/>
  <c r="AA641" i="17"/>
  <c r="AA633" i="17"/>
  <c r="AA648" i="17"/>
  <c r="AA640" i="17"/>
  <c r="AA632" i="17"/>
  <c r="AA646" i="17"/>
  <c r="AA643" i="17"/>
  <c r="AA635" i="17"/>
  <c r="AA638" i="17"/>
  <c r="AA645" i="17"/>
  <c r="AA637" i="17"/>
  <c r="AA644" i="17"/>
  <c r="AA636" i="17"/>
  <c r="AA642" i="17"/>
  <c r="AA630" i="17"/>
  <c r="AA684" i="17"/>
  <c r="AA676" i="17"/>
  <c r="AA678" i="17"/>
  <c r="AA686" i="17"/>
  <c r="AA685" i="17"/>
  <c r="AA677" i="17"/>
  <c r="AA687" i="17"/>
  <c r="AA679" i="17"/>
  <c r="AA671" i="17"/>
  <c r="AA690" i="17"/>
  <c r="AA688" i="17"/>
  <c r="AA680" i="17"/>
  <c r="AA672" i="17"/>
  <c r="AA689" i="17"/>
  <c r="AA681" i="17"/>
  <c r="AA673" i="17"/>
  <c r="AA683" i="17"/>
  <c r="AA675" i="17"/>
  <c r="AA674" i="17"/>
  <c r="AA682" i="17"/>
  <c r="AA728" i="17"/>
  <c r="AA720" i="17"/>
  <c r="AA712" i="17"/>
  <c r="AA714" i="17"/>
  <c r="AA729" i="17"/>
  <c r="AA721" i="17"/>
  <c r="AA713" i="17"/>
  <c r="AA723" i="17"/>
  <c r="AA715" i="17"/>
  <c r="AA724" i="17"/>
  <c r="AA716" i="17"/>
  <c r="AA722" i="17"/>
  <c r="AA726" i="17"/>
  <c r="AA730" i="17"/>
  <c r="AA725" i="17"/>
  <c r="AA717" i="17"/>
  <c r="AA727" i="17"/>
  <c r="AA719" i="17"/>
  <c r="AA731" i="17"/>
  <c r="AA718" i="17"/>
  <c r="AA765" i="17"/>
  <c r="AA757" i="17"/>
  <c r="AA772" i="17"/>
  <c r="AA764" i="17"/>
  <c r="AA756" i="17"/>
  <c r="AA766" i="17"/>
  <c r="AA758" i="17"/>
  <c r="AA759" i="17"/>
  <c r="AA755" i="17"/>
  <c r="AA769" i="17"/>
  <c r="AA761" i="17"/>
  <c r="AA753" i="17"/>
  <c r="AA768" i="17"/>
  <c r="AA760" i="17"/>
  <c r="AA770" i="17"/>
  <c r="AA762" i="17"/>
  <c r="AA754" i="17"/>
  <c r="AA763" i="17"/>
  <c r="AA771" i="17"/>
  <c r="AA767" i="17"/>
  <c r="AA806" i="17"/>
  <c r="AA798" i="17"/>
  <c r="AA813" i="17"/>
  <c r="AA805" i="17"/>
  <c r="AA797" i="17"/>
  <c r="AA812" i="17"/>
  <c r="AA804" i="17"/>
  <c r="AA796" i="17"/>
  <c r="AA795" i="17"/>
  <c r="AA799" i="17"/>
  <c r="AA810" i="17"/>
  <c r="AA802" i="17"/>
  <c r="AA794" i="17"/>
  <c r="AA809" i="17"/>
  <c r="AA801" i="17"/>
  <c r="AA808" i="17"/>
  <c r="AA800" i="17"/>
  <c r="AA811" i="17"/>
  <c r="AA807" i="17"/>
  <c r="AA803" i="17"/>
  <c r="AA850" i="17"/>
  <c r="AA842" i="17"/>
  <c r="AA849" i="17"/>
  <c r="AA841" i="17"/>
  <c r="AA843" i="17"/>
  <c r="AA847" i="17"/>
  <c r="AA852" i="17"/>
  <c r="AA844" i="17"/>
  <c r="AA836" i="17"/>
  <c r="AA835" i="17"/>
  <c r="AA840" i="17"/>
  <c r="AA854" i="17"/>
  <c r="AA846" i="17"/>
  <c r="AA838" i="17"/>
  <c r="AA853" i="17"/>
  <c r="AA845" i="17"/>
  <c r="AA837" i="17"/>
  <c r="AA839" i="17"/>
  <c r="AA848" i="17"/>
  <c r="AA851" i="17"/>
  <c r="AA890" i="17"/>
  <c r="AA882" i="17"/>
  <c r="AA892" i="17"/>
  <c r="AA884" i="17"/>
  <c r="AA876" i="17"/>
  <c r="AA891" i="17"/>
  <c r="AA894" i="17"/>
  <c r="AA893" i="17"/>
  <c r="AA885" i="17"/>
  <c r="AA877" i="17"/>
  <c r="AA895" i="17"/>
  <c r="AA886" i="17"/>
  <c r="AA888" i="17"/>
  <c r="AA878" i="17"/>
  <c r="AA880" i="17"/>
  <c r="AA883" i="17"/>
  <c r="AA879" i="17"/>
  <c r="AA889" i="17"/>
  <c r="AA881" i="17"/>
  <c r="AA887" i="17"/>
  <c r="AA935" i="17"/>
  <c r="AA927" i="17"/>
  <c r="AA917" i="17"/>
  <c r="AA919" i="17"/>
  <c r="AA933" i="17"/>
  <c r="AA936" i="17"/>
  <c r="AA934" i="17"/>
  <c r="AA926" i="17"/>
  <c r="AA929" i="17"/>
  <c r="AA918" i="17"/>
  <c r="AA932" i="17"/>
  <c r="AA930" i="17"/>
  <c r="AA922" i="17"/>
  <c r="AA920" i="17"/>
  <c r="AA931" i="17"/>
  <c r="AA923" i="17"/>
  <c r="AA924" i="17"/>
  <c r="AA921" i="17"/>
  <c r="AA925" i="17"/>
  <c r="AA928" i="17"/>
  <c r="AA975" i="17"/>
  <c r="AA967" i="17"/>
  <c r="AA959" i="17"/>
  <c r="AA976" i="17"/>
  <c r="AA972" i="17"/>
  <c r="AA974" i="17"/>
  <c r="AA973" i="17"/>
  <c r="AA968" i="17"/>
  <c r="AA970" i="17"/>
  <c r="AA962" i="17"/>
  <c r="AA977" i="17"/>
  <c r="AA969" i="17"/>
  <c r="AA961" i="17"/>
  <c r="AA964" i="17"/>
  <c r="AA958" i="17"/>
  <c r="AA971" i="17"/>
  <c r="AA963" i="17"/>
  <c r="AA960" i="17"/>
  <c r="AA966" i="17"/>
  <c r="AA965" i="17"/>
  <c r="AA1000" i="17"/>
  <c r="AA1016" i="17"/>
  <c r="AA1008" i="17"/>
  <c r="AA1015" i="17"/>
  <c r="AA1007" i="17"/>
  <c r="AA1014" i="17"/>
  <c r="AA1006" i="17"/>
  <c r="AA1003" i="17"/>
  <c r="AA1005" i="17"/>
  <c r="AA1001" i="17"/>
  <c r="AA1004" i="17"/>
  <c r="AA1011" i="17"/>
  <c r="AA1018" i="17"/>
  <c r="AA1009" i="17"/>
  <c r="AA1017" i="17"/>
  <c r="AA1012" i="17"/>
  <c r="AA1010" i="17"/>
  <c r="AA999" i="17"/>
  <c r="AA1002" i="17"/>
  <c r="AA1013" i="17"/>
  <c r="AA1054" i="17"/>
  <c r="AA1046" i="17"/>
  <c r="AA1053" i="17"/>
  <c r="AA1049" i="17"/>
  <c r="AA1052" i="17"/>
  <c r="AA1044" i="17"/>
  <c r="AA1055" i="17"/>
  <c r="AA1047" i="17"/>
  <c r="AA1059" i="17"/>
  <c r="AA1041" i="17"/>
  <c r="AA1048" i="17"/>
  <c r="AA1040" i="17"/>
  <c r="AA1043" i="17"/>
  <c r="AA1057" i="17"/>
  <c r="AA1058" i="17"/>
  <c r="AA1050" i="17"/>
  <c r="AA1042" i="17"/>
  <c r="AA1045" i="17"/>
  <c r="AA1056" i="17"/>
  <c r="AA1051" i="17"/>
  <c r="AA1097" i="17"/>
  <c r="AA1096" i="17"/>
  <c r="AA1088" i="17"/>
  <c r="AA1083" i="17"/>
  <c r="AA1081" i="17"/>
  <c r="AA1095" i="17"/>
  <c r="AA1098" i="17"/>
  <c r="AA1090" i="17"/>
  <c r="AA1082" i="17"/>
  <c r="AA1093" i="17"/>
  <c r="AA1100" i="17"/>
  <c r="AA1092" i="17"/>
  <c r="AA1084" i="17"/>
  <c r="AA1091" i="17"/>
  <c r="AA1089" i="17"/>
  <c r="AA1087" i="17"/>
  <c r="AA1094" i="17"/>
  <c r="AA1086" i="17"/>
  <c r="AA1085" i="17"/>
  <c r="AA1099" i="17"/>
  <c r="AA1126" i="17"/>
  <c r="AA1133" i="17"/>
  <c r="AA1140" i="17"/>
  <c r="AA1139" i="17"/>
  <c r="AA1131" i="17"/>
  <c r="AA1138" i="17"/>
  <c r="AA1130" i="17"/>
  <c r="AA1122" i="17"/>
  <c r="AA1137" i="17"/>
  <c r="AA1129" i="17"/>
  <c r="AA1136" i="17"/>
  <c r="AA1128" i="17"/>
  <c r="AA1127" i="17"/>
  <c r="AA1123" i="17"/>
  <c r="AA1134" i="17"/>
  <c r="AA1141" i="17"/>
  <c r="AA1125" i="17"/>
  <c r="AA1132" i="17"/>
  <c r="AA1124" i="17"/>
  <c r="AA1135" i="17"/>
  <c r="AA1181" i="17"/>
  <c r="AA1173" i="17"/>
  <c r="AA1165" i="17"/>
  <c r="AA1175" i="17"/>
  <c r="AA1167" i="17"/>
  <c r="AA1166" i="17"/>
  <c r="AA1177" i="17"/>
  <c r="AA1171" i="17"/>
  <c r="AA1174" i="17"/>
  <c r="AA1180" i="17"/>
  <c r="AA1182" i="17"/>
  <c r="AA1176" i="17"/>
  <c r="AA1163" i="17"/>
  <c r="AA1169" i="17"/>
  <c r="AA1179" i="17"/>
  <c r="AA1164" i="17"/>
  <c r="AA1172" i="17"/>
  <c r="AA1168" i="17"/>
  <c r="AA1178" i="17"/>
  <c r="AA1170" i="17"/>
  <c r="AA1205" i="17"/>
  <c r="AA1221" i="17"/>
  <c r="AA1212" i="17"/>
  <c r="AA1219" i="17"/>
  <c r="AA1209" i="17"/>
  <c r="AA1218" i="17"/>
  <c r="AA1215" i="17"/>
  <c r="AA1207" i="17"/>
  <c r="AA1220" i="17"/>
  <c r="AA1213" i="17"/>
  <c r="AA1214" i="17"/>
  <c r="AA1204" i="17"/>
  <c r="AA1210" i="17"/>
  <c r="AA1223" i="17"/>
  <c r="AA1222" i="17"/>
  <c r="AA1217" i="17"/>
  <c r="AA1206" i="17"/>
  <c r="AA1208" i="17"/>
  <c r="AA1211" i="17"/>
  <c r="AA1216" i="17"/>
  <c r="AA1260" i="17"/>
  <c r="AA1252" i="17"/>
  <c r="AA1263" i="17"/>
  <c r="AA1247" i="17"/>
  <c r="AA1249" i="17"/>
  <c r="AA1262" i="17"/>
  <c r="AA1254" i="17"/>
  <c r="AA1246" i="17"/>
  <c r="AA1261" i="17"/>
  <c r="AA1245" i="17"/>
  <c r="AA1251" i="17"/>
  <c r="AA1264" i="17"/>
  <c r="AA1256" i="17"/>
  <c r="AA1248" i="17"/>
  <c r="AA1255" i="17"/>
  <c r="AA1258" i="17"/>
  <c r="AA1250" i="17"/>
  <c r="AA1253" i="17"/>
  <c r="AA1259" i="17"/>
  <c r="AA1257" i="17"/>
  <c r="AD12" i="11"/>
  <c r="Z12" i="11"/>
  <c r="V12" i="11"/>
  <c r="V18" i="11" s="1"/>
  <c r="R12" i="11"/>
  <c r="R18" i="11" s="1"/>
  <c r="N12" i="11"/>
  <c r="N18" i="11" s="1"/>
  <c r="AC12" i="11"/>
  <c r="Y12" i="11"/>
  <c r="U12" i="11"/>
  <c r="U18" i="11" s="1"/>
  <c r="Q12" i="11"/>
  <c r="Q18" i="11" s="1"/>
  <c r="M12" i="11"/>
  <c r="M18" i="11" s="1"/>
  <c r="AB12" i="11"/>
  <c r="X12" i="11"/>
  <c r="T12" i="11"/>
  <c r="T18" i="11" s="1"/>
  <c r="P12" i="11"/>
  <c r="P18" i="11" s="1"/>
  <c r="L12" i="11"/>
  <c r="L18" i="11" s="1"/>
  <c r="AA12" i="11"/>
  <c r="W12" i="11"/>
  <c r="W18" i="11" s="1"/>
  <c r="S12" i="11"/>
  <c r="S17" i="11" s="1"/>
  <c r="O12" i="11"/>
  <c r="O18" i="11" s="1"/>
  <c r="K12" i="11"/>
  <c r="K18" i="11" s="1"/>
  <c r="AF8" i="17"/>
  <c r="AB30" i="17"/>
  <c r="AB29" i="17"/>
  <c r="AB25" i="17"/>
  <c r="AB21" i="17"/>
  <c r="AB17" i="17"/>
  <c r="AB13" i="17"/>
  <c r="AB16" i="17"/>
  <c r="AB31" i="17"/>
  <c r="AB23" i="17"/>
  <c r="AB15" i="17"/>
  <c r="AB22" i="17"/>
  <c r="AB28" i="17"/>
  <c r="AB24" i="17"/>
  <c r="AB20" i="17"/>
  <c r="AB12" i="17"/>
  <c r="AB27" i="17"/>
  <c r="AB19" i="17"/>
  <c r="AB26" i="17"/>
  <c r="AB18" i="17"/>
  <c r="AB14" i="17"/>
  <c r="AA5" i="17"/>
  <c r="AA3" i="17"/>
  <c r="S18" i="11" l="1"/>
  <c r="V17" i="11"/>
  <c r="T17" i="11"/>
  <c r="U17" i="11"/>
  <c r="AX3" i="18"/>
  <c r="U21" i="16"/>
  <c r="O5" i="19"/>
  <c r="AE12" i="11"/>
  <c r="F1251" i="17"/>
  <c r="K1251" i="17"/>
  <c r="L1251" i="17"/>
  <c r="I1251" i="17"/>
  <c r="N1251" i="17"/>
  <c r="H1251" i="17"/>
  <c r="O1251" i="17"/>
  <c r="J1251" i="17"/>
  <c r="M1251" i="17"/>
  <c r="G1251" i="17"/>
  <c r="M1246" i="17"/>
  <c r="L1246" i="17"/>
  <c r="O1246" i="17"/>
  <c r="I1246" i="17"/>
  <c r="J1246" i="17"/>
  <c r="K1246" i="17"/>
  <c r="N1246" i="17"/>
  <c r="H1246" i="17"/>
  <c r="G1246" i="17"/>
  <c r="F1246" i="17"/>
  <c r="I1260" i="17"/>
  <c r="H1260" i="17"/>
  <c r="J1260" i="17"/>
  <c r="O1260" i="17"/>
  <c r="N1260" i="17"/>
  <c r="K1260" i="17"/>
  <c r="F1260" i="17"/>
  <c r="M1260" i="17"/>
  <c r="G1260" i="17"/>
  <c r="L1260" i="17"/>
  <c r="O1222" i="17"/>
  <c r="L1222" i="17"/>
  <c r="J1222" i="17"/>
  <c r="G1222" i="17"/>
  <c r="M1222" i="17"/>
  <c r="N1222" i="17"/>
  <c r="F1222" i="17"/>
  <c r="I1222" i="17"/>
  <c r="H1222" i="17"/>
  <c r="K1222" i="17"/>
  <c r="E1224" i="17"/>
  <c r="E1225" i="17" s="1"/>
  <c r="M1204" i="17"/>
  <c r="O1204" i="17"/>
  <c r="N1204" i="17"/>
  <c r="I1204" i="17"/>
  <c r="K1204" i="17"/>
  <c r="J1204" i="17"/>
  <c r="L1204" i="17"/>
  <c r="G1204" i="17"/>
  <c r="F1204" i="17"/>
  <c r="H1204" i="17"/>
  <c r="K1220" i="17"/>
  <c r="M1220" i="17"/>
  <c r="J1220" i="17"/>
  <c r="G1220" i="17"/>
  <c r="H1220" i="17"/>
  <c r="N1220" i="17"/>
  <c r="L1220" i="17"/>
  <c r="O1220" i="17"/>
  <c r="I1220" i="17"/>
  <c r="F1220" i="17"/>
  <c r="L1219" i="17"/>
  <c r="O1219" i="17"/>
  <c r="M1219" i="17"/>
  <c r="H1219" i="17"/>
  <c r="J1219" i="17"/>
  <c r="G1219" i="17"/>
  <c r="K1219" i="17"/>
  <c r="N1219" i="17"/>
  <c r="F1219" i="17"/>
  <c r="I1219" i="17"/>
  <c r="O1170" i="17"/>
  <c r="J1170" i="17"/>
  <c r="G1170" i="17"/>
  <c r="N1170" i="17"/>
  <c r="K1170" i="17"/>
  <c r="F1170" i="17"/>
  <c r="L1170" i="17"/>
  <c r="I1170" i="17"/>
  <c r="H1170" i="17"/>
  <c r="M1170" i="17"/>
  <c r="O1178" i="17"/>
  <c r="J1178" i="17"/>
  <c r="L1178" i="17"/>
  <c r="I1178" i="17"/>
  <c r="K1178" i="17"/>
  <c r="F1178" i="17"/>
  <c r="G1178" i="17"/>
  <c r="M1178" i="17"/>
  <c r="H1178" i="17"/>
  <c r="N1178" i="17"/>
  <c r="M1169" i="17"/>
  <c r="O1169" i="17"/>
  <c r="N1169" i="17"/>
  <c r="G1169" i="17"/>
  <c r="I1169" i="17"/>
  <c r="K1169" i="17"/>
  <c r="J1169" i="17"/>
  <c r="L1169" i="17"/>
  <c r="H1169" i="17"/>
  <c r="F1169" i="17"/>
  <c r="L1182" i="17"/>
  <c r="G1182" i="17"/>
  <c r="M1182" i="17"/>
  <c r="J1182" i="17"/>
  <c r="F1182" i="17"/>
  <c r="H1182" i="17"/>
  <c r="N1182" i="17"/>
  <c r="I1182" i="17"/>
  <c r="O1182" i="17"/>
  <c r="K1182" i="17"/>
  <c r="L1174" i="17"/>
  <c r="G1174" i="17"/>
  <c r="M1174" i="17"/>
  <c r="J1174" i="17"/>
  <c r="F1174" i="17"/>
  <c r="H1174" i="17"/>
  <c r="N1174" i="17"/>
  <c r="I1174" i="17"/>
  <c r="O1174" i="17"/>
  <c r="K1174" i="17"/>
  <c r="K1167" i="17"/>
  <c r="H1167" i="17"/>
  <c r="J1167" i="17"/>
  <c r="M1167" i="17"/>
  <c r="O1167" i="17"/>
  <c r="L1167" i="17"/>
  <c r="G1167" i="17"/>
  <c r="N1167" i="17"/>
  <c r="F1167" i="17"/>
  <c r="I1167" i="17"/>
  <c r="I1165" i="17"/>
  <c r="J1165" i="17"/>
  <c r="L1165" i="17"/>
  <c r="K1165" i="17"/>
  <c r="M1165" i="17"/>
  <c r="O1165" i="17"/>
  <c r="H1165" i="17"/>
  <c r="N1165" i="17"/>
  <c r="F1165" i="17"/>
  <c r="G1165" i="17"/>
  <c r="O1135" i="17"/>
  <c r="J1135" i="17"/>
  <c r="M1135" i="17"/>
  <c r="K1135" i="17"/>
  <c r="F1135" i="17"/>
  <c r="L1135" i="17"/>
  <c r="G1135" i="17"/>
  <c r="I1135" i="17"/>
  <c r="H1135" i="17"/>
  <c r="N1135" i="17"/>
  <c r="N1141" i="17"/>
  <c r="I1141" i="17"/>
  <c r="G1141" i="17"/>
  <c r="F1141" i="17"/>
  <c r="K1141" i="17"/>
  <c r="J1141" i="17"/>
  <c r="L1141" i="17"/>
  <c r="O1141" i="17"/>
  <c r="H1141" i="17"/>
  <c r="M1141" i="17"/>
  <c r="L1127" i="17"/>
  <c r="G1127" i="17"/>
  <c r="M1127" i="17"/>
  <c r="O1127" i="17"/>
  <c r="H1127" i="17"/>
  <c r="N1127" i="17"/>
  <c r="I1127" i="17"/>
  <c r="F1127" i="17"/>
  <c r="J1127" i="17"/>
  <c r="K1127" i="17"/>
  <c r="F1129" i="17"/>
  <c r="H1129" i="17"/>
  <c r="I1129" i="17"/>
  <c r="L1129" i="17"/>
  <c r="M1129" i="17"/>
  <c r="G1129" i="17"/>
  <c r="N1129" i="17"/>
  <c r="J1129" i="17"/>
  <c r="O1129" i="17"/>
  <c r="K1129" i="17"/>
  <c r="I1138" i="17"/>
  <c r="K1138" i="17"/>
  <c r="F1138" i="17"/>
  <c r="H1138" i="17"/>
  <c r="M1138" i="17"/>
  <c r="L1138" i="17"/>
  <c r="G1138" i="17"/>
  <c r="N1138" i="17"/>
  <c r="J1138" i="17"/>
  <c r="O1138" i="17"/>
  <c r="F1133" i="17"/>
  <c r="H1133" i="17"/>
  <c r="I1133" i="17"/>
  <c r="J1133" i="17"/>
  <c r="M1133" i="17"/>
  <c r="O1133" i="17"/>
  <c r="N1133" i="17"/>
  <c r="K1133" i="17"/>
  <c r="G1133" i="17"/>
  <c r="L1133" i="17"/>
  <c r="L1087" i="17"/>
  <c r="F1087" i="17"/>
  <c r="K1087" i="17"/>
  <c r="M1087" i="17"/>
  <c r="H1087" i="17"/>
  <c r="O1087" i="17"/>
  <c r="I1087" i="17"/>
  <c r="N1087" i="17"/>
  <c r="G1087" i="17"/>
  <c r="J1087" i="17"/>
  <c r="M1090" i="17"/>
  <c r="G1090" i="17"/>
  <c r="L1090" i="17"/>
  <c r="O1090" i="17"/>
  <c r="F1090" i="17"/>
  <c r="I1090" i="17"/>
  <c r="H1090" i="17"/>
  <c r="J1090" i="17"/>
  <c r="N1090" i="17"/>
  <c r="K1090" i="17"/>
  <c r="J1083" i="17"/>
  <c r="O1083" i="17"/>
  <c r="H1083" i="17"/>
  <c r="M1083" i="17"/>
  <c r="I1083" i="17"/>
  <c r="L1083" i="17"/>
  <c r="F1083" i="17"/>
  <c r="G1083" i="17"/>
  <c r="K1083" i="17"/>
  <c r="N1083" i="17"/>
  <c r="M1096" i="17"/>
  <c r="N1096" i="17"/>
  <c r="K1096" i="17"/>
  <c r="L1096" i="17"/>
  <c r="H1096" i="17"/>
  <c r="O1096" i="17"/>
  <c r="I1096" i="17"/>
  <c r="F1096" i="17"/>
  <c r="J1096" i="17"/>
  <c r="G1096" i="17"/>
  <c r="K1045" i="17"/>
  <c r="F1045" i="17"/>
  <c r="L1045" i="17"/>
  <c r="G1045" i="17"/>
  <c r="M1045" i="17"/>
  <c r="H1045" i="17"/>
  <c r="N1045" i="17"/>
  <c r="I1045" i="17"/>
  <c r="O1045" i="17"/>
  <c r="J1045" i="17"/>
  <c r="K1058" i="17"/>
  <c r="F1058" i="17"/>
  <c r="H1058" i="17"/>
  <c r="G1058" i="17"/>
  <c r="M1058" i="17"/>
  <c r="N1058" i="17"/>
  <c r="I1058" i="17"/>
  <c r="O1058" i="17"/>
  <c r="J1058" i="17"/>
  <c r="L1058" i="17"/>
  <c r="L1057" i="17"/>
  <c r="G1057" i="17"/>
  <c r="M1057" i="17"/>
  <c r="N1057" i="17"/>
  <c r="I1057" i="17"/>
  <c r="H1057" i="17"/>
  <c r="O1057" i="17"/>
  <c r="J1057" i="17"/>
  <c r="K1057" i="17"/>
  <c r="F1057" i="17"/>
  <c r="H1048" i="17"/>
  <c r="F1048" i="17"/>
  <c r="M1048" i="17"/>
  <c r="O1048" i="17"/>
  <c r="N1048" i="17"/>
  <c r="I1048" i="17"/>
  <c r="K1048" i="17"/>
  <c r="J1048" i="17"/>
  <c r="L1048" i="17"/>
  <c r="G1048" i="17"/>
  <c r="K1041" i="17"/>
  <c r="F1041" i="17"/>
  <c r="L1041" i="17"/>
  <c r="G1041" i="17"/>
  <c r="M1041" i="17"/>
  <c r="H1041" i="17"/>
  <c r="N1041" i="17"/>
  <c r="I1041" i="17"/>
  <c r="O1041" i="17"/>
  <c r="J1041" i="17"/>
  <c r="M1047" i="17"/>
  <c r="O1047" i="17"/>
  <c r="N1047" i="17"/>
  <c r="I1047" i="17"/>
  <c r="K1047" i="17"/>
  <c r="J1047" i="17"/>
  <c r="L1047" i="17"/>
  <c r="G1047" i="17"/>
  <c r="F1047" i="17"/>
  <c r="H1047" i="17"/>
  <c r="N1046" i="17"/>
  <c r="I1046" i="17"/>
  <c r="O1046" i="17"/>
  <c r="J1046" i="17"/>
  <c r="L1046" i="17"/>
  <c r="K1046" i="17"/>
  <c r="F1046" i="17"/>
  <c r="H1046" i="17"/>
  <c r="G1046" i="17"/>
  <c r="M1046" i="17"/>
  <c r="N1010" i="17"/>
  <c r="I1010" i="17"/>
  <c r="O1010" i="17"/>
  <c r="J1010" i="17"/>
  <c r="L1010" i="17"/>
  <c r="M1010" i="17"/>
  <c r="K1010" i="17"/>
  <c r="F1010" i="17"/>
  <c r="H1010" i="17"/>
  <c r="G1010" i="17"/>
  <c r="O1017" i="17"/>
  <c r="J1017" i="17"/>
  <c r="K1017" i="17"/>
  <c r="F1017" i="17"/>
  <c r="L1017" i="17"/>
  <c r="G1017" i="17"/>
  <c r="I1017" i="17"/>
  <c r="H1017" i="17"/>
  <c r="N1017" i="17"/>
  <c r="M1017" i="17"/>
  <c r="I1004" i="17"/>
  <c r="N1004" i="17"/>
  <c r="J1004" i="17"/>
  <c r="O1004" i="17"/>
  <c r="G1004" i="17"/>
  <c r="H1004" i="17"/>
  <c r="K1004" i="17"/>
  <c r="L1004" i="17"/>
  <c r="M1004" i="17"/>
  <c r="F1004" i="17"/>
  <c r="N1005" i="17"/>
  <c r="I1005" i="17"/>
  <c r="J1005" i="17"/>
  <c r="L1005" i="17"/>
  <c r="F1005" i="17"/>
  <c r="G1005" i="17"/>
  <c r="H1005" i="17"/>
  <c r="K1005" i="17"/>
  <c r="M1005" i="17"/>
  <c r="O1005" i="17"/>
  <c r="F1007" i="17"/>
  <c r="H1007" i="17"/>
  <c r="K1007" i="17"/>
  <c r="N1007" i="17"/>
  <c r="I1007" i="17"/>
  <c r="G1007" i="17"/>
  <c r="J1007" i="17"/>
  <c r="L1007" i="17"/>
  <c r="O1007" i="17"/>
  <c r="M1007" i="17"/>
  <c r="O1000" i="17"/>
  <c r="J1000" i="17"/>
  <c r="F1000" i="17"/>
  <c r="L1000" i="17"/>
  <c r="G1000" i="17"/>
  <c r="I1000" i="17"/>
  <c r="H1000" i="17"/>
  <c r="N1000" i="17"/>
  <c r="M1000" i="17"/>
  <c r="K1000" i="17"/>
  <c r="M966" i="17"/>
  <c r="O966" i="17"/>
  <c r="N966" i="17"/>
  <c r="I966" i="17"/>
  <c r="K966" i="17"/>
  <c r="J966" i="17"/>
  <c r="L966" i="17"/>
  <c r="G966" i="17"/>
  <c r="F966" i="17"/>
  <c r="H966" i="17"/>
  <c r="H964" i="17"/>
  <c r="N964" i="17"/>
  <c r="I964" i="17"/>
  <c r="O964" i="17"/>
  <c r="J964" i="17"/>
  <c r="K964" i="17"/>
  <c r="F964" i="17"/>
  <c r="L964" i="17"/>
  <c r="G964" i="17"/>
  <c r="M964" i="17"/>
  <c r="K969" i="17"/>
  <c r="F969" i="17"/>
  <c r="H969" i="17"/>
  <c r="M969" i="17"/>
  <c r="G969" i="17"/>
  <c r="N969" i="17"/>
  <c r="I969" i="17"/>
  <c r="O969" i="17"/>
  <c r="J969" i="17"/>
  <c r="L969" i="17"/>
  <c r="O973" i="17"/>
  <c r="J973" i="17"/>
  <c r="H973" i="17"/>
  <c r="K973" i="17"/>
  <c r="F973" i="17"/>
  <c r="L973" i="17"/>
  <c r="G973" i="17"/>
  <c r="M973" i="17"/>
  <c r="N973" i="17"/>
  <c r="I973" i="17"/>
  <c r="H972" i="17"/>
  <c r="N972" i="17"/>
  <c r="I972" i="17"/>
  <c r="O972" i="17"/>
  <c r="J972" i="17"/>
  <c r="K972" i="17"/>
  <c r="F972" i="17"/>
  <c r="G972" i="17"/>
  <c r="M972" i="17"/>
  <c r="L972" i="17"/>
  <c r="H967" i="17"/>
  <c r="F967" i="17"/>
  <c r="M967" i="17"/>
  <c r="O967" i="17"/>
  <c r="N967" i="17"/>
  <c r="I967" i="17"/>
  <c r="K967" i="17"/>
  <c r="J967" i="17"/>
  <c r="G967" i="17"/>
  <c r="L967" i="17"/>
  <c r="O925" i="17"/>
  <c r="J925" i="17"/>
  <c r="L925" i="17"/>
  <c r="I925" i="17"/>
  <c r="K925" i="17"/>
  <c r="F925" i="17"/>
  <c r="H925" i="17"/>
  <c r="N925" i="17"/>
  <c r="G925" i="17"/>
  <c r="M925" i="17"/>
  <c r="F921" i="17"/>
  <c r="H921" i="17"/>
  <c r="M921" i="17"/>
  <c r="O921" i="17"/>
  <c r="G921" i="17"/>
  <c r="N921" i="17"/>
  <c r="I921" i="17"/>
  <c r="K921" i="17"/>
  <c r="J921" i="17"/>
  <c r="L921" i="17"/>
  <c r="M918" i="17"/>
  <c r="O918" i="17"/>
  <c r="F918" i="17"/>
  <c r="I918" i="17"/>
  <c r="K918" i="17"/>
  <c r="N918" i="17"/>
  <c r="H918" i="17"/>
  <c r="L918" i="17"/>
  <c r="G918" i="17"/>
  <c r="J918" i="17"/>
  <c r="F934" i="17"/>
  <c r="H934" i="17"/>
  <c r="L934" i="17"/>
  <c r="M934" i="17"/>
  <c r="O934" i="17"/>
  <c r="G934" i="17"/>
  <c r="N934" i="17"/>
  <c r="I934" i="17"/>
  <c r="K934" i="17"/>
  <c r="J934" i="17"/>
  <c r="G933" i="17"/>
  <c r="M933" i="17"/>
  <c r="H933" i="17"/>
  <c r="N933" i="17"/>
  <c r="I933" i="17"/>
  <c r="F933" i="17"/>
  <c r="O933" i="17"/>
  <c r="J933" i="17"/>
  <c r="L933" i="17"/>
  <c r="K933" i="17"/>
  <c r="J917" i="17"/>
  <c r="L917" i="17"/>
  <c r="K917" i="17"/>
  <c r="I917" i="17"/>
  <c r="F917" i="17"/>
  <c r="H917" i="17"/>
  <c r="N917" i="17"/>
  <c r="E937" i="17"/>
  <c r="E938" i="17" s="1"/>
  <c r="M917" i="17"/>
  <c r="G917" i="17"/>
  <c r="O917" i="17"/>
  <c r="I935" i="17"/>
  <c r="K935" i="17"/>
  <c r="F935" i="17"/>
  <c r="G935" i="17"/>
  <c r="J935" i="17"/>
  <c r="L935" i="17"/>
  <c r="O935" i="17"/>
  <c r="H935" i="17"/>
  <c r="N935" i="17"/>
  <c r="M935" i="17"/>
  <c r="G880" i="17"/>
  <c r="M880" i="17"/>
  <c r="K880" i="17"/>
  <c r="F880" i="17"/>
  <c r="H880" i="17"/>
  <c r="N880" i="17"/>
  <c r="I880" i="17"/>
  <c r="O880" i="17"/>
  <c r="J880" i="17"/>
  <c r="L880" i="17"/>
  <c r="L895" i="17"/>
  <c r="G895" i="17"/>
  <c r="M895" i="17"/>
  <c r="F895" i="17"/>
  <c r="H895" i="17"/>
  <c r="N895" i="17"/>
  <c r="I895" i="17"/>
  <c r="O895" i="17"/>
  <c r="J895" i="17"/>
  <c r="K895" i="17"/>
  <c r="N885" i="17"/>
  <c r="I885" i="17"/>
  <c r="K885" i="17"/>
  <c r="J885" i="17"/>
  <c r="L885" i="17"/>
  <c r="G885" i="17"/>
  <c r="M885" i="17"/>
  <c r="F885" i="17"/>
  <c r="H885" i="17"/>
  <c r="O885" i="17"/>
  <c r="N884" i="17"/>
  <c r="I884" i="17"/>
  <c r="G884" i="17"/>
  <c r="O884" i="17"/>
  <c r="J884" i="17"/>
  <c r="L884" i="17"/>
  <c r="M884" i="17"/>
  <c r="K884" i="17"/>
  <c r="F884" i="17"/>
  <c r="H884" i="17"/>
  <c r="O851" i="17"/>
  <c r="J851" i="17"/>
  <c r="K851" i="17"/>
  <c r="F851" i="17"/>
  <c r="L851" i="17"/>
  <c r="G851" i="17"/>
  <c r="I851" i="17"/>
  <c r="M851" i="17"/>
  <c r="H851" i="17"/>
  <c r="N851" i="17"/>
  <c r="L839" i="17"/>
  <c r="G839" i="17"/>
  <c r="M839" i="17"/>
  <c r="O839" i="17"/>
  <c r="H839" i="17"/>
  <c r="N839" i="17"/>
  <c r="I839" i="17"/>
  <c r="J839" i="17"/>
  <c r="K839" i="17"/>
  <c r="F839" i="17"/>
  <c r="F837" i="17"/>
  <c r="H837" i="17"/>
  <c r="O837" i="17"/>
  <c r="M837" i="17"/>
  <c r="N837" i="17"/>
  <c r="I837" i="17"/>
  <c r="J837" i="17"/>
  <c r="G837" i="17"/>
  <c r="L837" i="17"/>
  <c r="K837" i="17"/>
  <c r="L846" i="17"/>
  <c r="G846" i="17"/>
  <c r="J846" i="17"/>
  <c r="H846" i="17"/>
  <c r="O846" i="17"/>
  <c r="M846" i="17"/>
  <c r="F846" i="17"/>
  <c r="N846" i="17"/>
  <c r="K846" i="17"/>
  <c r="I846" i="17"/>
  <c r="K844" i="17"/>
  <c r="F844" i="17"/>
  <c r="H844" i="17"/>
  <c r="G844" i="17"/>
  <c r="M844" i="17"/>
  <c r="N844" i="17"/>
  <c r="L844" i="17"/>
  <c r="J844" i="17"/>
  <c r="I844" i="17"/>
  <c r="O844" i="17"/>
  <c r="L847" i="17"/>
  <c r="G847" i="17"/>
  <c r="M847" i="17"/>
  <c r="H847" i="17"/>
  <c r="N847" i="17"/>
  <c r="I847" i="17"/>
  <c r="O847" i="17"/>
  <c r="J847" i="17"/>
  <c r="K847" i="17"/>
  <c r="F847" i="17"/>
  <c r="L811" i="17"/>
  <c r="G811" i="17"/>
  <c r="M811" i="17"/>
  <c r="F811" i="17"/>
  <c r="H811" i="17"/>
  <c r="N811" i="17"/>
  <c r="I811" i="17"/>
  <c r="O811" i="17"/>
  <c r="J811" i="17"/>
  <c r="K811" i="17"/>
  <c r="F801" i="17"/>
  <c r="H801" i="17"/>
  <c r="G801" i="17"/>
  <c r="M801" i="17"/>
  <c r="O801" i="17"/>
  <c r="J801" i="17"/>
  <c r="N801" i="17"/>
  <c r="I801" i="17"/>
  <c r="K801" i="17"/>
  <c r="L801" i="17"/>
  <c r="I810" i="17"/>
  <c r="K810" i="17"/>
  <c r="F810" i="17"/>
  <c r="O810" i="17"/>
  <c r="L810" i="17"/>
  <c r="G810" i="17"/>
  <c r="M810" i="17"/>
  <c r="H810" i="17"/>
  <c r="N810" i="17"/>
  <c r="J810" i="17"/>
  <c r="N812" i="17"/>
  <c r="I812" i="17"/>
  <c r="G812" i="17"/>
  <c r="M812" i="17"/>
  <c r="O812" i="17"/>
  <c r="J812" i="17"/>
  <c r="L812" i="17"/>
  <c r="K812" i="17"/>
  <c r="F812" i="17"/>
  <c r="H812" i="17"/>
  <c r="H798" i="17"/>
  <c r="J798" i="17"/>
  <c r="M798" i="17"/>
  <c r="O798" i="17"/>
  <c r="F798" i="17"/>
  <c r="I798" i="17"/>
  <c r="N798" i="17"/>
  <c r="K798" i="17"/>
  <c r="G798" i="17"/>
  <c r="L798" i="17"/>
  <c r="O763" i="17"/>
  <c r="J763" i="17"/>
  <c r="K763" i="17"/>
  <c r="F763" i="17"/>
  <c r="L763" i="17"/>
  <c r="G763" i="17"/>
  <c r="M763" i="17"/>
  <c r="H763" i="17"/>
  <c r="N763" i="17"/>
  <c r="I763" i="17"/>
  <c r="I770" i="17"/>
  <c r="K770" i="17"/>
  <c r="J770" i="17"/>
  <c r="L770" i="17"/>
  <c r="G770" i="17"/>
  <c r="H770" i="17"/>
  <c r="F770" i="17"/>
  <c r="M770" i="17"/>
  <c r="O770" i="17"/>
  <c r="N770" i="17"/>
  <c r="O768" i="17"/>
  <c r="J768" i="17"/>
  <c r="L768" i="17"/>
  <c r="K768" i="17"/>
  <c r="F768" i="17"/>
  <c r="H768" i="17"/>
  <c r="G768" i="17"/>
  <c r="M768" i="17"/>
  <c r="N768" i="17"/>
  <c r="I768" i="17"/>
  <c r="K755" i="17"/>
  <c r="F755" i="17"/>
  <c r="L755" i="17"/>
  <c r="G755" i="17"/>
  <c r="I755" i="17"/>
  <c r="H755" i="17"/>
  <c r="N755" i="17"/>
  <c r="M755" i="17"/>
  <c r="O755" i="17"/>
  <c r="J755" i="17"/>
  <c r="H758" i="17"/>
  <c r="N758" i="17"/>
  <c r="M758" i="17"/>
  <c r="O758" i="17"/>
  <c r="J758" i="17"/>
  <c r="I758" i="17"/>
  <c r="K758" i="17"/>
  <c r="F758" i="17"/>
  <c r="L758" i="17"/>
  <c r="G758" i="17"/>
  <c r="M757" i="17"/>
  <c r="O757" i="17"/>
  <c r="I757" i="17"/>
  <c r="J757" i="17"/>
  <c r="L757" i="17"/>
  <c r="G757" i="17"/>
  <c r="H757" i="17"/>
  <c r="N757" i="17"/>
  <c r="K757" i="17"/>
  <c r="F757" i="17"/>
  <c r="G727" i="17"/>
  <c r="M727" i="17"/>
  <c r="N727" i="17"/>
  <c r="I727" i="17"/>
  <c r="O727" i="17"/>
  <c r="J727" i="17"/>
  <c r="H727" i="17"/>
  <c r="K727" i="17"/>
  <c r="F727" i="17"/>
  <c r="L727" i="17"/>
  <c r="M717" i="17"/>
  <c r="O717" i="17"/>
  <c r="F717" i="17"/>
  <c r="I717" i="17"/>
  <c r="K717" i="17"/>
  <c r="N717" i="17"/>
  <c r="L717" i="17"/>
  <c r="G717" i="17"/>
  <c r="H717" i="17"/>
  <c r="J717" i="17"/>
  <c r="O722" i="17"/>
  <c r="J722" i="17"/>
  <c r="K722" i="17"/>
  <c r="F722" i="17"/>
  <c r="L722" i="17"/>
  <c r="G722" i="17"/>
  <c r="I722" i="17"/>
  <c r="H722" i="17"/>
  <c r="N722" i="17"/>
  <c r="M722" i="17"/>
  <c r="O715" i="17"/>
  <c r="J715" i="17"/>
  <c r="L715" i="17"/>
  <c r="K715" i="17"/>
  <c r="F715" i="17"/>
  <c r="H715" i="17"/>
  <c r="G715" i="17"/>
  <c r="M715" i="17"/>
  <c r="N715" i="17"/>
  <c r="I715" i="17"/>
  <c r="M720" i="17"/>
  <c r="O720" i="17"/>
  <c r="N720" i="17"/>
  <c r="I720" i="17"/>
  <c r="K720" i="17"/>
  <c r="J720" i="17"/>
  <c r="L720" i="17"/>
  <c r="G720" i="17"/>
  <c r="F720" i="17"/>
  <c r="H720" i="17"/>
  <c r="L682" i="17"/>
  <c r="G682" i="17"/>
  <c r="M682" i="17"/>
  <c r="H682" i="17"/>
  <c r="N682" i="17"/>
  <c r="I682" i="17"/>
  <c r="O682" i="17"/>
  <c r="J682" i="17"/>
  <c r="K682" i="17"/>
  <c r="F682" i="17"/>
  <c r="G683" i="17"/>
  <c r="M683" i="17"/>
  <c r="N683" i="17"/>
  <c r="I683" i="17"/>
  <c r="O683" i="17"/>
  <c r="J683" i="17"/>
  <c r="L683" i="17"/>
  <c r="K683" i="17"/>
  <c r="F683" i="17"/>
  <c r="H683" i="17"/>
  <c r="M673" i="17"/>
  <c r="O673" i="17"/>
  <c r="J673" i="17"/>
  <c r="I673" i="17"/>
  <c r="K673" i="17"/>
  <c r="F673" i="17"/>
  <c r="L673" i="17"/>
  <c r="G673" i="17"/>
  <c r="H673" i="17"/>
  <c r="N673" i="17"/>
  <c r="F672" i="17"/>
  <c r="H672" i="17"/>
  <c r="M672" i="17"/>
  <c r="O672" i="17"/>
  <c r="N672" i="17"/>
  <c r="I672" i="17"/>
  <c r="K672" i="17"/>
  <c r="J672" i="17"/>
  <c r="L672" i="17"/>
  <c r="G672" i="17"/>
  <c r="G671" i="17"/>
  <c r="E691" i="17"/>
  <c r="E692" i="17" s="1"/>
  <c r="H671" i="17"/>
  <c r="N671" i="17"/>
  <c r="M671" i="17"/>
  <c r="O671" i="17"/>
  <c r="J671" i="17"/>
  <c r="I671" i="17"/>
  <c r="K671" i="17"/>
  <c r="F671" i="17"/>
  <c r="L671" i="17"/>
  <c r="J684" i="17"/>
  <c r="L684" i="17"/>
  <c r="G684" i="17"/>
  <c r="F684" i="17"/>
  <c r="H684" i="17"/>
  <c r="M684" i="17"/>
  <c r="O684" i="17"/>
  <c r="N684" i="17"/>
  <c r="I684" i="17"/>
  <c r="K684" i="17"/>
  <c r="H637" i="17"/>
  <c r="N637" i="17"/>
  <c r="M637" i="17"/>
  <c r="O637" i="17"/>
  <c r="J637" i="17"/>
  <c r="I637" i="17"/>
  <c r="K637" i="17"/>
  <c r="F637" i="17"/>
  <c r="L637" i="17"/>
  <c r="G637" i="17"/>
  <c r="H646" i="17"/>
  <c r="N646" i="17"/>
  <c r="I646" i="17"/>
  <c r="O646" i="17"/>
  <c r="J646" i="17"/>
  <c r="K646" i="17"/>
  <c r="F646" i="17"/>
  <c r="L646" i="17"/>
  <c r="G646" i="17"/>
  <c r="M646" i="17"/>
  <c r="I633" i="17"/>
  <c r="K633" i="17"/>
  <c r="J633" i="17"/>
  <c r="L633" i="17"/>
  <c r="G633" i="17"/>
  <c r="H633" i="17"/>
  <c r="F633" i="17"/>
  <c r="M633" i="17"/>
  <c r="O633" i="17"/>
  <c r="N633" i="17"/>
  <c r="L606" i="17"/>
  <c r="G606" i="17"/>
  <c r="M606" i="17"/>
  <c r="H606" i="17"/>
  <c r="N606" i="17"/>
  <c r="I606" i="17"/>
  <c r="O606" i="17"/>
  <c r="J606" i="17"/>
  <c r="K606" i="17"/>
  <c r="F606" i="17"/>
  <c r="L605" i="17"/>
  <c r="G605" i="17"/>
  <c r="H605" i="17"/>
  <c r="N605" i="17"/>
  <c r="M605" i="17"/>
  <c r="O605" i="17"/>
  <c r="J605" i="17"/>
  <c r="I605" i="17"/>
  <c r="K605" i="17"/>
  <c r="F605" i="17"/>
  <c r="K589" i="17"/>
  <c r="F589" i="17"/>
  <c r="H589" i="17"/>
  <c r="G589" i="17"/>
  <c r="M589" i="17"/>
  <c r="E609" i="17"/>
  <c r="E610" i="17" s="1"/>
  <c r="N589" i="17"/>
  <c r="I589" i="17"/>
  <c r="O589" i="17"/>
  <c r="J589" i="17"/>
  <c r="L589" i="17"/>
  <c r="K603" i="17"/>
  <c r="F603" i="17"/>
  <c r="H603" i="17"/>
  <c r="G603" i="17"/>
  <c r="M603" i="17"/>
  <c r="N603" i="17"/>
  <c r="I603" i="17"/>
  <c r="O603" i="17"/>
  <c r="J603" i="17"/>
  <c r="L603" i="17"/>
  <c r="H593" i="17"/>
  <c r="N593" i="17"/>
  <c r="M593" i="17"/>
  <c r="O593" i="17"/>
  <c r="J593" i="17"/>
  <c r="I593" i="17"/>
  <c r="K593" i="17"/>
  <c r="F593" i="17"/>
  <c r="L593" i="17"/>
  <c r="G593" i="17"/>
  <c r="J592" i="17"/>
  <c r="L592" i="17"/>
  <c r="O592" i="17"/>
  <c r="F592" i="17"/>
  <c r="H592" i="17"/>
  <c r="M592" i="17"/>
  <c r="K592" i="17"/>
  <c r="N592" i="17"/>
  <c r="I592" i="17"/>
  <c r="G592" i="17"/>
  <c r="F562" i="17"/>
  <c r="H562" i="17"/>
  <c r="M562" i="17"/>
  <c r="K562" i="17"/>
  <c r="N562" i="17"/>
  <c r="I562" i="17"/>
  <c r="G562" i="17"/>
  <c r="J562" i="17"/>
  <c r="L562" i="17"/>
  <c r="O562" i="17"/>
  <c r="O561" i="17"/>
  <c r="J561" i="17"/>
  <c r="H561" i="17"/>
  <c r="K561" i="17"/>
  <c r="F561" i="17"/>
  <c r="L561" i="17"/>
  <c r="G561" i="17"/>
  <c r="M561" i="17"/>
  <c r="N561" i="17"/>
  <c r="I561" i="17"/>
  <c r="F558" i="17"/>
  <c r="H558" i="17"/>
  <c r="M558" i="17"/>
  <c r="O558" i="17"/>
  <c r="N558" i="17"/>
  <c r="I558" i="17"/>
  <c r="K558" i="17"/>
  <c r="J558" i="17"/>
  <c r="L558" i="17"/>
  <c r="G558" i="17"/>
  <c r="L567" i="17"/>
  <c r="G567" i="17"/>
  <c r="H567" i="17"/>
  <c r="J567" i="17"/>
  <c r="M567" i="17"/>
  <c r="O567" i="17"/>
  <c r="F567" i="17"/>
  <c r="N567" i="17"/>
  <c r="I567" i="17"/>
  <c r="K567" i="17"/>
  <c r="N557" i="17"/>
  <c r="I557" i="17"/>
  <c r="O557" i="17"/>
  <c r="J557" i="17"/>
  <c r="K557" i="17"/>
  <c r="F557" i="17"/>
  <c r="H557" i="17"/>
  <c r="G557" i="17"/>
  <c r="M557" i="17"/>
  <c r="L557" i="17"/>
  <c r="K508" i="17"/>
  <c r="F508" i="17"/>
  <c r="L508" i="17"/>
  <c r="G508" i="17"/>
  <c r="I508" i="17"/>
  <c r="H508" i="17"/>
  <c r="N508" i="17"/>
  <c r="M508" i="17"/>
  <c r="O508" i="17"/>
  <c r="J508" i="17"/>
  <c r="L516" i="17"/>
  <c r="G516" i="17"/>
  <c r="M516" i="17"/>
  <c r="H516" i="17"/>
  <c r="N516" i="17"/>
  <c r="I516" i="17"/>
  <c r="O516" i="17"/>
  <c r="J516" i="17"/>
  <c r="K516" i="17"/>
  <c r="F516" i="17"/>
  <c r="F514" i="17"/>
  <c r="H514" i="17"/>
  <c r="M514" i="17"/>
  <c r="K514" i="17"/>
  <c r="N514" i="17"/>
  <c r="I514" i="17"/>
  <c r="G514" i="17"/>
  <c r="J514" i="17"/>
  <c r="L514" i="17"/>
  <c r="O514" i="17"/>
  <c r="I523" i="17"/>
  <c r="K523" i="17"/>
  <c r="N523" i="17"/>
  <c r="L523" i="17"/>
  <c r="G523" i="17"/>
  <c r="H523" i="17"/>
  <c r="F523" i="17"/>
  <c r="M523" i="17"/>
  <c r="O523" i="17"/>
  <c r="J523" i="17"/>
  <c r="K524" i="17"/>
  <c r="F524" i="17"/>
  <c r="L524" i="17"/>
  <c r="G524" i="17"/>
  <c r="I524" i="17"/>
  <c r="H524" i="17"/>
  <c r="N524" i="17"/>
  <c r="M524" i="17"/>
  <c r="O524" i="17"/>
  <c r="J524" i="17"/>
  <c r="K517" i="17"/>
  <c r="F517" i="17"/>
  <c r="L517" i="17"/>
  <c r="G517" i="17"/>
  <c r="M517" i="17"/>
  <c r="N517" i="17"/>
  <c r="I517" i="17"/>
  <c r="O517" i="17"/>
  <c r="J517" i="17"/>
  <c r="H517" i="17"/>
  <c r="J526" i="17"/>
  <c r="L526" i="17"/>
  <c r="G526" i="17"/>
  <c r="F526" i="17"/>
  <c r="H526" i="17"/>
  <c r="M526" i="17"/>
  <c r="O526" i="17"/>
  <c r="N526" i="17"/>
  <c r="I526" i="17"/>
  <c r="K526" i="17"/>
  <c r="H480" i="17"/>
  <c r="N480" i="17"/>
  <c r="I480" i="17"/>
  <c r="O480" i="17"/>
  <c r="J480" i="17"/>
  <c r="K480" i="17"/>
  <c r="F480" i="17"/>
  <c r="L480" i="17"/>
  <c r="G480" i="17"/>
  <c r="M480" i="17"/>
  <c r="H475" i="17"/>
  <c r="F475" i="17"/>
  <c r="M475" i="17"/>
  <c r="O475" i="17"/>
  <c r="N475" i="17"/>
  <c r="I475" i="17"/>
  <c r="K475" i="17"/>
  <c r="J475" i="17"/>
  <c r="L475" i="17"/>
  <c r="G475" i="17"/>
  <c r="O473" i="17"/>
  <c r="J473" i="17"/>
  <c r="L473" i="17"/>
  <c r="K473" i="17"/>
  <c r="F473" i="17"/>
  <c r="H473" i="17"/>
  <c r="G473" i="17"/>
  <c r="M473" i="17"/>
  <c r="N473" i="17"/>
  <c r="I473" i="17"/>
  <c r="M482" i="17"/>
  <c r="K482" i="17"/>
  <c r="N482" i="17"/>
  <c r="I482" i="17"/>
  <c r="G482" i="17"/>
  <c r="J482" i="17"/>
  <c r="L482" i="17"/>
  <c r="O482" i="17"/>
  <c r="F482" i="17"/>
  <c r="H482" i="17"/>
  <c r="O476" i="17"/>
  <c r="J476" i="17"/>
  <c r="K476" i="17"/>
  <c r="F476" i="17"/>
  <c r="L476" i="17"/>
  <c r="G476" i="17"/>
  <c r="I476" i="17"/>
  <c r="H476" i="17"/>
  <c r="N476" i="17"/>
  <c r="M476" i="17"/>
  <c r="K485" i="17"/>
  <c r="H485" i="17"/>
  <c r="G485" i="17"/>
  <c r="M485" i="17"/>
  <c r="N485" i="17"/>
  <c r="I485" i="17"/>
  <c r="O485" i="17"/>
  <c r="J485" i="17"/>
  <c r="L485" i="17"/>
  <c r="F485" i="17"/>
  <c r="M443" i="17"/>
  <c r="O443" i="17"/>
  <c r="J443" i="17"/>
  <c r="I443" i="17"/>
  <c r="K443" i="17"/>
  <c r="F443" i="17"/>
  <c r="L443" i="17"/>
  <c r="G443" i="17"/>
  <c r="H443" i="17"/>
  <c r="N443" i="17"/>
  <c r="F442" i="17"/>
  <c r="H442" i="17"/>
  <c r="M442" i="17"/>
  <c r="O442" i="17"/>
  <c r="N442" i="17"/>
  <c r="I442" i="17"/>
  <c r="K442" i="17"/>
  <c r="J442" i="17"/>
  <c r="L442" i="17"/>
  <c r="G442" i="17"/>
  <c r="F430" i="17"/>
  <c r="G430" i="17"/>
  <c r="L430" i="17"/>
  <c r="M430" i="17"/>
  <c r="N430" i="17"/>
  <c r="H430" i="17"/>
  <c r="K430" i="17"/>
  <c r="J430" i="17"/>
  <c r="O430" i="17"/>
  <c r="I430" i="17"/>
  <c r="O431" i="17"/>
  <c r="H431" i="17"/>
  <c r="K431" i="17"/>
  <c r="F431" i="17"/>
  <c r="M431" i="17"/>
  <c r="G431" i="17"/>
  <c r="N431" i="17"/>
  <c r="I431" i="17"/>
  <c r="J431" i="17"/>
  <c r="L431" i="17"/>
  <c r="N432" i="17"/>
  <c r="K432" i="17"/>
  <c r="J432" i="17"/>
  <c r="I432" i="17"/>
  <c r="L432" i="17"/>
  <c r="F432" i="17"/>
  <c r="G432" i="17"/>
  <c r="H432" i="17"/>
  <c r="M432" i="17"/>
  <c r="O432" i="17"/>
  <c r="K433" i="17"/>
  <c r="I433" i="17"/>
  <c r="J433" i="17"/>
  <c r="G433" i="17"/>
  <c r="H433" i="17"/>
  <c r="N433" i="17"/>
  <c r="F433" i="17"/>
  <c r="O433" i="17"/>
  <c r="M433" i="17"/>
  <c r="L433" i="17"/>
  <c r="N388" i="17"/>
  <c r="I388" i="17"/>
  <c r="J388" i="17"/>
  <c r="O388" i="17"/>
  <c r="L388" i="17"/>
  <c r="F388" i="17"/>
  <c r="M388" i="17"/>
  <c r="H388" i="17"/>
  <c r="K388" i="17"/>
  <c r="G388" i="17"/>
  <c r="K397" i="17"/>
  <c r="N397" i="17"/>
  <c r="H397" i="17"/>
  <c r="G397" i="17"/>
  <c r="F397" i="17"/>
  <c r="M397" i="17"/>
  <c r="L397" i="17"/>
  <c r="O397" i="17"/>
  <c r="I397" i="17"/>
  <c r="J397" i="17"/>
  <c r="F402" i="17"/>
  <c r="K402" i="17"/>
  <c r="L402" i="17"/>
  <c r="I402" i="17"/>
  <c r="N402" i="17"/>
  <c r="H402" i="17"/>
  <c r="G402" i="17"/>
  <c r="J402" i="17"/>
  <c r="M402" i="17"/>
  <c r="O402" i="17"/>
  <c r="K393" i="17"/>
  <c r="J393" i="17"/>
  <c r="F393" i="17"/>
  <c r="G393" i="17"/>
  <c r="H393" i="17"/>
  <c r="M393" i="17"/>
  <c r="N393" i="17"/>
  <c r="O393" i="17"/>
  <c r="I393" i="17"/>
  <c r="L393" i="17"/>
  <c r="I403" i="17"/>
  <c r="H403" i="17"/>
  <c r="J403" i="17"/>
  <c r="O403" i="17"/>
  <c r="N403" i="17"/>
  <c r="K403" i="17"/>
  <c r="F403" i="17"/>
  <c r="M403" i="17"/>
  <c r="G403" i="17"/>
  <c r="L403" i="17"/>
  <c r="J346" i="17"/>
  <c r="O346" i="17"/>
  <c r="I346" i="17"/>
  <c r="F346" i="17"/>
  <c r="G346" i="17"/>
  <c r="L346" i="17"/>
  <c r="M346" i="17"/>
  <c r="N346" i="17"/>
  <c r="H346" i="17"/>
  <c r="K346" i="17"/>
  <c r="N356" i="17"/>
  <c r="K356" i="17"/>
  <c r="J356" i="17"/>
  <c r="I356" i="17"/>
  <c r="L356" i="17"/>
  <c r="F356" i="17"/>
  <c r="G356" i="17"/>
  <c r="H356" i="17"/>
  <c r="M356" i="17"/>
  <c r="O356" i="17"/>
  <c r="L360" i="17"/>
  <c r="F360" i="17"/>
  <c r="M360" i="17"/>
  <c r="H360" i="17"/>
  <c r="I360" i="17"/>
  <c r="K360" i="17"/>
  <c r="N360" i="17"/>
  <c r="O360" i="17"/>
  <c r="J360" i="17"/>
  <c r="G360" i="17"/>
  <c r="N348" i="17"/>
  <c r="K348" i="17"/>
  <c r="J348" i="17"/>
  <c r="O348" i="17"/>
  <c r="L348" i="17"/>
  <c r="F348" i="17"/>
  <c r="I348" i="17"/>
  <c r="H348" i="17"/>
  <c r="M348" i="17"/>
  <c r="G348" i="17"/>
  <c r="J352" i="17"/>
  <c r="G352" i="17"/>
  <c r="M352" i="17"/>
  <c r="L352" i="17"/>
  <c r="F352" i="17"/>
  <c r="H352" i="17"/>
  <c r="I352" i="17"/>
  <c r="K352" i="17"/>
  <c r="N352" i="17"/>
  <c r="O352" i="17"/>
  <c r="N306" i="17"/>
  <c r="H306" i="17"/>
  <c r="M306" i="17"/>
  <c r="J306" i="17"/>
  <c r="I306" i="17"/>
  <c r="K306" i="17"/>
  <c r="F306" i="17"/>
  <c r="O306" i="17"/>
  <c r="L306" i="17"/>
  <c r="G306" i="17"/>
  <c r="M303" i="17"/>
  <c r="G303" i="17"/>
  <c r="J303" i="17"/>
  <c r="I303" i="17"/>
  <c r="H303" i="17"/>
  <c r="L303" i="17"/>
  <c r="O303" i="17"/>
  <c r="N303" i="17"/>
  <c r="K303" i="17"/>
  <c r="F303" i="17"/>
  <c r="N304" i="17"/>
  <c r="I304" i="17"/>
  <c r="J304" i="17"/>
  <c r="M304" i="17"/>
  <c r="L304" i="17"/>
  <c r="F304" i="17"/>
  <c r="G304" i="17"/>
  <c r="H304" i="17"/>
  <c r="K304" i="17"/>
  <c r="O304" i="17"/>
  <c r="O313" i="17"/>
  <c r="I313" i="17"/>
  <c r="H313" i="17"/>
  <c r="K313" i="17"/>
  <c r="N313" i="17"/>
  <c r="J313" i="17"/>
  <c r="G313" i="17"/>
  <c r="F313" i="17"/>
  <c r="M313" i="17"/>
  <c r="L313" i="17"/>
  <c r="F302" i="17"/>
  <c r="K302" i="17"/>
  <c r="I302" i="17"/>
  <c r="L302" i="17"/>
  <c r="G302" i="17"/>
  <c r="O302" i="17"/>
  <c r="N302" i="17"/>
  <c r="H302" i="17"/>
  <c r="J302" i="17"/>
  <c r="M302" i="17"/>
  <c r="E322" i="17"/>
  <c r="E323" i="17" s="1"/>
  <c r="J276" i="17"/>
  <c r="G276" i="17"/>
  <c r="L276" i="17"/>
  <c r="F276" i="17"/>
  <c r="M276" i="17"/>
  <c r="H276" i="17"/>
  <c r="I276" i="17"/>
  <c r="K276" i="17"/>
  <c r="N276" i="17"/>
  <c r="O276" i="17"/>
  <c r="O271" i="17"/>
  <c r="H271" i="17"/>
  <c r="K271" i="17"/>
  <c r="F271" i="17"/>
  <c r="M271" i="17"/>
  <c r="G271" i="17"/>
  <c r="N271" i="17"/>
  <c r="I271" i="17"/>
  <c r="J271" i="17"/>
  <c r="L271" i="17"/>
  <c r="N278" i="17"/>
  <c r="H278" i="17"/>
  <c r="K278" i="17"/>
  <c r="J278" i="17"/>
  <c r="O278" i="17"/>
  <c r="I278" i="17"/>
  <c r="F278" i="17"/>
  <c r="G278" i="17"/>
  <c r="L278" i="17"/>
  <c r="M278" i="17"/>
  <c r="M269" i="17"/>
  <c r="N269" i="17"/>
  <c r="O269" i="17"/>
  <c r="I269" i="17"/>
  <c r="H269" i="17"/>
  <c r="K269" i="17"/>
  <c r="L269" i="17"/>
  <c r="F269" i="17"/>
  <c r="G269" i="17"/>
  <c r="J269" i="17"/>
  <c r="L238" i="17"/>
  <c r="N238" i="17"/>
  <c r="G238" i="17"/>
  <c r="H238" i="17"/>
  <c r="I238" i="17"/>
  <c r="F238" i="17"/>
  <c r="O238" i="17"/>
  <c r="M238" i="17"/>
  <c r="J238" i="17"/>
  <c r="K238" i="17"/>
  <c r="G230" i="17"/>
  <c r="I230" i="17"/>
  <c r="L230" i="17"/>
  <c r="K230" i="17"/>
  <c r="O230" i="17"/>
  <c r="H230" i="17"/>
  <c r="F230" i="17"/>
  <c r="N230" i="17"/>
  <c r="M230" i="17"/>
  <c r="J230" i="17"/>
  <c r="O221" i="17"/>
  <c r="F221" i="17"/>
  <c r="M221" i="17"/>
  <c r="I221" i="17"/>
  <c r="K221" i="17"/>
  <c r="L221" i="17"/>
  <c r="N221" i="17"/>
  <c r="J221" i="17"/>
  <c r="H221" i="17"/>
  <c r="G221" i="17"/>
  <c r="L185" i="17"/>
  <c r="N185" i="17"/>
  <c r="G185" i="17"/>
  <c r="H185" i="17"/>
  <c r="I185" i="17"/>
  <c r="F185" i="17"/>
  <c r="O185" i="17"/>
  <c r="K185" i="17"/>
  <c r="J185" i="17"/>
  <c r="M185" i="17"/>
  <c r="F183" i="17"/>
  <c r="H183" i="17"/>
  <c r="O183" i="17"/>
  <c r="L183" i="17"/>
  <c r="N183" i="17"/>
  <c r="I183" i="17"/>
  <c r="G183" i="17"/>
  <c r="J183" i="17"/>
  <c r="M183" i="17"/>
  <c r="K183" i="17"/>
  <c r="N195" i="17"/>
  <c r="H195" i="17"/>
  <c r="O195" i="17"/>
  <c r="J195" i="17"/>
  <c r="L195" i="17"/>
  <c r="K195" i="17"/>
  <c r="F195" i="17"/>
  <c r="G195" i="17"/>
  <c r="M195" i="17"/>
  <c r="I195" i="17"/>
  <c r="O192" i="17"/>
  <c r="F192" i="17"/>
  <c r="J192" i="17"/>
  <c r="L192" i="17"/>
  <c r="M192" i="17"/>
  <c r="N192" i="17"/>
  <c r="G192" i="17"/>
  <c r="I192" i="17"/>
  <c r="H192" i="17"/>
  <c r="K192" i="17"/>
  <c r="K179" i="17"/>
  <c r="N179" i="17"/>
  <c r="I179" i="17"/>
  <c r="O179" i="17"/>
  <c r="J179" i="17"/>
  <c r="L179" i="17"/>
  <c r="G179" i="17"/>
  <c r="F179" i="17"/>
  <c r="H179" i="17"/>
  <c r="M179" i="17"/>
  <c r="E199" i="17"/>
  <c r="E200" i="17" s="1"/>
  <c r="K198" i="17"/>
  <c r="J198" i="17"/>
  <c r="H198" i="17"/>
  <c r="G198" i="17"/>
  <c r="M198" i="17"/>
  <c r="L198" i="17"/>
  <c r="I198" i="17"/>
  <c r="O198" i="17"/>
  <c r="F198" i="17"/>
  <c r="N198" i="17"/>
  <c r="O155" i="17"/>
  <c r="N155" i="17"/>
  <c r="G155" i="17"/>
  <c r="F155" i="17"/>
  <c r="L155" i="17"/>
  <c r="K155" i="17"/>
  <c r="M155" i="17"/>
  <c r="H155" i="17"/>
  <c r="I155" i="17"/>
  <c r="J155" i="17"/>
  <c r="G147" i="17"/>
  <c r="F147" i="17"/>
  <c r="L147" i="17"/>
  <c r="K147" i="17"/>
  <c r="M147" i="17"/>
  <c r="H147" i="17"/>
  <c r="I147" i="17"/>
  <c r="J147" i="17"/>
  <c r="O147" i="17"/>
  <c r="N147" i="17"/>
  <c r="F143" i="17"/>
  <c r="L143" i="17"/>
  <c r="G143" i="17"/>
  <c r="I143" i="17"/>
  <c r="H143" i="17"/>
  <c r="N143" i="17"/>
  <c r="M143" i="17"/>
  <c r="K143" i="17"/>
  <c r="J143" i="17"/>
  <c r="O143" i="17"/>
  <c r="L142" i="17"/>
  <c r="M142" i="17"/>
  <c r="J142" i="17"/>
  <c r="N142" i="17"/>
  <c r="K142" i="17"/>
  <c r="I142" i="17"/>
  <c r="F142" i="17"/>
  <c r="H142" i="17"/>
  <c r="O142" i="17"/>
  <c r="G142" i="17"/>
  <c r="J101" i="17"/>
  <c r="H101" i="17"/>
  <c r="L101" i="17"/>
  <c r="F101" i="17"/>
  <c r="O101" i="17"/>
  <c r="I101" i="17"/>
  <c r="G101" i="17"/>
  <c r="N101" i="17"/>
  <c r="M101" i="17"/>
  <c r="K101" i="17"/>
  <c r="L114" i="17"/>
  <c r="N114" i="17"/>
  <c r="H114" i="17"/>
  <c r="F114" i="17"/>
  <c r="M114" i="17"/>
  <c r="O114" i="17"/>
  <c r="J114" i="17"/>
  <c r="I114" i="17"/>
  <c r="G114" i="17"/>
  <c r="K114" i="17"/>
  <c r="F113" i="17"/>
  <c r="O113" i="17"/>
  <c r="I113" i="17"/>
  <c r="K113" i="17"/>
  <c r="N113" i="17"/>
  <c r="M113" i="17"/>
  <c r="H113" i="17"/>
  <c r="J113" i="17"/>
  <c r="L113" i="17"/>
  <c r="G113" i="17"/>
  <c r="O100" i="17"/>
  <c r="F100" i="17"/>
  <c r="L100" i="17"/>
  <c r="K100" i="17"/>
  <c r="J100" i="17"/>
  <c r="I100" i="17"/>
  <c r="G100" i="17"/>
  <c r="M100" i="17"/>
  <c r="N100" i="17"/>
  <c r="H100" i="17"/>
  <c r="H102" i="17"/>
  <c r="O102" i="17"/>
  <c r="M102" i="17"/>
  <c r="K102" i="17"/>
  <c r="G102" i="17"/>
  <c r="I102" i="17"/>
  <c r="F102" i="17"/>
  <c r="N102" i="17"/>
  <c r="L102" i="17"/>
  <c r="J102" i="17"/>
  <c r="O99" i="17"/>
  <c r="N99" i="17"/>
  <c r="L99" i="17"/>
  <c r="G99" i="17"/>
  <c r="F99" i="17"/>
  <c r="H99" i="17"/>
  <c r="J99" i="17"/>
  <c r="M99" i="17"/>
  <c r="K99" i="17"/>
  <c r="I99" i="17"/>
  <c r="L66" i="17"/>
  <c r="F66" i="17"/>
  <c r="M66" i="17"/>
  <c r="O66" i="17"/>
  <c r="K66" i="17"/>
  <c r="I66" i="17"/>
  <c r="G66" i="17"/>
  <c r="J66" i="17"/>
  <c r="H66" i="17"/>
  <c r="N66" i="17"/>
  <c r="N64" i="17"/>
  <c r="L64" i="17"/>
  <c r="O64" i="17"/>
  <c r="J64" i="17"/>
  <c r="H64" i="17"/>
  <c r="K64" i="17"/>
  <c r="F64" i="17"/>
  <c r="I64" i="17"/>
  <c r="G64" i="17"/>
  <c r="M64" i="17"/>
  <c r="H59" i="17"/>
  <c r="J59" i="17"/>
  <c r="N59" i="17"/>
  <c r="K59" i="17"/>
  <c r="M59" i="17"/>
  <c r="O59" i="17"/>
  <c r="I59" i="17"/>
  <c r="L59" i="17"/>
  <c r="G59" i="17"/>
  <c r="F59" i="17"/>
  <c r="F1259" i="17"/>
  <c r="K1259" i="17"/>
  <c r="L1259" i="17"/>
  <c r="I1259" i="17"/>
  <c r="N1259" i="17"/>
  <c r="H1259" i="17"/>
  <c r="O1259" i="17"/>
  <c r="J1259" i="17"/>
  <c r="M1259" i="17"/>
  <c r="G1259" i="17"/>
  <c r="G1250" i="17"/>
  <c r="H1250" i="17"/>
  <c r="M1250" i="17"/>
  <c r="N1250" i="17"/>
  <c r="O1250" i="17"/>
  <c r="I1250" i="17"/>
  <c r="F1250" i="17"/>
  <c r="K1250" i="17"/>
  <c r="J1250" i="17"/>
  <c r="L1250" i="17"/>
  <c r="F1255" i="17"/>
  <c r="O1255" i="17"/>
  <c r="L1255" i="17"/>
  <c r="G1255" i="17"/>
  <c r="N1255" i="17"/>
  <c r="H1255" i="17"/>
  <c r="M1255" i="17"/>
  <c r="J1255" i="17"/>
  <c r="I1255" i="17"/>
  <c r="K1255" i="17"/>
  <c r="M1248" i="17"/>
  <c r="G1248" i="17"/>
  <c r="N1248" i="17"/>
  <c r="I1248" i="17"/>
  <c r="L1248" i="17"/>
  <c r="F1248" i="17"/>
  <c r="O1248" i="17"/>
  <c r="J1248" i="17"/>
  <c r="K1248" i="17"/>
  <c r="H1248" i="17"/>
  <c r="L1245" i="17"/>
  <c r="F1245" i="17"/>
  <c r="O1245" i="17"/>
  <c r="H1245" i="17"/>
  <c r="K1245" i="17"/>
  <c r="G1245" i="17"/>
  <c r="N1245" i="17"/>
  <c r="E1265" i="17"/>
  <c r="E1266" i="17" s="1"/>
  <c r="M1245" i="17"/>
  <c r="J1245" i="17"/>
  <c r="I1245" i="17"/>
  <c r="K1254" i="17"/>
  <c r="N1254" i="17"/>
  <c r="H1254" i="17"/>
  <c r="G1254" i="17"/>
  <c r="F1254" i="17"/>
  <c r="M1254" i="17"/>
  <c r="L1254" i="17"/>
  <c r="O1254" i="17"/>
  <c r="I1254" i="17"/>
  <c r="J1254" i="17"/>
  <c r="O1216" i="17"/>
  <c r="J1216" i="17"/>
  <c r="K1216" i="17"/>
  <c r="F1216" i="17"/>
  <c r="L1216" i="17"/>
  <c r="G1216" i="17"/>
  <c r="I1216" i="17"/>
  <c r="H1216" i="17"/>
  <c r="N1216" i="17"/>
  <c r="M1216" i="17"/>
  <c r="L1208" i="17"/>
  <c r="F1208" i="17"/>
  <c r="K1208" i="17"/>
  <c r="H1208" i="17"/>
  <c r="O1208" i="17"/>
  <c r="I1208" i="17"/>
  <c r="N1208" i="17"/>
  <c r="G1208" i="17"/>
  <c r="J1208" i="17"/>
  <c r="M1208" i="17"/>
  <c r="K1207" i="17"/>
  <c r="H1207" i="17"/>
  <c r="M1207" i="17"/>
  <c r="G1207" i="17"/>
  <c r="N1207" i="17"/>
  <c r="I1207" i="17"/>
  <c r="L1207" i="17"/>
  <c r="F1207" i="17"/>
  <c r="O1207" i="17"/>
  <c r="J1207" i="17"/>
  <c r="N1221" i="17"/>
  <c r="G1221" i="17"/>
  <c r="M1221" i="17"/>
  <c r="J1221" i="17"/>
  <c r="K1221" i="17"/>
  <c r="H1221" i="17"/>
  <c r="F1221" i="17"/>
  <c r="O1221" i="17"/>
  <c r="L1221" i="17"/>
  <c r="I1221" i="17"/>
  <c r="G1164" i="17"/>
  <c r="M1164" i="17"/>
  <c r="J1164" i="17"/>
  <c r="F1164" i="17"/>
  <c r="N1164" i="17"/>
  <c r="I1164" i="17"/>
  <c r="O1164" i="17"/>
  <c r="L1164" i="17"/>
  <c r="H1164" i="17"/>
  <c r="K1164" i="17"/>
  <c r="J1176" i="17"/>
  <c r="L1176" i="17"/>
  <c r="O1176" i="17"/>
  <c r="K1176" i="17"/>
  <c r="I1176" i="17"/>
  <c r="F1176" i="17"/>
  <c r="H1176" i="17"/>
  <c r="M1176" i="17"/>
  <c r="N1176" i="17"/>
  <c r="G1176" i="17"/>
  <c r="O1171" i="17"/>
  <c r="J1171" i="17"/>
  <c r="L1171" i="17"/>
  <c r="G1171" i="17"/>
  <c r="K1171" i="17"/>
  <c r="F1171" i="17"/>
  <c r="H1171" i="17"/>
  <c r="M1171" i="17"/>
  <c r="N1171" i="17"/>
  <c r="I1171" i="17"/>
  <c r="J1166" i="17"/>
  <c r="I1166" i="17"/>
  <c r="N1166" i="17"/>
  <c r="L1166" i="17"/>
  <c r="F1166" i="17"/>
  <c r="O1166" i="17"/>
  <c r="H1166" i="17"/>
  <c r="G1166" i="17"/>
  <c r="K1166" i="17"/>
  <c r="M1166" i="17"/>
  <c r="N1175" i="17"/>
  <c r="I1175" i="17"/>
  <c r="K1175" i="17"/>
  <c r="O1175" i="17"/>
  <c r="J1175" i="17"/>
  <c r="H1175" i="17"/>
  <c r="F1175" i="17"/>
  <c r="M1175" i="17"/>
  <c r="L1175" i="17"/>
  <c r="G1175" i="17"/>
  <c r="H1173" i="17"/>
  <c r="N1173" i="17"/>
  <c r="K1173" i="17"/>
  <c r="L1173" i="17"/>
  <c r="M1173" i="17"/>
  <c r="O1173" i="17"/>
  <c r="J1173" i="17"/>
  <c r="F1173" i="17"/>
  <c r="G1173" i="17"/>
  <c r="I1173" i="17"/>
  <c r="G1124" i="17"/>
  <c r="M1124" i="17"/>
  <c r="O1124" i="17"/>
  <c r="H1124" i="17"/>
  <c r="L1124" i="17"/>
  <c r="N1124" i="17"/>
  <c r="I1124" i="17"/>
  <c r="J1124" i="17"/>
  <c r="K1124" i="17"/>
  <c r="F1124" i="17"/>
  <c r="M1134" i="17"/>
  <c r="O1134" i="17"/>
  <c r="N1134" i="17"/>
  <c r="L1134" i="17"/>
  <c r="I1134" i="17"/>
  <c r="K1134" i="17"/>
  <c r="J1134" i="17"/>
  <c r="G1134" i="17"/>
  <c r="H1134" i="17"/>
  <c r="F1134" i="17"/>
  <c r="G1128" i="17"/>
  <c r="M1128" i="17"/>
  <c r="J1128" i="17"/>
  <c r="H1128" i="17"/>
  <c r="N1128" i="17"/>
  <c r="I1128" i="17"/>
  <c r="O1128" i="17"/>
  <c r="L1128" i="17"/>
  <c r="K1128" i="17"/>
  <c r="F1128" i="17"/>
  <c r="N1137" i="17"/>
  <c r="I1137" i="17"/>
  <c r="K1137" i="17"/>
  <c r="H1137" i="17"/>
  <c r="O1137" i="17"/>
  <c r="J1137" i="17"/>
  <c r="L1137" i="17"/>
  <c r="G1137" i="17"/>
  <c r="F1137" i="17"/>
  <c r="M1137" i="17"/>
  <c r="L1131" i="17"/>
  <c r="G1131" i="17"/>
  <c r="M1131" i="17"/>
  <c r="J1131" i="17"/>
  <c r="K1131" i="17"/>
  <c r="H1131" i="17"/>
  <c r="N1131" i="17"/>
  <c r="I1131" i="17"/>
  <c r="O1131" i="17"/>
  <c r="F1131" i="17"/>
  <c r="L1126" i="17"/>
  <c r="G1126" i="17"/>
  <c r="O1126" i="17"/>
  <c r="F1126" i="17"/>
  <c r="H1126" i="17"/>
  <c r="N1126" i="17"/>
  <c r="M1126" i="17"/>
  <c r="J1126" i="17"/>
  <c r="I1126" i="17"/>
  <c r="K1126" i="17"/>
  <c r="F1085" i="17"/>
  <c r="O1085" i="17"/>
  <c r="I1085" i="17"/>
  <c r="L1085" i="17"/>
  <c r="G1085" i="17"/>
  <c r="J1085" i="17"/>
  <c r="K1085" i="17"/>
  <c r="N1085" i="17"/>
  <c r="H1085" i="17"/>
  <c r="M1085" i="17"/>
  <c r="G1084" i="17"/>
  <c r="F1084" i="17"/>
  <c r="I1084" i="17"/>
  <c r="K1084" i="17"/>
  <c r="H1084" i="17"/>
  <c r="M1084" i="17"/>
  <c r="L1084" i="17"/>
  <c r="O1084" i="17"/>
  <c r="J1084" i="17"/>
  <c r="N1084" i="17"/>
  <c r="L1098" i="17"/>
  <c r="G1098" i="17"/>
  <c r="M1098" i="17"/>
  <c r="F1098" i="17"/>
  <c r="K1098" i="17"/>
  <c r="H1098" i="17"/>
  <c r="J1098" i="17"/>
  <c r="O1098" i="17"/>
  <c r="I1098" i="17"/>
  <c r="N1098" i="17"/>
  <c r="J1097" i="17"/>
  <c r="L1097" i="17"/>
  <c r="K1097" i="17"/>
  <c r="G1097" i="17"/>
  <c r="I1097" i="17"/>
  <c r="F1097" i="17"/>
  <c r="H1097" i="17"/>
  <c r="M1097" i="17"/>
  <c r="N1097" i="17"/>
  <c r="O1097" i="17"/>
  <c r="J1055" i="17"/>
  <c r="L1055" i="17"/>
  <c r="O1055" i="17"/>
  <c r="F1055" i="17"/>
  <c r="H1055" i="17"/>
  <c r="M1055" i="17"/>
  <c r="K1055" i="17"/>
  <c r="N1055" i="17"/>
  <c r="I1055" i="17"/>
  <c r="G1055" i="17"/>
  <c r="K1049" i="17"/>
  <c r="F1049" i="17"/>
  <c r="L1049" i="17"/>
  <c r="G1049" i="17"/>
  <c r="I1049" i="17"/>
  <c r="H1049" i="17"/>
  <c r="N1049" i="17"/>
  <c r="M1049" i="17"/>
  <c r="O1049" i="17"/>
  <c r="J1049" i="17"/>
  <c r="K1054" i="17"/>
  <c r="F1054" i="17"/>
  <c r="L1054" i="17"/>
  <c r="G1054" i="17"/>
  <c r="M1054" i="17"/>
  <c r="N1054" i="17"/>
  <c r="I1054" i="17"/>
  <c r="O1054" i="17"/>
  <c r="J1054" i="17"/>
  <c r="H1054" i="17"/>
  <c r="L1013" i="17"/>
  <c r="G1013" i="17"/>
  <c r="M1013" i="17"/>
  <c r="H1013" i="17"/>
  <c r="N1013" i="17"/>
  <c r="I1013" i="17"/>
  <c r="F1013" i="17"/>
  <c r="O1013" i="17"/>
  <c r="J1013" i="17"/>
  <c r="K1013" i="17"/>
  <c r="H1012" i="17"/>
  <c r="J1012" i="17"/>
  <c r="M1012" i="17"/>
  <c r="O1012" i="17"/>
  <c r="F1012" i="17"/>
  <c r="L1012" i="17"/>
  <c r="I1012" i="17"/>
  <c r="K1012" i="17"/>
  <c r="N1012" i="17"/>
  <c r="G1012" i="17"/>
  <c r="H1009" i="17"/>
  <c r="N1009" i="17"/>
  <c r="I1009" i="17"/>
  <c r="O1009" i="17"/>
  <c r="J1009" i="17"/>
  <c r="G1009" i="17"/>
  <c r="M1009" i="17"/>
  <c r="K1009" i="17"/>
  <c r="F1009" i="17"/>
  <c r="L1009" i="17"/>
  <c r="M1003" i="17"/>
  <c r="O1003" i="17"/>
  <c r="J1003" i="17"/>
  <c r="I1003" i="17"/>
  <c r="K1003" i="17"/>
  <c r="L1003" i="17"/>
  <c r="G1003" i="17"/>
  <c r="H1003" i="17"/>
  <c r="N1003" i="17"/>
  <c r="F1003" i="17"/>
  <c r="N1015" i="17"/>
  <c r="I1015" i="17"/>
  <c r="K1015" i="17"/>
  <c r="L1015" i="17"/>
  <c r="F1015" i="17"/>
  <c r="H1015" i="17"/>
  <c r="M1015" i="17"/>
  <c r="O1015" i="17"/>
  <c r="J1015" i="17"/>
  <c r="G1015" i="17"/>
  <c r="N977" i="17"/>
  <c r="I977" i="17"/>
  <c r="J977" i="17"/>
  <c r="O977" i="17"/>
  <c r="L977" i="17"/>
  <c r="K977" i="17"/>
  <c r="F977" i="17"/>
  <c r="H977" i="17"/>
  <c r="G977" i="17"/>
  <c r="M977" i="17"/>
  <c r="J974" i="17"/>
  <c r="L974" i="17"/>
  <c r="O974" i="17"/>
  <c r="F974" i="17"/>
  <c r="H974" i="17"/>
  <c r="M974" i="17"/>
  <c r="K974" i="17"/>
  <c r="N974" i="17"/>
  <c r="I974" i="17"/>
  <c r="G974" i="17"/>
  <c r="K976" i="17"/>
  <c r="F976" i="17"/>
  <c r="L976" i="17"/>
  <c r="G976" i="17"/>
  <c r="M976" i="17"/>
  <c r="H976" i="17"/>
  <c r="N976" i="17"/>
  <c r="I976" i="17"/>
  <c r="J976" i="17"/>
  <c r="O976" i="17"/>
  <c r="I975" i="17"/>
  <c r="K975" i="17"/>
  <c r="F975" i="17"/>
  <c r="L975" i="17"/>
  <c r="G975" i="17"/>
  <c r="H975" i="17"/>
  <c r="N975" i="17"/>
  <c r="M975" i="17"/>
  <c r="O975" i="17"/>
  <c r="J975" i="17"/>
  <c r="G920" i="17"/>
  <c r="M920" i="17"/>
  <c r="K920" i="17"/>
  <c r="H920" i="17"/>
  <c r="N920" i="17"/>
  <c r="I920" i="17"/>
  <c r="O920" i="17"/>
  <c r="J920" i="17"/>
  <c r="L920" i="17"/>
  <c r="F920" i="17"/>
  <c r="O887" i="17"/>
  <c r="J887" i="17"/>
  <c r="H887" i="17"/>
  <c r="K887" i="17"/>
  <c r="F887" i="17"/>
  <c r="L887" i="17"/>
  <c r="G887" i="17"/>
  <c r="I887" i="17"/>
  <c r="N887" i="17"/>
  <c r="M887" i="17"/>
  <c r="N889" i="17"/>
  <c r="I889" i="17"/>
  <c r="K889" i="17"/>
  <c r="J889" i="17"/>
  <c r="L889" i="17"/>
  <c r="G889" i="17"/>
  <c r="M889" i="17"/>
  <c r="F889" i="17"/>
  <c r="H889" i="17"/>
  <c r="O889" i="17"/>
  <c r="L883" i="17"/>
  <c r="G883" i="17"/>
  <c r="M883" i="17"/>
  <c r="H883" i="17"/>
  <c r="N883" i="17"/>
  <c r="I883" i="17"/>
  <c r="F883" i="17"/>
  <c r="O883" i="17"/>
  <c r="J883" i="17"/>
  <c r="K883" i="17"/>
  <c r="L878" i="17"/>
  <c r="G878" i="17"/>
  <c r="K878" i="17"/>
  <c r="H878" i="17"/>
  <c r="N878" i="17"/>
  <c r="I878" i="17"/>
  <c r="M878" i="17"/>
  <c r="O878" i="17"/>
  <c r="J878" i="17"/>
  <c r="F878" i="17"/>
  <c r="F893" i="17"/>
  <c r="H893" i="17"/>
  <c r="J893" i="17"/>
  <c r="O893" i="17"/>
  <c r="M893" i="17"/>
  <c r="K893" i="17"/>
  <c r="N893" i="17"/>
  <c r="I893" i="17"/>
  <c r="G893" i="17"/>
  <c r="L893" i="17"/>
  <c r="K892" i="17"/>
  <c r="F892" i="17"/>
  <c r="L892" i="17"/>
  <c r="O892" i="17"/>
  <c r="G892" i="17"/>
  <c r="M892" i="17"/>
  <c r="H892" i="17"/>
  <c r="N892" i="17"/>
  <c r="I892" i="17"/>
  <c r="J892" i="17"/>
  <c r="H882" i="17"/>
  <c r="J882" i="17"/>
  <c r="F882" i="17"/>
  <c r="L882" i="17"/>
  <c r="M882" i="17"/>
  <c r="O882" i="17"/>
  <c r="I882" i="17"/>
  <c r="K882" i="17"/>
  <c r="N882" i="17"/>
  <c r="G882" i="17"/>
  <c r="G848" i="17"/>
  <c r="M848" i="17"/>
  <c r="N848" i="17"/>
  <c r="I848" i="17"/>
  <c r="O848" i="17"/>
  <c r="J848" i="17"/>
  <c r="L848" i="17"/>
  <c r="F848" i="17"/>
  <c r="K848" i="17"/>
  <c r="H848" i="17"/>
  <c r="N845" i="17"/>
  <c r="I845" i="17"/>
  <c r="O845" i="17"/>
  <c r="K845" i="17"/>
  <c r="J845" i="17"/>
  <c r="L845" i="17"/>
  <c r="F845" i="17"/>
  <c r="H845" i="17"/>
  <c r="G845" i="17"/>
  <c r="M845" i="17"/>
  <c r="M854" i="17"/>
  <c r="O854" i="17"/>
  <c r="J854" i="17"/>
  <c r="K854" i="17"/>
  <c r="I854" i="17"/>
  <c r="F854" i="17"/>
  <c r="L854" i="17"/>
  <c r="N854" i="17"/>
  <c r="H854" i="17"/>
  <c r="G854" i="17"/>
  <c r="O835" i="17"/>
  <c r="J835" i="17"/>
  <c r="M835" i="17"/>
  <c r="K835" i="17"/>
  <c r="F835" i="17"/>
  <c r="L835" i="17"/>
  <c r="E855" i="17"/>
  <c r="E856" i="17" s="1"/>
  <c r="G835" i="17"/>
  <c r="H835" i="17"/>
  <c r="I835" i="17"/>
  <c r="N835" i="17"/>
  <c r="N852" i="17"/>
  <c r="I852" i="17"/>
  <c r="O852" i="17"/>
  <c r="J852" i="17"/>
  <c r="L852" i="17"/>
  <c r="K852" i="17"/>
  <c r="H852" i="17"/>
  <c r="F852" i="17"/>
  <c r="G852" i="17"/>
  <c r="M852" i="17"/>
  <c r="H842" i="17"/>
  <c r="N842" i="17"/>
  <c r="O842" i="17"/>
  <c r="M842" i="17"/>
  <c r="J842" i="17"/>
  <c r="I842" i="17"/>
  <c r="F842" i="17"/>
  <c r="G842" i="17"/>
  <c r="L842" i="17"/>
  <c r="K842" i="17"/>
  <c r="G800" i="17"/>
  <c r="M800" i="17"/>
  <c r="H800" i="17"/>
  <c r="N800" i="17"/>
  <c r="I800" i="17"/>
  <c r="F800" i="17"/>
  <c r="O800" i="17"/>
  <c r="J800" i="17"/>
  <c r="L800" i="17"/>
  <c r="K800" i="17"/>
  <c r="N809" i="17"/>
  <c r="I809" i="17"/>
  <c r="G809" i="17"/>
  <c r="J809" i="17"/>
  <c r="L809" i="17"/>
  <c r="O809" i="17"/>
  <c r="K809" i="17"/>
  <c r="F809" i="17"/>
  <c r="H809" i="17"/>
  <c r="M809" i="17"/>
  <c r="H795" i="17"/>
  <c r="N795" i="17"/>
  <c r="I795" i="17"/>
  <c r="M795" i="17"/>
  <c r="O795" i="17"/>
  <c r="J795" i="17"/>
  <c r="L795" i="17"/>
  <c r="G795" i="17"/>
  <c r="K795" i="17"/>
  <c r="F795" i="17"/>
  <c r="J797" i="17"/>
  <c r="L797" i="17"/>
  <c r="K797" i="17"/>
  <c r="F797" i="17"/>
  <c r="H797" i="17"/>
  <c r="N797" i="17"/>
  <c r="I797" i="17"/>
  <c r="O797" i="17"/>
  <c r="M797" i="17"/>
  <c r="G797" i="17"/>
  <c r="I806" i="17"/>
  <c r="K806" i="17"/>
  <c r="F806" i="17"/>
  <c r="L806" i="17"/>
  <c r="G806" i="17"/>
  <c r="N806" i="17"/>
  <c r="H806" i="17"/>
  <c r="M806" i="17"/>
  <c r="J806" i="17"/>
  <c r="O806" i="17"/>
  <c r="F753" i="17"/>
  <c r="L753" i="17"/>
  <c r="G753" i="17"/>
  <c r="E773" i="17"/>
  <c r="E774" i="17" s="1"/>
  <c r="H753" i="17"/>
  <c r="N753" i="17"/>
  <c r="M753" i="17"/>
  <c r="O753" i="17"/>
  <c r="J753" i="17"/>
  <c r="I753" i="17"/>
  <c r="K753" i="17"/>
  <c r="H759" i="17"/>
  <c r="N759" i="17"/>
  <c r="I759" i="17"/>
  <c r="O759" i="17"/>
  <c r="J759" i="17"/>
  <c r="K759" i="17"/>
  <c r="F759" i="17"/>
  <c r="L759" i="17"/>
  <c r="G759" i="17"/>
  <c r="M759" i="17"/>
  <c r="I766" i="17"/>
  <c r="K766" i="17"/>
  <c r="N766" i="17"/>
  <c r="L766" i="17"/>
  <c r="G766" i="17"/>
  <c r="H766" i="17"/>
  <c r="J766" i="17"/>
  <c r="M766" i="17"/>
  <c r="O766" i="17"/>
  <c r="F766" i="17"/>
  <c r="K756" i="17"/>
  <c r="F756" i="17"/>
  <c r="H756" i="17"/>
  <c r="M756" i="17"/>
  <c r="N756" i="17"/>
  <c r="I756" i="17"/>
  <c r="O756" i="17"/>
  <c r="J756" i="17"/>
  <c r="L756" i="17"/>
  <c r="G756" i="17"/>
  <c r="J765" i="17"/>
  <c r="L765" i="17"/>
  <c r="K765" i="17"/>
  <c r="F765" i="17"/>
  <c r="M765" i="17"/>
  <c r="G765" i="17"/>
  <c r="N765" i="17"/>
  <c r="I765" i="17"/>
  <c r="O765" i="17"/>
  <c r="H765" i="17"/>
  <c r="L718" i="17"/>
  <c r="G718" i="17"/>
  <c r="M718" i="17"/>
  <c r="H718" i="17"/>
  <c r="N718" i="17"/>
  <c r="I718" i="17"/>
  <c r="O718" i="17"/>
  <c r="J718" i="17"/>
  <c r="K718" i="17"/>
  <c r="F718" i="17"/>
  <c r="M725" i="17"/>
  <c r="O725" i="17"/>
  <c r="J725" i="17"/>
  <c r="I725" i="17"/>
  <c r="K725" i="17"/>
  <c r="F725" i="17"/>
  <c r="L725" i="17"/>
  <c r="G725" i="17"/>
  <c r="H725" i="17"/>
  <c r="N725" i="17"/>
  <c r="N716" i="17"/>
  <c r="I716" i="17"/>
  <c r="O716" i="17"/>
  <c r="J716" i="17"/>
  <c r="L716" i="17"/>
  <c r="K716" i="17"/>
  <c r="F716" i="17"/>
  <c r="H716" i="17"/>
  <c r="M716" i="17"/>
  <c r="G716" i="17"/>
  <c r="G723" i="17"/>
  <c r="M723" i="17"/>
  <c r="N723" i="17"/>
  <c r="I723" i="17"/>
  <c r="O723" i="17"/>
  <c r="J723" i="17"/>
  <c r="L723" i="17"/>
  <c r="K723" i="17"/>
  <c r="F723" i="17"/>
  <c r="H723" i="17"/>
  <c r="M713" i="17"/>
  <c r="O713" i="17"/>
  <c r="J713" i="17"/>
  <c r="I713" i="17"/>
  <c r="K713" i="17"/>
  <c r="F713" i="17"/>
  <c r="L713" i="17"/>
  <c r="G713" i="17"/>
  <c r="H713" i="17"/>
  <c r="N713" i="17"/>
  <c r="O714" i="17"/>
  <c r="J714" i="17"/>
  <c r="K714" i="17"/>
  <c r="F714" i="17"/>
  <c r="L714" i="17"/>
  <c r="G714" i="17"/>
  <c r="M714" i="17"/>
  <c r="H714" i="17"/>
  <c r="N714" i="17"/>
  <c r="I714" i="17"/>
  <c r="J728" i="17"/>
  <c r="L728" i="17"/>
  <c r="O728" i="17"/>
  <c r="F728" i="17"/>
  <c r="H728" i="17"/>
  <c r="M728" i="17"/>
  <c r="K728" i="17"/>
  <c r="N728" i="17"/>
  <c r="I728" i="17"/>
  <c r="G728" i="17"/>
  <c r="O674" i="17"/>
  <c r="J674" i="17"/>
  <c r="K674" i="17"/>
  <c r="F674" i="17"/>
  <c r="L674" i="17"/>
  <c r="G674" i="17"/>
  <c r="M674" i="17"/>
  <c r="H674" i="17"/>
  <c r="N674" i="17"/>
  <c r="I674" i="17"/>
  <c r="L681" i="17"/>
  <c r="G681" i="17"/>
  <c r="H681" i="17"/>
  <c r="J681" i="17"/>
  <c r="M681" i="17"/>
  <c r="O681" i="17"/>
  <c r="F681" i="17"/>
  <c r="I681" i="17"/>
  <c r="K681" i="17"/>
  <c r="N681" i="17"/>
  <c r="N680" i="17"/>
  <c r="I680" i="17"/>
  <c r="O680" i="17"/>
  <c r="J680" i="17"/>
  <c r="L680" i="17"/>
  <c r="K680" i="17"/>
  <c r="F680" i="17"/>
  <c r="H680" i="17"/>
  <c r="M680" i="17"/>
  <c r="G680" i="17"/>
  <c r="N679" i="17"/>
  <c r="I679" i="17"/>
  <c r="O679" i="17"/>
  <c r="J679" i="17"/>
  <c r="L679" i="17"/>
  <c r="K679" i="17"/>
  <c r="F679" i="17"/>
  <c r="H679" i="17"/>
  <c r="G679" i="17"/>
  <c r="M679" i="17"/>
  <c r="K642" i="17"/>
  <c r="F642" i="17"/>
  <c r="L642" i="17"/>
  <c r="G642" i="17"/>
  <c r="M642" i="17"/>
  <c r="H642" i="17"/>
  <c r="N642" i="17"/>
  <c r="I642" i="17"/>
  <c r="O642" i="17"/>
  <c r="J642" i="17"/>
  <c r="J636" i="17"/>
  <c r="L636" i="17"/>
  <c r="G636" i="17"/>
  <c r="F636" i="17"/>
  <c r="H636" i="17"/>
  <c r="M636" i="17"/>
  <c r="O636" i="17"/>
  <c r="N636" i="17"/>
  <c r="I636" i="17"/>
  <c r="K636" i="17"/>
  <c r="H645" i="17"/>
  <c r="J645" i="17"/>
  <c r="M645" i="17"/>
  <c r="O645" i="17"/>
  <c r="F645" i="17"/>
  <c r="I645" i="17"/>
  <c r="K645" i="17"/>
  <c r="N645" i="17"/>
  <c r="L645" i="17"/>
  <c r="G645" i="17"/>
  <c r="N635" i="17"/>
  <c r="I635" i="17"/>
  <c r="O635" i="17"/>
  <c r="J635" i="17"/>
  <c r="L635" i="17"/>
  <c r="K635" i="17"/>
  <c r="F635" i="17"/>
  <c r="H635" i="17"/>
  <c r="G635" i="17"/>
  <c r="M635" i="17"/>
  <c r="M632" i="17"/>
  <c r="O632" i="17"/>
  <c r="N632" i="17"/>
  <c r="I632" i="17"/>
  <c r="K632" i="17"/>
  <c r="J632" i="17"/>
  <c r="L632" i="17"/>
  <c r="G632" i="17"/>
  <c r="F632" i="17"/>
  <c r="H632" i="17"/>
  <c r="H641" i="17"/>
  <c r="N641" i="17"/>
  <c r="M641" i="17"/>
  <c r="O641" i="17"/>
  <c r="J641" i="17"/>
  <c r="I641" i="17"/>
  <c r="K641" i="17"/>
  <c r="F641" i="17"/>
  <c r="L641" i="17"/>
  <c r="G641" i="17"/>
  <c r="K631" i="17"/>
  <c r="F631" i="17"/>
  <c r="H631" i="17"/>
  <c r="G631" i="17"/>
  <c r="M631" i="17"/>
  <c r="N631" i="17"/>
  <c r="I631" i="17"/>
  <c r="J631" i="17"/>
  <c r="O631" i="17"/>
  <c r="L631" i="17"/>
  <c r="M591" i="17"/>
  <c r="L591" i="17"/>
  <c r="O591" i="17"/>
  <c r="I591" i="17"/>
  <c r="J591" i="17"/>
  <c r="K591" i="17"/>
  <c r="N591" i="17"/>
  <c r="H591" i="17"/>
  <c r="G591" i="17"/>
  <c r="F591" i="17"/>
  <c r="K590" i="17"/>
  <c r="I590" i="17"/>
  <c r="L590" i="17"/>
  <c r="F590" i="17"/>
  <c r="M590" i="17"/>
  <c r="H590" i="17"/>
  <c r="J590" i="17"/>
  <c r="G590" i="17"/>
  <c r="N590" i="17"/>
  <c r="O590" i="17"/>
  <c r="I601" i="17"/>
  <c r="K601" i="17"/>
  <c r="J601" i="17"/>
  <c r="L601" i="17"/>
  <c r="G601" i="17"/>
  <c r="H601" i="17"/>
  <c r="F601" i="17"/>
  <c r="M601" i="17"/>
  <c r="O601" i="17"/>
  <c r="N601" i="17"/>
  <c r="M600" i="17"/>
  <c r="O600" i="17"/>
  <c r="I600" i="17"/>
  <c r="N600" i="17"/>
  <c r="K600" i="17"/>
  <c r="J600" i="17"/>
  <c r="L600" i="17"/>
  <c r="G600" i="17"/>
  <c r="F600" i="17"/>
  <c r="H600" i="17"/>
  <c r="L556" i="17"/>
  <c r="G556" i="17"/>
  <c r="I556" i="17"/>
  <c r="H556" i="17"/>
  <c r="N556" i="17"/>
  <c r="M556" i="17"/>
  <c r="O556" i="17"/>
  <c r="J556" i="17"/>
  <c r="K556" i="17"/>
  <c r="F556" i="17"/>
  <c r="O560" i="17"/>
  <c r="J560" i="17"/>
  <c r="K560" i="17"/>
  <c r="F560" i="17"/>
  <c r="L560" i="17"/>
  <c r="G560" i="17"/>
  <c r="I560" i="17"/>
  <c r="H560" i="17"/>
  <c r="N560" i="17"/>
  <c r="M560" i="17"/>
  <c r="N566" i="17"/>
  <c r="I566" i="17"/>
  <c r="K566" i="17"/>
  <c r="J566" i="17"/>
  <c r="L566" i="17"/>
  <c r="O566" i="17"/>
  <c r="F566" i="17"/>
  <c r="H566" i="17"/>
  <c r="M566" i="17"/>
  <c r="G566" i="17"/>
  <c r="K565" i="17"/>
  <c r="F565" i="17"/>
  <c r="L565" i="17"/>
  <c r="G565" i="17"/>
  <c r="N565" i="17"/>
  <c r="I565" i="17"/>
  <c r="J565" i="17"/>
  <c r="O565" i="17"/>
  <c r="H565" i="17"/>
  <c r="M565" i="17"/>
  <c r="G513" i="17"/>
  <c r="M513" i="17"/>
  <c r="N513" i="17"/>
  <c r="I513" i="17"/>
  <c r="O513" i="17"/>
  <c r="J513" i="17"/>
  <c r="H513" i="17"/>
  <c r="K513" i="17"/>
  <c r="F513" i="17"/>
  <c r="L513" i="17"/>
  <c r="N522" i="17"/>
  <c r="I522" i="17"/>
  <c r="G522" i="17"/>
  <c r="J522" i="17"/>
  <c r="L522" i="17"/>
  <c r="K522" i="17"/>
  <c r="F522" i="17"/>
  <c r="H522" i="17"/>
  <c r="M522" i="17"/>
  <c r="O522" i="17"/>
  <c r="H520" i="17"/>
  <c r="N520" i="17"/>
  <c r="I520" i="17"/>
  <c r="O520" i="17"/>
  <c r="J520" i="17"/>
  <c r="K520" i="17"/>
  <c r="F520" i="17"/>
  <c r="L520" i="17"/>
  <c r="G520" i="17"/>
  <c r="M520" i="17"/>
  <c r="N525" i="17"/>
  <c r="I525" i="17"/>
  <c r="O525" i="17"/>
  <c r="J525" i="17"/>
  <c r="L525" i="17"/>
  <c r="K525" i="17"/>
  <c r="F525" i="17"/>
  <c r="H525" i="17"/>
  <c r="G525" i="17"/>
  <c r="M525" i="17"/>
  <c r="H511" i="17"/>
  <c r="N511" i="17"/>
  <c r="M511" i="17"/>
  <c r="O511" i="17"/>
  <c r="J511" i="17"/>
  <c r="I511" i="17"/>
  <c r="K511" i="17"/>
  <c r="F511" i="17"/>
  <c r="L511" i="17"/>
  <c r="G511" i="17"/>
  <c r="F484" i="17"/>
  <c r="L484" i="17"/>
  <c r="G484" i="17"/>
  <c r="M484" i="17"/>
  <c r="N484" i="17"/>
  <c r="H484" i="17"/>
  <c r="I484" i="17"/>
  <c r="O484" i="17"/>
  <c r="J484" i="17"/>
  <c r="K484" i="17"/>
  <c r="M483" i="17"/>
  <c r="O483" i="17"/>
  <c r="J483" i="17"/>
  <c r="I483" i="17"/>
  <c r="K483" i="17"/>
  <c r="F483" i="17"/>
  <c r="L483" i="17"/>
  <c r="G483" i="17"/>
  <c r="H483" i="17"/>
  <c r="N483" i="17"/>
  <c r="G481" i="17"/>
  <c r="M481" i="17"/>
  <c r="N481" i="17"/>
  <c r="I481" i="17"/>
  <c r="O481" i="17"/>
  <c r="J481" i="17"/>
  <c r="H481" i="17"/>
  <c r="K481" i="17"/>
  <c r="F481" i="17"/>
  <c r="L481" i="17"/>
  <c r="G470" i="17"/>
  <c r="N470" i="17"/>
  <c r="I470" i="17"/>
  <c r="O470" i="17"/>
  <c r="J470" i="17"/>
  <c r="K470" i="17"/>
  <c r="L470" i="17"/>
  <c r="F470" i="17"/>
  <c r="H470" i="17"/>
  <c r="M470" i="17"/>
  <c r="L428" i="17"/>
  <c r="F428" i="17"/>
  <c r="M428" i="17"/>
  <c r="H428" i="17"/>
  <c r="I428" i="17"/>
  <c r="K428" i="17"/>
  <c r="N428" i="17"/>
  <c r="O428" i="17"/>
  <c r="J428" i="17"/>
  <c r="G428" i="17"/>
  <c r="O429" i="17"/>
  <c r="I429" i="17"/>
  <c r="N429" i="17"/>
  <c r="K429" i="17"/>
  <c r="L429" i="17"/>
  <c r="F429" i="17"/>
  <c r="G429" i="17"/>
  <c r="J429" i="17"/>
  <c r="M429" i="17"/>
  <c r="H429" i="17"/>
  <c r="N426" i="17"/>
  <c r="H426" i="17"/>
  <c r="O426" i="17"/>
  <c r="J426" i="17"/>
  <c r="K426" i="17"/>
  <c r="M426" i="17"/>
  <c r="F426" i="17"/>
  <c r="I426" i="17"/>
  <c r="L426" i="17"/>
  <c r="G426" i="17"/>
  <c r="M439" i="17"/>
  <c r="O439" i="17"/>
  <c r="N439" i="17"/>
  <c r="I439" i="17"/>
  <c r="K439" i="17"/>
  <c r="J439" i="17"/>
  <c r="L439" i="17"/>
  <c r="G439" i="17"/>
  <c r="H439" i="17"/>
  <c r="F439" i="17"/>
  <c r="N441" i="17"/>
  <c r="I441" i="17"/>
  <c r="O441" i="17"/>
  <c r="J441" i="17"/>
  <c r="L441" i="17"/>
  <c r="K441" i="17"/>
  <c r="F441" i="17"/>
  <c r="H441" i="17"/>
  <c r="G441" i="17"/>
  <c r="M441" i="17"/>
  <c r="L392" i="17"/>
  <c r="F392" i="17"/>
  <c r="K392" i="17"/>
  <c r="H392" i="17"/>
  <c r="O392" i="17"/>
  <c r="I392" i="17"/>
  <c r="N392" i="17"/>
  <c r="G392" i="17"/>
  <c r="J392" i="17"/>
  <c r="M392" i="17"/>
  <c r="O391" i="17"/>
  <c r="J391" i="17"/>
  <c r="K391" i="17"/>
  <c r="H391" i="17"/>
  <c r="M391" i="17"/>
  <c r="G391" i="17"/>
  <c r="F391" i="17"/>
  <c r="I391" i="17"/>
  <c r="L391" i="17"/>
  <c r="N391" i="17"/>
  <c r="N394" i="17"/>
  <c r="H394" i="17"/>
  <c r="I394" i="17"/>
  <c r="J394" i="17"/>
  <c r="M394" i="17"/>
  <c r="G394" i="17"/>
  <c r="F394" i="17"/>
  <c r="K394" i="17"/>
  <c r="L394" i="17"/>
  <c r="O394" i="17"/>
  <c r="H396" i="17"/>
  <c r="K396" i="17"/>
  <c r="M396" i="17"/>
  <c r="N396" i="17"/>
  <c r="I396" i="17"/>
  <c r="J396" i="17"/>
  <c r="G396" i="17"/>
  <c r="L396" i="17"/>
  <c r="F396" i="17"/>
  <c r="O396" i="17"/>
  <c r="M401" i="17"/>
  <c r="F401" i="17"/>
  <c r="O401" i="17"/>
  <c r="I401" i="17"/>
  <c r="N401" i="17"/>
  <c r="K401" i="17"/>
  <c r="J401" i="17"/>
  <c r="L401" i="17"/>
  <c r="G401" i="17"/>
  <c r="H401" i="17"/>
  <c r="L386" i="17"/>
  <c r="I386" i="17"/>
  <c r="N386" i="17"/>
  <c r="H386" i="17"/>
  <c r="G386" i="17"/>
  <c r="J386" i="17"/>
  <c r="O386" i="17"/>
  <c r="M386" i="17"/>
  <c r="F386" i="17"/>
  <c r="K386" i="17"/>
  <c r="J398" i="17"/>
  <c r="F398" i="17"/>
  <c r="O398" i="17"/>
  <c r="G398" i="17"/>
  <c r="K398" i="17"/>
  <c r="L398" i="17"/>
  <c r="N398" i="17"/>
  <c r="H398" i="17"/>
  <c r="M398" i="17"/>
  <c r="I398" i="17"/>
  <c r="M347" i="17"/>
  <c r="G347" i="17"/>
  <c r="L347" i="17"/>
  <c r="I347" i="17"/>
  <c r="J347" i="17"/>
  <c r="F347" i="17"/>
  <c r="O347" i="17"/>
  <c r="H347" i="17"/>
  <c r="K347" i="17"/>
  <c r="N347" i="17"/>
  <c r="G349" i="17"/>
  <c r="N349" i="17"/>
  <c r="M349" i="17"/>
  <c r="F349" i="17"/>
  <c r="O349" i="17"/>
  <c r="I349" i="17"/>
  <c r="L349" i="17"/>
  <c r="K349" i="17"/>
  <c r="H349" i="17"/>
  <c r="J349" i="17"/>
  <c r="E363" i="17"/>
  <c r="E364" i="17" s="1"/>
  <c r="K343" i="17"/>
  <c r="L343" i="17"/>
  <c r="M343" i="17"/>
  <c r="G343" i="17"/>
  <c r="J343" i="17"/>
  <c r="I343" i="17"/>
  <c r="N343" i="17"/>
  <c r="H343" i="17"/>
  <c r="O343" i="17"/>
  <c r="F343" i="17"/>
  <c r="K345" i="17"/>
  <c r="L345" i="17"/>
  <c r="N345" i="17"/>
  <c r="G345" i="17"/>
  <c r="J345" i="17"/>
  <c r="M345" i="17"/>
  <c r="H345" i="17"/>
  <c r="I345" i="17"/>
  <c r="O345" i="17"/>
  <c r="F345" i="17"/>
  <c r="O311" i="17"/>
  <c r="N311" i="17"/>
  <c r="K311" i="17"/>
  <c r="F311" i="17"/>
  <c r="M311" i="17"/>
  <c r="G311" i="17"/>
  <c r="L311" i="17"/>
  <c r="I311" i="17"/>
  <c r="H311" i="17"/>
  <c r="J311" i="17"/>
  <c r="L320" i="17"/>
  <c r="F320" i="17"/>
  <c r="G320" i="17"/>
  <c r="H320" i="17"/>
  <c r="K320" i="17"/>
  <c r="O320" i="17"/>
  <c r="N320" i="17"/>
  <c r="I320" i="17"/>
  <c r="J320" i="17"/>
  <c r="M320" i="17"/>
  <c r="G321" i="17"/>
  <c r="F321" i="17"/>
  <c r="M321" i="17"/>
  <c r="L321" i="17"/>
  <c r="O321" i="17"/>
  <c r="I321" i="17"/>
  <c r="J321" i="17"/>
  <c r="K321" i="17"/>
  <c r="N321" i="17"/>
  <c r="H321" i="17"/>
  <c r="N318" i="17"/>
  <c r="H318" i="17"/>
  <c r="O318" i="17"/>
  <c r="J318" i="17"/>
  <c r="M318" i="17"/>
  <c r="I318" i="17"/>
  <c r="F318" i="17"/>
  <c r="K318" i="17"/>
  <c r="L318" i="17"/>
  <c r="G318" i="17"/>
  <c r="J316" i="17"/>
  <c r="M316" i="17"/>
  <c r="L316" i="17"/>
  <c r="F316" i="17"/>
  <c r="K316" i="17"/>
  <c r="O316" i="17"/>
  <c r="H316" i="17"/>
  <c r="I316" i="17"/>
  <c r="N316" i="17"/>
  <c r="G316" i="17"/>
  <c r="M309" i="17"/>
  <c r="L309" i="17"/>
  <c r="J309" i="17"/>
  <c r="O309" i="17"/>
  <c r="I309" i="17"/>
  <c r="F309" i="17"/>
  <c r="N309" i="17"/>
  <c r="K309" i="17"/>
  <c r="G309" i="17"/>
  <c r="H309" i="17"/>
  <c r="O265" i="17"/>
  <c r="I265" i="17"/>
  <c r="L265" i="17"/>
  <c r="K265" i="17"/>
  <c r="H265" i="17"/>
  <c r="J265" i="17"/>
  <c r="G265" i="17"/>
  <c r="N265" i="17"/>
  <c r="M265" i="17"/>
  <c r="F265" i="17"/>
  <c r="I279" i="17"/>
  <c r="J279" i="17"/>
  <c r="F279" i="17"/>
  <c r="O279" i="17"/>
  <c r="H279" i="17"/>
  <c r="K279" i="17"/>
  <c r="N279" i="17"/>
  <c r="M279" i="17"/>
  <c r="G279" i="17"/>
  <c r="L279" i="17"/>
  <c r="L280" i="17"/>
  <c r="F280" i="17"/>
  <c r="I280" i="17"/>
  <c r="H280" i="17"/>
  <c r="M280" i="17"/>
  <c r="G280" i="17"/>
  <c r="N280" i="17"/>
  <c r="K280" i="17"/>
  <c r="J280" i="17"/>
  <c r="O280" i="17"/>
  <c r="K277" i="17"/>
  <c r="L277" i="17"/>
  <c r="N277" i="17"/>
  <c r="G277" i="17"/>
  <c r="J277" i="17"/>
  <c r="M277" i="17"/>
  <c r="H277" i="17"/>
  <c r="O277" i="17"/>
  <c r="I277" i="17"/>
  <c r="F277" i="17"/>
  <c r="F270" i="17"/>
  <c r="G270" i="17"/>
  <c r="L270" i="17"/>
  <c r="M270" i="17"/>
  <c r="N270" i="17"/>
  <c r="H270" i="17"/>
  <c r="K270" i="17"/>
  <c r="J270" i="17"/>
  <c r="O270" i="17"/>
  <c r="I270" i="17"/>
  <c r="O236" i="17"/>
  <c r="G236" i="17"/>
  <c r="N236" i="17"/>
  <c r="I236" i="17"/>
  <c r="L236" i="17"/>
  <c r="J236" i="17"/>
  <c r="M236" i="17"/>
  <c r="K236" i="17"/>
  <c r="F236" i="17"/>
  <c r="H236" i="17"/>
  <c r="N234" i="17"/>
  <c r="K234" i="17"/>
  <c r="I234" i="17"/>
  <c r="J234" i="17"/>
  <c r="L234" i="17"/>
  <c r="M234" i="17"/>
  <c r="F234" i="17"/>
  <c r="H234" i="17"/>
  <c r="G234" i="17"/>
  <c r="O234" i="17"/>
  <c r="O229" i="17"/>
  <c r="L229" i="17"/>
  <c r="J229" i="17"/>
  <c r="K229" i="17"/>
  <c r="M229" i="17"/>
  <c r="N229" i="17"/>
  <c r="G229" i="17"/>
  <c r="I229" i="17"/>
  <c r="H229" i="17"/>
  <c r="F229" i="17"/>
  <c r="K239" i="17"/>
  <c r="L239" i="17"/>
  <c r="N239" i="17"/>
  <c r="G239" i="17"/>
  <c r="F239" i="17"/>
  <c r="M239" i="17"/>
  <c r="J239" i="17"/>
  <c r="O239" i="17"/>
  <c r="H239" i="17"/>
  <c r="I239" i="17"/>
  <c r="J228" i="17"/>
  <c r="K228" i="17"/>
  <c r="H228" i="17"/>
  <c r="F228" i="17"/>
  <c r="O228" i="17"/>
  <c r="L228" i="17"/>
  <c r="M228" i="17"/>
  <c r="N228" i="17"/>
  <c r="G228" i="17"/>
  <c r="I228" i="17"/>
  <c r="O180" i="17"/>
  <c r="F180" i="17"/>
  <c r="L180" i="17"/>
  <c r="K180" i="17"/>
  <c r="J180" i="17"/>
  <c r="I180" i="17"/>
  <c r="G180" i="17"/>
  <c r="H180" i="17"/>
  <c r="N180" i="17"/>
  <c r="M180" i="17"/>
  <c r="O190" i="17"/>
  <c r="I190" i="17"/>
  <c r="F190" i="17"/>
  <c r="K190" i="17"/>
  <c r="H190" i="17"/>
  <c r="L190" i="17"/>
  <c r="G190" i="17"/>
  <c r="M190" i="17"/>
  <c r="N190" i="17"/>
  <c r="J190" i="17"/>
  <c r="G182" i="17"/>
  <c r="H182" i="17"/>
  <c r="L182" i="17"/>
  <c r="N182" i="17"/>
  <c r="O182" i="17"/>
  <c r="F182" i="17"/>
  <c r="M182" i="17"/>
  <c r="K182" i="17"/>
  <c r="J182" i="17"/>
  <c r="I182" i="17"/>
  <c r="L197" i="17"/>
  <c r="M197" i="17"/>
  <c r="J197" i="17"/>
  <c r="H197" i="17"/>
  <c r="G197" i="17"/>
  <c r="F197" i="17"/>
  <c r="N197" i="17"/>
  <c r="O197" i="17"/>
  <c r="I197" i="17"/>
  <c r="K197" i="17"/>
  <c r="N187" i="17"/>
  <c r="O187" i="17"/>
  <c r="L187" i="17"/>
  <c r="J187" i="17"/>
  <c r="I187" i="17"/>
  <c r="H187" i="17"/>
  <c r="F187" i="17"/>
  <c r="G187" i="17"/>
  <c r="K187" i="17"/>
  <c r="M187" i="17"/>
  <c r="K186" i="17"/>
  <c r="F186" i="17"/>
  <c r="N186" i="17"/>
  <c r="G186" i="17"/>
  <c r="L186" i="17"/>
  <c r="M186" i="17"/>
  <c r="I186" i="17"/>
  <c r="O186" i="17"/>
  <c r="H186" i="17"/>
  <c r="J186" i="17"/>
  <c r="H188" i="17"/>
  <c r="F188" i="17"/>
  <c r="M188" i="17"/>
  <c r="L188" i="17"/>
  <c r="K188" i="17"/>
  <c r="I188" i="17"/>
  <c r="G188" i="17"/>
  <c r="J188" i="17"/>
  <c r="N188" i="17"/>
  <c r="O188" i="17"/>
  <c r="K140" i="17"/>
  <c r="J140" i="17"/>
  <c r="M140" i="17"/>
  <c r="G140" i="17"/>
  <c r="L140" i="17"/>
  <c r="N140" i="17"/>
  <c r="I140" i="17"/>
  <c r="O140" i="17"/>
  <c r="F140" i="17"/>
  <c r="H140" i="17"/>
  <c r="E158" i="17"/>
  <c r="E159" i="17" s="1"/>
  <c r="L138" i="17"/>
  <c r="G138" i="17"/>
  <c r="M138" i="17"/>
  <c r="N138" i="17"/>
  <c r="J138" i="17"/>
  <c r="I138" i="17"/>
  <c r="F138" i="17"/>
  <c r="O138" i="17"/>
  <c r="H138" i="17"/>
  <c r="K138" i="17"/>
  <c r="J141" i="17"/>
  <c r="O141" i="17"/>
  <c r="K141" i="17"/>
  <c r="F141" i="17"/>
  <c r="G141" i="17"/>
  <c r="M141" i="17"/>
  <c r="L141" i="17"/>
  <c r="N141" i="17"/>
  <c r="I141" i="17"/>
  <c r="H141" i="17"/>
  <c r="I150" i="17"/>
  <c r="F150" i="17"/>
  <c r="L150" i="17"/>
  <c r="G150" i="17"/>
  <c r="H150" i="17"/>
  <c r="K150" i="17"/>
  <c r="M150" i="17"/>
  <c r="J150" i="17"/>
  <c r="N150" i="17"/>
  <c r="O150" i="17"/>
  <c r="G104" i="17"/>
  <c r="I104" i="17"/>
  <c r="J104" i="17"/>
  <c r="L104" i="17"/>
  <c r="O104" i="17"/>
  <c r="N104" i="17"/>
  <c r="H104" i="17"/>
  <c r="K104" i="17"/>
  <c r="F104" i="17"/>
  <c r="M104" i="17"/>
  <c r="G116" i="17"/>
  <c r="M116" i="17"/>
  <c r="N116" i="17"/>
  <c r="L116" i="17"/>
  <c r="O116" i="17"/>
  <c r="J116" i="17"/>
  <c r="H116" i="17"/>
  <c r="K116" i="17"/>
  <c r="F116" i="17"/>
  <c r="I116" i="17"/>
  <c r="F97" i="17"/>
  <c r="L97" i="17"/>
  <c r="H97" i="17"/>
  <c r="I97" i="17"/>
  <c r="O97" i="17"/>
  <c r="N97" i="17"/>
  <c r="E117" i="17"/>
  <c r="E118" i="17" s="1"/>
  <c r="K97" i="17"/>
  <c r="J97" i="17"/>
  <c r="M97" i="17"/>
  <c r="G97" i="17"/>
  <c r="I110" i="17"/>
  <c r="N110" i="17"/>
  <c r="G110" i="17"/>
  <c r="L110" i="17"/>
  <c r="J110" i="17"/>
  <c r="H110" i="17"/>
  <c r="F110" i="17"/>
  <c r="M110" i="17"/>
  <c r="K110" i="17"/>
  <c r="O110" i="17"/>
  <c r="H115" i="17"/>
  <c r="J115" i="17"/>
  <c r="M115" i="17"/>
  <c r="O115" i="17"/>
  <c r="I115" i="17"/>
  <c r="K115" i="17"/>
  <c r="N115" i="17"/>
  <c r="L115" i="17"/>
  <c r="G115" i="17"/>
  <c r="F115" i="17"/>
  <c r="J109" i="17"/>
  <c r="H109" i="17"/>
  <c r="K109" i="17"/>
  <c r="F109" i="17"/>
  <c r="O109" i="17"/>
  <c r="I109" i="17"/>
  <c r="G109" i="17"/>
  <c r="M109" i="17"/>
  <c r="N109" i="17"/>
  <c r="L109" i="17"/>
  <c r="G71" i="17"/>
  <c r="N71" i="17"/>
  <c r="L71" i="17"/>
  <c r="K71" i="17"/>
  <c r="F71" i="17"/>
  <c r="H71" i="17"/>
  <c r="J71" i="17"/>
  <c r="M71" i="17"/>
  <c r="O71" i="17"/>
  <c r="I71" i="17"/>
  <c r="J57" i="17"/>
  <c r="O57" i="17"/>
  <c r="H57" i="17"/>
  <c r="F57" i="17"/>
  <c r="G57" i="17"/>
  <c r="I57" i="17"/>
  <c r="L57" i="17"/>
  <c r="N57" i="17"/>
  <c r="M57" i="17"/>
  <c r="K57" i="17"/>
  <c r="I74" i="17"/>
  <c r="G74" i="17"/>
  <c r="J74" i="17"/>
  <c r="L74" i="17"/>
  <c r="N74" i="17"/>
  <c r="H74" i="17"/>
  <c r="F74" i="17"/>
  <c r="M74" i="17"/>
  <c r="O74" i="17"/>
  <c r="K74" i="17"/>
  <c r="M61" i="17"/>
  <c r="H61" i="17"/>
  <c r="N61" i="17"/>
  <c r="I61" i="17"/>
  <c r="L61" i="17"/>
  <c r="J61" i="17"/>
  <c r="O61" i="17"/>
  <c r="K61" i="17"/>
  <c r="F61" i="17"/>
  <c r="G61" i="17"/>
  <c r="L62" i="17"/>
  <c r="F62" i="17"/>
  <c r="M62" i="17"/>
  <c r="O62" i="17"/>
  <c r="K62" i="17"/>
  <c r="I62" i="17"/>
  <c r="G62" i="17"/>
  <c r="J62" i="17"/>
  <c r="H62" i="17"/>
  <c r="N62" i="17"/>
  <c r="L1253" i="17"/>
  <c r="F1253" i="17"/>
  <c r="G1253" i="17"/>
  <c r="H1253" i="17"/>
  <c r="K1253" i="17"/>
  <c r="M1253" i="17"/>
  <c r="N1253" i="17"/>
  <c r="I1253" i="17"/>
  <c r="J1253" i="17"/>
  <c r="O1253" i="17"/>
  <c r="O1258" i="17"/>
  <c r="I1258" i="17"/>
  <c r="F1258" i="17"/>
  <c r="K1258" i="17"/>
  <c r="J1258" i="17"/>
  <c r="L1258" i="17"/>
  <c r="G1258" i="17"/>
  <c r="H1258" i="17"/>
  <c r="M1258" i="17"/>
  <c r="N1258" i="17"/>
  <c r="O1256" i="17"/>
  <c r="J1256" i="17"/>
  <c r="K1256" i="17"/>
  <c r="H1256" i="17"/>
  <c r="M1256" i="17"/>
  <c r="G1256" i="17"/>
  <c r="N1256" i="17"/>
  <c r="I1256" i="17"/>
  <c r="L1256" i="17"/>
  <c r="F1256" i="17"/>
  <c r="H1261" i="17"/>
  <c r="K1261" i="17"/>
  <c r="M1261" i="17"/>
  <c r="N1261" i="17"/>
  <c r="I1261" i="17"/>
  <c r="J1261" i="17"/>
  <c r="O1261" i="17"/>
  <c r="L1261" i="17"/>
  <c r="F1261" i="17"/>
  <c r="G1261" i="17"/>
  <c r="M1262" i="17"/>
  <c r="L1262" i="17"/>
  <c r="O1262" i="17"/>
  <c r="I1262" i="17"/>
  <c r="J1262" i="17"/>
  <c r="K1262" i="17"/>
  <c r="N1262" i="17"/>
  <c r="H1262" i="17"/>
  <c r="G1262" i="17"/>
  <c r="F1262" i="17"/>
  <c r="L1247" i="17"/>
  <c r="G1247" i="17"/>
  <c r="N1247" i="17"/>
  <c r="H1247" i="17"/>
  <c r="M1247" i="17"/>
  <c r="J1247" i="17"/>
  <c r="I1247" i="17"/>
  <c r="K1247" i="17"/>
  <c r="F1247" i="17"/>
  <c r="O1247" i="17"/>
  <c r="L1206" i="17"/>
  <c r="G1206" i="17"/>
  <c r="I1206" i="17"/>
  <c r="H1206" i="17"/>
  <c r="N1206" i="17"/>
  <c r="M1206" i="17"/>
  <c r="O1206" i="17"/>
  <c r="J1206" i="17"/>
  <c r="K1206" i="17"/>
  <c r="F1206" i="17"/>
  <c r="J1214" i="17"/>
  <c r="I1214" i="17"/>
  <c r="K1214" i="17"/>
  <c r="F1214" i="17"/>
  <c r="O1214" i="17"/>
  <c r="L1214" i="17"/>
  <c r="G1214" i="17"/>
  <c r="N1214" i="17"/>
  <c r="H1214" i="17"/>
  <c r="M1214" i="17"/>
  <c r="I1215" i="17"/>
  <c r="L1215" i="17"/>
  <c r="F1215" i="17"/>
  <c r="O1215" i="17"/>
  <c r="J1215" i="17"/>
  <c r="K1215" i="17"/>
  <c r="H1215" i="17"/>
  <c r="M1215" i="17"/>
  <c r="G1215" i="17"/>
  <c r="N1215" i="17"/>
  <c r="G1209" i="17"/>
  <c r="H1209" i="17"/>
  <c r="M1209" i="17"/>
  <c r="N1209" i="17"/>
  <c r="O1209" i="17"/>
  <c r="I1209" i="17"/>
  <c r="F1209" i="17"/>
  <c r="K1209" i="17"/>
  <c r="J1209" i="17"/>
  <c r="L1209" i="17"/>
  <c r="L1212" i="17"/>
  <c r="F1212" i="17"/>
  <c r="G1212" i="17"/>
  <c r="H1212" i="17"/>
  <c r="K1212" i="17"/>
  <c r="M1212" i="17"/>
  <c r="N1212" i="17"/>
  <c r="I1212" i="17"/>
  <c r="J1212" i="17"/>
  <c r="O1212" i="17"/>
  <c r="I1205" i="17"/>
  <c r="K1205" i="17"/>
  <c r="J1205" i="17"/>
  <c r="L1205" i="17"/>
  <c r="G1205" i="17"/>
  <c r="H1205" i="17"/>
  <c r="F1205" i="17"/>
  <c r="M1205" i="17"/>
  <c r="O1205" i="17"/>
  <c r="N1205" i="17"/>
  <c r="N1168" i="17"/>
  <c r="H1168" i="17"/>
  <c r="G1168" i="17"/>
  <c r="F1168" i="17"/>
  <c r="O1168" i="17"/>
  <c r="J1168" i="17"/>
  <c r="K1168" i="17"/>
  <c r="M1168" i="17"/>
  <c r="I1168" i="17"/>
  <c r="L1168" i="17"/>
  <c r="E1183" i="17"/>
  <c r="E1184" i="17" s="1"/>
  <c r="K1163" i="17"/>
  <c r="F1163" i="17"/>
  <c r="H1163" i="17"/>
  <c r="I1163" i="17"/>
  <c r="O1163" i="17"/>
  <c r="L1163" i="17"/>
  <c r="G1163" i="17"/>
  <c r="M1163" i="17"/>
  <c r="N1163" i="17"/>
  <c r="J1163" i="17"/>
  <c r="N1180" i="17"/>
  <c r="I1180" i="17"/>
  <c r="O1180" i="17"/>
  <c r="H1180" i="17"/>
  <c r="J1180" i="17"/>
  <c r="L1180" i="17"/>
  <c r="K1180" i="17"/>
  <c r="F1180" i="17"/>
  <c r="G1180" i="17"/>
  <c r="M1180" i="17"/>
  <c r="I1181" i="17"/>
  <c r="K1181" i="17"/>
  <c r="N1181" i="17"/>
  <c r="G1181" i="17"/>
  <c r="H1181" i="17"/>
  <c r="O1181" i="17"/>
  <c r="L1181" i="17"/>
  <c r="F1181" i="17"/>
  <c r="J1181" i="17"/>
  <c r="M1181" i="17"/>
  <c r="O1132" i="17"/>
  <c r="J1132" i="17"/>
  <c r="L1132" i="17"/>
  <c r="K1132" i="17"/>
  <c r="F1132" i="17"/>
  <c r="H1132" i="17"/>
  <c r="G1132" i="17"/>
  <c r="M1132" i="17"/>
  <c r="N1132" i="17"/>
  <c r="I1132" i="17"/>
  <c r="O1136" i="17"/>
  <c r="J1136" i="17"/>
  <c r="L1136" i="17"/>
  <c r="G1136" i="17"/>
  <c r="K1136" i="17"/>
  <c r="F1136" i="17"/>
  <c r="H1136" i="17"/>
  <c r="N1136" i="17"/>
  <c r="M1136" i="17"/>
  <c r="I1136" i="17"/>
  <c r="I1122" i="17"/>
  <c r="K1122" i="17"/>
  <c r="F1122" i="17"/>
  <c r="N1122" i="17"/>
  <c r="J1122" i="17"/>
  <c r="L1122" i="17"/>
  <c r="G1122" i="17"/>
  <c r="H1122" i="17"/>
  <c r="O1122" i="17"/>
  <c r="E1142" i="17"/>
  <c r="E1143" i="17" s="1"/>
  <c r="M1122" i="17"/>
  <c r="L1139" i="17"/>
  <c r="G1139" i="17"/>
  <c r="M1139" i="17"/>
  <c r="O1139" i="17"/>
  <c r="F1139" i="17"/>
  <c r="H1139" i="17"/>
  <c r="N1139" i="17"/>
  <c r="I1139" i="17"/>
  <c r="J1139" i="17"/>
  <c r="K1139" i="17"/>
  <c r="L1099" i="17"/>
  <c r="G1099" i="17"/>
  <c r="M1099" i="17"/>
  <c r="F1099" i="17"/>
  <c r="H1099" i="17"/>
  <c r="N1099" i="17"/>
  <c r="I1099" i="17"/>
  <c r="K1099" i="17"/>
  <c r="O1099" i="17"/>
  <c r="J1099" i="17"/>
  <c r="M1086" i="17"/>
  <c r="G1086" i="17"/>
  <c r="N1086" i="17"/>
  <c r="K1086" i="17"/>
  <c r="I1086" i="17"/>
  <c r="L1086" i="17"/>
  <c r="F1086" i="17"/>
  <c r="H1086" i="17"/>
  <c r="O1086" i="17"/>
  <c r="J1086" i="17"/>
  <c r="F1089" i="17"/>
  <c r="K1089" i="17"/>
  <c r="H1089" i="17"/>
  <c r="O1089" i="17"/>
  <c r="M1089" i="17"/>
  <c r="L1089" i="17"/>
  <c r="I1089" i="17"/>
  <c r="N1089" i="17"/>
  <c r="J1089" i="17"/>
  <c r="G1089" i="17"/>
  <c r="O1092" i="17"/>
  <c r="I1092" i="17"/>
  <c r="J1092" i="17"/>
  <c r="G1092" i="17"/>
  <c r="F1092" i="17"/>
  <c r="L1092" i="17"/>
  <c r="K1092" i="17"/>
  <c r="N1092" i="17"/>
  <c r="H1092" i="17"/>
  <c r="M1092" i="17"/>
  <c r="L1095" i="17"/>
  <c r="F1095" i="17"/>
  <c r="K1095" i="17"/>
  <c r="G1095" i="17"/>
  <c r="J1095" i="17"/>
  <c r="M1095" i="17"/>
  <c r="H1095" i="17"/>
  <c r="O1095" i="17"/>
  <c r="I1095" i="17"/>
  <c r="N1095" i="17"/>
  <c r="N1051" i="17"/>
  <c r="I1051" i="17"/>
  <c r="K1051" i="17"/>
  <c r="J1051" i="17"/>
  <c r="L1051" i="17"/>
  <c r="G1051" i="17"/>
  <c r="F1051" i="17"/>
  <c r="H1051" i="17"/>
  <c r="M1051" i="17"/>
  <c r="O1051" i="17"/>
  <c r="K1042" i="17"/>
  <c r="F1042" i="17"/>
  <c r="H1042" i="17"/>
  <c r="G1042" i="17"/>
  <c r="M1042" i="17"/>
  <c r="N1042" i="17"/>
  <c r="I1042" i="17"/>
  <c r="O1042" i="17"/>
  <c r="J1042" i="17"/>
  <c r="L1042" i="17"/>
  <c r="F1043" i="17"/>
  <c r="H1043" i="17"/>
  <c r="M1043" i="17"/>
  <c r="G1043" i="17"/>
  <c r="N1043" i="17"/>
  <c r="I1043" i="17"/>
  <c r="O1043" i="17"/>
  <c r="J1043" i="17"/>
  <c r="L1043" i="17"/>
  <c r="K1043" i="17"/>
  <c r="H1044" i="17"/>
  <c r="J1044" i="17"/>
  <c r="M1044" i="17"/>
  <c r="O1044" i="17"/>
  <c r="F1044" i="17"/>
  <c r="I1044" i="17"/>
  <c r="K1044" i="17"/>
  <c r="N1044" i="17"/>
  <c r="L1044" i="17"/>
  <c r="G1044" i="17"/>
  <c r="H1053" i="17"/>
  <c r="N1053" i="17"/>
  <c r="I1053" i="17"/>
  <c r="O1053" i="17"/>
  <c r="J1053" i="17"/>
  <c r="K1053" i="17"/>
  <c r="F1053" i="17"/>
  <c r="L1053" i="17"/>
  <c r="G1053" i="17"/>
  <c r="M1053" i="17"/>
  <c r="F1002" i="17"/>
  <c r="H1002" i="17"/>
  <c r="M1002" i="17"/>
  <c r="O1002" i="17"/>
  <c r="G1002" i="17"/>
  <c r="N1002" i="17"/>
  <c r="I1002" i="17"/>
  <c r="K1002" i="17"/>
  <c r="J1002" i="17"/>
  <c r="L1002" i="17"/>
  <c r="K1018" i="17"/>
  <c r="F1018" i="17"/>
  <c r="H1018" i="17"/>
  <c r="G1018" i="17"/>
  <c r="M1018" i="17"/>
  <c r="O1018" i="17"/>
  <c r="L1018" i="17"/>
  <c r="N1018" i="17"/>
  <c r="I1018" i="17"/>
  <c r="J1018" i="17"/>
  <c r="O1001" i="17"/>
  <c r="J1001" i="17"/>
  <c r="L1001" i="17"/>
  <c r="K1001" i="17"/>
  <c r="H1001" i="17"/>
  <c r="G1001" i="17"/>
  <c r="M1001" i="17"/>
  <c r="N1001" i="17"/>
  <c r="I1001" i="17"/>
  <c r="F1001" i="17"/>
  <c r="G1006" i="17"/>
  <c r="M1006" i="17"/>
  <c r="N1006" i="17"/>
  <c r="O1006" i="17"/>
  <c r="J1006" i="17"/>
  <c r="H1006" i="17"/>
  <c r="K1006" i="17"/>
  <c r="F1006" i="17"/>
  <c r="L1006" i="17"/>
  <c r="I1006" i="17"/>
  <c r="L1008" i="17"/>
  <c r="G1008" i="17"/>
  <c r="H1008" i="17"/>
  <c r="M1008" i="17"/>
  <c r="O1008" i="17"/>
  <c r="J1008" i="17"/>
  <c r="I1008" i="17"/>
  <c r="K1008" i="17"/>
  <c r="F1008" i="17"/>
  <c r="N1008" i="17"/>
  <c r="I963" i="17"/>
  <c r="K963" i="17"/>
  <c r="N963" i="17"/>
  <c r="L963" i="17"/>
  <c r="G963" i="17"/>
  <c r="F963" i="17"/>
  <c r="H963" i="17"/>
  <c r="J963" i="17"/>
  <c r="M963" i="17"/>
  <c r="O963" i="17"/>
  <c r="F958" i="17"/>
  <c r="L958" i="17"/>
  <c r="O958" i="17"/>
  <c r="E978" i="17"/>
  <c r="E979" i="17" s="1"/>
  <c r="H958" i="17"/>
  <c r="N958" i="17"/>
  <c r="M958" i="17"/>
  <c r="K958" i="17"/>
  <c r="J958" i="17"/>
  <c r="I958" i="17"/>
  <c r="G958" i="17"/>
  <c r="J962" i="17"/>
  <c r="L962" i="17"/>
  <c r="K962" i="17"/>
  <c r="F962" i="17"/>
  <c r="H962" i="17"/>
  <c r="M962" i="17"/>
  <c r="G962" i="17"/>
  <c r="O962" i="17"/>
  <c r="I962" i="17"/>
  <c r="N962" i="17"/>
  <c r="L928" i="17"/>
  <c r="G928" i="17"/>
  <c r="M928" i="17"/>
  <c r="H928" i="17"/>
  <c r="N928" i="17"/>
  <c r="I928" i="17"/>
  <c r="F928" i="17"/>
  <c r="O928" i="17"/>
  <c r="J928" i="17"/>
  <c r="K928" i="17"/>
  <c r="L924" i="17"/>
  <c r="J924" i="17"/>
  <c r="K924" i="17"/>
  <c r="H924" i="17"/>
  <c r="G924" i="17"/>
  <c r="I924" i="17"/>
  <c r="O924" i="17"/>
  <c r="M924" i="17"/>
  <c r="N924" i="17"/>
  <c r="F924" i="17"/>
  <c r="O923" i="17"/>
  <c r="L923" i="17"/>
  <c r="J923" i="17"/>
  <c r="G923" i="17"/>
  <c r="I923" i="17"/>
  <c r="F923" i="17"/>
  <c r="M923" i="17"/>
  <c r="N923" i="17"/>
  <c r="K923" i="17"/>
  <c r="H923" i="17"/>
  <c r="L922" i="17"/>
  <c r="G922" i="17"/>
  <c r="K922" i="17"/>
  <c r="H922" i="17"/>
  <c r="F922" i="17"/>
  <c r="I922" i="17"/>
  <c r="M922" i="17"/>
  <c r="O922" i="17"/>
  <c r="N922" i="17"/>
  <c r="J922" i="17"/>
  <c r="O932" i="17"/>
  <c r="J932" i="17"/>
  <c r="M932" i="17"/>
  <c r="K932" i="17"/>
  <c r="F932" i="17"/>
  <c r="H932" i="17"/>
  <c r="L932" i="17"/>
  <c r="G932" i="17"/>
  <c r="I932" i="17"/>
  <c r="N932" i="17"/>
  <c r="G929" i="17"/>
  <c r="M929" i="17"/>
  <c r="K929" i="17"/>
  <c r="N929" i="17"/>
  <c r="I929" i="17"/>
  <c r="F929" i="17"/>
  <c r="O929" i="17"/>
  <c r="J929" i="17"/>
  <c r="L929" i="17"/>
  <c r="H929" i="17"/>
  <c r="L919" i="17"/>
  <c r="G919" i="17"/>
  <c r="M919" i="17"/>
  <c r="K919" i="17"/>
  <c r="H919" i="17"/>
  <c r="N919" i="17"/>
  <c r="I919" i="17"/>
  <c r="O919" i="17"/>
  <c r="J919" i="17"/>
  <c r="F919" i="17"/>
  <c r="M886" i="17"/>
  <c r="O886" i="17"/>
  <c r="N886" i="17"/>
  <c r="H886" i="17"/>
  <c r="I886" i="17"/>
  <c r="K886" i="17"/>
  <c r="J886" i="17"/>
  <c r="F886" i="17"/>
  <c r="L886" i="17"/>
  <c r="G886" i="17"/>
  <c r="L891" i="17"/>
  <c r="G891" i="17"/>
  <c r="M891" i="17"/>
  <c r="H891" i="17"/>
  <c r="N891" i="17"/>
  <c r="I891" i="17"/>
  <c r="K891" i="17"/>
  <c r="O891" i="17"/>
  <c r="J891" i="17"/>
  <c r="F891" i="17"/>
  <c r="I890" i="17"/>
  <c r="K890" i="17"/>
  <c r="F890" i="17"/>
  <c r="G890" i="17"/>
  <c r="M890" i="17"/>
  <c r="L890" i="17"/>
  <c r="J890" i="17"/>
  <c r="H890" i="17"/>
  <c r="N890" i="17"/>
  <c r="O890" i="17"/>
  <c r="F853" i="17"/>
  <c r="H853" i="17"/>
  <c r="O853" i="17"/>
  <c r="M853" i="17"/>
  <c r="N853" i="17"/>
  <c r="K853" i="17"/>
  <c r="L853" i="17"/>
  <c r="J853" i="17"/>
  <c r="G853" i="17"/>
  <c r="I853" i="17"/>
  <c r="O840" i="17"/>
  <c r="J840" i="17"/>
  <c r="H840" i="17"/>
  <c r="G840" i="17"/>
  <c r="K840" i="17"/>
  <c r="F840" i="17"/>
  <c r="L840" i="17"/>
  <c r="M840" i="17"/>
  <c r="N840" i="17"/>
  <c r="I840" i="17"/>
  <c r="H843" i="17"/>
  <c r="N843" i="17"/>
  <c r="I843" i="17"/>
  <c r="O843" i="17"/>
  <c r="J843" i="17"/>
  <c r="F843" i="17"/>
  <c r="G843" i="17"/>
  <c r="L843" i="17"/>
  <c r="M843" i="17"/>
  <c r="K843" i="17"/>
  <c r="M841" i="17"/>
  <c r="K841" i="17"/>
  <c r="N841" i="17"/>
  <c r="G841" i="17"/>
  <c r="I841" i="17"/>
  <c r="L841" i="17"/>
  <c r="J841" i="17"/>
  <c r="H841" i="17"/>
  <c r="O841" i="17"/>
  <c r="F841" i="17"/>
  <c r="I850" i="17"/>
  <c r="K850" i="17"/>
  <c r="J850" i="17"/>
  <c r="L850" i="17"/>
  <c r="G850" i="17"/>
  <c r="F850" i="17"/>
  <c r="M850" i="17"/>
  <c r="H850" i="17"/>
  <c r="N850" i="17"/>
  <c r="O850" i="17"/>
  <c r="L803" i="17"/>
  <c r="G803" i="17"/>
  <c r="I803" i="17"/>
  <c r="H803" i="17"/>
  <c r="N803" i="17"/>
  <c r="M803" i="17"/>
  <c r="F803" i="17"/>
  <c r="O803" i="17"/>
  <c r="J803" i="17"/>
  <c r="K803" i="17"/>
  <c r="O808" i="17"/>
  <c r="J808" i="17"/>
  <c r="H808" i="17"/>
  <c r="I808" i="17"/>
  <c r="K808" i="17"/>
  <c r="F808" i="17"/>
  <c r="L808" i="17"/>
  <c r="G808" i="17"/>
  <c r="M808" i="17"/>
  <c r="N808" i="17"/>
  <c r="I794" i="17"/>
  <c r="K794" i="17"/>
  <c r="F794" i="17"/>
  <c r="M794" i="17"/>
  <c r="L794" i="17"/>
  <c r="G794" i="17"/>
  <c r="J794" i="17"/>
  <c r="E814" i="17"/>
  <c r="E815" i="17" s="1"/>
  <c r="H794" i="17"/>
  <c r="N794" i="17"/>
  <c r="O794" i="17"/>
  <c r="N796" i="17"/>
  <c r="I796" i="17"/>
  <c r="M796" i="17"/>
  <c r="O796" i="17"/>
  <c r="J796" i="17"/>
  <c r="L796" i="17"/>
  <c r="G796" i="17"/>
  <c r="K796" i="17"/>
  <c r="F796" i="17"/>
  <c r="H796" i="17"/>
  <c r="M805" i="17"/>
  <c r="O805" i="17"/>
  <c r="N805" i="17"/>
  <c r="I805" i="17"/>
  <c r="K805" i="17"/>
  <c r="L805" i="17"/>
  <c r="J805" i="17"/>
  <c r="G805" i="17"/>
  <c r="H805" i="17"/>
  <c r="F805" i="17"/>
  <c r="L767" i="17"/>
  <c r="G767" i="17"/>
  <c r="M767" i="17"/>
  <c r="H767" i="17"/>
  <c r="N767" i="17"/>
  <c r="I767" i="17"/>
  <c r="O767" i="17"/>
  <c r="J767" i="17"/>
  <c r="K767" i="17"/>
  <c r="F767" i="17"/>
  <c r="H754" i="17"/>
  <c r="F754" i="17"/>
  <c r="M754" i="17"/>
  <c r="N754" i="17"/>
  <c r="I754" i="17"/>
  <c r="K754" i="17"/>
  <c r="J754" i="17"/>
  <c r="L754" i="17"/>
  <c r="O754" i="17"/>
  <c r="G754" i="17"/>
  <c r="M761" i="17"/>
  <c r="K761" i="17"/>
  <c r="N761" i="17"/>
  <c r="I761" i="17"/>
  <c r="G761" i="17"/>
  <c r="J761" i="17"/>
  <c r="L761" i="17"/>
  <c r="O761" i="17"/>
  <c r="F761" i="17"/>
  <c r="H761" i="17"/>
  <c r="N764" i="17"/>
  <c r="I764" i="17"/>
  <c r="L764" i="17"/>
  <c r="K764" i="17"/>
  <c r="F764" i="17"/>
  <c r="H764" i="17"/>
  <c r="M764" i="17"/>
  <c r="O764" i="17"/>
  <c r="G764" i="17"/>
  <c r="J764" i="17"/>
  <c r="O731" i="17"/>
  <c r="J731" i="17"/>
  <c r="K731" i="17"/>
  <c r="F731" i="17"/>
  <c r="L731" i="17"/>
  <c r="G731" i="17"/>
  <c r="M731" i="17"/>
  <c r="H731" i="17"/>
  <c r="N731" i="17"/>
  <c r="I731" i="17"/>
  <c r="M730" i="17"/>
  <c r="H730" i="17"/>
  <c r="F730" i="17"/>
  <c r="I730" i="17"/>
  <c r="L730" i="17"/>
  <c r="J730" i="17"/>
  <c r="O730" i="17"/>
  <c r="G730" i="17"/>
  <c r="N730" i="17"/>
  <c r="K730" i="17"/>
  <c r="F724" i="17"/>
  <c r="H724" i="17"/>
  <c r="M724" i="17"/>
  <c r="O724" i="17"/>
  <c r="N724" i="17"/>
  <c r="I724" i="17"/>
  <c r="K724" i="17"/>
  <c r="J724" i="17"/>
  <c r="L724" i="17"/>
  <c r="G724" i="17"/>
  <c r="L721" i="17"/>
  <c r="G721" i="17"/>
  <c r="H721" i="17"/>
  <c r="F721" i="17"/>
  <c r="M721" i="17"/>
  <c r="O721" i="17"/>
  <c r="N721" i="17"/>
  <c r="I721" i="17"/>
  <c r="K721" i="17"/>
  <c r="J721" i="17"/>
  <c r="M689" i="17"/>
  <c r="O689" i="17"/>
  <c r="J689" i="17"/>
  <c r="I689" i="17"/>
  <c r="K689" i="17"/>
  <c r="F689" i="17"/>
  <c r="L689" i="17"/>
  <c r="G689" i="17"/>
  <c r="H689" i="17"/>
  <c r="N689" i="17"/>
  <c r="F688" i="17"/>
  <c r="H688" i="17"/>
  <c r="M688" i="17"/>
  <c r="O688" i="17"/>
  <c r="N688" i="17"/>
  <c r="I688" i="17"/>
  <c r="K688" i="17"/>
  <c r="J688" i="17"/>
  <c r="L688" i="17"/>
  <c r="G688" i="17"/>
  <c r="K687" i="17"/>
  <c r="F687" i="17"/>
  <c r="H687" i="17"/>
  <c r="G687" i="17"/>
  <c r="M687" i="17"/>
  <c r="N687" i="17"/>
  <c r="I687" i="17"/>
  <c r="O687" i="17"/>
  <c r="J687" i="17"/>
  <c r="L687" i="17"/>
  <c r="H677" i="17"/>
  <c r="N677" i="17"/>
  <c r="M677" i="17"/>
  <c r="O677" i="17"/>
  <c r="J677" i="17"/>
  <c r="I677" i="17"/>
  <c r="K677" i="17"/>
  <c r="F677" i="17"/>
  <c r="L677" i="17"/>
  <c r="G677" i="17"/>
  <c r="K686" i="17"/>
  <c r="F686" i="17"/>
  <c r="L686" i="17"/>
  <c r="G686" i="17"/>
  <c r="I686" i="17"/>
  <c r="H686" i="17"/>
  <c r="N686" i="17"/>
  <c r="M686" i="17"/>
  <c r="O686" i="17"/>
  <c r="J686" i="17"/>
  <c r="J644" i="17"/>
  <c r="L644" i="17"/>
  <c r="K644" i="17"/>
  <c r="F644" i="17"/>
  <c r="H644" i="17"/>
  <c r="M644" i="17"/>
  <c r="G644" i="17"/>
  <c r="N644" i="17"/>
  <c r="I644" i="17"/>
  <c r="O644" i="17"/>
  <c r="K643" i="17"/>
  <c r="F643" i="17"/>
  <c r="H643" i="17"/>
  <c r="G643" i="17"/>
  <c r="M643" i="17"/>
  <c r="N643" i="17"/>
  <c r="I643" i="17"/>
  <c r="O643" i="17"/>
  <c r="J643" i="17"/>
  <c r="L643" i="17"/>
  <c r="J640" i="17"/>
  <c r="L640" i="17"/>
  <c r="O640" i="17"/>
  <c r="F640" i="17"/>
  <c r="H640" i="17"/>
  <c r="M640" i="17"/>
  <c r="K640" i="17"/>
  <c r="N640" i="17"/>
  <c r="I640" i="17"/>
  <c r="G640" i="17"/>
  <c r="I649" i="17"/>
  <c r="K649" i="17"/>
  <c r="J649" i="17"/>
  <c r="L649" i="17"/>
  <c r="G649" i="17"/>
  <c r="H649" i="17"/>
  <c r="F649" i="17"/>
  <c r="M649" i="17"/>
  <c r="O649" i="17"/>
  <c r="N649" i="17"/>
  <c r="N639" i="17"/>
  <c r="I639" i="17"/>
  <c r="O639" i="17"/>
  <c r="H639" i="17"/>
  <c r="J639" i="17"/>
  <c r="K639" i="17"/>
  <c r="F639" i="17"/>
  <c r="L639" i="17"/>
  <c r="G639" i="17"/>
  <c r="M639" i="17"/>
  <c r="O599" i="17"/>
  <c r="J599" i="17"/>
  <c r="L599" i="17"/>
  <c r="K599" i="17"/>
  <c r="F599" i="17"/>
  <c r="H599" i="17"/>
  <c r="G599" i="17"/>
  <c r="M599" i="17"/>
  <c r="N599" i="17"/>
  <c r="I599" i="17"/>
  <c r="N596" i="17"/>
  <c r="I596" i="17"/>
  <c r="O596" i="17"/>
  <c r="J596" i="17"/>
  <c r="L596" i="17"/>
  <c r="K596" i="17"/>
  <c r="F596" i="17"/>
  <c r="H596" i="17"/>
  <c r="M596" i="17"/>
  <c r="G596" i="17"/>
  <c r="H594" i="17"/>
  <c r="N594" i="17"/>
  <c r="I594" i="17"/>
  <c r="O594" i="17"/>
  <c r="J594" i="17"/>
  <c r="K594" i="17"/>
  <c r="F594" i="17"/>
  <c r="L594" i="17"/>
  <c r="G594" i="17"/>
  <c r="M594" i="17"/>
  <c r="J608" i="17"/>
  <c r="L608" i="17"/>
  <c r="O608" i="17"/>
  <c r="F608" i="17"/>
  <c r="H608" i="17"/>
  <c r="M608" i="17"/>
  <c r="K608" i="17"/>
  <c r="N608" i="17"/>
  <c r="G608" i="17"/>
  <c r="I608" i="17"/>
  <c r="M555" i="17"/>
  <c r="O555" i="17"/>
  <c r="J555" i="17"/>
  <c r="I555" i="17"/>
  <c r="K555" i="17"/>
  <c r="N555" i="17"/>
  <c r="L555" i="17"/>
  <c r="G555" i="17"/>
  <c r="H555" i="17"/>
  <c r="F555" i="17"/>
  <c r="L564" i="17"/>
  <c r="G564" i="17"/>
  <c r="M564" i="17"/>
  <c r="H564" i="17"/>
  <c r="N564" i="17"/>
  <c r="I564" i="17"/>
  <c r="O564" i="17"/>
  <c r="J564" i="17"/>
  <c r="K564" i="17"/>
  <c r="F564" i="17"/>
  <c r="O552" i="17"/>
  <c r="J552" i="17"/>
  <c r="K552" i="17"/>
  <c r="F552" i="17"/>
  <c r="L552" i="17"/>
  <c r="G552" i="17"/>
  <c r="M552" i="17"/>
  <c r="H552" i="17"/>
  <c r="N552" i="17"/>
  <c r="I552" i="17"/>
  <c r="L551" i="17"/>
  <c r="G551" i="17"/>
  <c r="H551" i="17"/>
  <c r="J551" i="17"/>
  <c r="M551" i="17"/>
  <c r="O551" i="17"/>
  <c r="F551" i="17"/>
  <c r="I551" i="17"/>
  <c r="K551" i="17"/>
  <c r="N551" i="17"/>
  <c r="L548" i="17"/>
  <c r="G548" i="17"/>
  <c r="M548" i="17"/>
  <c r="N548" i="17"/>
  <c r="H548" i="17"/>
  <c r="E568" i="17"/>
  <c r="E569" i="17" s="1"/>
  <c r="O548" i="17"/>
  <c r="J548" i="17"/>
  <c r="I548" i="17"/>
  <c r="F548" i="17"/>
  <c r="K548" i="17"/>
  <c r="O521" i="17"/>
  <c r="J521" i="17"/>
  <c r="L521" i="17"/>
  <c r="K521" i="17"/>
  <c r="F521" i="17"/>
  <c r="H521" i="17"/>
  <c r="G521" i="17"/>
  <c r="M521" i="17"/>
  <c r="N521" i="17"/>
  <c r="I521" i="17"/>
  <c r="I507" i="17"/>
  <c r="K507" i="17"/>
  <c r="N507" i="17"/>
  <c r="L507" i="17"/>
  <c r="G507" i="17"/>
  <c r="E527" i="17"/>
  <c r="E528" i="17" s="1"/>
  <c r="H507" i="17"/>
  <c r="F507" i="17"/>
  <c r="M507" i="17"/>
  <c r="O507" i="17"/>
  <c r="J507" i="17"/>
  <c r="H512" i="17"/>
  <c r="N512" i="17"/>
  <c r="M512" i="17"/>
  <c r="O512" i="17"/>
  <c r="J512" i="17"/>
  <c r="K512" i="17"/>
  <c r="F512" i="17"/>
  <c r="L512" i="17"/>
  <c r="G512" i="17"/>
  <c r="I512" i="17"/>
  <c r="J510" i="17"/>
  <c r="L510" i="17"/>
  <c r="G510" i="17"/>
  <c r="F510" i="17"/>
  <c r="H510" i="17"/>
  <c r="M510" i="17"/>
  <c r="O510" i="17"/>
  <c r="N510" i="17"/>
  <c r="I510" i="17"/>
  <c r="K510" i="17"/>
  <c r="I519" i="17"/>
  <c r="K519" i="17"/>
  <c r="N519" i="17"/>
  <c r="G519" i="17"/>
  <c r="L519" i="17"/>
  <c r="F519" i="17"/>
  <c r="H519" i="17"/>
  <c r="J519" i="17"/>
  <c r="M519" i="17"/>
  <c r="O519" i="17"/>
  <c r="N466" i="17"/>
  <c r="M466" i="17"/>
  <c r="K466" i="17"/>
  <c r="J466" i="17"/>
  <c r="I466" i="17"/>
  <c r="G466" i="17"/>
  <c r="F466" i="17"/>
  <c r="L466" i="17"/>
  <c r="O466" i="17"/>
  <c r="E486" i="17"/>
  <c r="E487" i="17" s="1"/>
  <c r="H466" i="17"/>
  <c r="H471" i="17"/>
  <c r="J471" i="17"/>
  <c r="M471" i="17"/>
  <c r="O471" i="17"/>
  <c r="F471" i="17"/>
  <c r="I471" i="17"/>
  <c r="K471" i="17"/>
  <c r="N471" i="17"/>
  <c r="L471" i="17"/>
  <c r="G471" i="17"/>
  <c r="F469" i="17"/>
  <c r="G469" i="17"/>
  <c r="M469" i="17"/>
  <c r="N469" i="17"/>
  <c r="I469" i="17"/>
  <c r="O469" i="17"/>
  <c r="J469" i="17"/>
  <c r="L469" i="17"/>
  <c r="K469" i="17"/>
  <c r="H469" i="17"/>
  <c r="L478" i="17"/>
  <c r="F478" i="17"/>
  <c r="H478" i="17"/>
  <c r="O478" i="17"/>
  <c r="G478" i="17"/>
  <c r="M478" i="17"/>
  <c r="N478" i="17"/>
  <c r="I478" i="17"/>
  <c r="K478" i="17"/>
  <c r="J478" i="17"/>
  <c r="O427" i="17"/>
  <c r="F427" i="17"/>
  <c r="K427" i="17"/>
  <c r="L427" i="17"/>
  <c r="M427" i="17"/>
  <c r="G427" i="17"/>
  <c r="J427" i="17"/>
  <c r="I427" i="17"/>
  <c r="N427" i="17"/>
  <c r="H427" i="17"/>
  <c r="L440" i="17"/>
  <c r="G440" i="17"/>
  <c r="I440" i="17"/>
  <c r="H440" i="17"/>
  <c r="N440" i="17"/>
  <c r="M440" i="17"/>
  <c r="O440" i="17"/>
  <c r="J440" i="17"/>
  <c r="K440" i="17"/>
  <c r="F440" i="17"/>
  <c r="G437" i="17"/>
  <c r="M437" i="17"/>
  <c r="N437" i="17"/>
  <c r="I437" i="17"/>
  <c r="O437" i="17"/>
  <c r="J437" i="17"/>
  <c r="L437" i="17"/>
  <c r="K437" i="17"/>
  <c r="F437" i="17"/>
  <c r="H437" i="17"/>
  <c r="J438" i="17"/>
  <c r="L438" i="17"/>
  <c r="G438" i="17"/>
  <c r="F438" i="17"/>
  <c r="H438" i="17"/>
  <c r="M438" i="17"/>
  <c r="O438" i="17"/>
  <c r="N438" i="17"/>
  <c r="I438" i="17"/>
  <c r="K438" i="17"/>
  <c r="M399" i="17"/>
  <c r="G399" i="17"/>
  <c r="H399" i="17"/>
  <c r="I399" i="17"/>
  <c r="L399" i="17"/>
  <c r="F399" i="17"/>
  <c r="O399" i="17"/>
  <c r="J399" i="17"/>
  <c r="K399" i="17"/>
  <c r="N399" i="17"/>
  <c r="I387" i="17"/>
  <c r="H387" i="17"/>
  <c r="J387" i="17"/>
  <c r="O387" i="17"/>
  <c r="N387" i="17"/>
  <c r="K387" i="17"/>
  <c r="F387" i="17"/>
  <c r="M387" i="17"/>
  <c r="G387" i="17"/>
  <c r="L387" i="17"/>
  <c r="F354" i="17"/>
  <c r="G354" i="17"/>
  <c r="L354" i="17"/>
  <c r="M354" i="17"/>
  <c r="N354" i="17"/>
  <c r="H354" i="17"/>
  <c r="K354" i="17"/>
  <c r="J354" i="17"/>
  <c r="O354" i="17"/>
  <c r="I354" i="17"/>
  <c r="K355" i="17"/>
  <c r="F355" i="17"/>
  <c r="M355" i="17"/>
  <c r="G355" i="17"/>
  <c r="N355" i="17"/>
  <c r="I355" i="17"/>
  <c r="J355" i="17"/>
  <c r="L355" i="17"/>
  <c r="O355" i="17"/>
  <c r="H355" i="17"/>
  <c r="N350" i="17"/>
  <c r="H350" i="17"/>
  <c r="O350" i="17"/>
  <c r="J350" i="17"/>
  <c r="K350" i="17"/>
  <c r="M350" i="17"/>
  <c r="F350" i="17"/>
  <c r="I350" i="17"/>
  <c r="L350" i="17"/>
  <c r="G350" i="17"/>
  <c r="O357" i="17"/>
  <c r="I357" i="17"/>
  <c r="L357" i="17"/>
  <c r="K357" i="17"/>
  <c r="H357" i="17"/>
  <c r="J357" i="17"/>
  <c r="G357" i="17"/>
  <c r="N357" i="17"/>
  <c r="M357" i="17"/>
  <c r="F357" i="17"/>
  <c r="N362" i="17"/>
  <c r="H362" i="17"/>
  <c r="K362" i="17"/>
  <c r="J362" i="17"/>
  <c r="O362" i="17"/>
  <c r="I362" i="17"/>
  <c r="F362" i="17"/>
  <c r="G362" i="17"/>
  <c r="L362" i="17"/>
  <c r="M362" i="17"/>
  <c r="I351" i="17"/>
  <c r="N351" i="17"/>
  <c r="H351" i="17"/>
  <c r="O351" i="17"/>
  <c r="F351" i="17"/>
  <c r="K351" i="17"/>
  <c r="L351" i="17"/>
  <c r="M351" i="17"/>
  <c r="G351" i="17"/>
  <c r="J351" i="17"/>
  <c r="M353" i="17"/>
  <c r="N353" i="17"/>
  <c r="O353" i="17"/>
  <c r="H353" i="17"/>
  <c r="I353" i="17"/>
  <c r="K353" i="17"/>
  <c r="L353" i="17"/>
  <c r="F353" i="17"/>
  <c r="G353" i="17"/>
  <c r="J353" i="17"/>
  <c r="M319" i="17"/>
  <c r="G319" i="17"/>
  <c r="J319" i="17"/>
  <c r="I319" i="17"/>
  <c r="H319" i="17"/>
  <c r="L319" i="17"/>
  <c r="O319" i="17"/>
  <c r="N319" i="17"/>
  <c r="K319" i="17"/>
  <c r="F319" i="17"/>
  <c r="F314" i="17"/>
  <c r="O314" i="17"/>
  <c r="L314" i="17"/>
  <c r="G314" i="17"/>
  <c r="N314" i="17"/>
  <c r="H314" i="17"/>
  <c r="K314" i="17"/>
  <c r="J314" i="17"/>
  <c r="I314" i="17"/>
  <c r="M314" i="17"/>
  <c r="M307" i="17"/>
  <c r="G307" i="17"/>
  <c r="N307" i="17"/>
  <c r="I307" i="17"/>
  <c r="L307" i="17"/>
  <c r="H307" i="17"/>
  <c r="O307" i="17"/>
  <c r="J307" i="17"/>
  <c r="K307" i="17"/>
  <c r="F307" i="17"/>
  <c r="H312" i="17"/>
  <c r="K312" i="17"/>
  <c r="G312" i="17"/>
  <c r="N312" i="17"/>
  <c r="I312" i="17"/>
  <c r="J312" i="17"/>
  <c r="L312" i="17"/>
  <c r="F312" i="17"/>
  <c r="M312" i="17"/>
  <c r="O312" i="17"/>
  <c r="K317" i="17"/>
  <c r="J317" i="17"/>
  <c r="F317" i="17"/>
  <c r="N317" i="17"/>
  <c r="G317" i="17"/>
  <c r="H317" i="17"/>
  <c r="O317" i="17"/>
  <c r="I317" i="17"/>
  <c r="L317" i="17"/>
  <c r="M317" i="17"/>
  <c r="J272" i="17"/>
  <c r="I272" i="17"/>
  <c r="L272" i="17"/>
  <c r="F272" i="17"/>
  <c r="G272" i="17"/>
  <c r="H272" i="17"/>
  <c r="M272" i="17"/>
  <c r="O272" i="17"/>
  <c r="N272" i="17"/>
  <c r="K272" i="17"/>
  <c r="O273" i="17"/>
  <c r="I273" i="17"/>
  <c r="L273" i="17"/>
  <c r="K273" i="17"/>
  <c r="H273" i="17"/>
  <c r="J273" i="17"/>
  <c r="G273" i="17"/>
  <c r="N273" i="17"/>
  <c r="M273" i="17"/>
  <c r="F273" i="17"/>
  <c r="N262" i="17"/>
  <c r="H262" i="17"/>
  <c r="K262" i="17"/>
  <c r="J262" i="17"/>
  <c r="O262" i="17"/>
  <c r="I262" i="17"/>
  <c r="F262" i="17"/>
  <c r="G262" i="17"/>
  <c r="L262" i="17"/>
  <c r="M262" i="17"/>
  <c r="F274" i="17"/>
  <c r="I274" i="17"/>
  <c r="L274" i="17"/>
  <c r="O274" i="17"/>
  <c r="N274" i="17"/>
  <c r="H274" i="17"/>
  <c r="M274" i="17"/>
  <c r="J274" i="17"/>
  <c r="K274" i="17"/>
  <c r="G274" i="17"/>
  <c r="K267" i="17"/>
  <c r="L267" i="17"/>
  <c r="M267" i="17"/>
  <c r="G267" i="17"/>
  <c r="J267" i="17"/>
  <c r="I267" i="17"/>
  <c r="N267" i="17"/>
  <c r="H267" i="17"/>
  <c r="O267" i="17"/>
  <c r="F267" i="17"/>
  <c r="L268" i="17"/>
  <c r="F268" i="17"/>
  <c r="M268" i="17"/>
  <c r="H268" i="17"/>
  <c r="I268" i="17"/>
  <c r="K268" i="17"/>
  <c r="N268" i="17"/>
  <c r="O268" i="17"/>
  <c r="J268" i="17"/>
  <c r="G268" i="17"/>
  <c r="K223" i="17"/>
  <c r="L223" i="17"/>
  <c r="I223" i="17"/>
  <c r="G223" i="17"/>
  <c r="F223" i="17"/>
  <c r="M223" i="17"/>
  <c r="N223" i="17"/>
  <c r="O223" i="17"/>
  <c r="H223" i="17"/>
  <c r="J223" i="17"/>
  <c r="O231" i="17"/>
  <c r="N231" i="17"/>
  <c r="M231" i="17"/>
  <c r="K231" i="17"/>
  <c r="I231" i="17"/>
  <c r="L231" i="17"/>
  <c r="G231" i="17"/>
  <c r="H231" i="17"/>
  <c r="J231" i="17"/>
  <c r="F231" i="17"/>
  <c r="M237" i="17"/>
  <c r="K237" i="17"/>
  <c r="J237" i="17"/>
  <c r="I237" i="17"/>
  <c r="F237" i="17"/>
  <c r="H237" i="17"/>
  <c r="L237" i="17"/>
  <c r="O237" i="17"/>
  <c r="G237" i="17"/>
  <c r="N237" i="17"/>
  <c r="O227" i="17"/>
  <c r="I227" i="17"/>
  <c r="L227" i="17"/>
  <c r="K227" i="17"/>
  <c r="M227" i="17"/>
  <c r="J227" i="17"/>
  <c r="G227" i="17"/>
  <c r="H227" i="17"/>
  <c r="N227" i="17"/>
  <c r="F227" i="17"/>
  <c r="F226" i="17"/>
  <c r="G226" i="17"/>
  <c r="L226" i="17"/>
  <c r="O226" i="17"/>
  <c r="N226" i="17"/>
  <c r="H226" i="17"/>
  <c r="J226" i="17"/>
  <c r="M226" i="17"/>
  <c r="K226" i="17"/>
  <c r="I226" i="17"/>
  <c r="H225" i="17"/>
  <c r="J225" i="17"/>
  <c r="M225" i="17"/>
  <c r="L225" i="17"/>
  <c r="F225" i="17"/>
  <c r="I225" i="17"/>
  <c r="G225" i="17"/>
  <c r="O225" i="17"/>
  <c r="N225" i="17"/>
  <c r="K225" i="17"/>
  <c r="G194" i="17"/>
  <c r="L194" i="17"/>
  <c r="J194" i="17"/>
  <c r="H194" i="17"/>
  <c r="O194" i="17"/>
  <c r="N194" i="17"/>
  <c r="M194" i="17"/>
  <c r="K194" i="17"/>
  <c r="I194" i="17"/>
  <c r="F194" i="17"/>
  <c r="I181" i="17"/>
  <c r="H181" i="17"/>
  <c r="N181" i="17"/>
  <c r="M181" i="17"/>
  <c r="O181" i="17"/>
  <c r="J181" i="17"/>
  <c r="K181" i="17"/>
  <c r="G181" i="17"/>
  <c r="F181" i="17"/>
  <c r="L181" i="17"/>
  <c r="O196" i="17"/>
  <c r="G196" i="17"/>
  <c r="N196" i="17"/>
  <c r="F196" i="17"/>
  <c r="M196" i="17"/>
  <c r="J196" i="17"/>
  <c r="H196" i="17"/>
  <c r="I196" i="17"/>
  <c r="L196" i="17"/>
  <c r="K196" i="17"/>
  <c r="O156" i="17"/>
  <c r="N156" i="17"/>
  <c r="M156" i="17"/>
  <c r="K156" i="17"/>
  <c r="F156" i="17"/>
  <c r="H156" i="17"/>
  <c r="G156" i="17"/>
  <c r="L156" i="17"/>
  <c r="J156" i="17"/>
  <c r="I156" i="17"/>
  <c r="I146" i="17"/>
  <c r="F146" i="17"/>
  <c r="J146" i="17"/>
  <c r="L146" i="17"/>
  <c r="O146" i="17"/>
  <c r="H146" i="17"/>
  <c r="K146" i="17"/>
  <c r="M146" i="17"/>
  <c r="N146" i="17"/>
  <c r="G146" i="17"/>
  <c r="J148" i="17"/>
  <c r="I148" i="17"/>
  <c r="O148" i="17"/>
  <c r="N148" i="17"/>
  <c r="M148" i="17"/>
  <c r="K148" i="17"/>
  <c r="F148" i="17"/>
  <c r="H148" i="17"/>
  <c r="G148" i="17"/>
  <c r="L148" i="17"/>
  <c r="G103" i="17"/>
  <c r="M103" i="17"/>
  <c r="L103" i="17"/>
  <c r="K103" i="17"/>
  <c r="I103" i="17"/>
  <c r="H103" i="17"/>
  <c r="N103" i="17"/>
  <c r="J103" i="17"/>
  <c r="O103" i="17"/>
  <c r="F103" i="17"/>
  <c r="M98" i="17"/>
  <c r="O98" i="17"/>
  <c r="K98" i="17"/>
  <c r="I98" i="17"/>
  <c r="G98" i="17"/>
  <c r="J98" i="17"/>
  <c r="L98" i="17"/>
  <c r="N98" i="17"/>
  <c r="H98" i="17"/>
  <c r="F98" i="17"/>
  <c r="K72" i="17"/>
  <c r="F72" i="17"/>
  <c r="I72" i="17"/>
  <c r="G72" i="17"/>
  <c r="M72" i="17"/>
  <c r="N72" i="17"/>
  <c r="H72" i="17"/>
  <c r="O72" i="17"/>
  <c r="J72" i="17"/>
  <c r="L72" i="17"/>
  <c r="I69" i="17"/>
  <c r="L69" i="17"/>
  <c r="N69" i="17"/>
  <c r="M69" i="17"/>
  <c r="K69" i="17"/>
  <c r="J69" i="17"/>
  <c r="O69" i="17"/>
  <c r="H69" i="17"/>
  <c r="F69" i="17"/>
  <c r="G69" i="17"/>
  <c r="K67" i="17"/>
  <c r="I67" i="17"/>
  <c r="L67" i="17"/>
  <c r="G67" i="17"/>
  <c r="N67" i="17"/>
  <c r="H67" i="17"/>
  <c r="J67" i="17"/>
  <c r="F67" i="17"/>
  <c r="O67" i="17"/>
  <c r="M67" i="17"/>
  <c r="J73" i="17"/>
  <c r="O73" i="17"/>
  <c r="K73" i="17"/>
  <c r="F73" i="17"/>
  <c r="G73" i="17"/>
  <c r="I73" i="17"/>
  <c r="H73" i="17"/>
  <c r="N73" i="17"/>
  <c r="M73" i="17"/>
  <c r="L73" i="17"/>
  <c r="G63" i="17"/>
  <c r="I63" i="17"/>
  <c r="L63" i="17"/>
  <c r="K63" i="17"/>
  <c r="N63" i="17"/>
  <c r="H63" i="17"/>
  <c r="J63" i="17"/>
  <c r="F63" i="17"/>
  <c r="O63" i="17"/>
  <c r="M63" i="17"/>
  <c r="H70" i="17"/>
  <c r="N70" i="17"/>
  <c r="M70" i="17"/>
  <c r="O70" i="17"/>
  <c r="F70" i="17"/>
  <c r="I70" i="17"/>
  <c r="G70" i="17"/>
  <c r="K70" i="17"/>
  <c r="L70" i="17"/>
  <c r="J70" i="17"/>
  <c r="G56" i="17"/>
  <c r="E76" i="17"/>
  <c r="E77" i="17" s="1"/>
  <c r="I56" i="17"/>
  <c r="N56" i="17"/>
  <c r="M56" i="17"/>
  <c r="O56" i="17"/>
  <c r="J56" i="17"/>
  <c r="L56" i="17"/>
  <c r="K56" i="17"/>
  <c r="F56" i="17"/>
  <c r="H56" i="17"/>
  <c r="L1257" i="17"/>
  <c r="F1257" i="17"/>
  <c r="K1257" i="17"/>
  <c r="H1257" i="17"/>
  <c r="O1257" i="17"/>
  <c r="I1257" i="17"/>
  <c r="N1257" i="17"/>
  <c r="G1257" i="17"/>
  <c r="J1257" i="17"/>
  <c r="M1257" i="17"/>
  <c r="M1264" i="17"/>
  <c r="G1264" i="17"/>
  <c r="N1264" i="17"/>
  <c r="I1264" i="17"/>
  <c r="L1264" i="17"/>
  <c r="F1264" i="17"/>
  <c r="O1264" i="17"/>
  <c r="J1264" i="17"/>
  <c r="K1264" i="17"/>
  <c r="H1264" i="17"/>
  <c r="H1249" i="17"/>
  <c r="O1249" i="17"/>
  <c r="I1249" i="17"/>
  <c r="N1249" i="17"/>
  <c r="G1249" i="17"/>
  <c r="J1249" i="17"/>
  <c r="M1249" i="17"/>
  <c r="L1249" i="17"/>
  <c r="F1249" i="17"/>
  <c r="K1249" i="17"/>
  <c r="J1263" i="17"/>
  <c r="I1263" i="17"/>
  <c r="K1263" i="17"/>
  <c r="F1263" i="17"/>
  <c r="O1263" i="17"/>
  <c r="L1263" i="17"/>
  <c r="G1263" i="17"/>
  <c r="N1263" i="17"/>
  <c r="H1263" i="17"/>
  <c r="M1263" i="17"/>
  <c r="K1252" i="17"/>
  <c r="F1252" i="17"/>
  <c r="M1252" i="17"/>
  <c r="G1252" i="17"/>
  <c r="L1252" i="17"/>
  <c r="I1252" i="17"/>
  <c r="H1252" i="17"/>
  <c r="J1252" i="17"/>
  <c r="O1252" i="17"/>
  <c r="N1252" i="17"/>
  <c r="O1211" i="17"/>
  <c r="N1211" i="17"/>
  <c r="K1211" i="17"/>
  <c r="F1211" i="17"/>
  <c r="M1211" i="17"/>
  <c r="G1211" i="17"/>
  <c r="L1211" i="17"/>
  <c r="I1211" i="17"/>
  <c r="H1211" i="17"/>
  <c r="J1211" i="17"/>
  <c r="O1217" i="17"/>
  <c r="J1217" i="17"/>
  <c r="L1217" i="17"/>
  <c r="K1217" i="17"/>
  <c r="F1217" i="17"/>
  <c r="H1217" i="17"/>
  <c r="G1217" i="17"/>
  <c r="M1217" i="17"/>
  <c r="N1217" i="17"/>
  <c r="I1217" i="17"/>
  <c r="M1223" i="17"/>
  <c r="O1223" i="17"/>
  <c r="G1223" i="17"/>
  <c r="J1223" i="17"/>
  <c r="L1223" i="17"/>
  <c r="K1223" i="17"/>
  <c r="N1223" i="17"/>
  <c r="H1223" i="17"/>
  <c r="F1223" i="17"/>
  <c r="I1223" i="17"/>
  <c r="F1210" i="17"/>
  <c r="K1210" i="17"/>
  <c r="L1210" i="17"/>
  <c r="I1210" i="17"/>
  <c r="N1210" i="17"/>
  <c r="H1210" i="17"/>
  <c r="O1210" i="17"/>
  <c r="J1210" i="17"/>
  <c r="M1210" i="17"/>
  <c r="G1210" i="17"/>
  <c r="M1213" i="17"/>
  <c r="L1213" i="17"/>
  <c r="O1213" i="17"/>
  <c r="I1213" i="17"/>
  <c r="J1213" i="17"/>
  <c r="K1213" i="17"/>
  <c r="N1213" i="17"/>
  <c r="H1213" i="17"/>
  <c r="G1213" i="17"/>
  <c r="F1213" i="17"/>
  <c r="M1218" i="17"/>
  <c r="O1218" i="17"/>
  <c r="N1218" i="17"/>
  <c r="I1218" i="17"/>
  <c r="K1218" i="17"/>
  <c r="J1218" i="17"/>
  <c r="L1218" i="17"/>
  <c r="G1218" i="17"/>
  <c r="F1218" i="17"/>
  <c r="H1218" i="17"/>
  <c r="F1172" i="17"/>
  <c r="H1172" i="17"/>
  <c r="N1172" i="17"/>
  <c r="K1172" i="17"/>
  <c r="G1172" i="17"/>
  <c r="M1172" i="17"/>
  <c r="O1172" i="17"/>
  <c r="I1172" i="17"/>
  <c r="L1172" i="17"/>
  <c r="J1172" i="17"/>
  <c r="G1179" i="17"/>
  <c r="M1179" i="17"/>
  <c r="O1179" i="17"/>
  <c r="L1179" i="17"/>
  <c r="K1179" i="17"/>
  <c r="H1179" i="17"/>
  <c r="N1179" i="17"/>
  <c r="I1179" i="17"/>
  <c r="J1179" i="17"/>
  <c r="F1179" i="17"/>
  <c r="L1177" i="17"/>
  <c r="G1177" i="17"/>
  <c r="O1177" i="17"/>
  <c r="I1177" i="17"/>
  <c r="H1177" i="17"/>
  <c r="N1177" i="17"/>
  <c r="M1177" i="17"/>
  <c r="J1177" i="17"/>
  <c r="K1177" i="17"/>
  <c r="F1177" i="17"/>
  <c r="N1125" i="17"/>
  <c r="I1125" i="17"/>
  <c r="G1125" i="17"/>
  <c r="H1125" i="17"/>
  <c r="K1125" i="17"/>
  <c r="J1125" i="17"/>
  <c r="L1125" i="17"/>
  <c r="O1125" i="17"/>
  <c r="F1125" i="17"/>
  <c r="M1125" i="17"/>
  <c r="O1123" i="17"/>
  <c r="J1123" i="17"/>
  <c r="L1123" i="17"/>
  <c r="G1123" i="17"/>
  <c r="K1123" i="17"/>
  <c r="F1123" i="17"/>
  <c r="M1123" i="17"/>
  <c r="H1123" i="17"/>
  <c r="N1123" i="17"/>
  <c r="I1123" i="17"/>
  <c r="H1130" i="17"/>
  <c r="J1130" i="17"/>
  <c r="K1130" i="17"/>
  <c r="M1130" i="17"/>
  <c r="O1130" i="17"/>
  <c r="F1130" i="17"/>
  <c r="I1130" i="17"/>
  <c r="N1130" i="17"/>
  <c r="G1130" i="17"/>
  <c r="L1130" i="17"/>
  <c r="G1140" i="17"/>
  <c r="M1140" i="17"/>
  <c r="O1140" i="17"/>
  <c r="H1140" i="17"/>
  <c r="F1140" i="17"/>
  <c r="N1140" i="17"/>
  <c r="I1140" i="17"/>
  <c r="J1140" i="17"/>
  <c r="K1140" i="17"/>
  <c r="L1140" i="17"/>
  <c r="O1094" i="17"/>
  <c r="J1094" i="17"/>
  <c r="I1094" i="17"/>
  <c r="F1094" i="17"/>
  <c r="K1094" i="17"/>
  <c r="H1094" i="17"/>
  <c r="L1094" i="17"/>
  <c r="M1094" i="17"/>
  <c r="G1094" i="17"/>
  <c r="N1094" i="17"/>
  <c r="L1091" i="17"/>
  <c r="F1091" i="17"/>
  <c r="G1091" i="17"/>
  <c r="I1091" i="17"/>
  <c r="J1091" i="17"/>
  <c r="H1091" i="17"/>
  <c r="K1091" i="17"/>
  <c r="M1091" i="17"/>
  <c r="N1091" i="17"/>
  <c r="O1091" i="17"/>
  <c r="G1100" i="17"/>
  <c r="M1100" i="17"/>
  <c r="J1100" i="17"/>
  <c r="F1100" i="17"/>
  <c r="H1100" i="17"/>
  <c r="N1100" i="17"/>
  <c r="I1100" i="17"/>
  <c r="O1100" i="17"/>
  <c r="L1100" i="17"/>
  <c r="K1100" i="17"/>
  <c r="N1093" i="17"/>
  <c r="H1093" i="17"/>
  <c r="M1093" i="17"/>
  <c r="F1093" i="17"/>
  <c r="J1093" i="17"/>
  <c r="I1093" i="17"/>
  <c r="K1093" i="17"/>
  <c r="O1093" i="17"/>
  <c r="L1093" i="17"/>
  <c r="G1093" i="17"/>
  <c r="O1082" i="17"/>
  <c r="N1082" i="17"/>
  <c r="M1082" i="17"/>
  <c r="L1082" i="17"/>
  <c r="I1082" i="17"/>
  <c r="J1082" i="17"/>
  <c r="K1082" i="17"/>
  <c r="F1082" i="17"/>
  <c r="G1082" i="17"/>
  <c r="H1082" i="17"/>
  <c r="F1081" i="17"/>
  <c r="M1081" i="17"/>
  <c r="G1081" i="17"/>
  <c r="L1081" i="17"/>
  <c r="O1081" i="17"/>
  <c r="E1101" i="17"/>
  <c r="E1102" i="17" s="1"/>
  <c r="K1081" i="17"/>
  <c r="N1081" i="17"/>
  <c r="I1081" i="17"/>
  <c r="J1081" i="17"/>
  <c r="H1081" i="17"/>
  <c r="K1088" i="17"/>
  <c r="J1088" i="17"/>
  <c r="L1088" i="17"/>
  <c r="N1088" i="17"/>
  <c r="I1088" i="17"/>
  <c r="F1088" i="17"/>
  <c r="G1088" i="17"/>
  <c r="H1088" i="17"/>
  <c r="M1088" i="17"/>
  <c r="O1088" i="17"/>
  <c r="I1056" i="17"/>
  <c r="K1056" i="17"/>
  <c r="F1056" i="17"/>
  <c r="L1056" i="17"/>
  <c r="G1056" i="17"/>
  <c r="H1056" i="17"/>
  <c r="N1056" i="17"/>
  <c r="M1056" i="17"/>
  <c r="O1056" i="17"/>
  <c r="J1056" i="17"/>
  <c r="N1050" i="17"/>
  <c r="I1050" i="17"/>
  <c r="O1050" i="17"/>
  <c r="J1050" i="17"/>
  <c r="L1050" i="17"/>
  <c r="K1050" i="17"/>
  <c r="F1050" i="17"/>
  <c r="H1050" i="17"/>
  <c r="G1050" i="17"/>
  <c r="M1050" i="17"/>
  <c r="I1040" i="17"/>
  <c r="K1040" i="17"/>
  <c r="F1040" i="17"/>
  <c r="L1040" i="17"/>
  <c r="G1040" i="17"/>
  <c r="E1060" i="17"/>
  <c r="E1061" i="17" s="1"/>
  <c r="H1040" i="17"/>
  <c r="N1040" i="17"/>
  <c r="M1040" i="17"/>
  <c r="O1040" i="17"/>
  <c r="J1040" i="17"/>
  <c r="J1059" i="17"/>
  <c r="L1059" i="17"/>
  <c r="K1059" i="17"/>
  <c r="F1059" i="17"/>
  <c r="H1059" i="17"/>
  <c r="M1059" i="17"/>
  <c r="G1059" i="17"/>
  <c r="N1059" i="17"/>
  <c r="I1059" i="17"/>
  <c r="O1059" i="17"/>
  <c r="I1052" i="17"/>
  <c r="K1052" i="17"/>
  <c r="F1052" i="17"/>
  <c r="L1052" i="17"/>
  <c r="G1052" i="17"/>
  <c r="H1052" i="17"/>
  <c r="N1052" i="17"/>
  <c r="M1052" i="17"/>
  <c r="O1052" i="17"/>
  <c r="J1052" i="17"/>
  <c r="E1019" i="17"/>
  <c r="E1020" i="17" s="1"/>
  <c r="H999" i="17"/>
  <c r="F999" i="17"/>
  <c r="M999" i="17"/>
  <c r="O999" i="17"/>
  <c r="N999" i="17"/>
  <c r="L999" i="17"/>
  <c r="G999" i="17"/>
  <c r="I999" i="17"/>
  <c r="K999" i="17"/>
  <c r="J999" i="17"/>
  <c r="M1011" i="17"/>
  <c r="G1011" i="17"/>
  <c r="N1011" i="17"/>
  <c r="I1011" i="17"/>
  <c r="O1011" i="17"/>
  <c r="H1011" i="17"/>
  <c r="J1011" i="17"/>
  <c r="L1011" i="17"/>
  <c r="K1011" i="17"/>
  <c r="F1011" i="17"/>
  <c r="O1014" i="17"/>
  <c r="J1014" i="17"/>
  <c r="L1014" i="17"/>
  <c r="K1014" i="17"/>
  <c r="H1014" i="17"/>
  <c r="G1014" i="17"/>
  <c r="M1014" i="17"/>
  <c r="N1014" i="17"/>
  <c r="I1014" i="17"/>
  <c r="F1014" i="17"/>
  <c r="M1016" i="17"/>
  <c r="O1016" i="17"/>
  <c r="N1016" i="17"/>
  <c r="I1016" i="17"/>
  <c r="J1016" i="17"/>
  <c r="L1016" i="17"/>
  <c r="G1016" i="17"/>
  <c r="H1016" i="17"/>
  <c r="F1016" i="17"/>
  <c r="K1016" i="17"/>
  <c r="G965" i="17"/>
  <c r="M965" i="17"/>
  <c r="N965" i="17"/>
  <c r="I965" i="17"/>
  <c r="O965" i="17"/>
  <c r="J965" i="17"/>
  <c r="L965" i="17"/>
  <c r="K965" i="17"/>
  <c r="F965" i="17"/>
  <c r="H965" i="17"/>
  <c r="K960" i="17"/>
  <c r="F960" i="17"/>
  <c r="L960" i="17"/>
  <c r="G960" i="17"/>
  <c r="M960" i="17"/>
  <c r="H960" i="17"/>
  <c r="N960" i="17"/>
  <c r="I960" i="17"/>
  <c r="O960" i="17"/>
  <c r="J960" i="17"/>
  <c r="H971" i="17"/>
  <c r="N971" i="17"/>
  <c r="M971" i="17"/>
  <c r="O971" i="17"/>
  <c r="J971" i="17"/>
  <c r="I971" i="17"/>
  <c r="K971" i="17"/>
  <c r="F971" i="17"/>
  <c r="L971" i="17"/>
  <c r="G971" i="17"/>
  <c r="N961" i="17"/>
  <c r="I961" i="17"/>
  <c r="O961" i="17"/>
  <c r="L961" i="17"/>
  <c r="J961" i="17"/>
  <c r="K961" i="17"/>
  <c r="F961" i="17"/>
  <c r="H961" i="17"/>
  <c r="M961" i="17"/>
  <c r="G961" i="17"/>
  <c r="M970" i="17"/>
  <c r="O970" i="17"/>
  <c r="N970" i="17"/>
  <c r="I970" i="17"/>
  <c r="K970" i="17"/>
  <c r="J970" i="17"/>
  <c r="L970" i="17"/>
  <c r="G970" i="17"/>
  <c r="F970" i="17"/>
  <c r="H970" i="17"/>
  <c r="L968" i="17"/>
  <c r="G968" i="17"/>
  <c r="I968" i="17"/>
  <c r="H968" i="17"/>
  <c r="N968" i="17"/>
  <c r="M968" i="17"/>
  <c r="O968" i="17"/>
  <c r="J968" i="17"/>
  <c r="K968" i="17"/>
  <c r="F968" i="17"/>
  <c r="I959" i="17"/>
  <c r="K959" i="17"/>
  <c r="F959" i="17"/>
  <c r="L959" i="17"/>
  <c r="G959" i="17"/>
  <c r="H959" i="17"/>
  <c r="N959" i="17"/>
  <c r="M959" i="17"/>
  <c r="O959" i="17"/>
  <c r="J959" i="17"/>
  <c r="M931" i="17"/>
  <c r="O931" i="17"/>
  <c r="N931" i="17"/>
  <c r="H931" i="17"/>
  <c r="I931" i="17"/>
  <c r="K931" i="17"/>
  <c r="J931" i="17"/>
  <c r="L931" i="17"/>
  <c r="G931" i="17"/>
  <c r="F931" i="17"/>
  <c r="N930" i="17"/>
  <c r="I930" i="17"/>
  <c r="K930" i="17"/>
  <c r="J930" i="17"/>
  <c r="L930" i="17"/>
  <c r="G930" i="17"/>
  <c r="O930" i="17"/>
  <c r="F930" i="17"/>
  <c r="H930" i="17"/>
  <c r="M930" i="17"/>
  <c r="N926" i="17"/>
  <c r="I926" i="17"/>
  <c r="O926" i="17"/>
  <c r="M926" i="17"/>
  <c r="J926" i="17"/>
  <c r="L926" i="17"/>
  <c r="K926" i="17"/>
  <c r="G926" i="17"/>
  <c r="F926" i="17"/>
  <c r="H926" i="17"/>
  <c r="L936" i="17"/>
  <c r="G936" i="17"/>
  <c r="M936" i="17"/>
  <c r="F936" i="17"/>
  <c r="H936" i="17"/>
  <c r="N936" i="17"/>
  <c r="I936" i="17"/>
  <c r="O936" i="17"/>
  <c r="J936" i="17"/>
  <c r="K936" i="17"/>
  <c r="H927" i="17"/>
  <c r="J927" i="17"/>
  <c r="O927" i="17"/>
  <c r="F927" i="17"/>
  <c r="G927" i="17"/>
  <c r="M927" i="17"/>
  <c r="L927" i="17"/>
  <c r="I927" i="17"/>
  <c r="K927" i="17"/>
  <c r="N927" i="17"/>
  <c r="F881" i="17"/>
  <c r="H881" i="17"/>
  <c r="J881" i="17"/>
  <c r="K881" i="17"/>
  <c r="M881" i="17"/>
  <c r="G881" i="17"/>
  <c r="N881" i="17"/>
  <c r="I881" i="17"/>
  <c r="O881" i="17"/>
  <c r="L881" i="17"/>
  <c r="L879" i="17"/>
  <c r="G879" i="17"/>
  <c r="M879" i="17"/>
  <c r="K879" i="17"/>
  <c r="H879" i="17"/>
  <c r="N879" i="17"/>
  <c r="I879" i="17"/>
  <c r="O879" i="17"/>
  <c r="J879" i="17"/>
  <c r="F879" i="17"/>
  <c r="O888" i="17"/>
  <c r="J888" i="17"/>
  <c r="L888" i="17"/>
  <c r="I888" i="17"/>
  <c r="K888" i="17"/>
  <c r="F888" i="17"/>
  <c r="H888" i="17"/>
  <c r="G888" i="17"/>
  <c r="M888" i="17"/>
  <c r="N888" i="17"/>
  <c r="F877" i="17"/>
  <c r="H877" i="17"/>
  <c r="O877" i="17"/>
  <c r="M877" i="17"/>
  <c r="K877" i="17"/>
  <c r="J877" i="17"/>
  <c r="N877" i="17"/>
  <c r="I877" i="17"/>
  <c r="G877" i="17"/>
  <c r="L877" i="17"/>
  <c r="L894" i="17"/>
  <c r="G894" i="17"/>
  <c r="K894" i="17"/>
  <c r="H894" i="17"/>
  <c r="N894" i="17"/>
  <c r="F894" i="17"/>
  <c r="M894" i="17"/>
  <c r="O894" i="17"/>
  <c r="J894" i="17"/>
  <c r="I894" i="17"/>
  <c r="G876" i="17"/>
  <c r="E896" i="17"/>
  <c r="E897" i="17" s="1"/>
  <c r="L876" i="17"/>
  <c r="K876" i="17"/>
  <c r="N876" i="17"/>
  <c r="M876" i="17"/>
  <c r="F876" i="17"/>
  <c r="O876" i="17"/>
  <c r="J876" i="17"/>
  <c r="I876" i="17"/>
  <c r="H876" i="17"/>
  <c r="M838" i="17"/>
  <c r="O838" i="17"/>
  <c r="J838" i="17"/>
  <c r="K838" i="17"/>
  <c r="F838" i="17"/>
  <c r="I838" i="17"/>
  <c r="G838" i="17"/>
  <c r="H838" i="17"/>
  <c r="N838" i="17"/>
  <c r="L838" i="17"/>
  <c r="N836" i="17"/>
  <c r="I836" i="17"/>
  <c r="J836" i="17"/>
  <c r="O836" i="17"/>
  <c r="L836" i="17"/>
  <c r="F836" i="17"/>
  <c r="H836" i="17"/>
  <c r="G836" i="17"/>
  <c r="M836" i="17"/>
  <c r="K836" i="17"/>
  <c r="J849" i="17"/>
  <c r="L849" i="17"/>
  <c r="G849" i="17"/>
  <c r="H849" i="17"/>
  <c r="F849" i="17"/>
  <c r="M849" i="17"/>
  <c r="O849" i="17"/>
  <c r="N849" i="17"/>
  <c r="I849" i="17"/>
  <c r="K849" i="17"/>
  <c r="O807" i="17"/>
  <c r="J807" i="17"/>
  <c r="H807" i="17"/>
  <c r="I807" i="17"/>
  <c r="K807" i="17"/>
  <c r="F807" i="17"/>
  <c r="L807" i="17"/>
  <c r="G807" i="17"/>
  <c r="M807" i="17"/>
  <c r="N807" i="17"/>
  <c r="H802" i="17"/>
  <c r="F802" i="17"/>
  <c r="L802" i="17"/>
  <c r="M802" i="17"/>
  <c r="O802" i="17"/>
  <c r="N802" i="17"/>
  <c r="I802" i="17"/>
  <c r="K802" i="17"/>
  <c r="J802" i="17"/>
  <c r="G802" i="17"/>
  <c r="K799" i="17"/>
  <c r="F799" i="17"/>
  <c r="L799" i="17"/>
  <c r="G799" i="17"/>
  <c r="M799" i="17"/>
  <c r="O799" i="17"/>
  <c r="J799" i="17"/>
  <c r="H799" i="17"/>
  <c r="N799" i="17"/>
  <c r="I799" i="17"/>
  <c r="K804" i="17"/>
  <c r="F804" i="17"/>
  <c r="H804" i="17"/>
  <c r="J804" i="17"/>
  <c r="G804" i="17"/>
  <c r="M804" i="17"/>
  <c r="O804" i="17"/>
  <c r="L804" i="17"/>
  <c r="N804" i="17"/>
  <c r="I804" i="17"/>
  <c r="J813" i="17"/>
  <c r="L813" i="17"/>
  <c r="K813" i="17"/>
  <c r="F813" i="17"/>
  <c r="H813" i="17"/>
  <c r="M813" i="17"/>
  <c r="G813" i="17"/>
  <c r="I813" i="17"/>
  <c r="O813" i="17"/>
  <c r="N813" i="17"/>
  <c r="K771" i="17"/>
  <c r="F771" i="17"/>
  <c r="L771" i="17"/>
  <c r="G771" i="17"/>
  <c r="I771" i="17"/>
  <c r="H771" i="17"/>
  <c r="N771" i="17"/>
  <c r="M771" i="17"/>
  <c r="O771" i="17"/>
  <c r="J771" i="17"/>
  <c r="M762" i="17"/>
  <c r="O762" i="17"/>
  <c r="J762" i="17"/>
  <c r="I762" i="17"/>
  <c r="K762" i="17"/>
  <c r="F762" i="17"/>
  <c r="L762" i="17"/>
  <c r="G762" i="17"/>
  <c r="H762" i="17"/>
  <c r="N762" i="17"/>
  <c r="G760" i="17"/>
  <c r="M760" i="17"/>
  <c r="N760" i="17"/>
  <c r="I760" i="17"/>
  <c r="O760" i="17"/>
  <c r="J760" i="17"/>
  <c r="H760" i="17"/>
  <c r="K760" i="17"/>
  <c r="F760" i="17"/>
  <c r="L760" i="17"/>
  <c r="J769" i="17"/>
  <c r="L769" i="17"/>
  <c r="G769" i="17"/>
  <c r="F769" i="17"/>
  <c r="H769" i="17"/>
  <c r="M769" i="17"/>
  <c r="O769" i="17"/>
  <c r="N769" i="17"/>
  <c r="I769" i="17"/>
  <c r="K769" i="17"/>
  <c r="K772" i="17"/>
  <c r="F772" i="17"/>
  <c r="H772" i="17"/>
  <c r="M772" i="17"/>
  <c r="N772" i="17"/>
  <c r="I772" i="17"/>
  <c r="O772" i="17"/>
  <c r="J772" i="17"/>
  <c r="L772" i="17"/>
  <c r="G772" i="17"/>
  <c r="G719" i="17"/>
  <c r="M719" i="17"/>
  <c r="N719" i="17"/>
  <c r="I719" i="17"/>
  <c r="O719" i="17"/>
  <c r="J719" i="17"/>
  <c r="L719" i="17"/>
  <c r="K719" i="17"/>
  <c r="F719" i="17"/>
  <c r="H719" i="17"/>
  <c r="L726" i="17"/>
  <c r="G726" i="17"/>
  <c r="M726" i="17"/>
  <c r="H726" i="17"/>
  <c r="N726" i="17"/>
  <c r="I726" i="17"/>
  <c r="O726" i="17"/>
  <c r="J726" i="17"/>
  <c r="K726" i="17"/>
  <c r="F726" i="17"/>
  <c r="M729" i="17"/>
  <c r="O729" i="17"/>
  <c r="J729" i="17"/>
  <c r="I729" i="17"/>
  <c r="K729" i="17"/>
  <c r="F729" i="17"/>
  <c r="L729" i="17"/>
  <c r="G729" i="17"/>
  <c r="H729" i="17"/>
  <c r="N729" i="17"/>
  <c r="J712" i="17"/>
  <c r="L712" i="17"/>
  <c r="O712" i="17"/>
  <c r="F712" i="17"/>
  <c r="H712" i="17"/>
  <c r="E732" i="17"/>
  <c r="E733" i="17" s="1"/>
  <c r="M712" i="17"/>
  <c r="K712" i="17"/>
  <c r="N712" i="17"/>
  <c r="I712" i="17"/>
  <c r="G712" i="17"/>
  <c r="O675" i="17"/>
  <c r="J675" i="17"/>
  <c r="H675" i="17"/>
  <c r="K675" i="17"/>
  <c r="F675" i="17"/>
  <c r="L675" i="17"/>
  <c r="G675" i="17"/>
  <c r="M675" i="17"/>
  <c r="N675" i="17"/>
  <c r="I675" i="17"/>
  <c r="L690" i="17"/>
  <c r="G690" i="17"/>
  <c r="M690" i="17"/>
  <c r="H690" i="17"/>
  <c r="N690" i="17"/>
  <c r="I690" i="17"/>
  <c r="O690" i="17"/>
  <c r="J690" i="17"/>
  <c r="K690" i="17"/>
  <c r="F690" i="17"/>
  <c r="I685" i="17"/>
  <c r="K685" i="17"/>
  <c r="J685" i="17"/>
  <c r="L685" i="17"/>
  <c r="G685" i="17"/>
  <c r="H685" i="17"/>
  <c r="F685" i="17"/>
  <c r="M685" i="17"/>
  <c r="O685" i="17"/>
  <c r="N685" i="17"/>
  <c r="H678" i="17"/>
  <c r="N678" i="17"/>
  <c r="I678" i="17"/>
  <c r="O678" i="17"/>
  <c r="J678" i="17"/>
  <c r="K678" i="17"/>
  <c r="F678" i="17"/>
  <c r="L678" i="17"/>
  <c r="G678" i="17"/>
  <c r="M678" i="17"/>
  <c r="M676" i="17"/>
  <c r="K676" i="17"/>
  <c r="N676" i="17"/>
  <c r="I676" i="17"/>
  <c r="G676" i="17"/>
  <c r="J676" i="17"/>
  <c r="L676" i="17"/>
  <c r="O676" i="17"/>
  <c r="F676" i="17"/>
  <c r="H676" i="17"/>
  <c r="L630" i="17"/>
  <c r="G630" i="17"/>
  <c r="M630" i="17"/>
  <c r="H630" i="17"/>
  <c r="N630" i="17"/>
  <c r="E650" i="17"/>
  <c r="E651" i="17" s="1"/>
  <c r="O630" i="17"/>
  <c r="J630" i="17"/>
  <c r="I630" i="17"/>
  <c r="K630" i="17"/>
  <c r="F630" i="17"/>
  <c r="H638" i="17"/>
  <c r="N638" i="17"/>
  <c r="I638" i="17"/>
  <c r="O638" i="17"/>
  <c r="J638" i="17"/>
  <c r="K638" i="17"/>
  <c r="F638" i="17"/>
  <c r="L638" i="17"/>
  <c r="G638" i="17"/>
  <c r="M638" i="17"/>
  <c r="M648" i="17"/>
  <c r="O648" i="17"/>
  <c r="N648" i="17"/>
  <c r="I648" i="17"/>
  <c r="K648" i="17"/>
  <c r="J648" i="17"/>
  <c r="L648" i="17"/>
  <c r="G648" i="17"/>
  <c r="F648" i="17"/>
  <c r="H648" i="17"/>
  <c r="K634" i="17"/>
  <c r="F634" i="17"/>
  <c r="L634" i="17"/>
  <c r="G634" i="17"/>
  <c r="I634" i="17"/>
  <c r="H634" i="17"/>
  <c r="N634" i="17"/>
  <c r="M634" i="17"/>
  <c r="O634" i="17"/>
  <c r="J634" i="17"/>
  <c r="K647" i="17"/>
  <c r="F647" i="17"/>
  <c r="H647" i="17"/>
  <c r="M647" i="17"/>
  <c r="G647" i="17"/>
  <c r="N647" i="17"/>
  <c r="I647" i="17"/>
  <c r="O647" i="17"/>
  <c r="L647" i="17"/>
  <c r="J647" i="17"/>
  <c r="G607" i="17"/>
  <c r="M607" i="17"/>
  <c r="N607" i="17"/>
  <c r="I607" i="17"/>
  <c r="O607" i="17"/>
  <c r="J607" i="17"/>
  <c r="H607" i="17"/>
  <c r="K607" i="17"/>
  <c r="F607" i="17"/>
  <c r="L607" i="17"/>
  <c r="I597" i="17"/>
  <c r="K597" i="17"/>
  <c r="N597" i="17"/>
  <c r="L597" i="17"/>
  <c r="G597" i="17"/>
  <c r="H597" i="17"/>
  <c r="J597" i="17"/>
  <c r="M597" i="17"/>
  <c r="O597" i="17"/>
  <c r="F597" i="17"/>
  <c r="F604" i="17"/>
  <c r="H604" i="17"/>
  <c r="M604" i="17"/>
  <c r="O604" i="17"/>
  <c r="N604" i="17"/>
  <c r="I604" i="17"/>
  <c r="K604" i="17"/>
  <c r="J604" i="17"/>
  <c r="L604" i="17"/>
  <c r="G604" i="17"/>
  <c r="L598" i="17"/>
  <c r="G598" i="17"/>
  <c r="M598" i="17"/>
  <c r="H598" i="17"/>
  <c r="N598" i="17"/>
  <c r="I598" i="17"/>
  <c r="O598" i="17"/>
  <c r="J598" i="17"/>
  <c r="K598" i="17"/>
  <c r="F598" i="17"/>
  <c r="N595" i="17"/>
  <c r="I595" i="17"/>
  <c r="O595" i="17"/>
  <c r="J595" i="17"/>
  <c r="L595" i="17"/>
  <c r="K595" i="17"/>
  <c r="F595" i="17"/>
  <c r="H595" i="17"/>
  <c r="G595" i="17"/>
  <c r="M595" i="17"/>
  <c r="K602" i="17"/>
  <c r="F602" i="17"/>
  <c r="L602" i="17"/>
  <c r="G602" i="17"/>
  <c r="I602" i="17"/>
  <c r="H602" i="17"/>
  <c r="N602" i="17"/>
  <c r="M602" i="17"/>
  <c r="O602" i="17"/>
  <c r="J602" i="17"/>
  <c r="F554" i="17"/>
  <c r="H554" i="17"/>
  <c r="M554" i="17"/>
  <c r="O554" i="17"/>
  <c r="N554" i="17"/>
  <c r="I554" i="17"/>
  <c r="K554" i="17"/>
  <c r="J554" i="17"/>
  <c r="L554" i="17"/>
  <c r="G554" i="17"/>
  <c r="M563" i="17"/>
  <c r="O563" i="17"/>
  <c r="J563" i="17"/>
  <c r="I563" i="17"/>
  <c r="K563" i="17"/>
  <c r="F563" i="17"/>
  <c r="L563" i="17"/>
  <c r="G563" i="17"/>
  <c r="H563" i="17"/>
  <c r="N563" i="17"/>
  <c r="G553" i="17"/>
  <c r="M553" i="17"/>
  <c r="N553" i="17"/>
  <c r="I553" i="17"/>
  <c r="O553" i="17"/>
  <c r="J553" i="17"/>
  <c r="L553" i="17"/>
  <c r="K553" i="17"/>
  <c r="F553" i="17"/>
  <c r="H553" i="17"/>
  <c r="N550" i="17"/>
  <c r="I550" i="17"/>
  <c r="K550" i="17"/>
  <c r="J550" i="17"/>
  <c r="L550" i="17"/>
  <c r="O550" i="17"/>
  <c r="F550" i="17"/>
  <c r="H550" i="17"/>
  <c r="M550" i="17"/>
  <c r="G550" i="17"/>
  <c r="M559" i="17"/>
  <c r="O559" i="17"/>
  <c r="J559" i="17"/>
  <c r="I559" i="17"/>
  <c r="K559" i="17"/>
  <c r="F559" i="17"/>
  <c r="L559" i="17"/>
  <c r="G559" i="17"/>
  <c r="H559" i="17"/>
  <c r="N559" i="17"/>
  <c r="K549" i="17"/>
  <c r="F549" i="17"/>
  <c r="H549" i="17"/>
  <c r="G549" i="17"/>
  <c r="M549" i="17"/>
  <c r="N549" i="17"/>
  <c r="I549" i="17"/>
  <c r="J549" i="17"/>
  <c r="O549" i="17"/>
  <c r="L549" i="17"/>
  <c r="H515" i="17"/>
  <c r="N515" i="17"/>
  <c r="M515" i="17"/>
  <c r="O515" i="17"/>
  <c r="J515" i="17"/>
  <c r="I515" i="17"/>
  <c r="K515" i="17"/>
  <c r="F515" i="17"/>
  <c r="L515" i="17"/>
  <c r="G515" i="17"/>
  <c r="N509" i="17"/>
  <c r="I509" i="17"/>
  <c r="O509" i="17"/>
  <c r="J509" i="17"/>
  <c r="L509" i="17"/>
  <c r="K509" i="17"/>
  <c r="F509" i="17"/>
  <c r="H509" i="17"/>
  <c r="G509" i="17"/>
  <c r="M509" i="17"/>
  <c r="M518" i="17"/>
  <c r="G518" i="17"/>
  <c r="N518" i="17"/>
  <c r="I518" i="17"/>
  <c r="O518" i="17"/>
  <c r="J518" i="17"/>
  <c r="L518" i="17"/>
  <c r="K518" i="17"/>
  <c r="F518" i="17"/>
  <c r="H518" i="17"/>
  <c r="F472" i="17"/>
  <c r="L472" i="17"/>
  <c r="G472" i="17"/>
  <c r="M472" i="17"/>
  <c r="N472" i="17"/>
  <c r="H472" i="17"/>
  <c r="I472" i="17"/>
  <c r="O472" i="17"/>
  <c r="J472" i="17"/>
  <c r="K472" i="17"/>
  <c r="F467" i="17"/>
  <c r="L467" i="17"/>
  <c r="G467" i="17"/>
  <c r="H467" i="17"/>
  <c r="N467" i="17"/>
  <c r="M467" i="17"/>
  <c r="O467" i="17"/>
  <c r="J467" i="17"/>
  <c r="I467" i="17"/>
  <c r="K467" i="17"/>
  <c r="J474" i="17"/>
  <c r="L474" i="17"/>
  <c r="G474" i="17"/>
  <c r="F474" i="17"/>
  <c r="H474" i="17"/>
  <c r="M474" i="17"/>
  <c r="O474" i="17"/>
  <c r="N474" i="17"/>
  <c r="I474" i="17"/>
  <c r="K474" i="17"/>
  <c r="H468" i="17"/>
  <c r="N468" i="17"/>
  <c r="I468" i="17"/>
  <c r="O468" i="17"/>
  <c r="J468" i="17"/>
  <c r="K468" i="17"/>
  <c r="F468" i="17"/>
  <c r="L468" i="17"/>
  <c r="G468" i="17"/>
  <c r="M468" i="17"/>
  <c r="I479" i="17"/>
  <c r="K479" i="17"/>
  <c r="F479" i="17"/>
  <c r="L479" i="17"/>
  <c r="G479" i="17"/>
  <c r="H479" i="17"/>
  <c r="N479" i="17"/>
  <c r="M479" i="17"/>
  <c r="O479" i="17"/>
  <c r="J479" i="17"/>
  <c r="N477" i="17"/>
  <c r="O477" i="17"/>
  <c r="J477" i="17"/>
  <c r="L477" i="17"/>
  <c r="F477" i="17"/>
  <c r="K477" i="17"/>
  <c r="H477" i="17"/>
  <c r="G477" i="17"/>
  <c r="M477" i="17"/>
  <c r="I477" i="17"/>
  <c r="L435" i="17"/>
  <c r="G435" i="17"/>
  <c r="H435" i="17"/>
  <c r="J435" i="17"/>
  <c r="M435" i="17"/>
  <c r="O435" i="17"/>
  <c r="F435" i="17"/>
  <c r="I435" i="17"/>
  <c r="K435" i="17"/>
  <c r="N435" i="17"/>
  <c r="O444" i="17"/>
  <c r="J444" i="17"/>
  <c r="K444" i="17"/>
  <c r="F444" i="17"/>
  <c r="L444" i="17"/>
  <c r="G444" i="17"/>
  <c r="M444" i="17"/>
  <c r="H444" i="17"/>
  <c r="N444" i="17"/>
  <c r="I444" i="17"/>
  <c r="N434" i="17"/>
  <c r="I434" i="17"/>
  <c r="O434" i="17"/>
  <c r="J434" i="17"/>
  <c r="L434" i="17"/>
  <c r="K434" i="17"/>
  <c r="F434" i="17"/>
  <c r="H434" i="17"/>
  <c r="M434" i="17"/>
  <c r="G434" i="17"/>
  <c r="L436" i="17"/>
  <c r="G436" i="17"/>
  <c r="M436" i="17"/>
  <c r="H436" i="17"/>
  <c r="N436" i="17"/>
  <c r="I436" i="17"/>
  <c r="O436" i="17"/>
  <c r="J436" i="17"/>
  <c r="K436" i="17"/>
  <c r="F436" i="17"/>
  <c r="O425" i="17"/>
  <c r="M425" i="17"/>
  <c r="F425" i="17"/>
  <c r="K425" i="17"/>
  <c r="I425" i="17"/>
  <c r="L425" i="17"/>
  <c r="G425" i="17"/>
  <c r="H425" i="17"/>
  <c r="J425" i="17"/>
  <c r="E445" i="17"/>
  <c r="E446" i="17" s="1"/>
  <c r="N425" i="17"/>
  <c r="J400" i="17"/>
  <c r="M400" i="17"/>
  <c r="L400" i="17"/>
  <c r="F400" i="17"/>
  <c r="K400" i="17"/>
  <c r="H400" i="17"/>
  <c r="O400" i="17"/>
  <c r="I400" i="17"/>
  <c r="N400" i="17"/>
  <c r="G400" i="17"/>
  <c r="O389" i="17"/>
  <c r="I389" i="17"/>
  <c r="J389" i="17"/>
  <c r="K389" i="17"/>
  <c r="N389" i="17"/>
  <c r="H389" i="17"/>
  <c r="G389" i="17"/>
  <c r="F389" i="17"/>
  <c r="M389" i="17"/>
  <c r="L389" i="17"/>
  <c r="F390" i="17"/>
  <c r="O390" i="17"/>
  <c r="L390" i="17"/>
  <c r="G390" i="17"/>
  <c r="N390" i="17"/>
  <c r="H390" i="17"/>
  <c r="M390" i="17"/>
  <c r="J390" i="17"/>
  <c r="I390" i="17"/>
  <c r="K390" i="17"/>
  <c r="L384" i="17"/>
  <c r="F384" i="17"/>
  <c r="K384" i="17"/>
  <c r="H384" i="17"/>
  <c r="O384" i="17"/>
  <c r="E404" i="17"/>
  <c r="E405" i="17" s="1"/>
  <c r="N384" i="17"/>
  <c r="G384" i="17"/>
  <c r="I384" i="17"/>
  <c r="J384" i="17"/>
  <c r="M384" i="17"/>
  <c r="M385" i="17"/>
  <c r="F385" i="17"/>
  <c r="O385" i="17"/>
  <c r="I385" i="17"/>
  <c r="N385" i="17"/>
  <c r="K385" i="17"/>
  <c r="J385" i="17"/>
  <c r="L385" i="17"/>
  <c r="G385" i="17"/>
  <c r="H385" i="17"/>
  <c r="K395" i="17"/>
  <c r="F395" i="17"/>
  <c r="M395" i="17"/>
  <c r="G395" i="17"/>
  <c r="L395" i="17"/>
  <c r="I395" i="17"/>
  <c r="H395" i="17"/>
  <c r="J395" i="17"/>
  <c r="O395" i="17"/>
  <c r="N395" i="17"/>
  <c r="N344" i="17"/>
  <c r="O344" i="17"/>
  <c r="J344" i="17"/>
  <c r="G344" i="17"/>
  <c r="L344" i="17"/>
  <c r="F344" i="17"/>
  <c r="M344" i="17"/>
  <c r="H344" i="17"/>
  <c r="I344" i="17"/>
  <c r="K344" i="17"/>
  <c r="K359" i="17"/>
  <c r="L359" i="17"/>
  <c r="M359" i="17"/>
  <c r="G359" i="17"/>
  <c r="J359" i="17"/>
  <c r="I359" i="17"/>
  <c r="N359" i="17"/>
  <c r="H359" i="17"/>
  <c r="O359" i="17"/>
  <c r="F359" i="17"/>
  <c r="J358" i="17"/>
  <c r="K358" i="17"/>
  <c r="G358" i="17"/>
  <c r="F358" i="17"/>
  <c r="I358" i="17"/>
  <c r="L358" i="17"/>
  <c r="O358" i="17"/>
  <c r="N358" i="17"/>
  <c r="H358" i="17"/>
  <c r="M358" i="17"/>
  <c r="K361" i="17"/>
  <c r="L361" i="17"/>
  <c r="N361" i="17"/>
  <c r="J361" i="17"/>
  <c r="G361" i="17"/>
  <c r="M361" i="17"/>
  <c r="H361" i="17"/>
  <c r="O361" i="17"/>
  <c r="F361" i="17"/>
  <c r="I361" i="17"/>
  <c r="N310" i="17"/>
  <c r="H310" i="17"/>
  <c r="I310" i="17"/>
  <c r="J310" i="17"/>
  <c r="M310" i="17"/>
  <c r="G310" i="17"/>
  <c r="K310" i="17"/>
  <c r="F310" i="17"/>
  <c r="L310" i="17"/>
  <c r="O310" i="17"/>
  <c r="N308" i="17"/>
  <c r="G308" i="17"/>
  <c r="J308" i="17"/>
  <c r="M308" i="17"/>
  <c r="L308" i="17"/>
  <c r="F308" i="17"/>
  <c r="I308" i="17"/>
  <c r="H308" i="17"/>
  <c r="O308" i="17"/>
  <c r="K308" i="17"/>
  <c r="G305" i="17"/>
  <c r="F305" i="17"/>
  <c r="M305" i="17"/>
  <c r="L305" i="17"/>
  <c r="O305" i="17"/>
  <c r="I305" i="17"/>
  <c r="J305" i="17"/>
  <c r="K305" i="17"/>
  <c r="N305" i="17"/>
  <c r="H305" i="17"/>
  <c r="O315" i="17"/>
  <c r="J315" i="17"/>
  <c r="K315" i="17"/>
  <c r="N315" i="17"/>
  <c r="M315" i="17"/>
  <c r="G315" i="17"/>
  <c r="H315" i="17"/>
  <c r="I315" i="17"/>
  <c r="L315" i="17"/>
  <c r="F315" i="17"/>
  <c r="H264" i="17"/>
  <c r="M264" i="17"/>
  <c r="G264" i="17"/>
  <c r="N264" i="17"/>
  <c r="K264" i="17"/>
  <c r="J264" i="17"/>
  <c r="O264" i="17"/>
  <c r="L264" i="17"/>
  <c r="F264" i="17"/>
  <c r="I264" i="17"/>
  <c r="O263" i="17"/>
  <c r="H263" i="17"/>
  <c r="K263" i="17"/>
  <c r="N263" i="17"/>
  <c r="M263" i="17"/>
  <c r="G263" i="17"/>
  <c r="L263" i="17"/>
  <c r="I263" i="17"/>
  <c r="J263" i="17"/>
  <c r="F263" i="17"/>
  <c r="F266" i="17"/>
  <c r="I266" i="17"/>
  <c r="L266" i="17"/>
  <c r="G266" i="17"/>
  <c r="N266" i="17"/>
  <c r="H266" i="17"/>
  <c r="O266" i="17"/>
  <c r="J266" i="17"/>
  <c r="K266" i="17"/>
  <c r="M266" i="17"/>
  <c r="M261" i="17"/>
  <c r="K261" i="17"/>
  <c r="N261" i="17"/>
  <c r="I261" i="17"/>
  <c r="F261" i="17"/>
  <c r="O261" i="17"/>
  <c r="L261" i="17"/>
  <c r="J261" i="17"/>
  <c r="E281" i="17"/>
  <c r="E282" i="17" s="1"/>
  <c r="G261" i="17"/>
  <c r="H261" i="17"/>
  <c r="I275" i="17"/>
  <c r="N275" i="17"/>
  <c r="H275" i="17"/>
  <c r="O275" i="17"/>
  <c r="F275" i="17"/>
  <c r="K275" i="17"/>
  <c r="L275" i="17"/>
  <c r="M275" i="17"/>
  <c r="G275" i="17"/>
  <c r="J275" i="17"/>
  <c r="F224" i="17"/>
  <c r="M224" i="17"/>
  <c r="K224" i="17"/>
  <c r="L224" i="17"/>
  <c r="N224" i="17"/>
  <c r="O224" i="17"/>
  <c r="H224" i="17"/>
  <c r="J224" i="17"/>
  <c r="I224" i="17"/>
  <c r="G224" i="17"/>
  <c r="I220" i="17"/>
  <c r="J220" i="17"/>
  <c r="N220" i="17"/>
  <c r="K220" i="17"/>
  <c r="H220" i="17"/>
  <c r="E240" i="17"/>
  <c r="E241" i="17" s="1"/>
  <c r="F220" i="17"/>
  <c r="G220" i="17"/>
  <c r="M220" i="17"/>
  <c r="O220" i="17"/>
  <c r="L220" i="17"/>
  <c r="K235" i="17"/>
  <c r="J235" i="17"/>
  <c r="M235" i="17"/>
  <c r="G235" i="17"/>
  <c r="I235" i="17"/>
  <c r="L235" i="17"/>
  <c r="H235" i="17"/>
  <c r="O235" i="17"/>
  <c r="F235" i="17"/>
  <c r="N235" i="17"/>
  <c r="K222" i="17"/>
  <c r="F222" i="17"/>
  <c r="L222" i="17"/>
  <c r="G222" i="17"/>
  <c r="M222" i="17"/>
  <c r="H222" i="17"/>
  <c r="J222" i="17"/>
  <c r="N222" i="17"/>
  <c r="O222" i="17"/>
  <c r="I222" i="17"/>
  <c r="J232" i="17"/>
  <c r="L232" i="17"/>
  <c r="I232" i="17"/>
  <c r="F232" i="17"/>
  <c r="G232" i="17"/>
  <c r="M232" i="17"/>
  <c r="O232" i="17"/>
  <c r="N232" i="17"/>
  <c r="H232" i="17"/>
  <c r="K232" i="17"/>
  <c r="I233" i="17"/>
  <c r="J233" i="17"/>
  <c r="G233" i="17"/>
  <c r="K233" i="17"/>
  <c r="N233" i="17"/>
  <c r="F233" i="17"/>
  <c r="L233" i="17"/>
  <c r="M233" i="17"/>
  <c r="O233" i="17"/>
  <c r="H233" i="17"/>
  <c r="F191" i="17"/>
  <c r="H191" i="17"/>
  <c r="L191" i="17"/>
  <c r="O191" i="17"/>
  <c r="N191" i="17"/>
  <c r="G191" i="17"/>
  <c r="M191" i="17"/>
  <c r="J191" i="17"/>
  <c r="K191" i="17"/>
  <c r="I191" i="17"/>
  <c r="M193" i="17"/>
  <c r="N193" i="17"/>
  <c r="G193" i="17"/>
  <c r="J193" i="17"/>
  <c r="L193" i="17"/>
  <c r="K193" i="17"/>
  <c r="I193" i="17"/>
  <c r="H193" i="17"/>
  <c r="F193" i="17"/>
  <c r="O193" i="17"/>
  <c r="M184" i="17"/>
  <c r="K184" i="17"/>
  <c r="H184" i="17"/>
  <c r="I184" i="17"/>
  <c r="F184" i="17"/>
  <c r="O184" i="17"/>
  <c r="L184" i="17"/>
  <c r="N184" i="17"/>
  <c r="G184" i="17"/>
  <c r="J184" i="17"/>
  <c r="F189" i="17"/>
  <c r="I189" i="17"/>
  <c r="L189" i="17"/>
  <c r="J189" i="17"/>
  <c r="G189" i="17"/>
  <c r="H189" i="17"/>
  <c r="O189" i="17"/>
  <c r="N189" i="17"/>
  <c r="K189" i="17"/>
  <c r="M189" i="17"/>
  <c r="K144" i="17"/>
  <c r="J144" i="17"/>
  <c r="L144" i="17"/>
  <c r="G144" i="17"/>
  <c r="H144" i="17"/>
  <c r="N144" i="17"/>
  <c r="M144" i="17"/>
  <c r="O144" i="17"/>
  <c r="F144" i="17"/>
  <c r="I144" i="17"/>
  <c r="O139" i="17"/>
  <c r="N139" i="17"/>
  <c r="L139" i="17"/>
  <c r="G139" i="17"/>
  <c r="F139" i="17"/>
  <c r="H139" i="17"/>
  <c r="I139" i="17"/>
  <c r="M139" i="17"/>
  <c r="K139" i="17"/>
  <c r="J139" i="17"/>
  <c r="J157" i="17"/>
  <c r="O157" i="17"/>
  <c r="H157" i="17"/>
  <c r="F157" i="17"/>
  <c r="G157" i="17"/>
  <c r="I157" i="17"/>
  <c r="L157" i="17"/>
  <c r="N157" i="17"/>
  <c r="M157" i="17"/>
  <c r="K157" i="17"/>
  <c r="L151" i="17"/>
  <c r="K151" i="17"/>
  <c r="I151" i="17"/>
  <c r="H151" i="17"/>
  <c r="M151" i="17"/>
  <c r="F151" i="17"/>
  <c r="O151" i="17"/>
  <c r="N151" i="17"/>
  <c r="G151" i="17"/>
  <c r="J151" i="17"/>
  <c r="F153" i="17"/>
  <c r="H153" i="17"/>
  <c r="M153" i="17"/>
  <c r="O153" i="17"/>
  <c r="N153" i="17"/>
  <c r="I153" i="17"/>
  <c r="G153" i="17"/>
  <c r="J153" i="17"/>
  <c r="K153" i="17"/>
  <c r="L153" i="17"/>
  <c r="L154" i="17"/>
  <c r="K154" i="17"/>
  <c r="M154" i="17"/>
  <c r="N154" i="17"/>
  <c r="O154" i="17"/>
  <c r="I154" i="17"/>
  <c r="F154" i="17"/>
  <c r="J154" i="17"/>
  <c r="H154" i="17"/>
  <c r="G154" i="17"/>
  <c r="K152" i="17"/>
  <c r="F152" i="17"/>
  <c r="L152" i="17"/>
  <c r="G152" i="17"/>
  <c r="H152" i="17"/>
  <c r="J152" i="17"/>
  <c r="M152" i="17"/>
  <c r="O152" i="17"/>
  <c r="N152" i="17"/>
  <c r="I152" i="17"/>
  <c r="I145" i="17"/>
  <c r="H145" i="17"/>
  <c r="N145" i="17"/>
  <c r="M145" i="17"/>
  <c r="O145" i="17"/>
  <c r="J145" i="17"/>
  <c r="K145" i="17"/>
  <c r="G145" i="17"/>
  <c r="F145" i="17"/>
  <c r="L145" i="17"/>
  <c r="O149" i="17"/>
  <c r="F149" i="17"/>
  <c r="G149" i="17"/>
  <c r="H149" i="17"/>
  <c r="I149" i="17"/>
  <c r="N149" i="17"/>
  <c r="M149" i="17"/>
  <c r="L149" i="17"/>
  <c r="J149" i="17"/>
  <c r="K149" i="17"/>
  <c r="O108" i="17"/>
  <c r="F108" i="17"/>
  <c r="I108" i="17"/>
  <c r="K108" i="17"/>
  <c r="J108" i="17"/>
  <c r="H108" i="17"/>
  <c r="G108" i="17"/>
  <c r="M108" i="17"/>
  <c r="N108" i="17"/>
  <c r="L108" i="17"/>
  <c r="H106" i="17"/>
  <c r="J106" i="17"/>
  <c r="L106" i="17"/>
  <c r="N106" i="17"/>
  <c r="M106" i="17"/>
  <c r="O106" i="17"/>
  <c r="F106" i="17"/>
  <c r="I106" i="17"/>
  <c r="G106" i="17"/>
  <c r="K106" i="17"/>
  <c r="L107" i="17"/>
  <c r="G107" i="17"/>
  <c r="N107" i="17"/>
  <c r="H107" i="17"/>
  <c r="J107" i="17"/>
  <c r="F107" i="17"/>
  <c r="K107" i="17"/>
  <c r="I107" i="17"/>
  <c r="O107" i="17"/>
  <c r="M107" i="17"/>
  <c r="N105" i="17"/>
  <c r="I105" i="17"/>
  <c r="H105" i="17"/>
  <c r="J105" i="17"/>
  <c r="L105" i="17"/>
  <c r="O105" i="17"/>
  <c r="F105" i="17"/>
  <c r="K105" i="17"/>
  <c r="M105" i="17"/>
  <c r="G105" i="17"/>
  <c r="L111" i="17"/>
  <c r="G111" i="17"/>
  <c r="J111" i="17"/>
  <c r="H111" i="17"/>
  <c r="N111" i="17"/>
  <c r="I111" i="17"/>
  <c r="K111" i="17"/>
  <c r="F111" i="17"/>
  <c r="O111" i="17"/>
  <c r="M111" i="17"/>
  <c r="N112" i="17"/>
  <c r="H112" i="17"/>
  <c r="O112" i="17"/>
  <c r="F112" i="17"/>
  <c r="L112" i="17"/>
  <c r="K112" i="17"/>
  <c r="J112" i="17"/>
  <c r="M112" i="17"/>
  <c r="G112" i="17"/>
  <c r="I112" i="17"/>
  <c r="I58" i="17"/>
  <c r="G58" i="17"/>
  <c r="K58" i="17"/>
  <c r="H58" i="17"/>
  <c r="N58" i="17"/>
  <c r="L58" i="17"/>
  <c r="F58" i="17"/>
  <c r="M58" i="17"/>
  <c r="O58" i="17"/>
  <c r="J58" i="17"/>
  <c r="K68" i="17"/>
  <c r="F68" i="17"/>
  <c r="H68" i="17"/>
  <c r="G68" i="17"/>
  <c r="M68" i="17"/>
  <c r="N68" i="17"/>
  <c r="L68" i="17"/>
  <c r="O68" i="17"/>
  <c r="J68" i="17"/>
  <c r="I68" i="17"/>
  <c r="K60" i="17"/>
  <c r="J60" i="17"/>
  <c r="H60" i="17"/>
  <c r="G60" i="17"/>
  <c r="M60" i="17"/>
  <c r="F60" i="17"/>
  <c r="L60" i="17"/>
  <c r="O60" i="17"/>
  <c r="N60" i="17"/>
  <c r="I60" i="17"/>
  <c r="N65" i="17"/>
  <c r="M65" i="17"/>
  <c r="K65" i="17"/>
  <c r="J65" i="17"/>
  <c r="O65" i="17"/>
  <c r="H65" i="17"/>
  <c r="F65" i="17"/>
  <c r="G65" i="17"/>
  <c r="I65" i="17"/>
  <c r="L65" i="17"/>
  <c r="O75" i="17"/>
  <c r="I75" i="17"/>
  <c r="L75" i="17"/>
  <c r="G75" i="17"/>
  <c r="N75" i="17"/>
  <c r="H75" i="17"/>
  <c r="J75" i="17"/>
  <c r="F75" i="17"/>
  <c r="K75" i="17"/>
  <c r="M75" i="17"/>
  <c r="AE17" i="11" l="1"/>
  <c r="AH11" i="11"/>
  <c r="AF12" i="11"/>
  <c r="AF18" i="11" s="1"/>
  <c r="N17" i="11" l="1"/>
  <c r="O17" i="11"/>
  <c r="R17" i="11"/>
  <c r="M17" i="11"/>
  <c r="AC29" i="17"/>
  <c r="R1245" i="17"/>
  <c r="R1223" i="17"/>
  <c r="R1210" i="17"/>
  <c r="R1178" i="17"/>
  <c r="R1135" i="17"/>
  <c r="R1125" i="17"/>
  <c r="B1105" i="17"/>
  <c r="R1047" i="17"/>
  <c r="B1028" i="17"/>
  <c r="R884" i="17"/>
  <c r="R675" i="17"/>
  <c r="R598" i="17"/>
  <c r="AC20" i="17"/>
  <c r="R1252" i="17"/>
  <c r="R1255" i="17"/>
  <c r="R1206" i="17"/>
  <c r="R1179" i="17"/>
  <c r="B1146" i="17"/>
  <c r="R1134" i="17"/>
  <c r="R1130" i="17"/>
  <c r="R1086" i="17"/>
  <c r="R1082" i="17"/>
  <c r="R1055" i="17"/>
  <c r="B1035" i="17"/>
  <c r="R1044" i="17"/>
  <c r="R1001" i="17"/>
  <c r="R1015" i="17"/>
  <c r="R686" i="17"/>
  <c r="R649" i="17"/>
  <c r="B584" i="17"/>
  <c r="R474" i="17"/>
  <c r="R480" i="17"/>
  <c r="B1274" i="17"/>
  <c r="R1181" i="17"/>
  <c r="R1177" i="17"/>
  <c r="R1098" i="17"/>
  <c r="R1002" i="17"/>
  <c r="R635" i="17"/>
  <c r="R1163" i="17"/>
  <c r="AC13" i="17"/>
  <c r="R1264" i="17"/>
  <c r="R1207" i="17"/>
  <c r="R1220" i="17"/>
  <c r="R1172" i="17"/>
  <c r="R1167" i="17"/>
  <c r="R1124" i="17"/>
  <c r="R1123" i="17"/>
  <c r="R1087" i="17"/>
  <c r="R1093" i="17"/>
  <c r="R1057" i="17"/>
  <c r="R1043" i="17"/>
  <c r="R964" i="17"/>
  <c r="R928" i="17"/>
  <c r="R878" i="17"/>
  <c r="R806" i="17"/>
  <c r="R809" i="17"/>
  <c r="B748" i="17"/>
  <c r="B741" i="17"/>
  <c r="R688" i="17"/>
  <c r="B625" i="17"/>
  <c r="B618" i="17"/>
  <c r="R549" i="17"/>
  <c r="R478" i="17"/>
  <c r="R438" i="17"/>
  <c r="R397" i="17"/>
  <c r="R390" i="17"/>
  <c r="AC12" i="17"/>
  <c r="AD14" i="17"/>
  <c r="R1251" i="17"/>
  <c r="R1221" i="17"/>
  <c r="B1158" i="17"/>
  <c r="R1182" i="17"/>
  <c r="R1127" i="17"/>
  <c r="R1137" i="17"/>
  <c r="R1094" i="17"/>
  <c r="B1064" i="17"/>
  <c r="R1045" i="17"/>
  <c r="R962" i="17"/>
  <c r="R841" i="17"/>
  <c r="R757" i="17"/>
  <c r="R730" i="17"/>
  <c r="R630" i="17"/>
  <c r="R1261" i="17"/>
  <c r="R1168" i="17"/>
  <c r="AC28" i="17"/>
  <c r="AC18" i="17"/>
  <c r="R1250" i="17"/>
  <c r="R1204" i="17"/>
  <c r="R1217" i="17"/>
  <c r="R1208" i="17"/>
  <c r="R1166" i="17"/>
  <c r="B1187" i="17"/>
  <c r="AC15" i="17"/>
  <c r="AC27" i="17"/>
  <c r="AC21" i="17"/>
  <c r="AC26" i="17"/>
  <c r="R1260" i="17"/>
  <c r="R1249" i="17"/>
  <c r="B1199" i="17"/>
  <c r="R1205" i="17"/>
  <c r="R1219" i="17"/>
  <c r="R1133" i="17"/>
  <c r="R1132" i="17"/>
  <c r="R1139" i="17"/>
  <c r="R1089" i="17"/>
  <c r="R1092" i="17"/>
  <c r="R1003" i="17"/>
  <c r="R935" i="17"/>
  <c r="R883" i="17"/>
  <c r="R796" i="17"/>
  <c r="R726" i="17"/>
  <c r="R671" i="17"/>
  <c r="B536" i="17"/>
  <c r="B413" i="17"/>
  <c r="R317" i="17"/>
  <c r="B326" i="17"/>
  <c r="R267" i="17"/>
  <c r="R61" i="17"/>
  <c r="AC16" i="17"/>
  <c r="AC19" i="17"/>
  <c r="AC25" i="17"/>
  <c r="AC14" i="17"/>
  <c r="AC30" i="17"/>
  <c r="R1262" i="17"/>
  <c r="R1248" i="17"/>
  <c r="B1240" i="17"/>
  <c r="R1246" i="17"/>
  <c r="R1263" i="17"/>
  <c r="R1209" i="17"/>
  <c r="R1222" i="17"/>
  <c r="B1233" i="17"/>
  <c r="R1213" i="17"/>
  <c r="R1216" i="17"/>
  <c r="R1176" i="17"/>
  <c r="R1175" i="17"/>
  <c r="R1164" i="17"/>
  <c r="R1170" i="17"/>
  <c r="R1173" i="17"/>
  <c r="R1165" i="17"/>
  <c r="R1169" i="17"/>
  <c r="R1140" i="17"/>
  <c r="B1117" i="17"/>
  <c r="R1136" i="17"/>
  <c r="B1151" i="17"/>
  <c r="R1129" i="17"/>
  <c r="R1138" i="17"/>
  <c r="R1081" i="17"/>
  <c r="R1095" i="17"/>
  <c r="R1096" i="17"/>
  <c r="B1110" i="17"/>
  <c r="R1100" i="17"/>
  <c r="R1083" i="17"/>
  <c r="R1052" i="17"/>
  <c r="R1054" i="17"/>
  <c r="R1050" i="17"/>
  <c r="R1051" i="17"/>
  <c r="R1040" i="17"/>
  <c r="R1053" i="17"/>
  <c r="B994" i="17"/>
  <c r="R1000" i="17"/>
  <c r="R1012" i="17"/>
  <c r="R999" i="17"/>
  <c r="R1008" i="17"/>
  <c r="R966" i="17"/>
  <c r="R961" i="17"/>
  <c r="R972" i="17"/>
  <c r="R976" i="17"/>
  <c r="R963" i="17"/>
  <c r="R933" i="17"/>
  <c r="R931" i="17"/>
  <c r="R925" i="17"/>
  <c r="R892" i="17"/>
  <c r="B871" i="17"/>
  <c r="R835" i="17"/>
  <c r="R844" i="17"/>
  <c r="R838" i="17"/>
  <c r="R848" i="17"/>
  <c r="R853" i="17"/>
  <c r="B823" i="17"/>
  <c r="R803" i="17"/>
  <c r="R765" i="17"/>
  <c r="R763" i="17"/>
  <c r="R753" i="17"/>
  <c r="R713" i="17"/>
  <c r="R712" i="17"/>
  <c r="R731" i="17"/>
  <c r="R723" i="17"/>
  <c r="B666" i="17"/>
  <c r="R689" i="17"/>
  <c r="R638" i="17"/>
  <c r="B659" i="17"/>
  <c r="R608" i="17"/>
  <c r="R555" i="17"/>
  <c r="R484" i="17"/>
  <c r="R444" i="17"/>
  <c r="R361" i="17"/>
  <c r="B297" i="17"/>
  <c r="R63" i="17"/>
  <c r="R1041" i="17"/>
  <c r="R1048" i="17"/>
  <c r="R1018" i="17"/>
  <c r="B1023" i="17"/>
  <c r="R1009" i="17"/>
  <c r="R968" i="17"/>
  <c r="R974" i="17"/>
  <c r="B982" i="17"/>
  <c r="R965" i="17"/>
  <c r="R971" i="17"/>
  <c r="R929" i="17"/>
  <c r="R924" i="17"/>
  <c r="R936" i="17"/>
  <c r="R919" i="17"/>
  <c r="R885" i="17"/>
  <c r="R881" i="17"/>
  <c r="R839" i="17"/>
  <c r="R842" i="17"/>
  <c r="R797" i="17"/>
  <c r="R808" i="17"/>
  <c r="R811" i="17"/>
  <c r="R766" i="17"/>
  <c r="B777" i="17"/>
  <c r="R771" i="17"/>
  <c r="R754" i="17"/>
  <c r="R756" i="17"/>
  <c r="R721" i="17"/>
  <c r="R716" i="17"/>
  <c r="R683" i="17"/>
  <c r="R677" i="17"/>
  <c r="B700" i="17"/>
  <c r="R589" i="17"/>
  <c r="R557" i="17"/>
  <c r="R508" i="17"/>
  <c r="R439" i="17"/>
  <c r="R441" i="17"/>
  <c r="R385" i="17"/>
  <c r="R235" i="17"/>
  <c r="R188" i="17"/>
  <c r="B126" i="17"/>
  <c r="R1091" i="17"/>
  <c r="R1058" i="17"/>
  <c r="R1042" i="17"/>
  <c r="R1046" i="17"/>
  <c r="R1059" i="17"/>
  <c r="R1014" i="17"/>
  <c r="R1005" i="17"/>
  <c r="R1010" i="17"/>
  <c r="AC23" i="17"/>
  <c r="AC24" i="17"/>
  <c r="AC31" i="17"/>
  <c r="AC17" i="17"/>
  <c r="AD13" i="17"/>
  <c r="AC22" i="17"/>
  <c r="AD12" i="17"/>
  <c r="R1254" i="17"/>
  <c r="B1269" i="17"/>
  <c r="R1253" i="17"/>
  <c r="R1258" i="17"/>
  <c r="R1259" i="17"/>
  <c r="R1257" i="17"/>
  <c r="R1256" i="17"/>
  <c r="R1247" i="17"/>
  <c r="R1211" i="17"/>
  <c r="R1212" i="17"/>
  <c r="B1228" i="17"/>
  <c r="R1218" i="17"/>
  <c r="R1215" i="17"/>
  <c r="R1214" i="17"/>
  <c r="R1174" i="17"/>
  <c r="B1192" i="17"/>
  <c r="R1180" i="17"/>
  <c r="R1171" i="17"/>
  <c r="R1126" i="17"/>
  <c r="R1141" i="17"/>
  <c r="R1128" i="17"/>
  <c r="R1122" i="17"/>
  <c r="R1131" i="17"/>
  <c r="R1088" i="17"/>
  <c r="R1097" i="17"/>
  <c r="R1090" i="17"/>
  <c r="B1076" i="17"/>
  <c r="R1084" i="17"/>
  <c r="R1085" i="17"/>
  <c r="R1099" i="17"/>
  <c r="R1049" i="17"/>
  <c r="B1069" i="17"/>
  <c r="R1056" i="17"/>
  <c r="R1006" i="17"/>
  <c r="R1011" i="17"/>
  <c r="R1013" i="17"/>
  <c r="R1007" i="17"/>
  <c r="R1017" i="17"/>
  <c r="R973" i="17"/>
  <c r="R975" i="17"/>
  <c r="B912" i="17"/>
  <c r="R920" i="17"/>
  <c r="R932" i="17"/>
  <c r="R927" i="17"/>
  <c r="R893" i="17"/>
  <c r="R890" i="17"/>
  <c r="R889" i="17"/>
  <c r="R879" i="17"/>
  <c r="R876" i="17"/>
  <c r="B830" i="17"/>
  <c r="R847" i="17"/>
  <c r="R840" i="17"/>
  <c r="R805" i="17"/>
  <c r="R801" i="17"/>
  <c r="R812" i="17"/>
  <c r="R768" i="17"/>
  <c r="R762" i="17"/>
  <c r="R724" i="17"/>
  <c r="R714" i="17"/>
  <c r="R676" i="17"/>
  <c r="R690" i="17"/>
  <c r="R680" i="17"/>
  <c r="R678" i="17"/>
  <c r="R632" i="17"/>
  <c r="R643" i="17"/>
  <c r="R641" i="17"/>
  <c r="R601" i="17"/>
  <c r="R591" i="17"/>
  <c r="B613" i="17"/>
  <c r="R599" i="17"/>
  <c r="R565" i="17"/>
  <c r="R347" i="17"/>
  <c r="R268" i="17"/>
  <c r="R180" i="17"/>
  <c r="R141" i="17"/>
  <c r="R606" i="17"/>
  <c r="R597" i="17"/>
  <c r="R603" i="17"/>
  <c r="R596" i="17"/>
  <c r="R553" i="17"/>
  <c r="B572" i="17"/>
  <c r="R548" i="17"/>
  <c r="R554" i="17"/>
  <c r="R559" i="17"/>
  <c r="R517" i="17"/>
  <c r="R520" i="17"/>
  <c r="R521" i="17"/>
  <c r="R524" i="17"/>
  <c r="R471" i="17"/>
  <c r="R485" i="17"/>
  <c r="R467" i="17"/>
  <c r="R473" i="17"/>
  <c r="R429" i="17"/>
  <c r="R443" i="17"/>
  <c r="R384" i="17"/>
  <c r="R357" i="17"/>
  <c r="R351" i="17"/>
  <c r="B367" i="17"/>
  <c r="R352" i="17"/>
  <c r="R312" i="17"/>
  <c r="R303" i="17"/>
  <c r="R316" i="17"/>
  <c r="R269" i="17"/>
  <c r="R227" i="17"/>
  <c r="R234" i="17"/>
  <c r="R223" i="17"/>
  <c r="R115" i="17"/>
  <c r="R105" i="17"/>
  <c r="B80" i="17"/>
  <c r="R959" i="17"/>
  <c r="R960" i="17"/>
  <c r="R969" i="17"/>
  <c r="R970" i="17"/>
  <c r="R918" i="17"/>
  <c r="R921" i="17"/>
  <c r="R926" i="17"/>
  <c r="R922" i="17"/>
  <c r="R917" i="17"/>
  <c r="B946" i="17"/>
  <c r="R888" i="17"/>
  <c r="R880" i="17"/>
  <c r="R887" i="17"/>
  <c r="R886" i="17"/>
  <c r="B900" i="17"/>
  <c r="R852" i="17"/>
  <c r="R849" i="17"/>
  <c r="R850" i="17"/>
  <c r="R846" i="17"/>
  <c r="B864" i="17"/>
  <c r="R843" i="17"/>
  <c r="R837" i="17"/>
  <c r="R794" i="17"/>
  <c r="R813" i="17"/>
  <c r="R799" i="17"/>
  <c r="R802" i="17"/>
  <c r="B818" i="17"/>
  <c r="R810" i="17"/>
  <c r="B782" i="17"/>
  <c r="R772" i="17"/>
  <c r="R761" i="17"/>
  <c r="R770" i="17"/>
  <c r="R760" i="17"/>
  <c r="R759" i="17"/>
  <c r="R729" i="17"/>
  <c r="R720" i="17"/>
  <c r="B707" i="17"/>
  <c r="R727" i="17"/>
  <c r="R717" i="17"/>
  <c r="R715" i="17"/>
  <c r="R722" i="17"/>
  <c r="R685" i="17"/>
  <c r="R687" i="17"/>
  <c r="R684" i="17"/>
  <c r="R674" i="17"/>
  <c r="R673" i="17"/>
  <c r="R640" i="17"/>
  <c r="B654" i="17"/>
  <c r="R637" i="17"/>
  <c r="R646" i="17"/>
  <c r="R636" i="17"/>
  <c r="R634" i="17"/>
  <c r="R607" i="17"/>
  <c r="R592" i="17"/>
  <c r="R605" i="17"/>
  <c r="R604" i="17"/>
  <c r="R594" i="17"/>
  <c r="R558" i="17"/>
  <c r="R564" i="17"/>
  <c r="R552" i="17"/>
  <c r="R518" i="17"/>
  <c r="R513" i="17"/>
  <c r="B531" i="17"/>
  <c r="R522" i="17"/>
  <c r="B490" i="17"/>
  <c r="R483" i="17"/>
  <c r="R431" i="17"/>
  <c r="R400" i="17"/>
  <c r="R394" i="17"/>
  <c r="R345" i="17"/>
  <c r="R354" i="17"/>
  <c r="R356" i="17"/>
  <c r="R355" i="17"/>
  <c r="R302" i="17"/>
  <c r="R306" i="17"/>
  <c r="R266" i="17"/>
  <c r="R261" i="17"/>
  <c r="R224" i="17"/>
  <c r="R190" i="17"/>
  <c r="R198" i="17"/>
  <c r="B203" i="17"/>
  <c r="R157" i="17"/>
  <c r="R114" i="17"/>
  <c r="R103" i="17"/>
  <c r="R59" i="17"/>
  <c r="R1004" i="17"/>
  <c r="R1016" i="17"/>
  <c r="R958" i="17"/>
  <c r="R967" i="17"/>
  <c r="R977" i="17"/>
  <c r="B953" i="17"/>
  <c r="B987" i="17"/>
  <c r="R934" i="17"/>
  <c r="B941" i="17"/>
  <c r="R923" i="17"/>
  <c r="R930" i="17"/>
  <c r="R877" i="17"/>
  <c r="R891" i="17"/>
  <c r="R882" i="17"/>
  <c r="R895" i="17"/>
  <c r="B905" i="17"/>
  <c r="R894" i="17"/>
  <c r="R851" i="17"/>
  <c r="R854" i="17"/>
  <c r="R836" i="17"/>
  <c r="R845" i="17"/>
  <c r="B859" i="17"/>
  <c r="R800" i="17"/>
  <c r="R798" i="17"/>
  <c r="R807" i="17"/>
  <c r="R804" i="17"/>
  <c r="R795" i="17"/>
  <c r="B789" i="17"/>
  <c r="R758" i="17"/>
  <c r="R755" i="17"/>
  <c r="R769" i="17"/>
  <c r="R764" i="17"/>
  <c r="R767" i="17"/>
  <c r="R728" i="17"/>
  <c r="R718" i="17"/>
  <c r="R725" i="17"/>
  <c r="B736" i="17"/>
  <c r="R719" i="17"/>
  <c r="R679" i="17"/>
  <c r="R682" i="17"/>
  <c r="R681" i="17"/>
  <c r="B695" i="17"/>
  <c r="R672" i="17"/>
  <c r="R639" i="17"/>
  <c r="R648" i="17"/>
  <c r="R647" i="17"/>
  <c r="R645" i="17"/>
  <c r="R644" i="17"/>
  <c r="R631" i="17"/>
  <c r="R633" i="17"/>
  <c r="R642" i="17"/>
  <c r="R593" i="17"/>
  <c r="R600" i="17"/>
  <c r="R590" i="17"/>
  <c r="R595" i="17"/>
  <c r="B577" i="17"/>
  <c r="R511" i="17"/>
  <c r="R515" i="17"/>
  <c r="R525" i="17"/>
  <c r="R468" i="17"/>
  <c r="B461" i="17"/>
  <c r="R434" i="17"/>
  <c r="R428" i="17"/>
  <c r="B454" i="17"/>
  <c r="R432" i="17"/>
  <c r="R387" i="17"/>
  <c r="R388" i="17"/>
  <c r="R359" i="17"/>
  <c r="R350" i="17"/>
  <c r="R343" i="17"/>
  <c r="R307" i="17"/>
  <c r="R318" i="17"/>
  <c r="R305" i="17"/>
  <c r="B331" i="17"/>
  <c r="R280" i="17"/>
  <c r="R273" i="17"/>
  <c r="R193" i="17"/>
  <c r="R65" i="17"/>
  <c r="R69" i="17"/>
  <c r="R602" i="17"/>
  <c r="R550" i="17"/>
  <c r="R561" i="17"/>
  <c r="R556" i="17"/>
  <c r="B543" i="17"/>
  <c r="R567" i="17"/>
  <c r="R526" i="17"/>
  <c r="R512" i="17"/>
  <c r="R514" i="17"/>
  <c r="R523" i="17"/>
  <c r="B495" i="17"/>
  <c r="R466" i="17"/>
  <c r="R475" i="17"/>
  <c r="R469" i="17"/>
  <c r="R472" i="17"/>
  <c r="R433" i="17"/>
  <c r="R442" i="17"/>
  <c r="R437" i="17"/>
  <c r="R430" i="17"/>
  <c r="R440" i="17"/>
  <c r="B379" i="17"/>
  <c r="R392" i="17"/>
  <c r="R399" i="17"/>
  <c r="R401" i="17"/>
  <c r="R402" i="17"/>
  <c r="B372" i="17"/>
  <c r="R362" i="17"/>
  <c r="R348" i="17"/>
  <c r="R358" i="17"/>
  <c r="B338" i="17"/>
  <c r="R344" i="17"/>
  <c r="R315" i="17"/>
  <c r="R320" i="17"/>
  <c r="R309" i="17"/>
  <c r="R314" i="17"/>
  <c r="R319" i="17"/>
  <c r="R308" i="17"/>
  <c r="B256" i="17"/>
  <c r="R271" i="17"/>
  <c r="R274" i="17"/>
  <c r="B285" i="17"/>
  <c r="R275" i="17"/>
  <c r="R262" i="17"/>
  <c r="R276" i="17"/>
  <c r="R220" i="17"/>
  <c r="R222" i="17"/>
  <c r="B249" i="17"/>
  <c r="R233" i="17"/>
  <c r="R239" i="17"/>
  <c r="R230" i="17"/>
  <c r="B244" i="17"/>
  <c r="R184" i="17"/>
  <c r="R181" i="17"/>
  <c r="R195" i="17"/>
  <c r="R187" i="17"/>
  <c r="R192" i="17"/>
  <c r="R148" i="17"/>
  <c r="R143" i="17"/>
  <c r="R145" i="17"/>
  <c r="R142" i="17"/>
  <c r="R140" i="17"/>
  <c r="R139" i="17"/>
  <c r="R152" i="17"/>
  <c r="R104" i="17"/>
  <c r="R108" i="17"/>
  <c r="R109" i="17"/>
  <c r="R98" i="17"/>
  <c r="R111" i="17"/>
  <c r="R56" i="17"/>
  <c r="R71" i="17"/>
  <c r="B85" i="17"/>
  <c r="R60" i="17"/>
  <c r="R62" i="17"/>
  <c r="R67" i="17"/>
  <c r="R74" i="17"/>
  <c r="R265" i="17"/>
  <c r="R264" i="17"/>
  <c r="R263" i="17"/>
  <c r="R270" i="17"/>
  <c r="R229" i="17"/>
  <c r="R231" i="17"/>
  <c r="R228" i="17"/>
  <c r="R236" i="17"/>
  <c r="R238" i="17"/>
  <c r="R232" i="17"/>
  <c r="R191" i="17"/>
  <c r="R189" i="17"/>
  <c r="R196" i="17"/>
  <c r="B174" i="17"/>
  <c r="R150" i="17"/>
  <c r="R151" i="17"/>
  <c r="B162" i="17"/>
  <c r="R156" i="17"/>
  <c r="R147" i="17"/>
  <c r="B133" i="17"/>
  <c r="R146" i="17"/>
  <c r="B121" i="17"/>
  <c r="R110" i="17"/>
  <c r="R97" i="17"/>
  <c r="R99" i="17"/>
  <c r="R68" i="17"/>
  <c r="B51" i="17"/>
  <c r="R58" i="17"/>
  <c r="R75" i="17"/>
  <c r="R64" i="17"/>
  <c r="R72" i="17"/>
  <c r="R566" i="17"/>
  <c r="R563" i="17"/>
  <c r="R562" i="17"/>
  <c r="R551" i="17"/>
  <c r="R560" i="17"/>
  <c r="R510" i="17"/>
  <c r="R519" i="17"/>
  <c r="B502" i="17"/>
  <c r="R509" i="17"/>
  <c r="R507" i="17"/>
  <c r="R516" i="17"/>
  <c r="R470" i="17"/>
  <c r="R479" i="17"/>
  <c r="R477" i="17"/>
  <c r="R476" i="17"/>
  <c r="R481" i="17"/>
  <c r="R482" i="17"/>
  <c r="R427" i="17"/>
  <c r="R426" i="17"/>
  <c r="R436" i="17"/>
  <c r="B420" i="17"/>
  <c r="R435" i="17"/>
  <c r="B449" i="17"/>
  <c r="R425" i="17"/>
  <c r="B408" i="17"/>
  <c r="R403" i="17"/>
  <c r="R393" i="17"/>
  <c r="R398" i="17"/>
  <c r="R391" i="17"/>
  <c r="R395" i="17"/>
  <c r="R389" i="17"/>
  <c r="R386" i="17"/>
  <c r="R396" i="17"/>
  <c r="R346" i="17"/>
  <c r="R349" i="17"/>
  <c r="R353" i="17"/>
  <c r="R360" i="17"/>
  <c r="R321" i="17"/>
  <c r="R310" i="17"/>
  <c r="R311" i="17"/>
  <c r="R304" i="17"/>
  <c r="R313" i="17"/>
  <c r="R277" i="17"/>
  <c r="B290" i="17"/>
  <c r="R272" i="17"/>
  <c r="R279" i="17"/>
  <c r="R278" i="17"/>
  <c r="R225" i="17"/>
  <c r="R226" i="17"/>
  <c r="R237" i="17"/>
  <c r="B215" i="17"/>
  <c r="R221" i="17"/>
  <c r="R186" i="17"/>
  <c r="R179" i="17"/>
  <c r="R197" i="17"/>
  <c r="R183" i="17"/>
  <c r="R194" i="17"/>
  <c r="R182" i="17"/>
  <c r="R185" i="17"/>
  <c r="B208" i="17"/>
  <c r="R138" i="17"/>
  <c r="R149" i="17"/>
  <c r="R144" i="17"/>
  <c r="R154" i="17"/>
  <c r="R155" i="17"/>
  <c r="R153" i="17"/>
  <c r="B167" i="17"/>
  <c r="R101" i="17"/>
  <c r="R113" i="17"/>
  <c r="R102" i="17"/>
  <c r="R107" i="17"/>
  <c r="R112" i="17"/>
  <c r="R106" i="17"/>
  <c r="R100" i="17"/>
  <c r="R116" i="17"/>
  <c r="B92" i="17"/>
  <c r="R70" i="17"/>
  <c r="R66" i="17"/>
  <c r="R73" i="17"/>
  <c r="R57" i="17"/>
  <c r="Q17" i="11" l="1"/>
  <c r="K17" i="11"/>
  <c r="L17" i="11"/>
  <c r="P17" i="11"/>
  <c r="G6" i="16" l="1"/>
  <c r="G7" i="16" s="1"/>
  <c r="G8" i="16" s="1"/>
</calcChain>
</file>

<file path=xl/sharedStrings.xml><?xml version="1.0" encoding="utf-8"?>
<sst xmlns="http://schemas.openxmlformats.org/spreadsheetml/2006/main" count="607" uniqueCount="235">
  <si>
    <t>For latest updates and news visit:</t>
  </si>
  <si>
    <t>Contact me at:</t>
  </si>
  <si>
    <t>www.YourSpreadsheets.co.uk</t>
  </si>
  <si>
    <t>info@yourspreadsheets.co.uk</t>
  </si>
  <si>
    <r>
      <t xml:space="preserve">General information:
</t>
    </r>
    <r>
      <rPr>
        <sz val="10"/>
        <rFont val="Arial CE"/>
      </rPr>
      <t>Note: This spreadsheet contains macros.</t>
    </r>
  </si>
  <si>
    <t>Quality of Work</t>
  </si>
  <si>
    <t>Job Knowledge</t>
  </si>
  <si>
    <t>Client Service</t>
  </si>
  <si>
    <t>Competencies:</t>
  </si>
  <si>
    <t>Teamwork</t>
  </si>
  <si>
    <t>Safety</t>
  </si>
  <si>
    <t>Reliability</t>
  </si>
  <si>
    <t>Initiative/Adaptability</t>
  </si>
  <si>
    <t>View settings:</t>
  </si>
  <si>
    <t>Year:</t>
  </si>
  <si>
    <t>OVERVIEW</t>
  </si>
  <si>
    <t>Total Score</t>
  </si>
  <si>
    <t>Report date:</t>
  </si>
  <si>
    <t>Average Score</t>
  </si>
  <si>
    <t>Scores:</t>
  </si>
  <si>
    <t>-</t>
  </si>
  <si>
    <t>exceeds standards</t>
  </si>
  <si>
    <t>meets standards</t>
  </si>
  <si>
    <t>does not meet standards</t>
  </si>
  <si>
    <t>comments</t>
  </si>
  <si>
    <t>PAST REVIEWS</t>
  </si>
  <si>
    <t>Total Score:</t>
  </si>
  <si>
    <t>Average Score:</t>
  </si>
  <si>
    <t>Name</t>
  </si>
  <si>
    <t>Surname</t>
  </si>
  <si>
    <t>ID</t>
  </si>
  <si>
    <t>Name and Surname</t>
  </si>
  <si>
    <t>Add new &gt;&gt;</t>
  </si>
  <si>
    <t>Edit/delete existing &gt;&gt;</t>
  </si>
  <si>
    <t>COMPETENCIES</t>
  </si>
  <si>
    <t>GENERAL SETTINGS</t>
  </si>
  <si>
    <t>Starting year:</t>
  </si>
  <si>
    <t>Refer to people as:</t>
  </si>
  <si>
    <t>Employee</t>
  </si>
  <si>
    <t>Department</t>
  </si>
  <si>
    <t>Surname Name</t>
  </si>
  <si>
    <t>Show names as</t>
  </si>
  <si>
    <t>Name Surname</t>
  </si>
  <si>
    <t>Surname, Name</t>
  </si>
  <si>
    <t>Sort names by</t>
  </si>
  <si>
    <t>People</t>
  </si>
  <si>
    <t>Associate</t>
  </si>
  <si>
    <t>Staff</t>
  </si>
  <si>
    <t>Student</t>
  </si>
  <si>
    <t>Group</t>
  </si>
  <si>
    <t>Volunteer</t>
  </si>
  <si>
    <t>People are part of:</t>
  </si>
  <si>
    <t>Do not copy and paste. Max 20 rows.</t>
  </si>
  <si>
    <t>Role</t>
  </si>
  <si>
    <t>Scoring</t>
  </si>
  <si>
    <t>3-point rating</t>
  </si>
  <si>
    <t>10-point rating</t>
  </si>
  <si>
    <t>10-point rating (reversed)</t>
  </si>
  <si>
    <t>RATING LEGEND</t>
  </si>
  <si>
    <t>Row No</t>
  </si>
  <si>
    <t>Year</t>
  </si>
  <si>
    <t>Competency1</t>
  </si>
  <si>
    <t>Competency2</t>
  </si>
  <si>
    <t>Competency3</t>
  </si>
  <si>
    <t>Competency4</t>
  </si>
  <si>
    <t>Competency5</t>
  </si>
  <si>
    <t>Competency6</t>
  </si>
  <si>
    <t>Competency7</t>
  </si>
  <si>
    <t>Competency8</t>
  </si>
  <si>
    <t>Competency9</t>
  </si>
  <si>
    <t>Competency10</t>
  </si>
  <si>
    <t>Competency11</t>
  </si>
  <si>
    <t>Competency12</t>
  </si>
  <si>
    <t>Competency13</t>
  </si>
  <si>
    <t>Competency14</t>
  </si>
  <si>
    <t>Competency15</t>
  </si>
  <si>
    <t>Competency16</t>
  </si>
  <si>
    <t>Competency17</t>
  </si>
  <si>
    <t>Competency18</t>
  </si>
  <si>
    <t>Competency19</t>
  </si>
  <si>
    <t>Competency20</t>
  </si>
  <si>
    <t>Comment1</t>
  </si>
  <si>
    <t>Comment2</t>
  </si>
  <si>
    <t>Comment3</t>
  </si>
  <si>
    <t>Comment4</t>
  </si>
  <si>
    <t>Comment5</t>
  </si>
  <si>
    <t>Comment6</t>
  </si>
  <si>
    <t>Comment7</t>
  </si>
  <si>
    <t>Comment8</t>
  </si>
  <si>
    <t>Comment9</t>
  </si>
  <si>
    <t>Comment10</t>
  </si>
  <si>
    <t>Comment11</t>
  </si>
  <si>
    <t>Comment12</t>
  </si>
  <si>
    <t>Comment13</t>
  </si>
  <si>
    <t>Comment14</t>
  </si>
  <si>
    <t>Comment15</t>
  </si>
  <si>
    <t>Comment16</t>
  </si>
  <si>
    <t>Comment17</t>
  </si>
  <si>
    <t>Comment18</t>
  </si>
  <si>
    <t>Comment19</t>
  </si>
  <si>
    <t>Comment20</t>
  </si>
  <si>
    <t>Feedback Does Well</t>
  </si>
  <si>
    <t>Feedback To Improve</t>
  </si>
  <si>
    <t>Feedback Warnings</t>
  </si>
  <si>
    <t>A=IF(Settings!I12&lt;&gt;"",Settings!I12,"")</t>
  </si>
  <si>
    <t>A=IF(Settings!I13&lt;&gt;"",Settings!I13,"")</t>
  </si>
  <si>
    <t>A=IF(Settings!I14&lt;&gt;"",Settings!I14,"")</t>
  </si>
  <si>
    <t>A=IF(Settings!I15&lt;&gt;"",Settings!I15,"")</t>
  </si>
  <si>
    <t>A=IF(Settings!I16&lt;&gt;"",Settings!I16,"")</t>
  </si>
  <si>
    <t>A=IF(Settings!I17&lt;&gt;"",Settings!I17,"")</t>
  </si>
  <si>
    <t>A=IF(Settings!I18&lt;&gt;"",Settings!I18,"")</t>
  </si>
  <si>
    <t>A=IF(Settings!I19&lt;&gt;"",Settings!I19,"")</t>
  </si>
  <si>
    <t>A=IF(Settings!I20&lt;&gt;"",Settings!I20,"")</t>
  </si>
  <si>
    <t>A=IF(Settings!I21&lt;&gt;"",Settings!I21,"")</t>
  </si>
  <si>
    <t>A=IF(Settings!I22&lt;&gt;"",Settings!I22,"")</t>
  </si>
  <si>
    <t>A=IF(Settings!I23&lt;&gt;"",Settings!I23,"")</t>
  </si>
  <si>
    <t>A=IF(Settings!I24&lt;&gt;"",Settings!I24,"")</t>
  </si>
  <si>
    <t>A=IF(Settings!I25&lt;&gt;"",Settings!I25,"")</t>
  </si>
  <si>
    <t>A=IF(Settings!I26&lt;&gt;"",Settings!I26,"")</t>
  </si>
  <si>
    <t>A=IF(Settings!I27&lt;&gt;"",Settings!I27,"")</t>
  </si>
  <si>
    <t>A=IF(Settings!I28&lt;&gt;"",Settings!I28,"")</t>
  </si>
  <si>
    <t>A=IF(Settings!I29&lt;&gt;"",Settings!I29,"")</t>
  </si>
  <si>
    <t>A=IF(Settings!I30&lt;&gt;"",Settings!I30,"")</t>
  </si>
  <si>
    <t>A=IF(Settings!I31&lt;&gt;"",Settings!I31,"")</t>
  </si>
  <si>
    <t>number of competencies</t>
  </si>
  <si>
    <r>
      <t>Spreadsheet provided by:</t>
    </r>
    <r>
      <rPr>
        <b/>
        <i/>
        <sz val="8"/>
        <rFont val="Arial CE"/>
      </rPr>
      <t xml:space="preserve"> www.YourSpreadsheets.co.uk</t>
    </r>
  </si>
  <si>
    <t>number of employees</t>
  </si>
  <si>
    <t>Number of past years for this employee</t>
  </si>
  <si>
    <t>Does review already exist? 0-NO otherwise gives table row reference</t>
  </si>
  <si>
    <t>INDIVIDUAL VIEW</t>
  </si>
  <si>
    <t>FROM DATABASE</t>
  </si>
  <si>
    <t>TO</t>
  </si>
  <si>
    <t>To save Review to Database before changing year/employee:</t>
  </si>
  <si>
    <t>Name:</t>
  </si>
  <si>
    <t>OldDRE:</t>
  </si>
  <si>
    <t>Show all</t>
  </si>
  <si>
    <t>Count if visible</t>
  </si>
  <si>
    <t>is re-shuffle needed?</t>
  </si>
  <si>
    <t>number of employees in the selected group</t>
  </si>
  <si>
    <r>
      <t xml:space="preserve">© 2018-2019 </t>
    </r>
    <r>
      <rPr>
        <b/>
        <sz val="10"/>
        <rFont val="Arial CE"/>
      </rPr>
      <t>Damian Janicki</t>
    </r>
  </si>
  <si>
    <r>
      <t xml:space="preserve">Version: </t>
    </r>
    <r>
      <rPr>
        <b/>
        <sz val="10"/>
        <rFont val="Arial CE"/>
      </rPr>
      <t>2.1.</t>
    </r>
  </si>
  <si>
    <r>
      <rPr>
        <sz val="10"/>
        <rFont val="Arial CE"/>
      </rPr>
      <t xml:space="preserve">The Author takes no liability for use of this spreadsheet and gives no guarantee that it is error free. 
In no event shall the Author be responsible for any special, incidental or consequential damages whatsoever arising from the use of this spreadsheet, even if the Author has been advised of the possibility of such damage.
This is a Premium version of the spreadsheet.
Reverse-engineering, decompiling or disassembling of this spreadsheet is not allowable.
By using this spreadsheet you understand and agree with the above terms and conditions. You also acknowledge that you do not become the owner of this spreadsheet.
</t>
    </r>
    <r>
      <rPr>
        <b/>
        <sz val="10"/>
        <rFont val="Arial CE"/>
        <charset val="238"/>
      </rPr>
      <t>Damian Janicki</t>
    </r>
  </si>
  <si>
    <t>Video tutorial:</t>
  </si>
  <si>
    <t>It is recommended to watch the video tutorial linked below before first use to learn how to use the spreadsheet correctly and efficiently.</t>
  </si>
  <si>
    <t>Frequently Asked Questions:</t>
  </si>
  <si>
    <t>Legend:</t>
  </si>
  <si>
    <t>Minimal errors made. Work is careful and thorough.</t>
  </si>
  <si>
    <t>Works at a good pace, completes assignments without supervision, stays on task</t>
  </si>
  <si>
    <t>Understands and demonstrates knowledge of all aspects of position</t>
  </si>
  <si>
    <t>Patient, kind and helpful with clients</t>
  </si>
  <si>
    <t>Follows company saftery policies and safe work practices</t>
  </si>
  <si>
    <t>Regularly comes to work on time and as scheduled</t>
  </si>
  <si>
    <t>Works well with supervisors, patient, kind, and helpful with coworkers</t>
  </si>
  <si>
    <t>Rating system:</t>
  </si>
  <si>
    <t>Yes</t>
  </si>
  <si>
    <t>YesNo</t>
  </si>
  <si>
    <t>No</t>
  </si>
  <si>
    <t>Formatting</t>
  </si>
  <si>
    <t>grey boxes</t>
  </si>
  <si>
    <t>Rating system presented as:</t>
  </si>
  <si>
    <t>blue check marks</t>
  </si>
  <si>
    <t>First non-empty cell</t>
  </si>
  <si>
    <t>were competencies changed?</t>
  </si>
  <si>
    <t>number of unique departments</t>
  </si>
  <si>
    <t>current rating system</t>
  </si>
  <si>
    <t>Performance Review of:</t>
  </si>
  <si>
    <r>
      <t xml:space="preserve">
</t>
    </r>
    <r>
      <rPr>
        <b/>
        <sz val="10"/>
        <rFont val="Arial CE"/>
      </rPr>
      <t xml:space="preserve">Q. This spreadsheet is protected and requires a password
</t>
    </r>
    <r>
      <rPr>
        <sz val="9"/>
        <rFont val="Arial CE"/>
      </rPr>
      <t xml:space="preserve">You </t>
    </r>
    <r>
      <rPr>
        <i/>
        <sz val="9"/>
        <rFont val="Arial CE"/>
      </rPr>
      <t xml:space="preserve">do not </t>
    </r>
    <r>
      <rPr>
        <sz val="9"/>
        <rFont val="Arial CE"/>
      </rPr>
      <t>need any passwords to make full use of this spreadsheet because all required cells are unlocked. If you are prompted to enter a password then you might be using this spreadsheet incorrectly. Make sure you watch the above video tutorial to learn how to use this spreadsheet.</t>
    </r>
    <r>
      <rPr>
        <sz val="10"/>
        <rFont val="Arial CE"/>
      </rPr>
      <t xml:space="preserve">
</t>
    </r>
    <r>
      <rPr>
        <b/>
        <sz val="10"/>
        <rFont val="Arial CE"/>
      </rPr>
      <t>Q. I cannot add employees</t>
    </r>
    <r>
      <rPr>
        <sz val="10"/>
        <rFont val="Arial CE"/>
      </rPr>
      <t xml:space="preserve">
</t>
    </r>
    <r>
      <rPr>
        <sz val="9"/>
        <rFont val="Arial CE"/>
      </rPr>
      <t>You add employees and holidays in the Database View, in the top white row, next to the 'Add new&gt;&gt;' note. Make sure you fill in all required columns for employee to be added to Database. The above video tutorial will show you the steps.</t>
    </r>
  </si>
  <si>
    <r>
      <rPr>
        <b/>
        <sz val="10"/>
        <rFont val="Arial CE"/>
      </rPr>
      <t>Q. I want to track more than 10 employees</t>
    </r>
    <r>
      <rPr>
        <sz val="10"/>
        <rFont val="Arial CE"/>
      </rPr>
      <t xml:space="preserve">
</t>
    </r>
    <r>
      <rPr>
        <sz val="9"/>
        <rFont val="Arial CE"/>
      </rPr>
      <t>This spreadsheet allows you to track up to 10 employees/students. To track more go to the spreadsheet's webpage at www.YourSpreadsheets.co.uk</t>
    </r>
  </si>
  <si>
    <t>Nola</t>
  </si>
  <si>
    <t>Ruark</t>
  </si>
  <si>
    <t>E123458</t>
  </si>
  <si>
    <t>Danette</t>
  </si>
  <si>
    <t>Bartholomew</t>
  </si>
  <si>
    <t>E123460</t>
  </si>
  <si>
    <t>Revit technicians</t>
  </si>
  <si>
    <t>x</t>
  </si>
  <si>
    <t>Traverso Madeleine</t>
  </si>
  <si>
    <t>Surname - Name - Department</t>
  </si>
  <si>
    <t>Row Labels</t>
  </si>
  <si>
    <t>Grand Total</t>
  </si>
  <si>
    <t>Count of Name and Surname</t>
  </si>
  <si>
    <t>Averate rating</t>
  </si>
  <si>
    <t>Column Labels</t>
  </si>
  <si>
    <t>Average of Averate rating</t>
  </si>
  <si>
    <t>Competency:</t>
  </si>
  <si>
    <t>Valid?</t>
  </si>
  <si>
    <t>TRUE</t>
  </si>
  <si>
    <t>Last 3 years?</t>
  </si>
  <si>
    <t>Last year?</t>
  </si>
  <si>
    <t>Average of Competency1</t>
  </si>
  <si>
    <t>Average of Competency2</t>
  </si>
  <si>
    <t>Average of Competency3</t>
  </si>
  <si>
    <t>Average of Competency4</t>
  </si>
  <si>
    <t>Average of Competency5</t>
  </si>
  <si>
    <t>Average of Competency6</t>
  </si>
  <si>
    <t>Average of Competency7</t>
  </si>
  <si>
    <t>Average of Competency8</t>
  </si>
  <si>
    <t>Average of Competency9</t>
  </si>
  <si>
    <t>Average of Competency10</t>
  </si>
  <si>
    <t>Average of Competency11</t>
  </si>
  <si>
    <t>Average of Competency12</t>
  </si>
  <si>
    <t>Average of Competency13</t>
  </si>
  <si>
    <t>Average of Competency14</t>
  </si>
  <si>
    <t>Average of Competency15</t>
  </si>
  <si>
    <t>Average of Competency16</t>
  </si>
  <si>
    <t>Average of Competency17</t>
  </si>
  <si>
    <t>Average of Competency18</t>
  </si>
  <si>
    <t>Average of Competency19</t>
  </si>
  <si>
    <t>Average of Competency20</t>
  </si>
  <si>
    <t>Values</t>
  </si>
  <si>
    <t>Average rating per competency in last 3 years:</t>
  </si>
  <si>
    <r>
      <t>Spreadsheet by:</t>
    </r>
    <r>
      <rPr>
        <b/>
        <i/>
        <sz val="8"/>
        <rFont val="Arial CE"/>
      </rPr>
      <t xml:space="preserve"> www.YourSpreadsheets.co.uk</t>
    </r>
  </si>
  <si>
    <t>POSSIBLE FUTURE IMPROVEMENTS</t>
  </si>
  <si>
    <t>Dashboard - add option to select employee that would be added to TOP10 charts</t>
  </si>
  <si>
    <t>Dashboard - add option to select competency - this would affect all charts.</t>
  </si>
  <si>
    <t>(1) means do not refresh charts if rating system change and all data erased (charts will still be refreshed if spreadsheet is closed and reopened)</t>
  </si>
  <si>
    <t>REVIEW HEADINGS</t>
  </si>
  <si>
    <t>Employee's comments</t>
  </si>
  <si>
    <t>Previously agreed actions</t>
  </si>
  <si>
    <t>Actions agreed during this review</t>
  </si>
  <si>
    <t>Company average</t>
  </si>
  <si>
    <t xml:space="preserve"> </t>
  </si>
  <si>
    <t>Comp.</t>
  </si>
  <si>
    <t>Total Comp.</t>
  </si>
  <si>
    <t xml:space="preserve">Total  </t>
  </si>
  <si>
    <r>
      <t xml:space="preserve">Employee Review Tracker (ERT) spreadsheet.
Changelog:
02.01.2020 - v.2.1. - </t>
    </r>
    <r>
      <rPr>
        <sz val="10"/>
        <rFont val="Arial CE"/>
      </rPr>
      <t>official release of the spreadsheet.</t>
    </r>
  </si>
  <si>
    <t>White Michael</t>
  </si>
  <si>
    <t>Architectural</t>
  </si>
  <si>
    <t>makaylin</t>
  </si>
  <si>
    <t>baker</t>
  </si>
  <si>
    <t>makeylin.baker</t>
  </si>
  <si>
    <t>Fo phones</t>
  </si>
  <si>
    <t>CaLL flow</t>
  </si>
  <si>
    <t>baker makaylin</t>
  </si>
  <si>
    <t>Accenture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</si>
</sst>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_-;\-* #,##0.00_-;_-* &quot;-&quot;??_-;_-@_-"/>
    <numFmt numFmtId="165" formatCode="0.0"/>
    <numFmt numFmtId="166" formatCode=";;"/>
    <numFmt numFmtId="167" formatCode="&quot;&quot;"/>
  </numFmts>
  <fonts count="41">
    <font>
      <sz val="11"/>
      <color theme="1"/>
      <name val="Calibri"/>
      <family val="2"/>
      <scheme val="minor"/>
    </font>
    <font>
      <sz val="11"/>
      <name val="Calibri"/>
      <family val="2"/>
      <charset val="238"/>
    </font>
    <font>
      <i/>
      <sz val="12"/>
      <name val="Cambria"/>
      <family val="1"/>
      <charset val="238"/>
    </font>
    <font>
      <sz val="11"/>
      <name val="Calibri"/>
      <family val="2"/>
      <charset val="238"/>
      <scheme val="minor"/>
    </font>
    <font>
      <i/>
      <sz val="12"/>
      <name val="Calibri"/>
      <family val="2"/>
      <charset val="238"/>
    </font>
    <font>
      <sz val="10"/>
      <name val="Arial"/>
      <family val="2"/>
      <charset val="238"/>
    </font>
    <font>
      <sz val="9"/>
      <name val="Geneva"/>
    </font>
    <font>
      <sz val="10"/>
      <name val="Arial CE"/>
      <charset val="238"/>
    </font>
    <font>
      <u/>
      <sz val="10"/>
      <color indexed="12"/>
      <name val="Arial CE"/>
      <charset val="238"/>
    </font>
    <font>
      <b/>
      <sz val="11"/>
      <name val="Calibri"/>
      <family val="2"/>
      <scheme val="minor"/>
    </font>
    <font>
      <sz val="11"/>
      <name val="Calibri"/>
      <family val="2"/>
      <scheme val="minor"/>
    </font>
    <font>
      <i/>
      <sz val="11"/>
      <name val="Calibri"/>
      <family val="2"/>
      <scheme val="minor"/>
    </font>
    <font>
      <b/>
      <sz val="11"/>
      <color rgb="FF0000CC"/>
      <name val="Calibri"/>
      <family val="2"/>
      <scheme val="minor"/>
    </font>
    <font>
      <b/>
      <sz val="10"/>
      <name val="Arial CE"/>
    </font>
    <font>
      <b/>
      <sz val="10"/>
      <name val="Arial CE"/>
      <charset val="238"/>
    </font>
    <font>
      <sz val="10"/>
      <name val="Arial CE"/>
    </font>
    <font>
      <b/>
      <sz val="11"/>
      <color theme="1"/>
      <name val="Calibri"/>
      <family val="2"/>
      <scheme val="minor"/>
    </font>
    <font>
      <i/>
      <sz val="8"/>
      <color theme="0" tint="-0.499984740745262"/>
      <name val="Calibri"/>
      <family val="2"/>
      <scheme val="minor"/>
    </font>
    <font>
      <sz val="10"/>
      <name val="Calibri"/>
      <family val="2"/>
      <scheme val="minor"/>
    </font>
    <font>
      <b/>
      <i/>
      <sz val="9"/>
      <color rgb="FFFFFF00"/>
      <name val="Calibri"/>
      <family val="2"/>
      <scheme val="minor"/>
    </font>
    <font>
      <b/>
      <i/>
      <sz val="9"/>
      <color theme="1"/>
      <name val="Calibri"/>
      <family val="2"/>
      <scheme val="minor"/>
    </font>
    <font>
      <b/>
      <sz val="14"/>
      <color theme="0" tint="-0.499984740745262"/>
      <name val="Calibri"/>
      <family val="2"/>
      <scheme val="minor"/>
    </font>
    <font>
      <b/>
      <sz val="12"/>
      <color rgb="FF0000CC"/>
      <name val="Wingdings 2"/>
      <family val="1"/>
      <charset val="2"/>
    </font>
    <font>
      <sz val="11"/>
      <color theme="0"/>
      <name val="Calibri"/>
      <family val="2"/>
      <scheme val="minor"/>
    </font>
    <font>
      <i/>
      <sz val="8"/>
      <name val="Arial CE"/>
    </font>
    <font>
      <b/>
      <i/>
      <sz val="8"/>
      <name val="Arial CE"/>
    </font>
    <font>
      <b/>
      <sz val="11"/>
      <color rgb="FFFF0000"/>
      <name val="Calibri"/>
      <family val="2"/>
      <scheme val="minor"/>
    </font>
    <font>
      <sz val="11"/>
      <color rgb="FFFF0000"/>
      <name val="Calibri"/>
      <family val="2"/>
      <scheme val="minor"/>
    </font>
    <font>
      <b/>
      <u/>
      <sz val="10"/>
      <name val="Arial CE"/>
      <charset val="238"/>
    </font>
    <font>
      <sz val="9"/>
      <name val="Arial CE"/>
    </font>
    <font>
      <i/>
      <sz val="9"/>
      <name val="Arial CE"/>
    </font>
    <font>
      <sz val="8"/>
      <name val="Calibri"/>
      <family val="2"/>
      <scheme val="minor"/>
    </font>
    <font>
      <b/>
      <u/>
      <sz val="11"/>
      <name val="Calibri"/>
      <family val="2"/>
      <scheme val="minor"/>
    </font>
    <font>
      <sz val="10"/>
      <color theme="0" tint="-0.499984740745262"/>
      <name val="Calibri"/>
      <family val="2"/>
      <scheme val="minor"/>
    </font>
    <font>
      <sz val="11"/>
      <name val="Calibri"/>
      <family val="2"/>
    </font>
    <font>
      <b/>
      <sz val="14"/>
      <name val="Calibri"/>
      <family val="2"/>
    </font>
    <font>
      <i/>
      <sz val="10"/>
      <color theme="0" tint="-0.499984740745262"/>
      <name val="Calibri"/>
      <family val="2"/>
    </font>
    <font>
      <b/>
      <sz val="16"/>
      <name val="Calibri"/>
      <family val="2"/>
    </font>
    <font>
      <i/>
      <sz val="10"/>
      <color theme="0" tint="-0.499984740745262"/>
      <name val="Calibri"/>
      <family val="2"/>
      <scheme val="minor"/>
    </font>
    <font>
      <b/>
      <i/>
      <sz val="11"/>
      <name val="Calibri"/>
      <family val="2"/>
      <scheme val="minor"/>
    </font>
    <font>
      <b/>
      <sz val="11"/>
      <name val="Calibri"/>
      <family val="2"/>
    </font>
  </fonts>
  <fills count="11">
    <fill>
      <patternFill patternType="none"/>
    </fill>
    <fill>
      <patternFill patternType="gray125"/>
    </fill>
    <fill>
      <patternFill patternType="solid">
        <fgColor theme="0" tint="-4.9989318521683403E-2"/>
        <bgColor indexed="64"/>
      </patternFill>
    </fill>
    <fill>
      <patternFill patternType="solid">
        <fgColor indexed="22"/>
        <bgColor indexed="64"/>
      </patternFill>
    </fill>
    <fill>
      <patternFill patternType="solid">
        <fgColor rgb="FFFFFFCC"/>
        <bgColor indexed="64"/>
      </patternFill>
    </fill>
    <fill>
      <patternFill patternType="solid">
        <fgColor theme="0" tint="-0.249977111117893"/>
        <bgColor indexed="64"/>
      </patternFill>
    </fill>
    <fill>
      <patternFill patternType="solid">
        <fgColor rgb="FFFFFF99"/>
        <bgColor indexed="64"/>
      </patternFill>
    </fill>
    <fill>
      <patternFill patternType="lightUp">
        <fgColor theme="0" tint="-0.14996795556505021"/>
        <bgColor indexed="65"/>
      </patternFill>
    </fill>
    <fill>
      <patternFill patternType="solid">
        <fgColor rgb="FFC0C0C0"/>
        <bgColor indexed="64"/>
      </patternFill>
    </fill>
    <fill>
      <patternFill patternType="solid">
        <fgColor rgb="FFFFFF00"/>
        <bgColor indexed="64"/>
      </patternFill>
    </fill>
    <fill>
      <patternFill patternType="solid">
        <fgColor theme="0"/>
        <bgColor indexed="64"/>
      </patternFill>
    </fill>
  </fills>
  <borders count="100">
    <border>
      <left/>
      <right/>
      <top/>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style="thin">
        <color auto="1"/>
      </right>
      <top/>
      <bottom style="thin">
        <color auto="1"/>
      </bottom>
      <diagonal/>
    </border>
    <border>
      <left/>
      <right/>
      <top style="thin">
        <color indexed="64"/>
      </top>
      <bottom style="thin">
        <color theme="0" tint="-0.14996795556505021"/>
      </bottom>
      <diagonal/>
    </border>
    <border>
      <left/>
      <right style="thin">
        <color indexed="64"/>
      </right>
      <top style="thin">
        <color indexed="64"/>
      </top>
      <bottom style="thin">
        <color theme="0" tint="-0.14996795556505021"/>
      </bottom>
      <diagonal/>
    </border>
    <border>
      <left style="thin">
        <color indexed="64"/>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indexed="64"/>
      </right>
      <top style="thin">
        <color theme="0" tint="-0.14996795556505021"/>
      </top>
      <bottom style="thin">
        <color theme="0" tint="-0.14996795556505021"/>
      </bottom>
      <diagonal/>
    </border>
    <border>
      <left/>
      <right/>
      <top style="thin">
        <color theme="0" tint="-0.14996795556505021"/>
      </top>
      <bottom style="thin">
        <color indexed="64"/>
      </bottom>
      <diagonal/>
    </border>
    <border>
      <left/>
      <right style="thin">
        <color auto="1"/>
      </right>
      <top style="thin">
        <color theme="0" tint="-0.14996795556505021"/>
      </top>
      <bottom style="thin">
        <color auto="1"/>
      </bottom>
      <diagonal/>
    </border>
    <border>
      <left style="thin">
        <color indexed="64"/>
      </left>
      <right style="thin">
        <color theme="0" tint="-0.24994659260841701"/>
      </right>
      <top/>
      <bottom style="thin">
        <color indexed="64"/>
      </bottom>
      <diagonal/>
    </border>
    <border>
      <left style="thin">
        <color theme="0" tint="-0.24994659260841701"/>
      </left>
      <right style="thin">
        <color theme="0" tint="-0.24994659260841701"/>
      </right>
      <top/>
      <bottom style="thin">
        <color indexed="64"/>
      </bottom>
      <diagonal/>
    </border>
    <border>
      <left style="thin">
        <color theme="0" tint="-0.24994659260841701"/>
      </left>
      <right style="thin">
        <color auto="1"/>
      </right>
      <top/>
      <bottom style="thin">
        <color auto="1"/>
      </bottom>
      <diagonal/>
    </border>
    <border>
      <left style="thin">
        <color indexed="64"/>
      </left>
      <right style="thin">
        <color theme="0" tint="-0.24994659260841701"/>
      </right>
      <top style="thin">
        <color indexed="64"/>
      </top>
      <bottom style="thin">
        <color theme="0" tint="-0.14996795556505021"/>
      </bottom>
      <diagonal/>
    </border>
    <border>
      <left style="thin">
        <color theme="0" tint="-0.24994659260841701"/>
      </left>
      <right style="thin">
        <color theme="0" tint="-0.24994659260841701"/>
      </right>
      <top style="thin">
        <color indexed="64"/>
      </top>
      <bottom style="thin">
        <color theme="0" tint="-0.14996795556505021"/>
      </bottom>
      <diagonal/>
    </border>
    <border>
      <left style="thin">
        <color theme="0" tint="-0.24994659260841701"/>
      </left>
      <right style="thin">
        <color auto="1"/>
      </right>
      <top style="thin">
        <color indexed="64"/>
      </top>
      <bottom style="thin">
        <color theme="0" tint="-0.14996795556505021"/>
      </bottom>
      <diagonal/>
    </border>
    <border>
      <left style="thin">
        <color indexed="64"/>
      </left>
      <right style="thin">
        <color theme="0" tint="-0.24994659260841701"/>
      </right>
      <top style="thin">
        <color theme="0" tint="-0.14996795556505021"/>
      </top>
      <bottom style="thin">
        <color theme="0" tint="-0.14996795556505021"/>
      </bottom>
      <diagonal/>
    </border>
    <border>
      <left style="thin">
        <color theme="0" tint="-0.24994659260841701"/>
      </left>
      <right style="thin">
        <color theme="0" tint="-0.24994659260841701"/>
      </right>
      <top style="thin">
        <color theme="0" tint="-0.14996795556505021"/>
      </top>
      <bottom style="thin">
        <color theme="0" tint="-0.14996795556505021"/>
      </bottom>
      <diagonal/>
    </border>
    <border>
      <left style="thin">
        <color theme="0" tint="-0.24994659260841701"/>
      </left>
      <right style="thin">
        <color auto="1"/>
      </right>
      <top style="thin">
        <color theme="0" tint="-0.14996795556505021"/>
      </top>
      <bottom style="thin">
        <color theme="0" tint="-0.14996795556505021"/>
      </bottom>
      <diagonal/>
    </border>
    <border>
      <left style="thin">
        <color indexed="64"/>
      </left>
      <right style="thin">
        <color theme="0" tint="-0.24994659260841701"/>
      </right>
      <top style="thin">
        <color theme="0" tint="-0.14996795556505021"/>
      </top>
      <bottom style="thin">
        <color auto="1"/>
      </bottom>
      <diagonal/>
    </border>
    <border>
      <left style="thin">
        <color theme="0" tint="-0.24994659260841701"/>
      </left>
      <right style="thin">
        <color theme="0" tint="-0.24994659260841701"/>
      </right>
      <top style="thin">
        <color theme="0" tint="-0.14996795556505021"/>
      </top>
      <bottom style="thin">
        <color auto="1"/>
      </bottom>
      <diagonal/>
    </border>
    <border>
      <left style="thin">
        <color indexed="64"/>
      </left>
      <right style="dashed">
        <color theme="1" tint="0.499984740745262"/>
      </right>
      <top style="thin">
        <color auto="1"/>
      </top>
      <bottom/>
      <diagonal/>
    </border>
    <border>
      <left style="dashed">
        <color theme="1" tint="0.499984740745262"/>
      </left>
      <right style="dashed">
        <color theme="1" tint="0.499984740745262"/>
      </right>
      <top style="thin">
        <color auto="1"/>
      </top>
      <bottom/>
      <diagonal/>
    </border>
    <border>
      <left style="dashed">
        <color theme="1" tint="0.499984740745262"/>
      </left>
      <right style="thin">
        <color auto="1"/>
      </right>
      <top style="thin">
        <color auto="1"/>
      </top>
      <bottom/>
      <diagonal/>
    </border>
    <border>
      <left style="thin">
        <color indexed="64"/>
      </left>
      <right style="dashed">
        <color theme="1" tint="0.499984740745262"/>
      </right>
      <top/>
      <bottom/>
      <diagonal/>
    </border>
    <border>
      <left style="dashed">
        <color theme="1" tint="0.499984740745262"/>
      </left>
      <right style="dashed">
        <color theme="1" tint="0.499984740745262"/>
      </right>
      <top/>
      <bottom/>
      <diagonal/>
    </border>
    <border>
      <left style="dashed">
        <color theme="1" tint="0.499984740745262"/>
      </left>
      <right style="thin">
        <color auto="1"/>
      </right>
      <top/>
      <bottom/>
      <diagonal/>
    </border>
    <border>
      <left style="thin">
        <color indexed="64"/>
      </left>
      <right style="dashed">
        <color theme="1" tint="0.499984740745262"/>
      </right>
      <top/>
      <bottom style="thin">
        <color auto="1"/>
      </bottom>
      <diagonal/>
    </border>
    <border>
      <left style="dashed">
        <color theme="1" tint="0.499984740745262"/>
      </left>
      <right style="dashed">
        <color theme="1" tint="0.499984740745262"/>
      </right>
      <top/>
      <bottom style="thin">
        <color auto="1"/>
      </bottom>
      <diagonal/>
    </border>
    <border>
      <left style="dashed">
        <color theme="1" tint="0.499984740745262"/>
      </left>
      <right style="thin">
        <color auto="1"/>
      </right>
      <top/>
      <bottom style="thin">
        <color auto="1"/>
      </bottom>
      <diagonal/>
    </border>
    <border>
      <left style="thin">
        <color indexed="64"/>
      </left>
      <right/>
      <top style="thin">
        <color theme="0" tint="-0.24994659260841701"/>
      </top>
      <bottom style="thin">
        <color auto="1"/>
      </bottom>
      <diagonal/>
    </border>
    <border>
      <left/>
      <right/>
      <top style="thin">
        <color theme="0" tint="-0.24994659260841701"/>
      </top>
      <bottom style="thin">
        <color auto="1"/>
      </bottom>
      <diagonal/>
    </border>
    <border>
      <left style="thin">
        <color indexed="64"/>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indexed="64"/>
      </right>
      <top style="thin">
        <color theme="0" tint="-0.499984740745262"/>
      </top>
      <bottom style="thin">
        <color theme="0" tint="-0.499984740745262"/>
      </bottom>
      <diagonal/>
    </border>
    <border>
      <left style="thin">
        <color indexed="64"/>
      </left>
      <right/>
      <top style="thin">
        <color theme="0" tint="-0.499984740745262"/>
      </top>
      <bottom style="thin">
        <color theme="0" tint="-0.24994659260841701"/>
      </bottom>
      <diagonal/>
    </border>
    <border>
      <left/>
      <right/>
      <top style="thin">
        <color theme="0" tint="-0.499984740745262"/>
      </top>
      <bottom style="thin">
        <color theme="0" tint="-0.24994659260841701"/>
      </bottom>
      <diagonal/>
    </border>
    <border>
      <left style="thin">
        <color indexed="64"/>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auto="1"/>
      </right>
      <top style="thin">
        <color theme="0" tint="-0.499984740745262"/>
      </top>
      <bottom style="thin">
        <color theme="0" tint="-0.24994659260841701"/>
      </bottom>
      <diagonal/>
    </border>
    <border>
      <left style="thin">
        <color theme="0" tint="-0.24994659260841701"/>
      </left>
      <right/>
      <top style="thin">
        <color indexed="64"/>
      </top>
      <bottom style="thin">
        <color theme="0" tint="-0.14996795556505021"/>
      </bottom>
      <diagonal/>
    </border>
    <border>
      <left style="thin">
        <color theme="0" tint="-0.24994659260841701"/>
      </left>
      <right/>
      <top style="thin">
        <color theme="0" tint="-0.14996795556505021"/>
      </top>
      <bottom style="thin">
        <color theme="0" tint="-0.14996795556505021"/>
      </bottom>
      <diagonal/>
    </border>
    <border>
      <left style="thin">
        <color theme="0" tint="-0.24994659260841701"/>
      </left>
      <right/>
      <top style="thin">
        <color theme="0" tint="-0.14996795556505021"/>
      </top>
      <bottom style="thin">
        <color auto="1"/>
      </bottom>
      <diagonal/>
    </border>
    <border>
      <left/>
      <right style="thin">
        <color indexed="64"/>
      </right>
      <top style="thin">
        <color theme="0" tint="-0.24994659260841701"/>
      </top>
      <bottom style="thin">
        <color indexed="64"/>
      </bottom>
      <diagonal/>
    </border>
    <border>
      <left/>
      <right style="thin">
        <color indexed="64"/>
      </right>
      <top style="thin">
        <color theme="0" tint="-0.499984740745262"/>
      </top>
      <bottom style="thin">
        <color theme="0" tint="-0.24994659260841701"/>
      </bottom>
      <diagonal/>
    </border>
    <border>
      <left style="thin">
        <color indexed="64"/>
      </left>
      <right style="dotted">
        <color indexed="64"/>
      </right>
      <top style="thin">
        <color indexed="64"/>
      </top>
      <bottom/>
      <diagonal/>
    </border>
    <border>
      <left style="dotted">
        <color indexed="64"/>
      </left>
      <right style="dotted">
        <color indexed="64"/>
      </right>
      <top style="thin">
        <color indexed="64"/>
      </top>
      <bottom/>
      <diagonal/>
    </border>
    <border>
      <left style="dotted">
        <color indexed="64"/>
      </left>
      <right style="thin">
        <color indexed="64"/>
      </right>
      <top style="thin">
        <color indexed="64"/>
      </top>
      <bottom/>
      <diagonal/>
    </border>
    <border>
      <left style="thin">
        <color indexed="64"/>
      </left>
      <right style="dotted">
        <color indexed="64"/>
      </right>
      <top/>
      <bottom style="thin">
        <color indexed="64"/>
      </bottom>
      <diagonal/>
    </border>
    <border>
      <left style="dotted">
        <color indexed="64"/>
      </left>
      <right style="dotted">
        <color indexed="64"/>
      </right>
      <top/>
      <bottom style="thin">
        <color indexed="64"/>
      </bottom>
      <diagonal/>
    </border>
    <border>
      <left style="dotted">
        <color indexed="64"/>
      </left>
      <right style="thin">
        <color indexed="64"/>
      </right>
      <top/>
      <bottom style="thin">
        <color indexed="64"/>
      </bottom>
      <diagonal/>
    </border>
    <border>
      <left style="thin">
        <color indexed="64"/>
      </left>
      <right style="dotted">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right style="dotted">
        <color indexed="64"/>
      </right>
      <top style="thin">
        <color indexed="64"/>
      </top>
      <bottom style="thin">
        <color indexed="64"/>
      </bottom>
      <diagonal/>
    </border>
    <border>
      <left style="dotted">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auto="1"/>
      </right>
      <top/>
      <bottom/>
      <diagonal/>
    </border>
    <border>
      <left style="thin">
        <color indexed="64"/>
      </left>
      <right style="thin">
        <color indexed="64"/>
      </right>
      <top/>
      <bottom style="thin">
        <color indexed="64"/>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bottom style="thin">
        <color indexed="64"/>
      </bottom>
      <diagonal/>
    </border>
    <border>
      <left style="thin">
        <color indexed="64"/>
      </left>
      <right/>
      <top style="thin">
        <color indexed="64"/>
      </top>
      <bottom style="thin">
        <color theme="0" tint="-0.24994659260841701"/>
      </bottom>
      <diagonal/>
    </border>
    <border>
      <left/>
      <right/>
      <top style="thin">
        <color indexed="64"/>
      </top>
      <bottom style="thin">
        <color theme="0" tint="-0.24994659260841701"/>
      </bottom>
      <diagonal/>
    </border>
    <border>
      <left/>
      <right style="thin">
        <color indexed="64"/>
      </right>
      <top style="thin">
        <color indexed="64"/>
      </top>
      <bottom style="thin">
        <color theme="0" tint="-0.24994659260841701"/>
      </bottom>
      <diagonal/>
    </border>
    <border>
      <left style="thin">
        <color indexed="64"/>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top/>
      <bottom/>
      <diagonal/>
    </border>
    <border>
      <left style="thin">
        <color theme="0" tint="-0.24994659260841701"/>
      </left>
      <right style="thin">
        <color auto="1"/>
      </right>
      <top/>
      <bottom/>
      <diagonal/>
    </border>
    <border>
      <left style="thin">
        <color auto="1"/>
      </left>
      <right/>
      <top style="thin">
        <color theme="0" tint="-0.14996795556505021"/>
      </top>
      <bottom style="thin">
        <color auto="1"/>
      </bottom>
      <diagonal/>
    </border>
    <border>
      <left style="thin">
        <color auto="1"/>
      </left>
      <right/>
      <top style="thin">
        <color indexed="64"/>
      </top>
      <bottom style="thin">
        <color theme="0" tint="-0.14996795556505021"/>
      </bottom>
      <diagonal/>
    </border>
    <border>
      <left/>
      <right style="thin">
        <color theme="0" tint="-0.24994659260841701"/>
      </right>
      <top style="thin">
        <color indexed="64"/>
      </top>
      <bottom style="thin">
        <color theme="0" tint="-0.14996795556505021"/>
      </bottom>
      <diagonal/>
    </border>
    <border>
      <left style="dotted">
        <color auto="1"/>
      </left>
      <right style="dotted">
        <color auto="1"/>
      </right>
      <top/>
      <bottom/>
      <diagonal/>
    </border>
    <border>
      <left style="thin">
        <color indexed="64"/>
      </left>
      <right style="thin">
        <color auto="1"/>
      </right>
      <top style="thin">
        <color auto="1"/>
      </top>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style="thin">
        <color theme="0" tint="-0.14996795556505021"/>
      </top>
      <bottom/>
      <diagonal/>
    </border>
    <border>
      <left style="thin">
        <color theme="0" tint="-0.24994659260841701"/>
      </left>
      <right style="thin">
        <color theme="0" tint="-0.24994659260841701"/>
      </right>
      <top style="thin">
        <color theme="0" tint="-0.14996795556505021"/>
      </top>
      <bottom/>
      <diagonal/>
    </border>
    <border>
      <left style="thin">
        <color theme="0" tint="-0.24994659260841701"/>
      </left>
      <right style="thin">
        <color auto="1"/>
      </right>
      <top style="thin">
        <color theme="0" tint="-0.14996795556505021"/>
      </top>
      <bottom/>
      <diagonal/>
    </border>
    <border>
      <left/>
      <right style="dashed">
        <color theme="0" tint="-0.499984740745262"/>
      </right>
      <top style="thin">
        <color indexed="64"/>
      </top>
      <bottom/>
      <diagonal/>
    </border>
    <border>
      <left/>
      <right style="dashed">
        <color theme="0" tint="-0.499984740745262"/>
      </right>
      <top/>
      <bottom style="thin">
        <color indexed="64"/>
      </bottom>
      <diagonal/>
    </border>
    <border>
      <left style="thin">
        <color auto="1"/>
      </left>
      <right style="dotted">
        <color auto="1"/>
      </right>
      <top/>
      <bottom/>
      <diagonal/>
    </border>
    <border>
      <left style="dotted">
        <color auto="1"/>
      </left>
      <right style="thin">
        <color auto="1"/>
      </right>
      <top/>
      <bottom/>
      <diagonal/>
    </border>
    <border>
      <left style="thin">
        <color indexed="64"/>
      </left>
      <right/>
      <top style="thin">
        <color indexed="64"/>
      </top>
      <bottom style="dashed">
        <color theme="0" tint="-0.499984740745262"/>
      </bottom>
      <diagonal/>
    </border>
    <border>
      <left/>
      <right/>
      <top style="thin">
        <color indexed="64"/>
      </top>
      <bottom style="dashed">
        <color theme="0" tint="-0.499984740745262"/>
      </bottom>
      <diagonal/>
    </border>
    <border>
      <left/>
      <right style="thin">
        <color indexed="64"/>
      </right>
      <top style="thin">
        <color indexed="64"/>
      </top>
      <bottom style="dashed">
        <color theme="0" tint="-0.499984740745262"/>
      </bottom>
      <diagonal/>
    </border>
    <border>
      <left style="thin">
        <color auto="1"/>
      </left>
      <right/>
      <top style="dashed">
        <color theme="0" tint="-0.499984740745262"/>
      </top>
      <bottom/>
      <diagonal/>
    </border>
    <border>
      <left/>
      <right/>
      <top style="dashed">
        <color theme="0" tint="-0.499984740745262"/>
      </top>
      <bottom/>
      <diagonal/>
    </border>
    <border>
      <left/>
      <right style="thin">
        <color auto="1"/>
      </right>
      <top style="dashed">
        <color theme="0" tint="-0.499984740745262"/>
      </top>
      <bottom/>
      <diagonal/>
    </border>
    <border>
      <left/>
      <right/>
      <top/>
      <bottom style="thin">
        <color indexed="64"/>
      </bottom>
      <diagonal/>
    </border>
    <border>
      <left/>
      <right style="thin">
        <color indexed="64"/>
      </right>
      <top/>
      <bottom style="thin">
        <color indexed="64"/>
      </bottom>
      <diagonal/>
    </border>
  </borders>
  <cellStyleXfs count="13">
    <xf numFmtId="0" fontId="0" fillId="0" borderId="0"/>
    <xf numFmtId="0" fontId="1" fillId="0" borderId="0"/>
    <xf numFmtId="0" fontId="2" fillId="0" borderId="0" applyNumberFormat="0" applyFill="0" applyBorder="0" applyAlignment="0" applyProtection="0"/>
    <xf numFmtId="0" fontId="3" fillId="2" borderId="1" applyNumberFormat="0" applyFont="0" applyAlignment="0" applyProtection="0">
      <alignment horizontal="center" vertical="center"/>
    </xf>
    <xf numFmtId="0" fontId="1" fillId="0" borderId="0"/>
    <xf numFmtId="0" fontId="4" fillId="0" borderId="0" applyNumberFormat="0" applyFill="0" applyBorder="0" applyAlignment="0" applyProtection="0"/>
    <xf numFmtId="0" fontId="5" fillId="0" borderId="0"/>
    <xf numFmtId="9" fontId="5" fillId="0" borderId="0" applyFont="0" applyFill="0" applyBorder="0" applyAlignment="0" applyProtection="0"/>
    <xf numFmtId="0" fontId="6" fillId="0" borderId="0"/>
    <xf numFmtId="164" fontId="6" fillId="0" borderId="0" applyFont="0" applyFill="0" applyBorder="0" applyAlignment="0" applyProtection="0"/>
    <xf numFmtId="0" fontId="7" fillId="0" borderId="0"/>
    <xf numFmtId="0" fontId="8" fillId="0" borderId="0" applyNumberFormat="0" applyFill="0" applyBorder="0" applyAlignment="0" applyProtection="0">
      <alignment vertical="top"/>
      <protection locked="0"/>
    </xf>
    <xf numFmtId="0" fontId="7" fillId="0" borderId="0"/>
  </cellStyleXfs>
  <cellXfs count="489">
    <xf numFmtId="0" fontId="0" fillId="0" borderId="0" xfId="0"/>
    <xf numFmtId="0" fontId="10" fillId="0" borderId="0" xfId="10" applyFont="1" applyFill="1" applyBorder="1" applyAlignment="1" applyProtection="1">
      <alignment vertical="center"/>
      <protection hidden="1"/>
    </xf>
    <xf numFmtId="2" fontId="10" fillId="0" borderId="0" xfId="10" applyNumberFormat="1" applyFont="1" applyFill="1" applyBorder="1" applyAlignment="1" applyProtection="1">
      <alignment vertical="center"/>
      <protection hidden="1"/>
    </xf>
    <xf numFmtId="0" fontId="0" fillId="3" borderId="0" xfId="0" applyFill="1" applyProtection="1">
      <protection locked="0"/>
    </xf>
    <xf numFmtId="0" fontId="0" fillId="3" borderId="0" xfId="0" applyFill="1"/>
    <xf numFmtId="49" fontId="0" fillId="3" borderId="0" xfId="0" applyNumberFormat="1" applyFill="1"/>
    <xf numFmtId="0" fontId="14" fillId="0" borderId="2" xfId="0" applyFont="1" applyFill="1" applyBorder="1" applyAlignment="1">
      <alignment vertical="center" wrapText="1"/>
    </xf>
    <xf numFmtId="0" fontId="14" fillId="0" borderId="9" xfId="0" applyFont="1" applyFill="1" applyBorder="1" applyAlignment="1">
      <alignment vertical="center" wrapText="1"/>
    </xf>
    <xf numFmtId="0" fontId="14" fillId="0" borderId="3" xfId="0" applyFont="1" applyFill="1" applyBorder="1" applyAlignment="1">
      <alignment vertical="center" wrapText="1"/>
    </xf>
    <xf numFmtId="0" fontId="14" fillId="0" borderId="4" xfId="0" applyFont="1" applyFill="1" applyBorder="1" applyAlignment="1">
      <alignment vertical="center" wrapText="1"/>
    </xf>
    <xf numFmtId="0" fontId="14" fillId="0" borderId="5" xfId="0" applyFont="1" applyFill="1" applyBorder="1" applyAlignment="1">
      <alignment vertical="center" wrapText="1"/>
    </xf>
    <xf numFmtId="0" fontId="14" fillId="0" borderId="11" xfId="0" applyFont="1" applyFill="1" applyBorder="1" applyAlignment="1">
      <alignment vertical="center" wrapText="1"/>
    </xf>
    <xf numFmtId="0" fontId="14" fillId="0" borderId="8" xfId="0" applyFont="1" applyFill="1" applyBorder="1" applyAlignment="1">
      <alignment vertical="center" wrapText="1"/>
    </xf>
    <xf numFmtId="0" fontId="14" fillId="0" borderId="12" xfId="0" applyFont="1" applyFill="1" applyBorder="1" applyAlignment="1">
      <alignment vertical="center" wrapText="1"/>
    </xf>
    <xf numFmtId="0" fontId="14" fillId="0" borderId="3" xfId="0" applyFont="1" applyFill="1" applyBorder="1" applyAlignment="1">
      <alignment vertical="center"/>
    </xf>
    <xf numFmtId="0" fontId="14" fillId="0" borderId="5" xfId="0" applyFont="1" applyFill="1" applyBorder="1" applyAlignment="1">
      <alignment vertical="center"/>
    </xf>
    <xf numFmtId="0" fontId="14" fillId="0" borderId="11" xfId="0" applyFont="1" applyFill="1" applyBorder="1" applyAlignment="1">
      <alignment vertical="center"/>
    </xf>
    <xf numFmtId="0" fontId="14" fillId="0" borderId="12" xfId="0" applyFont="1" applyFill="1" applyBorder="1" applyAlignment="1">
      <alignment vertical="center"/>
    </xf>
    <xf numFmtId="2" fontId="10" fillId="0" borderId="0" xfId="10" applyNumberFormat="1" applyFont="1" applyFill="1" applyBorder="1" applyProtection="1">
      <protection hidden="1"/>
    </xf>
    <xf numFmtId="2" fontId="10" fillId="0" borderId="0" xfId="10" applyNumberFormat="1" applyFont="1" applyFill="1" applyBorder="1" applyAlignment="1" applyProtection="1">
      <alignment horizontal="left"/>
      <protection hidden="1"/>
    </xf>
    <xf numFmtId="2" fontId="10" fillId="0" borderId="0" xfId="10" applyNumberFormat="1" applyFont="1" applyFill="1" applyBorder="1" applyAlignment="1" applyProtection="1">
      <protection hidden="1"/>
    </xf>
    <xf numFmtId="2" fontId="10" fillId="0" borderId="0" xfId="10" applyNumberFormat="1" applyFont="1" applyFill="1" applyBorder="1" applyAlignment="1" applyProtection="1">
      <alignment horizontal="right"/>
      <protection hidden="1"/>
    </xf>
    <xf numFmtId="0" fontId="10" fillId="0" borderId="0" xfId="10" applyFont="1" applyFill="1" applyBorder="1" applyProtection="1">
      <protection hidden="1"/>
    </xf>
    <xf numFmtId="2" fontId="10" fillId="0" borderId="0" xfId="10" applyNumberFormat="1" applyFont="1" applyFill="1" applyBorder="1" applyAlignment="1" applyProtection="1">
      <alignment horizontal="left" vertical="center"/>
      <protection hidden="1"/>
    </xf>
    <xf numFmtId="165" fontId="10" fillId="0" borderId="0" xfId="10" applyNumberFormat="1" applyFont="1" applyFill="1" applyBorder="1" applyProtection="1">
      <protection hidden="1"/>
    </xf>
    <xf numFmtId="2" fontId="10" fillId="0" borderId="0" xfId="10" applyNumberFormat="1" applyFont="1" applyFill="1" applyBorder="1" applyAlignment="1" applyProtection="1">
      <alignment horizontal="right" vertical="center"/>
      <protection hidden="1"/>
    </xf>
    <xf numFmtId="0" fontId="10" fillId="0" borderId="0" xfId="10" applyFont="1" applyFill="1" applyBorder="1" applyAlignment="1" applyProtection="1">
      <alignment horizontal="center" vertical="center"/>
      <protection hidden="1"/>
    </xf>
    <xf numFmtId="0" fontId="10" fillId="4" borderId="6" xfId="10" applyFont="1" applyFill="1" applyBorder="1" applyAlignment="1" applyProtection="1">
      <alignment horizontal="right" vertical="center"/>
      <protection hidden="1"/>
    </xf>
    <xf numFmtId="2" fontId="10" fillId="6" borderId="20" xfId="10" applyNumberFormat="1" applyFont="1" applyFill="1" applyBorder="1" applyAlignment="1" applyProtection="1">
      <alignment horizontal="center" vertical="center"/>
      <protection hidden="1"/>
    </xf>
    <xf numFmtId="2" fontId="10" fillId="6" borderId="21" xfId="10" applyNumberFormat="1" applyFont="1" applyFill="1" applyBorder="1" applyAlignment="1" applyProtection="1">
      <alignment horizontal="center" vertical="center"/>
      <protection hidden="1"/>
    </xf>
    <xf numFmtId="2" fontId="10" fillId="6" borderId="22" xfId="10" applyNumberFormat="1" applyFont="1" applyFill="1" applyBorder="1" applyAlignment="1" applyProtection="1">
      <alignment horizontal="center" vertical="center"/>
      <protection hidden="1"/>
    </xf>
    <xf numFmtId="2" fontId="9" fillId="6" borderId="22" xfId="10" applyNumberFormat="1" applyFont="1" applyFill="1" applyBorder="1" applyAlignment="1" applyProtection="1">
      <alignment horizontal="center" vertical="center"/>
      <protection hidden="1"/>
    </xf>
    <xf numFmtId="0" fontId="10" fillId="6" borderId="47" xfId="10" applyFont="1" applyFill="1" applyBorder="1" applyAlignment="1" applyProtection="1">
      <alignment horizontal="center" vertical="center"/>
      <protection hidden="1"/>
    </xf>
    <xf numFmtId="0" fontId="10" fillId="6" borderId="48" xfId="10" applyFont="1" applyFill="1" applyBorder="1" applyAlignment="1" applyProtection="1">
      <alignment horizontal="center" vertical="center"/>
      <protection hidden="1"/>
    </xf>
    <xf numFmtId="0" fontId="10" fillId="6" borderId="49" xfId="10" applyFont="1" applyFill="1" applyBorder="1" applyAlignment="1" applyProtection="1">
      <alignment horizontal="center" vertical="center"/>
      <protection hidden="1"/>
    </xf>
    <xf numFmtId="2" fontId="9" fillId="6" borderId="49" xfId="10" quotePrefix="1" applyNumberFormat="1" applyFont="1" applyFill="1" applyBorder="1" applyAlignment="1" applyProtection="1">
      <alignment horizontal="center" vertical="center"/>
      <protection hidden="1"/>
    </xf>
    <xf numFmtId="0" fontId="10" fillId="0" borderId="0" xfId="10" applyFont="1" applyFill="1" applyBorder="1" applyAlignment="1" applyProtection="1">
      <alignment horizontal="left" vertical="top" wrapText="1" indent="1"/>
      <protection hidden="1"/>
    </xf>
    <xf numFmtId="0" fontId="10" fillId="0" borderId="9" xfId="10" applyFont="1" applyFill="1" applyBorder="1" applyAlignment="1" applyProtection="1">
      <alignment horizontal="left" vertical="top" wrapText="1" indent="1"/>
      <protection hidden="1"/>
    </xf>
    <xf numFmtId="0" fontId="10" fillId="6" borderId="10" xfId="10" applyFont="1" applyFill="1" applyBorder="1" applyProtection="1">
      <protection hidden="1"/>
    </xf>
    <xf numFmtId="2" fontId="10" fillId="6" borderId="10" xfId="10" applyNumberFormat="1" applyFont="1" applyFill="1" applyBorder="1" applyProtection="1">
      <protection hidden="1"/>
    </xf>
    <xf numFmtId="2" fontId="10" fillId="0" borderId="0" xfId="10" applyNumberFormat="1" applyFont="1" applyFill="1" applyBorder="1" applyAlignment="1" applyProtection="1">
      <alignment horizontal="right"/>
      <protection hidden="1"/>
    </xf>
    <xf numFmtId="0" fontId="12" fillId="0" borderId="66" xfId="0" applyFont="1" applyBorder="1" applyAlignment="1" applyProtection="1">
      <alignment horizontal="left" vertical="center" indent="1"/>
      <protection locked="0"/>
    </xf>
    <xf numFmtId="0" fontId="12" fillId="0" borderId="66" xfId="0" applyFont="1" applyFill="1" applyBorder="1" applyAlignment="1" applyProtection="1">
      <alignment horizontal="left" vertical="center" indent="1"/>
      <protection locked="0"/>
    </xf>
    <xf numFmtId="0" fontId="12" fillId="0" borderId="67" xfId="0" applyFont="1" applyFill="1" applyBorder="1" applyAlignment="1" applyProtection="1">
      <alignment horizontal="left" vertical="center" indent="1"/>
      <protection locked="0"/>
    </xf>
    <xf numFmtId="0" fontId="0" fillId="0" borderId="0" xfId="0" applyProtection="1">
      <protection locked="0"/>
    </xf>
    <xf numFmtId="0" fontId="12" fillId="0" borderId="4" xfId="0" applyFont="1" applyFill="1" applyBorder="1" applyAlignment="1" applyProtection="1">
      <alignment horizontal="left" vertical="center" indent="1" shrinkToFit="1"/>
      <protection locked="0"/>
    </xf>
    <xf numFmtId="0" fontId="12" fillId="0" borderId="5" xfId="0" applyFont="1" applyFill="1" applyBorder="1" applyAlignment="1" applyProtection="1">
      <alignment horizontal="left" vertical="center" indent="1" shrinkToFit="1"/>
      <protection locked="0"/>
    </xf>
    <xf numFmtId="0" fontId="0" fillId="0" borderId="0" xfId="0" applyNumberFormat="1" applyProtection="1">
      <protection locked="0"/>
    </xf>
    <xf numFmtId="0" fontId="10" fillId="6" borderId="68" xfId="10" applyFont="1" applyFill="1" applyBorder="1" applyAlignment="1" applyProtection="1">
      <alignment horizontal="center" vertical="center"/>
      <protection hidden="1"/>
    </xf>
    <xf numFmtId="2" fontId="10" fillId="6" borderId="69" xfId="10" applyNumberFormat="1" applyFont="1" applyFill="1" applyBorder="1" applyAlignment="1" applyProtection="1">
      <alignment horizontal="center" vertical="center"/>
      <protection hidden="1"/>
    </xf>
    <xf numFmtId="0" fontId="9" fillId="6" borderId="45" xfId="10" applyFont="1" applyFill="1" applyBorder="1" applyAlignment="1" applyProtection="1">
      <alignment horizontal="center" vertical="center"/>
      <protection hidden="1"/>
    </xf>
    <xf numFmtId="0" fontId="9" fillId="6" borderId="11" xfId="10" quotePrefix="1" applyFont="1" applyFill="1" applyBorder="1" applyAlignment="1" applyProtection="1">
      <alignment horizontal="center" vertical="center"/>
      <protection hidden="1"/>
    </xf>
    <xf numFmtId="1" fontId="0" fillId="0" borderId="0" xfId="0" applyNumberFormat="1" applyProtection="1">
      <protection locked="0"/>
    </xf>
    <xf numFmtId="1" fontId="0" fillId="0" borderId="0" xfId="0" applyNumberFormat="1"/>
    <xf numFmtId="0" fontId="9" fillId="0" borderId="0" xfId="10" applyFont="1" applyFill="1" applyBorder="1" applyAlignment="1" applyProtection="1">
      <alignment vertical="center"/>
      <protection hidden="1"/>
    </xf>
    <xf numFmtId="1" fontId="10" fillId="0" borderId="0" xfId="10" applyNumberFormat="1" applyFont="1" applyFill="1" applyBorder="1" applyProtection="1">
      <protection hidden="1"/>
    </xf>
    <xf numFmtId="0" fontId="10" fillId="0" borderId="9" xfId="10" applyFont="1" applyFill="1" applyBorder="1" applyAlignment="1" applyProtection="1">
      <alignment horizontal="center" vertical="center"/>
      <protection hidden="1"/>
    </xf>
    <xf numFmtId="2" fontId="9" fillId="0" borderId="0" xfId="10" applyNumberFormat="1" applyFont="1" applyFill="1" applyBorder="1" applyAlignment="1" applyProtection="1">
      <alignment horizontal="left" vertical="center"/>
      <protection hidden="1"/>
    </xf>
    <xf numFmtId="1" fontId="10" fillId="0" borderId="0" xfId="10" applyNumberFormat="1" applyFont="1" applyFill="1" applyBorder="1" applyAlignment="1" applyProtection="1">
      <alignment horizontal="left" vertical="center"/>
      <protection hidden="1"/>
    </xf>
    <xf numFmtId="0" fontId="10" fillId="0" borderId="0" xfId="10" applyNumberFormat="1" applyFont="1" applyFill="1" applyBorder="1" applyAlignment="1" applyProtection="1">
      <alignment horizontal="left" vertical="center"/>
      <protection hidden="1"/>
    </xf>
    <xf numFmtId="0" fontId="10" fillId="0" borderId="0" xfId="10" applyFont="1" applyFill="1" applyBorder="1" applyAlignment="1" applyProtection="1">
      <alignment horizontal="left" vertical="center"/>
      <protection hidden="1"/>
    </xf>
    <xf numFmtId="0" fontId="9" fillId="0" borderId="0" xfId="10" applyFont="1" applyFill="1" applyBorder="1" applyAlignment="1" applyProtection="1">
      <alignment horizontal="left" vertical="center"/>
      <protection hidden="1"/>
    </xf>
    <xf numFmtId="0" fontId="10" fillId="0" borderId="0" xfId="10" applyNumberFormat="1" applyFont="1" applyFill="1" applyBorder="1" applyAlignment="1" applyProtection="1">
      <alignment horizontal="left"/>
      <protection hidden="1"/>
    </xf>
    <xf numFmtId="2" fontId="9" fillId="0" borderId="0" xfId="10" applyNumberFormat="1" applyFont="1" applyFill="1" applyBorder="1" applyAlignment="1" applyProtection="1">
      <alignment horizontal="left"/>
      <protection hidden="1"/>
    </xf>
    <xf numFmtId="2" fontId="9" fillId="0" borderId="0" xfId="10" applyNumberFormat="1" applyFont="1" applyFill="1" applyBorder="1" applyProtection="1">
      <protection hidden="1"/>
    </xf>
    <xf numFmtId="1" fontId="10" fillId="0" borderId="0" xfId="10" applyNumberFormat="1" applyFont="1" applyFill="1" applyBorder="1" applyAlignment="1" applyProtection="1">
      <alignment horizontal="right"/>
      <protection hidden="1"/>
    </xf>
    <xf numFmtId="166" fontId="10" fillId="0" borderId="0" xfId="10" applyNumberFormat="1" applyFont="1" applyFill="1" applyBorder="1" applyAlignment="1" applyProtection="1">
      <alignment vertical="center"/>
      <protection hidden="1"/>
    </xf>
    <xf numFmtId="0" fontId="12" fillId="0" borderId="0" xfId="0" applyFont="1" applyFill="1" applyAlignment="1" applyProtection="1">
      <alignment horizontal="left" vertical="center" indent="1" shrinkToFit="1"/>
      <protection locked="0"/>
    </xf>
    <xf numFmtId="0" fontId="12" fillId="0" borderId="61" xfId="0" applyFont="1" applyFill="1" applyBorder="1" applyAlignment="1" applyProtection="1">
      <alignment horizontal="left" vertical="center" indent="1"/>
      <protection locked="0"/>
    </xf>
    <xf numFmtId="0" fontId="12" fillId="0" borderId="62" xfId="0" applyFont="1" applyFill="1" applyBorder="1" applyAlignment="1" applyProtection="1">
      <alignment horizontal="left" vertical="center" indent="1"/>
      <protection locked="0"/>
    </xf>
    <xf numFmtId="0" fontId="12" fillId="0" borderId="64" xfId="0" applyFont="1" applyFill="1" applyBorder="1" applyAlignment="1" applyProtection="1">
      <alignment horizontal="left" vertical="center" indent="1"/>
      <protection locked="0"/>
    </xf>
    <xf numFmtId="0" fontId="10" fillId="0" borderId="73" xfId="10" applyFont="1" applyFill="1" applyBorder="1" applyAlignment="1" applyProtection="1">
      <alignment horizontal="center" vertical="center"/>
      <protection hidden="1"/>
    </xf>
    <xf numFmtId="0" fontId="10" fillId="0" borderId="74" xfId="10" applyFont="1" applyFill="1" applyBorder="1" applyAlignment="1" applyProtection="1">
      <alignment horizontal="center" vertical="center"/>
      <protection hidden="1"/>
    </xf>
    <xf numFmtId="0" fontId="10" fillId="0" borderId="75" xfId="10" applyFont="1" applyFill="1" applyBorder="1" applyAlignment="1" applyProtection="1">
      <alignment horizontal="center" vertical="center"/>
      <protection hidden="1"/>
    </xf>
    <xf numFmtId="0" fontId="10" fillId="0" borderId="76" xfId="10" applyFont="1" applyFill="1" applyBorder="1" applyAlignment="1" applyProtection="1">
      <alignment horizontal="center" vertical="center"/>
      <protection hidden="1"/>
    </xf>
    <xf numFmtId="2" fontId="10" fillId="0" borderId="76" xfId="10" applyNumberFormat="1" applyFont="1" applyFill="1" applyBorder="1" applyAlignment="1" applyProtection="1">
      <alignment horizontal="center" vertical="center"/>
      <protection hidden="1"/>
    </xf>
    <xf numFmtId="0" fontId="10" fillId="0" borderId="73" xfId="10" quotePrefix="1" applyFont="1" applyFill="1" applyBorder="1" applyAlignment="1" applyProtection="1">
      <alignment horizontal="center" vertical="center"/>
      <protection hidden="1"/>
    </xf>
    <xf numFmtId="2" fontId="10" fillId="0" borderId="0" xfId="10" applyNumberFormat="1" applyFont="1" applyFill="1" applyBorder="1" applyAlignment="1" applyProtection="1">
      <alignment horizontal="right"/>
      <protection hidden="1"/>
    </xf>
    <xf numFmtId="0" fontId="0" fillId="0" borderId="0" xfId="0" applyFill="1" applyProtection="1">
      <protection hidden="1"/>
    </xf>
    <xf numFmtId="166" fontId="10" fillId="0" borderId="0" xfId="10" applyNumberFormat="1" applyFont="1" applyFill="1" applyBorder="1" applyProtection="1">
      <protection hidden="1"/>
    </xf>
    <xf numFmtId="0" fontId="22" fillId="0" borderId="26" xfId="10" applyFont="1" applyFill="1" applyBorder="1" applyAlignment="1" applyProtection="1">
      <alignment horizontal="center" vertical="center"/>
      <protection locked="0"/>
    </xf>
    <xf numFmtId="0" fontId="22" fillId="0" borderId="27" xfId="10" applyFont="1" applyFill="1" applyBorder="1" applyAlignment="1" applyProtection="1">
      <alignment horizontal="center" vertical="center"/>
      <protection locked="0"/>
    </xf>
    <xf numFmtId="0" fontId="22" fillId="0" borderId="28" xfId="10" applyFont="1" applyFill="1" applyBorder="1" applyAlignment="1" applyProtection="1">
      <alignment horizontal="center" vertical="center"/>
      <protection locked="0"/>
    </xf>
    <xf numFmtId="0" fontId="22" fillId="2" borderId="26" xfId="10" applyFont="1" applyFill="1" applyBorder="1" applyAlignment="1" applyProtection="1">
      <alignment horizontal="center" vertical="center"/>
      <protection locked="0"/>
    </xf>
    <xf numFmtId="0" fontId="22" fillId="2" borderId="27" xfId="10" applyFont="1" applyFill="1" applyBorder="1" applyAlignment="1" applyProtection="1">
      <alignment horizontal="center" vertical="center"/>
      <protection locked="0"/>
    </xf>
    <xf numFmtId="0" fontId="22" fillId="2" borderId="28" xfId="10" applyFont="1" applyFill="1" applyBorder="1" applyAlignment="1" applyProtection="1">
      <alignment horizontal="center" vertical="center"/>
      <protection locked="0"/>
    </xf>
    <xf numFmtId="0" fontId="22" fillId="2" borderId="23" xfId="10" applyFont="1" applyFill="1" applyBorder="1" applyAlignment="1" applyProtection="1">
      <alignment horizontal="center" vertical="center"/>
      <protection locked="0"/>
    </xf>
    <xf numFmtId="0" fontId="22" fillId="2" borderId="24" xfId="10" applyFont="1" applyFill="1" applyBorder="1" applyAlignment="1" applyProtection="1">
      <alignment horizontal="center" vertical="center"/>
      <protection locked="0"/>
    </xf>
    <xf numFmtId="0" fontId="22" fillId="2" borderId="25" xfId="10" applyFont="1" applyFill="1" applyBorder="1" applyAlignment="1" applyProtection="1">
      <alignment horizontal="center" vertical="center"/>
      <protection locked="0"/>
    </xf>
    <xf numFmtId="0" fontId="14" fillId="0" borderId="2" xfId="0" applyFont="1" applyBorder="1" applyAlignment="1">
      <alignment vertical="center" wrapText="1"/>
    </xf>
    <xf numFmtId="0" fontId="14" fillId="0" borderId="9" xfId="0" applyFont="1" applyBorder="1" applyAlignment="1">
      <alignment vertical="center" wrapText="1"/>
    </xf>
    <xf numFmtId="0" fontId="14" fillId="0" borderId="3" xfId="0" applyFont="1" applyBorder="1" applyAlignment="1">
      <alignment vertical="center" wrapText="1"/>
    </xf>
    <xf numFmtId="0" fontId="14" fillId="0" borderId="4" xfId="0" applyFont="1" applyBorder="1" applyAlignment="1">
      <alignment vertical="center" wrapText="1"/>
    </xf>
    <xf numFmtId="0" fontId="14" fillId="0" borderId="5" xfId="0" applyFont="1" applyBorder="1" applyAlignment="1">
      <alignment vertical="center" wrapText="1"/>
    </xf>
    <xf numFmtId="0" fontId="14" fillId="0" borderId="11" xfId="0" applyFont="1" applyBorder="1" applyAlignment="1">
      <alignment vertical="center" wrapText="1"/>
    </xf>
    <xf numFmtId="0" fontId="14" fillId="0" borderId="8" xfId="0" applyFont="1" applyBorder="1" applyAlignment="1">
      <alignment vertical="center" wrapText="1"/>
    </xf>
    <xf numFmtId="0" fontId="14" fillId="0" borderId="12" xfId="0" applyFont="1" applyBorder="1" applyAlignment="1">
      <alignment vertical="center" wrapText="1"/>
    </xf>
    <xf numFmtId="0" fontId="14" fillId="0" borderId="3" xfId="0" applyFont="1" applyBorder="1" applyAlignment="1">
      <alignment vertical="center"/>
    </xf>
    <xf numFmtId="0" fontId="14" fillId="0" borderId="5" xfId="0" applyFont="1" applyBorder="1" applyAlignment="1">
      <alignment vertical="center"/>
    </xf>
    <xf numFmtId="0" fontId="14" fillId="10" borderId="4" xfId="0" applyFont="1" applyFill="1" applyBorder="1" applyAlignment="1">
      <alignment vertical="center"/>
    </xf>
    <xf numFmtId="0" fontId="14" fillId="10" borderId="5" xfId="0" applyFont="1" applyFill="1" applyBorder="1" applyAlignment="1">
      <alignment vertical="center"/>
    </xf>
    <xf numFmtId="0" fontId="0" fillId="10" borderId="4" xfId="0" applyFill="1" applyBorder="1"/>
    <xf numFmtId="0" fontId="0" fillId="10" borderId="0" xfId="0" applyFill="1"/>
    <xf numFmtId="0" fontId="0" fillId="10" borderId="5" xfId="0" applyFill="1" applyBorder="1"/>
    <xf numFmtId="0" fontId="0" fillId="10" borderId="11" xfId="0" applyFill="1" applyBorder="1"/>
    <xf numFmtId="0" fontId="0" fillId="10" borderId="8" xfId="0" applyFill="1" applyBorder="1"/>
    <xf numFmtId="0" fontId="0" fillId="10" borderId="12" xfId="0" applyFill="1" applyBorder="1"/>
    <xf numFmtId="0" fontId="15" fillId="0" borderId="0" xfId="0" applyFont="1" applyAlignment="1">
      <alignment vertical="top" wrapText="1"/>
    </xf>
    <xf numFmtId="0" fontId="12" fillId="0" borderId="62" xfId="0" applyFont="1" applyBorder="1" applyAlignment="1" applyProtection="1">
      <alignment horizontal="left" vertical="center" indent="1"/>
      <protection locked="0"/>
    </xf>
    <xf numFmtId="166" fontId="10" fillId="0" borderId="66" xfId="10" applyNumberFormat="1" applyFont="1" applyFill="1" applyBorder="1" applyAlignment="1" applyProtection="1">
      <alignment horizontal="left" vertical="center" indent="1"/>
      <protection hidden="1"/>
    </xf>
    <xf numFmtId="0" fontId="33" fillId="0" borderId="0" xfId="10" applyFont="1" applyFill="1" applyBorder="1" applyProtection="1">
      <protection locked="0"/>
    </xf>
    <xf numFmtId="0" fontId="32" fillId="0" borderId="0" xfId="10" applyFont="1" applyFill="1" applyBorder="1" applyAlignment="1" applyProtection="1">
      <alignment vertical="center"/>
      <protection hidden="1"/>
    </xf>
    <xf numFmtId="0" fontId="10" fillId="4" borderId="82" xfId="10" applyFont="1" applyFill="1" applyBorder="1" applyAlignment="1" applyProtection="1">
      <alignment horizontal="center" vertical="center"/>
      <protection hidden="1"/>
    </xf>
    <xf numFmtId="0" fontId="10" fillId="4" borderId="83" xfId="10" applyFont="1" applyFill="1" applyBorder="1" applyAlignment="1" applyProtection="1">
      <alignment horizontal="center" vertical="center"/>
      <protection hidden="1"/>
    </xf>
    <xf numFmtId="0" fontId="10" fillId="4" borderId="84" xfId="10" applyFont="1" applyFill="1" applyBorder="1" applyAlignment="1" applyProtection="1">
      <alignment horizontal="center" vertical="center"/>
      <protection hidden="1"/>
    </xf>
    <xf numFmtId="0" fontId="22" fillId="0" borderId="85" xfId="10" applyFont="1" applyFill="1" applyBorder="1" applyAlignment="1" applyProtection="1">
      <alignment horizontal="center" vertical="center"/>
      <protection locked="0"/>
    </xf>
    <xf numFmtId="0" fontId="22" fillId="0" borderId="86" xfId="10" applyFont="1" applyFill="1" applyBorder="1" applyAlignment="1" applyProtection="1">
      <alignment horizontal="center" vertical="center"/>
      <protection locked="0"/>
    </xf>
    <xf numFmtId="0" fontId="22" fillId="0" borderId="87" xfId="10" applyFont="1" applyFill="1" applyBorder="1" applyAlignment="1" applyProtection="1">
      <alignment horizontal="center" vertical="center"/>
      <protection locked="0"/>
    </xf>
    <xf numFmtId="0" fontId="0" fillId="0" borderId="0" xfId="0" applyProtection="1">
      <protection hidden="1"/>
    </xf>
    <xf numFmtId="0" fontId="18" fillId="3" borderId="0" xfId="0" applyFont="1" applyFill="1" applyAlignment="1" applyProtection="1">
      <alignment vertical="center"/>
      <protection hidden="1"/>
    </xf>
    <xf numFmtId="0" fontId="21" fillId="5" borderId="0" xfId="0" applyFont="1" applyFill="1" applyAlignment="1" applyProtection="1">
      <alignment horizontal="left" vertical="center"/>
      <protection hidden="1"/>
    </xf>
    <xf numFmtId="0" fontId="0" fillId="5" borderId="0" xfId="0" applyFill="1" applyAlignment="1" applyProtection="1">
      <alignment vertical="center"/>
      <protection hidden="1"/>
    </xf>
    <xf numFmtId="0" fontId="21" fillId="3" borderId="0" xfId="0" applyFont="1" applyFill="1" applyAlignment="1" applyProtection="1">
      <alignment horizontal="left" vertical="center"/>
      <protection hidden="1"/>
    </xf>
    <xf numFmtId="0" fontId="0" fillId="0" borderId="0" xfId="0" applyAlignment="1" applyProtection="1">
      <alignment vertical="center"/>
      <protection hidden="1"/>
    </xf>
    <xf numFmtId="0" fontId="0" fillId="0" borderId="0" xfId="0" applyFont="1" applyAlignment="1" applyProtection="1">
      <alignment vertical="center"/>
      <protection hidden="1"/>
    </xf>
    <xf numFmtId="0" fontId="0" fillId="0" borderId="0" xfId="0" applyFont="1" applyFill="1" applyAlignment="1" applyProtection="1">
      <alignment vertical="center"/>
      <protection hidden="1"/>
    </xf>
    <xf numFmtId="0" fontId="26" fillId="5" borderId="0" xfId="0" applyFont="1" applyFill="1" applyAlignment="1" applyProtection="1">
      <alignment vertical="center"/>
      <protection hidden="1"/>
    </xf>
    <xf numFmtId="0" fontId="0" fillId="7" borderId="63" xfId="0" applyFont="1" applyFill="1" applyBorder="1" applyAlignment="1" applyProtection="1">
      <alignment horizontal="left" vertical="center"/>
      <protection hidden="1"/>
    </xf>
    <xf numFmtId="0" fontId="0" fillId="7" borderId="10" xfId="0" applyFont="1" applyFill="1" applyBorder="1" applyAlignment="1" applyProtection="1">
      <alignment horizontal="left" vertical="center"/>
      <protection hidden="1"/>
    </xf>
    <xf numFmtId="0" fontId="1" fillId="0" borderId="0" xfId="1" applyFill="1" applyAlignment="1" applyProtection="1">
      <alignment horizontal="left" vertical="center" indent="1" shrinkToFit="1"/>
      <protection hidden="1"/>
    </xf>
    <xf numFmtId="0" fontId="0" fillId="0" borderId="0" xfId="0" applyFill="1" applyAlignment="1" applyProtection="1">
      <alignment horizontal="left" vertical="center" indent="1" shrinkToFit="1"/>
      <protection hidden="1"/>
    </xf>
    <xf numFmtId="0" fontId="0" fillId="0" borderId="0" xfId="0" applyFill="1" applyAlignment="1" applyProtection="1">
      <alignment vertical="center"/>
      <protection hidden="1"/>
    </xf>
    <xf numFmtId="0" fontId="16" fillId="5" borderId="0" xfId="0" applyFont="1" applyFill="1" applyAlignment="1" applyProtection="1">
      <alignment vertical="center"/>
      <protection hidden="1"/>
    </xf>
    <xf numFmtId="0" fontId="9" fillId="4" borderId="7" xfId="0" applyFont="1" applyFill="1" applyBorder="1" applyAlignment="1" applyProtection="1">
      <alignment vertical="center"/>
      <protection hidden="1"/>
    </xf>
    <xf numFmtId="0" fontId="0" fillId="0" borderId="5" xfId="0" applyFont="1" applyBorder="1" applyAlignment="1" applyProtection="1">
      <alignment horizontal="left" vertical="center"/>
      <protection hidden="1"/>
    </xf>
    <xf numFmtId="0" fontId="27" fillId="9" borderId="0" xfId="0" applyFont="1" applyFill="1" applyAlignment="1" applyProtection="1">
      <alignment vertical="center"/>
      <protection hidden="1"/>
    </xf>
    <xf numFmtId="0" fontId="0" fillId="0" borderId="12" xfId="0" applyFont="1" applyBorder="1" applyAlignment="1" applyProtection="1">
      <alignment horizontal="left" vertical="center"/>
      <protection hidden="1"/>
    </xf>
    <xf numFmtId="0" fontId="9" fillId="4" borderId="65" xfId="0" applyFont="1" applyFill="1" applyBorder="1" applyAlignment="1" applyProtection="1">
      <alignment horizontal="center" vertical="center"/>
    </xf>
    <xf numFmtId="0" fontId="0" fillId="4" borderId="2" xfId="0" applyFill="1" applyBorder="1" applyAlignment="1" applyProtection="1">
      <alignment vertical="center"/>
    </xf>
    <xf numFmtId="0" fontId="0" fillId="4" borderId="4" xfId="0" applyFill="1" applyBorder="1" applyAlignment="1" applyProtection="1">
      <alignment vertical="center"/>
    </xf>
    <xf numFmtId="0" fontId="0" fillId="4" borderId="11" xfId="0" applyFill="1" applyBorder="1" applyAlignment="1" applyProtection="1">
      <alignment vertical="center"/>
    </xf>
    <xf numFmtId="2" fontId="9" fillId="0" borderId="5" xfId="10" applyNumberFormat="1" applyFont="1" applyFill="1" applyBorder="1" applyProtection="1">
      <protection hidden="1"/>
    </xf>
    <xf numFmtId="2" fontId="10" fillId="0" borderId="8" xfId="10" applyNumberFormat="1" applyFont="1" applyFill="1" applyBorder="1" applyProtection="1">
      <protection hidden="1"/>
    </xf>
    <xf numFmtId="0" fontId="10" fillId="0" borderId="8" xfId="10" applyFont="1" applyFill="1" applyBorder="1" applyProtection="1">
      <protection hidden="1"/>
    </xf>
    <xf numFmtId="0" fontId="10" fillId="0" borderId="5" xfId="10" applyFont="1" applyFill="1" applyBorder="1" applyProtection="1">
      <protection hidden="1"/>
    </xf>
    <xf numFmtId="2" fontId="10" fillId="0" borderId="0" xfId="10" applyNumberFormat="1" applyFont="1" applyFill="1" applyBorder="1" applyAlignment="1" applyProtection="1">
      <alignment horizontal="right"/>
      <protection hidden="1"/>
    </xf>
    <xf numFmtId="0" fontId="10" fillId="0" borderId="0" xfId="10" applyFont="1" applyFill="1" applyBorder="1" applyProtection="1">
      <protection locked="0"/>
    </xf>
    <xf numFmtId="0" fontId="17" fillId="0" borderId="0" xfId="10" applyFont="1" applyFill="1" applyBorder="1" applyAlignment="1" applyProtection="1">
      <alignment horizontal="left" vertical="top" indent="1"/>
      <protection hidden="1"/>
    </xf>
    <xf numFmtId="0" fontId="10" fillId="0" borderId="0" xfId="10" applyFont="1" applyProtection="1">
      <protection hidden="1"/>
    </xf>
    <xf numFmtId="2" fontId="10" fillId="0" borderId="0" xfId="10" applyNumberFormat="1" applyFont="1" applyProtection="1">
      <protection hidden="1"/>
    </xf>
    <xf numFmtId="0" fontId="23" fillId="0" borderId="0" xfId="10" applyFont="1" applyProtection="1">
      <protection hidden="1"/>
    </xf>
    <xf numFmtId="1" fontId="10" fillId="0" borderId="0" xfId="10" applyNumberFormat="1" applyFont="1" applyProtection="1">
      <protection hidden="1"/>
    </xf>
    <xf numFmtId="0" fontId="10" fillId="0" borderId="9" xfId="10" applyFont="1" applyBorder="1" applyAlignment="1" applyProtection="1">
      <alignment horizontal="center" vertical="center"/>
      <protection hidden="1"/>
    </xf>
    <xf numFmtId="0" fontId="10" fillId="0" borderId="0" xfId="10" applyFont="1" applyAlignment="1" applyProtection="1">
      <alignment horizontal="center" vertical="center"/>
      <protection hidden="1"/>
    </xf>
    <xf numFmtId="0" fontId="10" fillId="0" borderId="0" xfId="10" applyFont="1" applyAlignment="1" applyProtection="1">
      <alignment vertical="center"/>
      <protection hidden="1"/>
    </xf>
    <xf numFmtId="0" fontId="10" fillId="0" borderId="0" xfId="10" applyFont="1" applyAlignment="1" applyProtection="1">
      <alignment horizontal="left" vertical="top" wrapText="1" indent="1"/>
      <protection hidden="1"/>
    </xf>
    <xf numFmtId="0" fontId="10" fillId="0" borderId="9" xfId="10" applyFont="1" applyBorder="1" applyAlignment="1" applyProtection="1">
      <alignment horizontal="left" vertical="top" wrapText="1" indent="1"/>
      <protection hidden="1"/>
    </xf>
    <xf numFmtId="0" fontId="22" fillId="2" borderId="26" xfId="10" applyFont="1" applyFill="1" applyBorder="1" applyAlignment="1" applyProtection="1">
      <alignment horizontal="center" vertical="center"/>
      <protection hidden="1"/>
    </xf>
    <xf numFmtId="0" fontId="22" fillId="2" borderId="27" xfId="10" applyFont="1" applyFill="1" applyBorder="1" applyAlignment="1" applyProtection="1">
      <alignment horizontal="center" vertical="center"/>
      <protection hidden="1"/>
    </xf>
    <xf numFmtId="0" fontId="22" fillId="2" borderId="28" xfId="10" applyFont="1" applyFill="1" applyBorder="1" applyAlignment="1" applyProtection="1">
      <alignment horizontal="center" vertical="center"/>
      <protection hidden="1"/>
    </xf>
    <xf numFmtId="0" fontId="22" fillId="2" borderId="24" xfId="10" applyFont="1" applyFill="1" applyBorder="1" applyAlignment="1" applyProtection="1">
      <alignment horizontal="center" vertical="center"/>
      <protection hidden="1"/>
    </xf>
    <xf numFmtId="0" fontId="22" fillId="2" borderId="25" xfId="10" applyFont="1" applyFill="1" applyBorder="1" applyAlignment="1" applyProtection="1">
      <alignment horizontal="center" vertical="center"/>
      <protection hidden="1"/>
    </xf>
    <xf numFmtId="0" fontId="22" fillId="2" borderId="23" xfId="10" applyFont="1" applyFill="1" applyBorder="1" applyAlignment="1" applyProtection="1">
      <alignment horizontal="center" vertical="center"/>
      <protection hidden="1"/>
    </xf>
    <xf numFmtId="0" fontId="22" fillId="0" borderId="26" xfId="10" applyFont="1" applyFill="1" applyBorder="1" applyAlignment="1" applyProtection="1">
      <alignment horizontal="center" vertical="center"/>
      <protection hidden="1"/>
    </xf>
    <xf numFmtId="0" fontId="22" fillId="0" borderId="27" xfId="10" applyFont="1" applyFill="1" applyBorder="1" applyAlignment="1" applyProtection="1">
      <alignment horizontal="center" vertical="center"/>
      <protection hidden="1"/>
    </xf>
    <xf numFmtId="0" fontId="22" fillId="0" borderId="28" xfId="10" applyFont="1" applyFill="1" applyBorder="1" applyAlignment="1" applyProtection="1">
      <alignment horizontal="center" vertical="center"/>
      <protection hidden="1"/>
    </xf>
    <xf numFmtId="0" fontId="22" fillId="0" borderId="85" xfId="10" applyFont="1" applyFill="1" applyBorder="1" applyAlignment="1" applyProtection="1">
      <alignment horizontal="center" vertical="center"/>
      <protection hidden="1"/>
    </xf>
    <xf numFmtId="0" fontId="22" fillId="0" borderId="86" xfId="10" applyFont="1" applyFill="1" applyBorder="1" applyAlignment="1" applyProtection="1">
      <alignment horizontal="center" vertical="center"/>
      <protection hidden="1"/>
    </xf>
    <xf numFmtId="0" fontId="22" fillId="0" borderId="87" xfId="10" applyFont="1" applyFill="1" applyBorder="1" applyAlignment="1" applyProtection="1">
      <alignment horizontal="center" vertical="center"/>
      <protection hidden="1"/>
    </xf>
    <xf numFmtId="166" fontId="10" fillId="0" borderId="3" xfId="10" applyNumberFormat="1" applyFont="1" applyFill="1" applyBorder="1" applyAlignment="1" applyProtection="1">
      <alignment vertical="center"/>
      <protection hidden="1"/>
    </xf>
    <xf numFmtId="0" fontId="0" fillId="5" borderId="0" xfId="0" applyFill="1" applyProtection="1">
      <protection hidden="1"/>
    </xf>
    <xf numFmtId="0" fontId="0" fillId="4" borderId="2" xfId="0" applyFill="1" applyBorder="1" applyProtection="1">
      <protection hidden="1"/>
    </xf>
    <xf numFmtId="0" fontId="0" fillId="4" borderId="3" xfId="0" applyFill="1" applyBorder="1" applyProtection="1">
      <protection hidden="1"/>
    </xf>
    <xf numFmtId="0" fontId="0" fillId="4" borderId="4" xfId="0" applyFill="1" applyBorder="1" applyProtection="1">
      <protection hidden="1"/>
    </xf>
    <xf numFmtId="0" fontId="0" fillId="4" borderId="5" xfId="0" applyFill="1" applyBorder="1" applyProtection="1">
      <protection hidden="1"/>
    </xf>
    <xf numFmtId="0" fontId="0" fillId="4" borderId="11" xfId="0" applyFill="1" applyBorder="1" applyProtection="1">
      <protection hidden="1"/>
    </xf>
    <xf numFmtId="0" fontId="0" fillId="4" borderId="12" xfId="0" applyFill="1" applyBorder="1" applyProtection="1">
      <protection hidden="1"/>
    </xf>
    <xf numFmtId="0" fontId="0" fillId="0" borderId="55" xfId="0" applyFill="1" applyBorder="1" applyAlignment="1" applyProtection="1">
      <alignment horizontal="center" vertical="center"/>
      <protection locked="0"/>
    </xf>
    <xf numFmtId="0" fontId="0" fillId="0" borderId="56" xfId="0" applyFill="1" applyBorder="1" applyAlignment="1" applyProtection="1">
      <alignment horizontal="center" vertical="center"/>
      <protection locked="0"/>
    </xf>
    <xf numFmtId="0" fontId="0" fillId="0" borderId="57" xfId="0" applyFill="1" applyBorder="1" applyAlignment="1" applyProtection="1">
      <alignment horizontal="center" vertical="center"/>
      <protection locked="0"/>
    </xf>
    <xf numFmtId="0" fontId="0" fillId="0" borderId="90" xfId="0" applyFill="1" applyBorder="1" applyAlignment="1" applyProtection="1">
      <alignment horizontal="center" vertical="center"/>
      <protection locked="0"/>
    </xf>
    <xf numFmtId="0" fontId="0" fillId="0" borderId="80" xfId="0" applyFill="1" applyBorder="1" applyAlignment="1" applyProtection="1">
      <alignment horizontal="center" vertical="center"/>
      <protection locked="0"/>
    </xf>
    <xf numFmtId="0" fontId="0" fillId="0" borderId="91" xfId="0" applyFill="1" applyBorder="1" applyAlignment="1" applyProtection="1">
      <alignment horizontal="center" vertical="center"/>
      <protection locked="0"/>
    </xf>
    <xf numFmtId="0" fontId="12" fillId="0" borderId="0" xfId="0" applyFont="1" applyFill="1" applyBorder="1" applyAlignment="1" applyProtection="1">
      <alignment horizontal="left" vertical="center" indent="1" shrinkToFit="1"/>
      <protection locked="0"/>
    </xf>
    <xf numFmtId="0" fontId="10" fillId="0" borderId="0" xfId="10" quotePrefix="1" applyFont="1" applyFill="1" applyBorder="1" applyAlignment="1" applyProtection="1">
      <alignment vertical="center"/>
      <protection hidden="1"/>
    </xf>
    <xf numFmtId="0" fontId="0" fillId="0" borderId="0" xfId="0" pivotButton="1"/>
    <xf numFmtId="0" fontId="0" fillId="0" borderId="0" xfId="0" applyAlignment="1">
      <alignment horizontal="left"/>
    </xf>
    <xf numFmtId="0" fontId="0" fillId="0" borderId="0" xfId="0" applyNumberFormat="1"/>
    <xf numFmtId="2" fontId="0" fillId="0" borderId="0" xfId="0" quotePrefix="1" applyNumberFormat="1" applyProtection="1">
      <protection locked="0"/>
    </xf>
    <xf numFmtId="2" fontId="0" fillId="0" borderId="0" xfId="0" applyNumberFormat="1" applyProtection="1">
      <protection locked="0"/>
    </xf>
    <xf numFmtId="2" fontId="0" fillId="0" borderId="0" xfId="0" applyNumberFormat="1"/>
    <xf numFmtId="0" fontId="16" fillId="0" borderId="0" xfId="0" applyFont="1"/>
    <xf numFmtId="0" fontId="0" fillId="0" borderId="0" xfId="0" applyAlignment="1">
      <alignment horizontal="right"/>
    </xf>
    <xf numFmtId="0" fontId="0" fillId="0" borderId="81" xfId="0" applyBorder="1"/>
    <xf numFmtId="0" fontId="0" fillId="0" borderId="66" xfId="0" applyBorder="1"/>
    <xf numFmtId="0" fontId="0" fillId="0" borderId="67" xfId="0" applyBorder="1"/>
    <xf numFmtId="0" fontId="0" fillId="0" borderId="0" xfId="0" quotePrefix="1"/>
    <xf numFmtId="2" fontId="0" fillId="0" borderId="0" xfId="0" applyNumberFormat="1" applyAlignment="1">
      <alignment horizontal="left"/>
    </xf>
    <xf numFmtId="2" fontId="0" fillId="0" borderId="9" xfId="0" applyNumberFormat="1" applyBorder="1"/>
    <xf numFmtId="0" fontId="0" fillId="0" borderId="3" xfId="0" applyBorder="1"/>
    <xf numFmtId="2" fontId="0" fillId="0" borderId="0" xfId="0" applyNumberFormat="1" applyBorder="1"/>
    <xf numFmtId="0" fontId="0" fillId="0" borderId="5" xfId="0" applyBorder="1"/>
    <xf numFmtId="2" fontId="0" fillId="0" borderId="8" xfId="0" applyNumberFormat="1" applyBorder="1"/>
    <xf numFmtId="2" fontId="0" fillId="0" borderId="3" xfId="0" applyNumberFormat="1" applyBorder="1"/>
    <xf numFmtId="2" fontId="0" fillId="0" borderId="5" xfId="0" applyNumberFormat="1" applyBorder="1"/>
    <xf numFmtId="2" fontId="0" fillId="0" borderId="12" xfId="0" applyNumberFormat="1" applyBorder="1"/>
    <xf numFmtId="0" fontId="16" fillId="0" borderId="81" xfId="0" applyFont="1" applyBorder="1" applyAlignment="1">
      <alignment horizontal="right"/>
    </xf>
    <xf numFmtId="0" fontId="16" fillId="0" borderId="66" xfId="0" applyFont="1" applyBorder="1" applyAlignment="1">
      <alignment horizontal="right"/>
    </xf>
    <xf numFmtId="0" fontId="16" fillId="0" borderId="67" xfId="0" applyFont="1" applyBorder="1" applyAlignment="1">
      <alignment horizontal="right"/>
    </xf>
    <xf numFmtId="2" fontId="0" fillId="0" borderId="2" xfId="0" applyNumberFormat="1" applyBorder="1"/>
    <xf numFmtId="2" fontId="0" fillId="0" borderId="4" xfId="0" applyNumberFormat="1" applyBorder="1"/>
    <xf numFmtId="2" fontId="0" fillId="0" borderId="11" xfId="0" applyNumberFormat="1" applyBorder="1"/>
    <xf numFmtId="0" fontId="0" fillId="0" borderId="99" xfId="0" applyBorder="1"/>
    <xf numFmtId="1" fontId="0" fillId="5" borderId="0" xfId="0" applyNumberFormat="1" applyFill="1" applyAlignment="1" applyProtection="1">
      <alignment vertical="center"/>
      <protection hidden="1"/>
    </xf>
    <xf numFmtId="0" fontId="34" fillId="4" borderId="4" xfId="0" applyFont="1" applyFill="1" applyBorder="1" applyProtection="1">
      <protection hidden="1"/>
    </xf>
    <xf numFmtId="0" fontId="34" fillId="4" borderId="0" xfId="0" applyFont="1" applyFill="1" applyBorder="1" applyProtection="1">
      <protection hidden="1"/>
    </xf>
    <xf numFmtId="0" fontId="34" fillId="4" borderId="5" xfId="0" applyFont="1" applyFill="1" applyBorder="1" applyProtection="1">
      <protection hidden="1"/>
    </xf>
    <xf numFmtId="0" fontId="0" fillId="4" borderId="95" xfId="0" applyFill="1" applyBorder="1" applyProtection="1">
      <protection hidden="1"/>
    </xf>
    <xf numFmtId="0" fontId="0" fillId="4" borderId="96" xfId="0" applyFill="1" applyBorder="1" applyProtection="1">
      <protection hidden="1"/>
    </xf>
    <xf numFmtId="0" fontId="0" fillId="4" borderId="97" xfId="0" applyFill="1" applyBorder="1" applyProtection="1">
      <protection hidden="1"/>
    </xf>
    <xf numFmtId="0" fontId="0" fillId="4" borderId="0" xfId="0" applyFill="1" applyBorder="1" applyProtection="1">
      <protection hidden="1"/>
    </xf>
    <xf numFmtId="0" fontId="34" fillId="4" borderId="11" xfId="0" applyFont="1" applyFill="1" applyBorder="1" applyProtection="1">
      <protection hidden="1"/>
    </xf>
    <xf numFmtId="0" fontId="34" fillId="4" borderId="8" xfId="0" applyFont="1" applyFill="1" applyBorder="1" applyProtection="1">
      <protection hidden="1"/>
    </xf>
    <xf numFmtId="0" fontId="34" fillId="4" borderId="12" xfId="0" applyFont="1" applyFill="1" applyBorder="1" applyProtection="1">
      <protection hidden="1"/>
    </xf>
    <xf numFmtId="0" fontId="0" fillId="4" borderId="8" xfId="0" applyFill="1" applyBorder="1" applyProtection="1">
      <protection hidden="1"/>
    </xf>
    <xf numFmtId="0" fontId="34" fillId="4" borderId="95" xfId="0" applyFont="1" applyFill="1" applyBorder="1" applyProtection="1">
      <protection hidden="1"/>
    </xf>
    <xf numFmtId="0" fontId="34" fillId="4" borderId="96" xfId="0" applyFont="1" applyFill="1" applyBorder="1" applyProtection="1">
      <protection hidden="1"/>
    </xf>
    <xf numFmtId="0" fontId="40" fillId="6" borderId="93" xfId="0" applyFont="1" applyFill="1" applyBorder="1" applyAlignment="1" applyProtection="1">
      <alignment vertical="center"/>
      <protection hidden="1"/>
    </xf>
    <xf numFmtId="0" fontId="40" fillId="6" borderId="94" xfId="0" applyFont="1" applyFill="1" applyBorder="1" applyAlignment="1" applyProtection="1">
      <alignment vertical="center"/>
      <protection hidden="1"/>
    </xf>
    <xf numFmtId="0" fontId="0" fillId="4" borderId="98" xfId="0" applyFill="1" applyBorder="1" applyProtection="1">
      <protection hidden="1"/>
    </xf>
    <xf numFmtId="0" fontId="0" fillId="4" borderId="99" xfId="0" applyFill="1" applyBorder="1" applyProtection="1">
      <protection hidden="1"/>
    </xf>
    <xf numFmtId="0" fontId="0" fillId="5" borderId="0" xfId="0" applyFill="1" applyAlignment="1" applyProtection="1">
      <alignment horizontal="right" vertical="center"/>
      <protection hidden="1"/>
    </xf>
    <xf numFmtId="167" fontId="0" fillId="5" borderId="0" xfId="0" applyNumberFormat="1" applyFill="1" applyProtection="1">
      <protection hidden="1"/>
    </xf>
    <xf numFmtId="0" fontId="10" fillId="4" borderId="82" xfId="10" applyFont="1" applyFill="1" applyBorder="1" applyAlignment="1" applyProtection="1">
      <alignment horizontal="center" vertical="center"/>
      <protection hidden="1"/>
    </xf>
    <xf numFmtId="0" fontId="10" fillId="4" borderId="83" xfId="10" applyFont="1" applyFill="1" applyBorder="1" applyAlignment="1" applyProtection="1">
      <alignment horizontal="center" vertical="center"/>
      <protection hidden="1"/>
    </xf>
    <xf numFmtId="0" fontId="10" fillId="4" borderId="84" xfId="10" applyFont="1" applyFill="1" applyBorder="1" applyAlignment="1" applyProtection="1">
      <alignment horizontal="center" vertical="center"/>
      <protection hidden="1"/>
    </xf>
    <xf numFmtId="0" fontId="40" fillId="6" borderId="2" xfId="0" applyFont="1" applyFill="1" applyBorder="1" applyAlignment="1" applyProtection="1">
      <alignment horizontal="left" vertical="center" indent="1"/>
      <protection hidden="1"/>
    </xf>
    <xf numFmtId="0" fontId="40" fillId="6" borderId="9" xfId="0" applyFont="1" applyFill="1" applyBorder="1" applyAlignment="1" applyProtection="1">
      <alignment horizontal="left" vertical="center" indent="1"/>
      <protection hidden="1"/>
    </xf>
    <xf numFmtId="0" fontId="40" fillId="6" borderId="3" xfId="0" applyFont="1" applyFill="1" applyBorder="1" applyAlignment="1" applyProtection="1">
      <alignment horizontal="left" vertical="center" indent="1"/>
      <protection hidden="1"/>
    </xf>
    <xf numFmtId="0" fontId="35" fillId="4" borderId="2" xfId="0" applyFont="1" applyFill="1" applyBorder="1" applyAlignment="1" applyProtection="1">
      <alignment horizontal="center" vertical="center" wrapText="1"/>
      <protection hidden="1"/>
    </xf>
    <xf numFmtId="0" fontId="35" fillId="4" borderId="9" xfId="0" applyFont="1" applyFill="1" applyBorder="1" applyAlignment="1" applyProtection="1">
      <alignment horizontal="center" vertical="center" wrapText="1"/>
      <protection hidden="1"/>
    </xf>
    <xf numFmtId="0" fontId="35" fillId="4" borderId="3" xfId="0" applyFont="1" applyFill="1" applyBorder="1" applyAlignment="1" applyProtection="1">
      <alignment horizontal="center" vertical="center" wrapText="1"/>
      <protection hidden="1"/>
    </xf>
    <xf numFmtId="0" fontId="35" fillId="4" borderId="11" xfId="0" applyFont="1" applyFill="1" applyBorder="1" applyAlignment="1" applyProtection="1">
      <alignment horizontal="center" vertical="center" wrapText="1"/>
      <protection hidden="1"/>
    </xf>
    <xf numFmtId="0" fontId="35" fillId="4" borderId="8" xfId="0" applyFont="1" applyFill="1" applyBorder="1" applyAlignment="1" applyProtection="1">
      <alignment horizontal="center" vertical="center" wrapText="1"/>
      <protection hidden="1"/>
    </xf>
    <xf numFmtId="0" fontId="35" fillId="4" borderId="12" xfId="0" applyFont="1" applyFill="1" applyBorder="1" applyAlignment="1" applyProtection="1">
      <alignment horizontal="center" vertical="center" wrapText="1"/>
      <protection hidden="1"/>
    </xf>
    <xf numFmtId="0" fontId="34" fillId="4" borderId="2" xfId="0" applyFont="1" applyFill="1" applyBorder="1" applyAlignment="1" applyProtection="1">
      <alignment horizontal="right" vertical="center" wrapText="1" indent="1"/>
      <protection hidden="1"/>
    </xf>
    <xf numFmtId="0" fontId="34" fillId="4" borderId="9" xfId="0" applyFont="1" applyFill="1" applyBorder="1" applyAlignment="1" applyProtection="1">
      <alignment horizontal="right" vertical="center" wrapText="1" indent="1"/>
      <protection hidden="1"/>
    </xf>
    <xf numFmtId="0" fontId="34" fillId="4" borderId="88" xfId="0" applyFont="1" applyFill="1" applyBorder="1" applyAlignment="1" applyProtection="1">
      <alignment horizontal="right" vertical="center" wrapText="1" indent="1"/>
      <protection hidden="1"/>
    </xf>
    <xf numFmtId="0" fontId="34" fillId="4" borderId="11" xfId="0" applyFont="1" applyFill="1" applyBorder="1" applyAlignment="1" applyProtection="1">
      <alignment horizontal="right" vertical="center" wrapText="1" indent="1"/>
      <protection hidden="1"/>
    </xf>
    <xf numFmtId="0" fontId="34" fillId="4" borderId="8" xfId="0" applyFont="1" applyFill="1" applyBorder="1" applyAlignment="1" applyProtection="1">
      <alignment horizontal="right" vertical="center" wrapText="1" indent="1"/>
      <protection hidden="1"/>
    </xf>
    <xf numFmtId="0" fontId="34" fillId="4" borderId="89" xfId="0" applyFont="1" applyFill="1" applyBorder="1" applyAlignment="1" applyProtection="1">
      <alignment horizontal="right" vertical="center" wrapText="1" indent="1"/>
      <protection hidden="1"/>
    </xf>
    <xf numFmtId="0" fontId="35" fillId="6" borderId="9" xfId="0" applyFont="1" applyFill="1" applyBorder="1" applyAlignment="1" applyProtection="1">
      <alignment horizontal="center" vertical="center"/>
      <protection hidden="1"/>
    </xf>
    <xf numFmtId="0" fontId="35" fillId="6" borderId="3" xfId="0" applyFont="1" applyFill="1" applyBorder="1" applyAlignment="1" applyProtection="1">
      <alignment horizontal="center" vertical="center"/>
      <protection hidden="1"/>
    </xf>
    <xf numFmtId="0" fontId="35" fillId="6" borderId="8" xfId="0" applyFont="1" applyFill="1" applyBorder="1" applyAlignment="1" applyProtection="1">
      <alignment horizontal="center" vertical="center"/>
      <protection hidden="1"/>
    </xf>
    <xf numFmtId="0" fontId="35" fillId="6" borderId="12" xfId="0" applyFont="1" applyFill="1" applyBorder="1" applyAlignment="1" applyProtection="1">
      <alignment horizontal="center" vertical="center"/>
      <protection hidden="1"/>
    </xf>
    <xf numFmtId="0" fontId="34" fillId="4" borderId="2" xfId="0" applyFont="1" applyFill="1" applyBorder="1" applyAlignment="1" applyProtection="1">
      <alignment horizontal="right" wrapText="1" indent="1"/>
      <protection hidden="1"/>
    </xf>
    <xf numFmtId="0" fontId="34" fillId="4" borderId="9" xfId="0" applyFont="1" applyFill="1" applyBorder="1" applyAlignment="1" applyProtection="1">
      <alignment horizontal="right" wrapText="1" indent="1"/>
      <protection hidden="1"/>
    </xf>
    <xf numFmtId="0" fontId="34" fillId="4" borderId="88" xfId="0" applyFont="1" applyFill="1" applyBorder="1" applyAlignment="1" applyProtection="1">
      <alignment horizontal="right" wrapText="1" indent="1"/>
      <protection hidden="1"/>
    </xf>
    <xf numFmtId="2" fontId="37" fillId="6" borderId="9" xfId="0" applyNumberFormat="1" applyFont="1" applyFill="1" applyBorder="1" applyAlignment="1" applyProtection="1">
      <alignment horizontal="center" vertical="center"/>
      <protection hidden="1"/>
    </xf>
    <xf numFmtId="2" fontId="37" fillId="6" borderId="3" xfId="0" applyNumberFormat="1" applyFont="1" applyFill="1" applyBorder="1" applyAlignment="1" applyProtection="1">
      <alignment horizontal="center" vertical="center"/>
      <protection hidden="1"/>
    </xf>
    <xf numFmtId="2" fontId="37" fillId="6" borderId="8" xfId="0" applyNumberFormat="1" applyFont="1" applyFill="1" applyBorder="1" applyAlignment="1" applyProtection="1">
      <alignment horizontal="center" vertical="center"/>
      <protection hidden="1"/>
    </xf>
    <xf numFmtId="2" fontId="37" fillId="6" borderId="12" xfId="0" applyNumberFormat="1" applyFont="1" applyFill="1" applyBorder="1" applyAlignment="1" applyProtection="1">
      <alignment horizontal="center" vertical="center"/>
      <protection hidden="1"/>
    </xf>
    <xf numFmtId="0" fontId="36" fillId="4" borderId="11" xfId="0" applyFont="1" applyFill="1" applyBorder="1" applyAlignment="1" applyProtection="1">
      <alignment horizontal="right" vertical="top" wrapText="1" indent="1"/>
      <protection hidden="1"/>
    </xf>
    <xf numFmtId="0" fontId="36" fillId="4" borderId="8" xfId="0" applyFont="1" applyFill="1" applyBorder="1" applyAlignment="1" applyProtection="1">
      <alignment horizontal="right" vertical="top" wrapText="1" indent="1"/>
      <protection hidden="1"/>
    </xf>
    <xf numFmtId="0" fontId="36" fillId="4" borderId="89" xfId="0" applyFont="1" applyFill="1" applyBorder="1" applyAlignment="1" applyProtection="1">
      <alignment horizontal="right" vertical="top" wrapText="1" indent="1"/>
      <protection hidden="1"/>
    </xf>
    <xf numFmtId="0" fontId="40" fillId="6" borderId="92" xfId="0" applyFont="1" applyFill="1" applyBorder="1" applyAlignment="1" applyProtection="1">
      <alignment horizontal="left" vertical="center" indent="1"/>
      <protection hidden="1"/>
    </xf>
    <xf numFmtId="0" fontId="40" fillId="6" borderId="93" xfId="0" applyFont="1" applyFill="1" applyBorder="1" applyAlignment="1" applyProtection="1">
      <alignment horizontal="left" vertical="center" indent="1"/>
      <protection hidden="1"/>
    </xf>
    <xf numFmtId="0" fontId="24" fillId="5" borderId="0" xfId="11" applyFont="1" applyFill="1" applyBorder="1" applyAlignment="1" applyProtection="1">
      <alignment horizontal="left" vertical="center" indent="1"/>
      <protection hidden="1"/>
    </xf>
    <xf numFmtId="0" fontId="40" fillId="6" borderId="94" xfId="0" applyFont="1" applyFill="1" applyBorder="1" applyAlignment="1" applyProtection="1">
      <alignment horizontal="left" vertical="center" indent="1"/>
      <protection hidden="1"/>
    </xf>
    <xf numFmtId="0" fontId="12" fillId="6" borderId="93" xfId="10" applyFont="1" applyFill="1" applyBorder="1" applyAlignment="1" applyProtection="1">
      <alignment horizontal="left" vertical="center" indent="1" shrinkToFit="1"/>
      <protection locked="0"/>
    </xf>
    <xf numFmtId="0" fontId="10" fillId="0" borderId="4" xfId="10" applyFont="1" applyFill="1" applyBorder="1" applyAlignment="1" applyProtection="1">
      <alignment horizontal="left" vertical="center" indent="1"/>
      <protection hidden="1"/>
    </xf>
    <xf numFmtId="0" fontId="10" fillId="0" borderId="0" xfId="10" applyFont="1" applyFill="1" applyBorder="1" applyAlignment="1" applyProtection="1">
      <alignment horizontal="left" vertical="center" indent="1"/>
      <protection hidden="1"/>
    </xf>
    <xf numFmtId="0" fontId="10" fillId="0" borderId="5" xfId="10" applyFont="1" applyFill="1" applyBorder="1" applyAlignment="1" applyProtection="1">
      <alignment horizontal="left" vertical="center" indent="1"/>
      <protection hidden="1"/>
    </xf>
    <xf numFmtId="0" fontId="16" fillId="0" borderId="4" xfId="0" applyNumberFormat="1" applyFont="1" applyFill="1" applyBorder="1" applyAlignment="1" applyProtection="1">
      <alignment horizontal="left" vertical="center" indent="1"/>
      <protection hidden="1"/>
    </xf>
    <xf numFmtId="0" fontId="16" fillId="0" borderId="0" xfId="0" applyNumberFormat="1" applyFont="1" applyFill="1" applyBorder="1" applyAlignment="1" applyProtection="1">
      <alignment horizontal="left" vertical="center" indent="1"/>
      <protection hidden="1"/>
    </xf>
    <xf numFmtId="0" fontId="16" fillId="0" borderId="5" xfId="0" applyNumberFormat="1" applyFont="1" applyFill="1" applyBorder="1" applyAlignment="1" applyProtection="1">
      <alignment horizontal="left" vertical="center" indent="1"/>
      <protection hidden="1"/>
    </xf>
    <xf numFmtId="0" fontId="16" fillId="4" borderId="81" xfId="0" applyFont="1" applyFill="1" applyBorder="1" applyAlignment="1" applyProtection="1">
      <alignment horizontal="center" vertical="center"/>
      <protection hidden="1"/>
    </xf>
    <xf numFmtId="0" fontId="16" fillId="4" borderId="67" xfId="0" applyFont="1" applyFill="1" applyBorder="1" applyAlignment="1" applyProtection="1">
      <alignment horizontal="center" vertical="center"/>
      <protection hidden="1"/>
    </xf>
    <xf numFmtId="0" fontId="10" fillId="6" borderId="32" xfId="10" applyFont="1" applyFill="1" applyBorder="1" applyAlignment="1" applyProtection="1">
      <alignment horizontal="center" vertical="center" textRotation="90" wrapText="1"/>
      <protection hidden="1"/>
    </xf>
    <xf numFmtId="0" fontId="10" fillId="6" borderId="35" xfId="10" applyFont="1" applyFill="1" applyBorder="1" applyAlignment="1" applyProtection="1">
      <alignment horizontal="center" vertical="center" textRotation="90" wrapText="1"/>
      <protection hidden="1"/>
    </xf>
    <xf numFmtId="0" fontId="10" fillId="6" borderId="38" xfId="10" applyFont="1" applyFill="1" applyBorder="1" applyAlignment="1" applyProtection="1">
      <alignment horizontal="center" vertical="center" textRotation="90" wrapText="1"/>
      <protection hidden="1"/>
    </xf>
    <xf numFmtId="2" fontId="10" fillId="0" borderId="0" xfId="10" applyNumberFormat="1" applyFont="1" applyFill="1" applyBorder="1" applyAlignment="1" applyProtection="1">
      <alignment horizontal="right"/>
      <protection hidden="1"/>
    </xf>
    <xf numFmtId="0" fontId="10" fillId="6" borderId="33" xfId="10" applyFont="1" applyFill="1" applyBorder="1" applyAlignment="1" applyProtection="1">
      <alignment horizontal="center" vertical="center" textRotation="90"/>
      <protection hidden="1"/>
    </xf>
    <xf numFmtId="0" fontId="10" fillId="6" borderId="36" xfId="10" applyFont="1" applyFill="1" applyBorder="1" applyAlignment="1" applyProtection="1">
      <alignment horizontal="center" vertical="center" textRotation="90"/>
      <protection hidden="1"/>
    </xf>
    <xf numFmtId="0" fontId="10" fillId="6" borderId="39" xfId="10" applyFont="1" applyFill="1" applyBorder="1" applyAlignment="1" applyProtection="1">
      <alignment horizontal="center" vertical="center" textRotation="90"/>
      <protection hidden="1"/>
    </xf>
    <xf numFmtId="0" fontId="9" fillId="4" borderId="2" xfId="10" applyFont="1" applyFill="1" applyBorder="1" applyAlignment="1" applyProtection="1">
      <alignment horizontal="left" vertical="center" indent="1"/>
      <protection hidden="1"/>
    </xf>
    <xf numFmtId="0" fontId="9" fillId="4" borderId="9" xfId="10" applyFont="1" applyFill="1" applyBorder="1" applyAlignment="1" applyProtection="1">
      <alignment horizontal="left" vertical="center" indent="1"/>
      <protection hidden="1"/>
    </xf>
    <xf numFmtId="0" fontId="9" fillId="4" borderId="3" xfId="10" applyFont="1" applyFill="1" applyBorder="1" applyAlignment="1" applyProtection="1">
      <alignment horizontal="left" vertical="center" indent="1"/>
      <protection hidden="1"/>
    </xf>
    <xf numFmtId="0" fontId="9" fillId="4" borderId="11" xfId="10" applyFont="1" applyFill="1" applyBorder="1" applyAlignment="1" applyProtection="1">
      <alignment horizontal="left" vertical="center" indent="1"/>
      <protection hidden="1"/>
    </xf>
    <xf numFmtId="0" fontId="9" fillId="4" borderId="8" xfId="10" applyFont="1" applyFill="1" applyBorder="1" applyAlignment="1" applyProtection="1">
      <alignment horizontal="left" vertical="center" indent="1"/>
      <protection hidden="1"/>
    </xf>
    <xf numFmtId="0" fontId="9" fillId="4" borderId="12" xfId="10" applyFont="1" applyFill="1" applyBorder="1" applyAlignment="1" applyProtection="1">
      <alignment horizontal="left" vertical="center" indent="1"/>
      <protection hidden="1"/>
    </xf>
    <xf numFmtId="0" fontId="24" fillId="0" borderId="9" xfId="11" applyFont="1" applyFill="1" applyBorder="1" applyAlignment="1" applyProtection="1">
      <alignment horizontal="left" vertical="center" indent="1"/>
    </xf>
    <xf numFmtId="0" fontId="9" fillId="4" borderId="40" xfId="10" applyFont="1" applyFill="1" applyBorder="1" applyAlignment="1" applyProtection="1">
      <alignment horizontal="right" vertical="center" indent="1"/>
      <protection hidden="1"/>
    </xf>
    <xf numFmtId="0" fontId="9" fillId="4" borderId="41" xfId="10" applyFont="1" applyFill="1" applyBorder="1" applyAlignment="1" applyProtection="1">
      <alignment horizontal="right" vertical="center" indent="1"/>
      <protection hidden="1"/>
    </xf>
    <xf numFmtId="0" fontId="9" fillId="4" borderId="53" xfId="10" applyFont="1" applyFill="1" applyBorder="1" applyAlignment="1" applyProtection="1">
      <alignment horizontal="right" vertical="center" indent="1"/>
      <protection hidden="1"/>
    </xf>
    <xf numFmtId="0" fontId="17" fillId="4" borderId="42" xfId="10" applyFont="1" applyFill="1" applyBorder="1" applyAlignment="1" applyProtection="1">
      <alignment horizontal="left" vertical="center" indent="1"/>
      <protection hidden="1"/>
    </xf>
    <xf numFmtId="0" fontId="17" fillId="4" borderId="43" xfId="10" applyFont="1" applyFill="1" applyBorder="1" applyAlignment="1" applyProtection="1">
      <alignment horizontal="left" vertical="center" indent="1"/>
      <protection hidden="1"/>
    </xf>
    <xf numFmtId="0" fontId="17" fillId="4" borderId="44" xfId="10" applyFont="1" applyFill="1" applyBorder="1" applyAlignment="1" applyProtection="1">
      <alignment horizontal="left" vertical="center" indent="1"/>
      <protection hidden="1"/>
    </xf>
    <xf numFmtId="0" fontId="9" fillId="4" borderId="45" xfId="10" applyFont="1" applyFill="1" applyBorder="1" applyAlignment="1" applyProtection="1">
      <alignment horizontal="right" vertical="center" indent="1"/>
      <protection hidden="1"/>
    </xf>
    <xf numFmtId="0" fontId="9" fillId="4" borderId="46" xfId="10" applyFont="1" applyFill="1" applyBorder="1" applyAlignment="1" applyProtection="1">
      <alignment horizontal="right" vertical="center" indent="1"/>
      <protection hidden="1"/>
    </xf>
    <xf numFmtId="0" fontId="9" fillId="4" borderId="54" xfId="10" applyFont="1" applyFill="1" applyBorder="1" applyAlignment="1" applyProtection="1">
      <alignment horizontal="right" vertical="center" indent="1"/>
      <protection hidden="1"/>
    </xf>
    <xf numFmtId="14" fontId="12" fillId="4" borderId="10" xfId="10" applyNumberFormat="1" applyFont="1" applyFill="1" applyBorder="1" applyAlignment="1" applyProtection="1">
      <alignment horizontal="left" vertical="center" indent="1"/>
      <protection locked="0"/>
    </xf>
    <xf numFmtId="0" fontId="12" fillId="4" borderId="10" xfId="10" applyFont="1" applyFill="1" applyBorder="1" applyAlignment="1" applyProtection="1">
      <alignment horizontal="left" vertical="center" indent="1"/>
      <protection locked="0"/>
    </xf>
    <xf numFmtId="0" fontId="12" fillId="4" borderId="7" xfId="10" applyFont="1" applyFill="1" applyBorder="1" applyAlignment="1" applyProtection="1">
      <alignment horizontal="left" vertical="center" indent="1"/>
      <protection locked="0"/>
    </xf>
    <xf numFmtId="0" fontId="26" fillId="0" borderId="0" xfId="10" applyFont="1" applyFill="1" applyBorder="1" applyAlignment="1" applyProtection="1">
      <alignment horizontal="center" vertical="center" wrapText="1"/>
      <protection hidden="1"/>
    </xf>
    <xf numFmtId="0" fontId="9" fillId="4" borderId="6" xfId="10" applyFont="1" applyFill="1" applyBorder="1" applyAlignment="1" applyProtection="1">
      <alignment horizontal="center" vertical="center"/>
      <protection hidden="1"/>
    </xf>
    <xf numFmtId="0" fontId="9" fillId="4" borderId="10" xfId="10" applyFont="1" applyFill="1" applyBorder="1" applyAlignment="1" applyProtection="1">
      <alignment horizontal="center" vertical="center"/>
      <protection hidden="1"/>
    </xf>
    <xf numFmtId="0" fontId="9" fillId="4" borderId="7" xfId="10" applyFont="1" applyFill="1" applyBorder="1" applyAlignment="1" applyProtection="1">
      <alignment horizontal="center" vertical="center"/>
      <protection hidden="1"/>
    </xf>
    <xf numFmtId="0" fontId="10" fillId="6" borderId="31" xfId="10" applyFont="1" applyFill="1" applyBorder="1" applyAlignment="1" applyProtection="1">
      <alignment horizontal="center" vertical="center" textRotation="90" wrapText="1"/>
      <protection hidden="1"/>
    </xf>
    <xf numFmtId="0" fontId="10" fillId="6" borderId="34" xfId="10" applyFont="1" applyFill="1" applyBorder="1" applyAlignment="1" applyProtection="1">
      <alignment horizontal="center" vertical="center" textRotation="90" wrapText="1"/>
      <protection hidden="1"/>
    </xf>
    <xf numFmtId="0" fontId="10" fillId="6" borderId="37" xfId="10" applyFont="1" applyFill="1" applyBorder="1" applyAlignment="1" applyProtection="1">
      <alignment horizontal="center" vertical="center" textRotation="90" wrapText="1"/>
      <protection hidden="1"/>
    </xf>
    <xf numFmtId="0" fontId="10" fillId="6" borderId="33" xfId="10" applyFont="1" applyFill="1" applyBorder="1" applyAlignment="1" applyProtection="1">
      <alignment horizontal="center" vertical="center" textRotation="90" wrapText="1"/>
      <protection hidden="1"/>
    </xf>
    <xf numFmtId="0" fontId="10" fillId="6" borderId="36" xfId="10" applyFont="1" applyFill="1" applyBorder="1" applyAlignment="1" applyProtection="1">
      <alignment horizontal="center" vertical="center" textRotation="90" wrapText="1"/>
      <protection hidden="1"/>
    </xf>
    <xf numFmtId="0" fontId="10" fillId="6" borderId="39" xfId="10" applyFont="1" applyFill="1" applyBorder="1" applyAlignment="1" applyProtection="1">
      <alignment horizontal="center" vertical="center" textRotation="90" wrapText="1"/>
      <protection hidden="1"/>
    </xf>
    <xf numFmtId="0" fontId="10" fillId="4" borderId="6" xfId="10" applyFont="1" applyFill="1" applyBorder="1" applyAlignment="1" applyProtection="1">
      <alignment horizontal="center" vertical="center"/>
      <protection hidden="1"/>
    </xf>
    <xf numFmtId="0" fontId="10" fillId="4" borderId="10" xfId="10" applyFont="1" applyFill="1" applyBorder="1" applyAlignment="1" applyProtection="1">
      <alignment horizontal="center" vertical="center"/>
      <protection hidden="1"/>
    </xf>
    <xf numFmtId="0" fontId="10" fillId="4" borderId="7" xfId="10" applyFont="1" applyFill="1" applyBorder="1" applyAlignment="1" applyProtection="1">
      <alignment horizontal="center" vertical="center"/>
      <protection hidden="1"/>
    </xf>
    <xf numFmtId="0" fontId="10" fillId="6" borderId="31" xfId="10" applyFont="1" applyFill="1" applyBorder="1" applyAlignment="1" applyProtection="1">
      <alignment horizontal="center" vertical="center" textRotation="90"/>
      <protection hidden="1"/>
    </xf>
    <xf numFmtId="0" fontId="10" fillId="6" borderId="34" xfId="10" applyFont="1" applyFill="1" applyBorder="1" applyAlignment="1" applyProtection="1">
      <alignment horizontal="center" vertical="center" textRotation="90"/>
      <protection hidden="1"/>
    </xf>
    <xf numFmtId="0" fontId="10" fillId="6" borderId="37" xfId="10" applyFont="1" applyFill="1" applyBorder="1" applyAlignment="1" applyProtection="1">
      <alignment horizontal="center" vertical="center" textRotation="90"/>
      <protection hidden="1"/>
    </xf>
    <xf numFmtId="0" fontId="9" fillId="4" borderId="6" xfId="10" applyFont="1" applyFill="1" applyBorder="1" applyAlignment="1" applyProtection="1">
      <alignment horizontal="left" vertical="center" indent="1"/>
      <protection hidden="1"/>
    </xf>
    <xf numFmtId="0" fontId="9" fillId="4" borderId="10" xfId="10" applyFont="1" applyFill="1" applyBorder="1" applyAlignment="1" applyProtection="1">
      <alignment horizontal="left" vertical="center" indent="1"/>
      <protection hidden="1"/>
    </xf>
    <xf numFmtId="0" fontId="9" fillId="4" borderId="7" xfId="10" applyFont="1" applyFill="1" applyBorder="1" applyAlignment="1" applyProtection="1">
      <alignment horizontal="left" vertical="center" indent="1"/>
      <protection hidden="1"/>
    </xf>
    <xf numFmtId="0" fontId="9" fillId="4" borderId="6" xfId="10" applyFont="1" applyFill="1" applyBorder="1" applyAlignment="1" applyProtection="1">
      <alignment horizontal="right" vertical="center"/>
      <protection hidden="1"/>
    </xf>
    <xf numFmtId="0" fontId="9" fillId="4" borderId="10" xfId="10" applyFont="1" applyFill="1" applyBorder="1" applyAlignment="1" applyProtection="1">
      <alignment horizontal="right" vertical="center"/>
      <protection hidden="1"/>
    </xf>
    <xf numFmtId="0" fontId="10" fillId="4" borderId="11" xfId="10" applyFont="1" applyFill="1" applyBorder="1" applyAlignment="1" applyProtection="1">
      <alignment horizontal="right" vertical="center"/>
      <protection hidden="1"/>
    </xf>
    <xf numFmtId="0" fontId="10" fillId="4" borderId="8" xfId="10" applyFont="1" applyFill="1" applyBorder="1" applyAlignment="1" applyProtection="1">
      <alignment horizontal="right" vertical="center"/>
      <protection hidden="1"/>
    </xf>
    <xf numFmtId="0" fontId="10" fillId="4" borderId="2" xfId="10" applyFont="1" applyFill="1" applyBorder="1" applyAlignment="1" applyProtection="1">
      <alignment horizontal="right" vertical="center"/>
      <protection hidden="1"/>
    </xf>
    <xf numFmtId="0" fontId="10" fillId="4" borderId="9" xfId="10" applyFont="1" applyFill="1" applyBorder="1" applyAlignment="1" applyProtection="1">
      <alignment horizontal="right" vertical="center"/>
      <protection hidden="1"/>
    </xf>
    <xf numFmtId="0" fontId="12" fillId="4" borderId="8" xfId="10" applyFont="1" applyFill="1" applyBorder="1" applyAlignment="1" applyProtection="1">
      <alignment horizontal="left" vertical="center" indent="1"/>
      <protection locked="0"/>
    </xf>
    <xf numFmtId="0" fontId="12" fillId="4" borderId="12" xfId="10" applyFont="1" applyFill="1" applyBorder="1" applyAlignment="1" applyProtection="1">
      <alignment horizontal="left" vertical="center" indent="1"/>
      <protection locked="0"/>
    </xf>
    <xf numFmtId="0" fontId="12" fillId="4" borderId="9" xfId="10" applyFont="1" applyFill="1" applyBorder="1" applyAlignment="1" applyProtection="1">
      <alignment horizontal="left" vertical="center" indent="1"/>
      <protection locked="0"/>
    </xf>
    <xf numFmtId="0" fontId="12" fillId="4" borderId="3" xfId="10" applyFont="1" applyFill="1" applyBorder="1" applyAlignment="1" applyProtection="1">
      <alignment horizontal="left" vertical="center" indent="1"/>
      <protection locked="0"/>
    </xf>
    <xf numFmtId="0" fontId="10" fillId="4" borderId="10" xfId="10" applyFont="1" applyFill="1" applyBorder="1" applyAlignment="1" applyProtection="1">
      <alignment horizontal="left" vertical="center" indent="1"/>
      <protection hidden="1"/>
    </xf>
    <xf numFmtId="0" fontId="10" fillId="4" borderId="7" xfId="10" applyFont="1" applyFill="1" applyBorder="1" applyAlignment="1" applyProtection="1">
      <alignment horizontal="left" vertical="center" indent="1"/>
      <protection hidden="1"/>
    </xf>
    <xf numFmtId="0" fontId="10" fillId="2" borderId="23" xfId="10" applyFont="1" applyFill="1" applyBorder="1" applyAlignment="1" applyProtection="1">
      <alignment horizontal="left" vertical="center" indent="1"/>
      <protection hidden="1"/>
    </xf>
    <xf numFmtId="0" fontId="10" fillId="2" borderId="24" xfId="10" applyFont="1" applyFill="1" applyBorder="1" applyAlignment="1" applyProtection="1">
      <alignment horizontal="left" vertical="center" indent="1"/>
      <protection hidden="1"/>
    </xf>
    <xf numFmtId="0" fontId="10" fillId="2" borderId="50" xfId="10" applyFont="1" applyFill="1" applyBorder="1" applyAlignment="1" applyProtection="1">
      <alignment horizontal="left" vertical="center" indent="1"/>
      <protection hidden="1"/>
    </xf>
    <xf numFmtId="0" fontId="9" fillId="6" borderId="6" xfId="10" applyFont="1" applyFill="1" applyBorder="1" applyAlignment="1" applyProtection="1">
      <alignment horizontal="left" vertical="center" indent="1"/>
      <protection hidden="1"/>
    </xf>
    <xf numFmtId="0" fontId="9" fillId="6" borderId="10" xfId="10" applyFont="1" applyFill="1" applyBorder="1" applyAlignment="1" applyProtection="1">
      <alignment horizontal="left" vertical="center" indent="1"/>
      <protection hidden="1"/>
    </xf>
    <xf numFmtId="0" fontId="9" fillId="6" borderId="7" xfId="10" applyFont="1" applyFill="1" applyBorder="1" applyAlignment="1" applyProtection="1">
      <alignment horizontal="left" vertical="center" indent="1"/>
      <protection hidden="1"/>
    </xf>
    <xf numFmtId="0" fontId="10" fillId="4" borderId="2" xfId="10" applyFont="1" applyFill="1" applyBorder="1" applyAlignment="1" applyProtection="1">
      <alignment horizontal="left" vertical="top" wrapText="1" indent="1"/>
      <protection hidden="1"/>
    </xf>
    <xf numFmtId="0" fontId="10" fillId="4" borderId="9" xfId="10" applyFont="1" applyFill="1" applyBorder="1" applyAlignment="1" applyProtection="1">
      <alignment horizontal="left" vertical="top" wrapText="1" indent="1"/>
      <protection hidden="1"/>
    </xf>
    <xf numFmtId="0" fontId="10" fillId="4" borderId="3" xfId="10" applyFont="1" applyFill="1" applyBorder="1" applyAlignment="1" applyProtection="1">
      <alignment horizontal="left" vertical="top" wrapText="1" indent="1"/>
      <protection hidden="1"/>
    </xf>
    <xf numFmtId="0" fontId="10" fillId="4" borderId="4" xfId="10" applyFont="1" applyFill="1" applyBorder="1" applyAlignment="1" applyProtection="1">
      <alignment horizontal="left" vertical="top" wrapText="1" indent="1"/>
      <protection hidden="1"/>
    </xf>
    <xf numFmtId="0" fontId="10" fillId="4" borderId="0" xfId="10" applyFont="1" applyFill="1" applyAlignment="1" applyProtection="1">
      <alignment horizontal="left" vertical="top" wrapText="1" indent="1"/>
      <protection hidden="1"/>
    </xf>
    <xf numFmtId="0" fontId="10" fillId="4" borderId="5" xfId="10" applyFont="1" applyFill="1" applyBorder="1" applyAlignment="1" applyProtection="1">
      <alignment horizontal="left" vertical="top" wrapText="1" indent="1"/>
      <protection hidden="1"/>
    </xf>
    <xf numFmtId="0" fontId="10" fillId="4" borderId="11" xfId="10" applyFont="1" applyFill="1" applyBorder="1" applyAlignment="1" applyProtection="1">
      <alignment horizontal="left" vertical="top" wrapText="1" indent="1"/>
      <protection hidden="1"/>
    </xf>
    <xf numFmtId="0" fontId="10" fillId="4" borderId="8" xfId="10" applyFont="1" applyFill="1" applyBorder="1" applyAlignment="1" applyProtection="1">
      <alignment horizontal="left" vertical="top" wrapText="1" indent="1"/>
      <protection hidden="1"/>
    </xf>
    <xf numFmtId="0" fontId="10" fillId="4" borderId="12" xfId="10" applyFont="1" applyFill="1" applyBorder="1" applyAlignment="1" applyProtection="1">
      <alignment horizontal="left" vertical="top" wrapText="1" indent="1"/>
      <protection hidden="1"/>
    </xf>
    <xf numFmtId="0" fontId="10" fillId="2" borderId="26" xfId="10" applyFont="1" applyFill="1" applyBorder="1" applyAlignment="1" applyProtection="1">
      <alignment horizontal="left" vertical="center" indent="1"/>
      <protection hidden="1"/>
    </xf>
    <xf numFmtId="0" fontId="10" fillId="2" borderId="27" xfId="10" applyFont="1" applyFill="1" applyBorder="1" applyAlignment="1" applyProtection="1">
      <alignment horizontal="left" vertical="center" indent="1"/>
      <protection hidden="1"/>
    </xf>
    <xf numFmtId="0" fontId="10" fillId="2" borderId="51" xfId="10" applyFont="1" applyFill="1" applyBorder="1" applyAlignment="1" applyProtection="1">
      <alignment horizontal="left" vertical="center" indent="1"/>
      <protection hidden="1"/>
    </xf>
    <xf numFmtId="0" fontId="10" fillId="2" borderId="16" xfId="10" applyFont="1" applyFill="1" applyBorder="1" applyAlignment="1" applyProtection="1">
      <alignment horizontal="left" vertical="center" indent="1"/>
      <protection hidden="1"/>
    </xf>
    <xf numFmtId="0" fontId="10" fillId="2" borderId="17" xfId="10" applyFont="1" applyFill="1" applyBorder="1" applyAlignment="1" applyProtection="1">
      <alignment horizontal="left" vertical="center" indent="1"/>
      <protection hidden="1"/>
    </xf>
    <xf numFmtId="0" fontId="10" fillId="0" borderId="26" xfId="10" applyFont="1" applyBorder="1" applyAlignment="1" applyProtection="1">
      <alignment horizontal="left" vertical="center" indent="1"/>
      <protection hidden="1"/>
    </xf>
    <xf numFmtId="0" fontId="10" fillId="0" borderId="27" xfId="10" applyFont="1" applyBorder="1" applyAlignment="1" applyProtection="1">
      <alignment horizontal="left" vertical="center" indent="1"/>
      <protection hidden="1"/>
    </xf>
    <xf numFmtId="0" fontId="10" fillId="0" borderId="51" xfId="10" applyFont="1" applyBorder="1" applyAlignment="1" applyProtection="1">
      <alignment horizontal="left" vertical="center" indent="1"/>
      <protection hidden="1"/>
    </xf>
    <xf numFmtId="2" fontId="9" fillId="4" borderId="41" xfId="10" applyNumberFormat="1" applyFont="1" applyFill="1" applyBorder="1" applyAlignment="1" applyProtection="1">
      <alignment horizontal="center" vertical="center"/>
      <protection hidden="1"/>
    </xf>
    <xf numFmtId="2" fontId="9" fillId="4" borderId="53" xfId="10" applyNumberFormat="1" applyFont="1" applyFill="1" applyBorder="1" applyAlignment="1" applyProtection="1">
      <alignment horizontal="center" vertical="center"/>
      <protection hidden="1"/>
    </xf>
    <xf numFmtId="0" fontId="10" fillId="0" borderId="16" xfId="10" applyFont="1" applyBorder="1" applyAlignment="1" applyProtection="1">
      <alignment horizontal="left" vertical="center" indent="1"/>
      <protection hidden="1"/>
    </xf>
    <xf numFmtId="0" fontId="10" fillId="0" borderId="17" xfId="10" applyFont="1" applyBorder="1" applyAlignment="1" applyProtection="1">
      <alignment horizontal="left" vertical="center" indent="1"/>
      <protection hidden="1"/>
    </xf>
    <xf numFmtId="0" fontId="10" fillId="0" borderId="29" xfId="10" applyFont="1" applyBorder="1" applyAlignment="1" applyProtection="1">
      <alignment horizontal="left" vertical="center" indent="1"/>
      <protection hidden="1"/>
    </xf>
    <xf numFmtId="0" fontId="10" fillId="0" borderId="30" xfId="10" applyFont="1" applyBorder="1" applyAlignment="1" applyProtection="1">
      <alignment horizontal="left" vertical="center" indent="1"/>
      <protection hidden="1"/>
    </xf>
    <xf numFmtId="0" fontId="10" fillId="0" borderId="52" xfId="10" applyFont="1" applyBorder="1" applyAlignment="1" applyProtection="1">
      <alignment horizontal="left" vertical="center" indent="1"/>
      <protection hidden="1"/>
    </xf>
    <xf numFmtId="0" fontId="10" fillId="0" borderId="18" xfId="10" applyFont="1" applyBorder="1" applyAlignment="1" applyProtection="1">
      <alignment horizontal="left" vertical="center" indent="1"/>
      <protection hidden="1"/>
    </xf>
    <xf numFmtId="0" fontId="10" fillId="0" borderId="19" xfId="10" applyFont="1" applyBorder="1" applyAlignment="1" applyProtection="1">
      <alignment horizontal="left" vertical="center" indent="1"/>
      <protection hidden="1"/>
    </xf>
    <xf numFmtId="0" fontId="10" fillId="2" borderId="13" xfId="10" applyFont="1" applyFill="1" applyBorder="1" applyAlignment="1" applyProtection="1">
      <alignment horizontal="left" vertical="center" indent="1"/>
      <protection hidden="1"/>
    </xf>
    <xf numFmtId="0" fontId="10" fillId="2" borderId="14" xfId="10" applyFont="1" applyFill="1" applyBorder="1" applyAlignment="1" applyProtection="1">
      <alignment horizontal="left" vertical="center" indent="1"/>
      <protection hidden="1"/>
    </xf>
    <xf numFmtId="0" fontId="9" fillId="4" borderId="40" xfId="10" applyFont="1" applyFill="1" applyBorder="1" applyAlignment="1" applyProtection="1">
      <alignment horizontal="right" vertical="center"/>
      <protection hidden="1"/>
    </xf>
    <xf numFmtId="0" fontId="9" fillId="4" borderId="41" xfId="10" applyFont="1" applyFill="1" applyBorder="1" applyAlignment="1" applyProtection="1">
      <alignment horizontal="right" vertical="center"/>
      <protection hidden="1"/>
    </xf>
    <xf numFmtId="0" fontId="9" fillId="4" borderId="71" xfId="10" applyFont="1" applyFill="1" applyBorder="1" applyAlignment="1" applyProtection="1">
      <alignment horizontal="center" vertical="center"/>
      <protection hidden="1"/>
    </xf>
    <xf numFmtId="0" fontId="9" fillId="4" borderId="72" xfId="10" applyFont="1" applyFill="1" applyBorder="1" applyAlignment="1" applyProtection="1">
      <alignment horizontal="center" vertical="center"/>
      <protection hidden="1"/>
    </xf>
    <xf numFmtId="0" fontId="10" fillId="0" borderId="15" xfId="10" applyFont="1" applyBorder="1" applyAlignment="1" applyProtection="1">
      <alignment horizontal="left" vertical="center" indent="1"/>
      <protection hidden="1"/>
    </xf>
    <xf numFmtId="0" fontId="10" fillId="2" borderId="15" xfId="10" applyFont="1" applyFill="1" applyBorder="1" applyAlignment="1" applyProtection="1">
      <alignment horizontal="left" vertical="center" indent="1"/>
      <protection hidden="1"/>
    </xf>
    <xf numFmtId="0" fontId="10" fillId="2" borderId="78" xfId="10" applyFont="1" applyFill="1" applyBorder="1" applyAlignment="1" applyProtection="1">
      <alignment horizontal="left" vertical="center" indent="1"/>
      <protection hidden="1"/>
    </xf>
    <xf numFmtId="0" fontId="12" fillId="2" borderId="16" xfId="10" applyFont="1" applyFill="1" applyBorder="1" applyAlignment="1" applyProtection="1">
      <alignment horizontal="left" vertical="center" indent="1"/>
      <protection locked="0"/>
    </xf>
    <xf numFmtId="0" fontId="12" fillId="2" borderId="17" xfId="10" applyFont="1" applyFill="1" applyBorder="1" applyAlignment="1" applyProtection="1">
      <alignment horizontal="left" vertical="center" indent="1"/>
      <protection locked="0"/>
    </xf>
    <xf numFmtId="0" fontId="22" fillId="0" borderId="26" xfId="10" applyFont="1" applyFill="1" applyBorder="1" applyAlignment="1" applyProtection="1">
      <alignment horizontal="center" vertical="center"/>
      <protection locked="0"/>
    </xf>
    <xf numFmtId="0" fontId="22" fillId="0" borderId="27" xfId="10" applyFont="1" applyFill="1" applyBorder="1" applyAlignment="1" applyProtection="1">
      <alignment horizontal="center" vertical="center"/>
      <protection locked="0"/>
    </xf>
    <xf numFmtId="0" fontId="22" fillId="0" borderId="28" xfId="10" applyFont="1" applyFill="1" applyBorder="1" applyAlignment="1" applyProtection="1">
      <alignment horizontal="center" vertical="center"/>
      <protection locked="0"/>
    </xf>
    <xf numFmtId="0" fontId="12" fillId="0" borderId="16" xfId="10" applyFont="1" applyFill="1" applyBorder="1" applyAlignment="1" applyProtection="1">
      <alignment horizontal="left" vertical="center" indent="1"/>
      <protection locked="0"/>
    </xf>
    <xf numFmtId="0" fontId="12" fillId="0" borderId="17" xfId="10" applyFont="1" applyFill="1" applyBorder="1" applyAlignment="1" applyProtection="1">
      <alignment horizontal="left" vertical="center" indent="1"/>
      <protection locked="0"/>
    </xf>
    <xf numFmtId="0" fontId="22" fillId="2" borderId="26" xfId="10" applyFont="1" applyFill="1" applyBorder="1" applyAlignment="1" applyProtection="1">
      <alignment horizontal="center" vertical="center"/>
      <protection locked="0"/>
    </xf>
    <xf numFmtId="0" fontId="22" fillId="2" borderId="27" xfId="10" applyFont="1" applyFill="1" applyBorder="1" applyAlignment="1" applyProtection="1">
      <alignment horizontal="center" vertical="center"/>
      <protection locked="0"/>
    </xf>
    <xf numFmtId="0" fontId="22" fillId="2" borderId="28" xfId="10" applyFont="1" applyFill="1" applyBorder="1" applyAlignment="1" applyProtection="1">
      <alignment horizontal="center" vertical="center"/>
      <protection locked="0"/>
    </xf>
    <xf numFmtId="0" fontId="22" fillId="0" borderId="85" xfId="10" applyFont="1" applyFill="1" applyBorder="1" applyAlignment="1" applyProtection="1">
      <alignment horizontal="center" vertical="center"/>
      <protection locked="0"/>
    </xf>
    <xf numFmtId="0" fontId="22" fillId="0" borderId="86" xfId="10" applyFont="1" applyFill="1" applyBorder="1" applyAlignment="1" applyProtection="1">
      <alignment horizontal="center" vertical="center"/>
      <protection locked="0"/>
    </xf>
    <xf numFmtId="0" fontId="22" fillId="0" borderId="87" xfId="10" applyFont="1" applyFill="1" applyBorder="1" applyAlignment="1" applyProtection="1">
      <alignment horizontal="center" vertical="center"/>
      <protection locked="0"/>
    </xf>
    <xf numFmtId="0" fontId="12" fillId="0" borderId="18" xfId="10" applyFont="1" applyFill="1" applyBorder="1" applyAlignment="1" applyProtection="1">
      <alignment horizontal="left" vertical="center" indent="1"/>
      <protection locked="0"/>
    </xf>
    <xf numFmtId="0" fontId="12" fillId="0" borderId="19" xfId="10" applyFont="1" applyFill="1" applyBorder="1" applyAlignment="1" applyProtection="1">
      <alignment horizontal="left" vertical="center" indent="1"/>
      <protection locked="0"/>
    </xf>
    <xf numFmtId="0" fontId="12" fillId="4" borderId="2" xfId="10" applyFont="1" applyFill="1" applyBorder="1" applyAlignment="1" applyProtection="1">
      <alignment horizontal="left" vertical="top" wrapText="1" indent="1"/>
      <protection locked="0"/>
    </xf>
    <xf numFmtId="0" fontId="12" fillId="4" borderId="9" xfId="10" applyFont="1" applyFill="1" applyBorder="1" applyAlignment="1" applyProtection="1">
      <alignment horizontal="left" vertical="top" wrapText="1" indent="1"/>
      <protection locked="0"/>
    </xf>
    <xf numFmtId="0" fontId="12" fillId="4" borderId="3" xfId="10" applyFont="1" applyFill="1" applyBorder="1" applyAlignment="1" applyProtection="1">
      <alignment horizontal="left" vertical="top" wrapText="1" indent="1"/>
      <protection locked="0"/>
    </xf>
    <xf numFmtId="0" fontId="12" fillId="4" borderId="4" xfId="10" applyFont="1" applyFill="1" applyBorder="1" applyAlignment="1" applyProtection="1">
      <alignment horizontal="left" vertical="top" wrapText="1" indent="1"/>
      <protection locked="0"/>
    </xf>
    <xf numFmtId="0" fontId="12" fillId="4" borderId="0" xfId="10" applyFont="1" applyFill="1" applyBorder="1" applyAlignment="1" applyProtection="1">
      <alignment horizontal="left" vertical="top" wrapText="1" indent="1"/>
      <protection locked="0"/>
    </xf>
    <xf numFmtId="0" fontId="12" fillId="4" borderId="5" xfId="10" applyFont="1" applyFill="1" applyBorder="1" applyAlignment="1" applyProtection="1">
      <alignment horizontal="left" vertical="top" wrapText="1" indent="1"/>
      <protection locked="0"/>
    </xf>
    <xf numFmtId="0" fontId="12" fillId="4" borderId="11" xfId="10" applyFont="1" applyFill="1" applyBorder="1" applyAlignment="1" applyProtection="1">
      <alignment horizontal="left" vertical="top" wrapText="1" indent="1"/>
      <protection locked="0"/>
    </xf>
    <xf numFmtId="0" fontId="12" fillId="4" borderId="8" xfId="10" applyFont="1" applyFill="1" applyBorder="1" applyAlignment="1" applyProtection="1">
      <alignment horizontal="left" vertical="top" wrapText="1" indent="1"/>
      <protection locked="0"/>
    </xf>
    <xf numFmtId="0" fontId="12" fillId="4" borderId="12" xfId="10" applyFont="1" applyFill="1" applyBorder="1" applyAlignment="1" applyProtection="1">
      <alignment horizontal="left" vertical="top" wrapText="1" indent="1"/>
      <protection locked="0"/>
    </xf>
    <xf numFmtId="0" fontId="22" fillId="2" borderId="78" xfId="10" applyFont="1" applyFill="1" applyBorder="1" applyAlignment="1" applyProtection="1">
      <alignment horizontal="center" vertical="center"/>
      <protection locked="0"/>
    </xf>
    <xf numFmtId="0" fontId="22" fillId="2" borderId="13" xfId="10" applyFont="1" applyFill="1" applyBorder="1" applyAlignment="1" applyProtection="1">
      <alignment horizontal="center" vertical="center"/>
      <protection locked="0"/>
    </xf>
    <xf numFmtId="0" fontId="22" fillId="2" borderId="79" xfId="10" applyFont="1" applyFill="1" applyBorder="1" applyAlignment="1" applyProtection="1">
      <alignment horizontal="center" vertical="center"/>
      <protection locked="0"/>
    </xf>
    <xf numFmtId="0" fontId="22" fillId="2" borderId="24" xfId="10" applyFont="1" applyFill="1" applyBorder="1" applyAlignment="1" applyProtection="1">
      <alignment horizontal="center" vertical="center"/>
      <protection locked="0"/>
    </xf>
    <xf numFmtId="0" fontId="22" fillId="2" borderId="25" xfId="10" applyFont="1" applyFill="1" applyBorder="1" applyAlignment="1" applyProtection="1">
      <alignment horizontal="center" vertical="center"/>
      <protection locked="0"/>
    </xf>
    <xf numFmtId="0" fontId="12" fillId="4" borderId="6" xfId="10" applyFont="1" applyFill="1" applyBorder="1" applyAlignment="1" applyProtection="1">
      <alignment horizontal="left" vertical="center" indent="1" shrinkToFit="1"/>
      <protection locked="0"/>
    </xf>
    <xf numFmtId="0" fontId="12" fillId="4" borderId="10" xfId="10" applyFont="1" applyFill="1" applyBorder="1" applyAlignment="1" applyProtection="1">
      <alignment horizontal="left" vertical="center" indent="1" shrinkToFit="1"/>
      <protection locked="0"/>
    </xf>
    <xf numFmtId="0" fontId="12" fillId="4" borderId="7" xfId="10" applyFont="1" applyFill="1" applyBorder="1" applyAlignment="1" applyProtection="1">
      <alignment horizontal="left" vertical="center" indent="1" shrinkToFit="1"/>
      <protection locked="0"/>
    </xf>
    <xf numFmtId="0" fontId="10" fillId="4" borderId="82" xfId="10" applyFont="1" applyFill="1" applyBorder="1" applyAlignment="1" applyProtection="1">
      <alignment horizontal="center" vertical="center"/>
      <protection hidden="1"/>
    </xf>
    <xf numFmtId="0" fontId="10" fillId="4" borderId="83" xfId="10" applyFont="1" applyFill="1" applyBorder="1" applyAlignment="1" applyProtection="1">
      <alignment horizontal="center" vertical="center"/>
      <protection hidden="1"/>
    </xf>
    <xf numFmtId="0" fontId="10" fillId="4" borderId="84" xfId="10" applyFont="1" applyFill="1" applyBorder="1" applyAlignment="1" applyProtection="1">
      <alignment horizontal="center" vertical="center"/>
      <protection hidden="1"/>
    </xf>
    <xf numFmtId="0" fontId="12" fillId="2" borderId="13" xfId="10" applyFont="1" applyFill="1" applyBorder="1" applyAlignment="1" applyProtection="1">
      <alignment horizontal="left" vertical="center" indent="1"/>
      <protection locked="0"/>
    </xf>
    <xf numFmtId="0" fontId="12" fillId="2" borderId="14" xfId="10" applyFont="1" applyFill="1" applyBorder="1" applyAlignment="1" applyProtection="1">
      <alignment horizontal="left" vertical="center" indent="1"/>
      <protection locked="0"/>
    </xf>
    <xf numFmtId="0" fontId="10" fillId="4" borderId="6" xfId="10" applyFont="1" applyFill="1" applyBorder="1" applyAlignment="1" applyProtection="1">
      <alignment horizontal="left" vertical="center" indent="1"/>
      <protection hidden="1"/>
    </xf>
    <xf numFmtId="0" fontId="9" fillId="4" borderId="70" xfId="10" applyFont="1" applyFill="1" applyBorder="1" applyAlignment="1" applyProtection="1">
      <alignment horizontal="right" vertical="center"/>
      <protection hidden="1"/>
    </xf>
    <xf numFmtId="0" fontId="9" fillId="4" borderId="71" xfId="10" applyFont="1" applyFill="1" applyBorder="1" applyAlignment="1" applyProtection="1">
      <alignment horizontal="right" vertical="center"/>
      <protection hidden="1"/>
    </xf>
    <xf numFmtId="0" fontId="10" fillId="0" borderId="77" xfId="10" applyFont="1" applyBorder="1" applyAlignment="1" applyProtection="1">
      <alignment horizontal="left" vertical="center" indent="1"/>
      <protection hidden="1"/>
    </xf>
    <xf numFmtId="0" fontId="19" fillId="3" borderId="0" xfId="0" applyFont="1" applyFill="1" applyAlignment="1" applyProtection="1">
      <alignment horizontal="right" vertical="center" wrapText="1"/>
    </xf>
    <xf numFmtId="0" fontId="19" fillId="3" borderId="0" xfId="0" applyFont="1" applyFill="1" applyAlignment="1" applyProtection="1">
      <alignment horizontal="right" vertical="center"/>
    </xf>
    <xf numFmtId="0" fontId="12" fillId="4" borderId="0" xfId="0" applyFont="1" applyFill="1" applyBorder="1" applyAlignment="1" applyProtection="1">
      <alignment horizontal="left" vertical="center" indent="1"/>
      <protection locked="0"/>
    </xf>
    <xf numFmtId="0" fontId="12" fillId="4" borderId="5" xfId="0" applyFont="1" applyFill="1" applyBorder="1" applyAlignment="1" applyProtection="1">
      <alignment horizontal="left" vertical="center" indent="1"/>
      <protection locked="0"/>
    </xf>
    <xf numFmtId="2" fontId="10" fillId="4" borderId="4" xfId="0" applyNumberFormat="1" applyFont="1" applyFill="1" applyBorder="1" applyAlignment="1" applyProtection="1">
      <alignment horizontal="right" vertical="center"/>
      <protection hidden="1"/>
    </xf>
    <xf numFmtId="2" fontId="10" fillId="4" borderId="0" xfId="0" applyNumberFormat="1" applyFont="1" applyFill="1" applyBorder="1" applyAlignment="1" applyProtection="1">
      <alignment horizontal="right" vertical="center"/>
      <protection hidden="1"/>
    </xf>
    <xf numFmtId="0" fontId="12" fillId="4" borderId="0" xfId="0" applyNumberFormat="1" applyFont="1" applyFill="1" applyBorder="1" applyAlignment="1" applyProtection="1">
      <alignment horizontal="left" vertical="center" indent="1" shrinkToFit="1"/>
      <protection locked="0"/>
    </xf>
    <xf numFmtId="0" fontId="12" fillId="4" borderId="5" xfId="0" applyNumberFormat="1" applyFont="1" applyFill="1" applyBorder="1" applyAlignment="1" applyProtection="1">
      <alignment horizontal="left" vertical="center" indent="1" shrinkToFit="1"/>
      <protection locked="0"/>
    </xf>
    <xf numFmtId="0" fontId="9" fillId="4" borderId="6" xfId="0" applyFont="1" applyFill="1" applyBorder="1" applyAlignment="1" applyProtection="1">
      <alignment horizontal="center" vertical="center"/>
    </xf>
    <xf numFmtId="0" fontId="9" fillId="4" borderId="10" xfId="0" applyFont="1" applyFill="1" applyBorder="1" applyAlignment="1" applyProtection="1">
      <alignment horizontal="center" vertical="center"/>
    </xf>
    <xf numFmtId="0" fontId="9" fillId="4" borderId="7" xfId="0" applyFont="1" applyFill="1" applyBorder="1" applyAlignment="1" applyProtection="1">
      <alignment horizontal="center" vertical="center"/>
    </xf>
    <xf numFmtId="0" fontId="12" fillId="4" borderId="9" xfId="0" applyFont="1" applyFill="1" applyBorder="1" applyAlignment="1" applyProtection="1">
      <alignment horizontal="left" vertical="center" indent="1"/>
      <protection locked="0"/>
    </xf>
    <xf numFmtId="0" fontId="12" fillId="4" borderId="3" xfId="0" applyFont="1" applyFill="1" applyBorder="1" applyAlignment="1" applyProtection="1">
      <alignment horizontal="left" vertical="center" indent="1"/>
      <protection locked="0"/>
    </xf>
    <xf numFmtId="2" fontId="10" fillId="4" borderId="11" xfId="0" applyNumberFormat="1" applyFont="1" applyFill="1" applyBorder="1" applyAlignment="1" applyProtection="1">
      <alignment horizontal="right" vertical="center"/>
      <protection hidden="1"/>
    </xf>
    <xf numFmtId="2" fontId="10" fillId="4" borderId="8" xfId="0" applyNumberFormat="1" applyFont="1" applyFill="1" applyBorder="1" applyAlignment="1" applyProtection="1">
      <alignment horizontal="right" vertical="center"/>
      <protection hidden="1"/>
    </xf>
    <xf numFmtId="0" fontId="12" fillId="4" borderId="8" xfId="0" applyFont="1" applyFill="1" applyBorder="1" applyAlignment="1" applyProtection="1">
      <alignment horizontal="left" vertical="center" indent="1" shrinkToFit="1"/>
      <protection locked="0"/>
    </xf>
    <xf numFmtId="0" fontId="12" fillId="4" borderId="12" xfId="0" applyFont="1" applyFill="1" applyBorder="1" applyAlignment="1" applyProtection="1">
      <alignment horizontal="left" vertical="center" indent="1" shrinkToFit="1"/>
      <protection locked="0"/>
    </xf>
    <xf numFmtId="2" fontId="11" fillId="6" borderId="80" xfId="0" applyNumberFormat="1" applyFont="1" applyFill="1" applyBorder="1" applyAlignment="1" applyProtection="1">
      <alignment horizontal="center" vertical="center"/>
      <protection hidden="1"/>
    </xf>
    <xf numFmtId="2" fontId="11" fillId="6" borderId="59" xfId="0" applyNumberFormat="1" applyFont="1" applyFill="1" applyBorder="1" applyAlignment="1" applyProtection="1">
      <alignment horizontal="center" vertical="center"/>
      <protection hidden="1"/>
    </xf>
    <xf numFmtId="0" fontId="12" fillId="4" borderId="0" xfId="0" applyFont="1" applyFill="1" applyBorder="1" applyAlignment="1" applyProtection="1">
      <alignment horizontal="left" vertical="center" indent="1" shrinkToFit="1"/>
      <protection locked="0"/>
    </xf>
    <xf numFmtId="0" fontId="12" fillId="4" borderId="5" xfId="0" applyFont="1" applyFill="1" applyBorder="1" applyAlignment="1" applyProtection="1">
      <alignment horizontal="left" vertical="center" indent="1" shrinkToFit="1"/>
      <protection locked="0"/>
    </xf>
    <xf numFmtId="2" fontId="10" fillId="4" borderId="2" xfId="0" applyNumberFormat="1" applyFont="1" applyFill="1" applyBorder="1" applyAlignment="1" applyProtection="1">
      <alignment horizontal="right" vertical="center"/>
      <protection hidden="1"/>
    </xf>
    <xf numFmtId="2" fontId="10" fillId="4" borderId="9" xfId="0" applyNumberFormat="1" applyFont="1" applyFill="1" applyBorder="1" applyAlignment="1" applyProtection="1">
      <alignment horizontal="right" vertical="center"/>
      <protection hidden="1"/>
    </xf>
    <xf numFmtId="0" fontId="12" fillId="4" borderId="9" xfId="0" applyNumberFormat="1" applyFont="1" applyFill="1" applyBorder="1" applyAlignment="1" applyProtection="1">
      <alignment horizontal="left" vertical="center" indent="1" shrinkToFit="1"/>
      <protection locked="0"/>
    </xf>
    <xf numFmtId="0" fontId="12" fillId="4" borderId="3" xfId="0" applyNumberFormat="1" applyFont="1" applyFill="1" applyBorder="1" applyAlignment="1" applyProtection="1">
      <alignment horizontal="left" vertical="center" indent="1" shrinkToFit="1"/>
      <protection locked="0"/>
    </xf>
    <xf numFmtId="0" fontId="10" fillId="4" borderId="0" xfId="0" applyNumberFormat="1" applyFont="1" applyFill="1" applyBorder="1" applyAlignment="1" applyProtection="1">
      <alignment horizontal="left" vertical="center" indent="1" shrinkToFit="1"/>
      <protection hidden="1"/>
    </xf>
    <xf numFmtId="0" fontId="10" fillId="4" borderId="5" xfId="0" applyNumberFormat="1" applyFont="1" applyFill="1" applyBorder="1" applyAlignment="1" applyProtection="1">
      <alignment horizontal="left" vertical="center" indent="1" shrinkToFit="1"/>
      <protection hidden="1"/>
    </xf>
    <xf numFmtId="0" fontId="12" fillId="4" borderId="2" xfId="0" applyFont="1" applyFill="1" applyBorder="1" applyAlignment="1" applyProtection="1">
      <alignment horizontal="left" vertical="center" indent="1"/>
      <protection locked="0"/>
    </xf>
    <xf numFmtId="0" fontId="12" fillId="4" borderId="4" xfId="0" applyFont="1" applyFill="1" applyBorder="1" applyAlignment="1" applyProtection="1">
      <alignment horizontal="left" vertical="center" indent="1"/>
      <protection locked="0"/>
    </xf>
    <xf numFmtId="0" fontId="12" fillId="4" borderId="11" xfId="0" applyFont="1" applyFill="1" applyBorder="1" applyAlignment="1" applyProtection="1">
      <alignment horizontal="left" vertical="center" indent="1"/>
      <protection locked="0"/>
    </xf>
    <xf numFmtId="0" fontId="12" fillId="4" borderId="98" xfId="0" applyFont="1" applyFill="1" applyBorder="1" applyAlignment="1" applyProtection="1">
      <alignment horizontal="left" vertical="center" indent="1"/>
      <protection locked="0"/>
    </xf>
    <xf numFmtId="0" fontId="12" fillId="4" borderId="99" xfId="0" applyFont="1" applyFill="1" applyBorder="1" applyAlignment="1" applyProtection="1">
      <alignment horizontal="left" vertical="center" indent="1"/>
      <protection locked="0"/>
    </xf>
    <xf numFmtId="0" fontId="20" fillId="8" borderId="0" xfId="0" applyFont="1" applyFill="1" applyBorder="1" applyAlignment="1" applyProtection="1">
      <alignment horizontal="center" vertical="center"/>
    </xf>
    <xf numFmtId="0" fontId="9" fillId="4" borderId="6" xfId="0" applyFont="1" applyFill="1" applyBorder="1" applyAlignment="1" applyProtection="1">
      <alignment horizontal="center" vertical="center"/>
      <protection hidden="1"/>
    </xf>
    <xf numFmtId="0" fontId="9" fillId="4" borderId="10" xfId="0" applyFont="1" applyFill="1" applyBorder="1" applyAlignment="1" applyProtection="1">
      <alignment horizontal="center" vertical="center"/>
      <protection hidden="1"/>
    </xf>
    <xf numFmtId="0" fontId="9" fillId="4" borderId="7" xfId="0" applyFont="1" applyFill="1" applyBorder="1" applyAlignment="1" applyProtection="1">
      <alignment horizontal="center" vertical="center"/>
      <protection hidden="1"/>
    </xf>
    <xf numFmtId="2" fontId="11" fillId="6" borderId="57" xfId="0" applyNumberFormat="1" applyFont="1" applyFill="1" applyBorder="1" applyAlignment="1" applyProtection="1">
      <alignment horizontal="center" vertical="center"/>
      <protection hidden="1"/>
    </xf>
    <xf numFmtId="2" fontId="11" fillId="6" borderId="60" xfId="0" applyNumberFormat="1" applyFont="1" applyFill="1" applyBorder="1" applyAlignment="1" applyProtection="1">
      <alignment horizontal="center" vertical="center"/>
      <protection hidden="1"/>
    </xf>
    <xf numFmtId="2" fontId="11" fillId="6" borderId="55" xfId="0" applyNumberFormat="1" applyFont="1" applyFill="1" applyBorder="1" applyAlignment="1" applyProtection="1">
      <alignment horizontal="center" vertical="center"/>
    </xf>
    <xf numFmtId="2" fontId="11" fillId="6" borderId="58" xfId="0" applyNumberFormat="1" applyFont="1" applyFill="1" applyBorder="1" applyAlignment="1" applyProtection="1">
      <alignment horizontal="center" vertical="center"/>
    </xf>
    <xf numFmtId="0" fontId="12" fillId="4" borderId="8" xfId="0" applyFont="1" applyFill="1" applyBorder="1" applyAlignment="1" applyProtection="1">
      <alignment horizontal="left" vertical="center" indent="1"/>
      <protection locked="0"/>
    </xf>
    <xf numFmtId="0" fontId="12" fillId="4" borderId="12" xfId="0" applyFont="1" applyFill="1" applyBorder="1" applyAlignment="1" applyProtection="1">
      <alignment horizontal="left" vertical="center" indent="1"/>
      <protection locked="0"/>
    </xf>
    <xf numFmtId="2" fontId="11" fillId="6" borderId="56" xfId="0" applyNumberFormat="1" applyFont="1" applyFill="1" applyBorder="1" applyAlignment="1" applyProtection="1">
      <alignment horizontal="center" vertical="center"/>
    </xf>
    <xf numFmtId="2" fontId="11" fillId="6" borderId="59" xfId="0" applyNumberFormat="1" applyFont="1" applyFill="1" applyBorder="1" applyAlignment="1" applyProtection="1">
      <alignment horizontal="center" vertical="center"/>
    </xf>
    <xf numFmtId="2" fontId="11" fillId="6" borderId="56" xfId="0" applyNumberFormat="1" applyFont="1" applyFill="1" applyBorder="1" applyAlignment="1" applyProtection="1">
      <alignment horizontal="center" vertical="center" wrapText="1"/>
      <protection hidden="1"/>
    </xf>
    <xf numFmtId="2" fontId="11" fillId="6" borderId="59" xfId="0" applyNumberFormat="1" applyFont="1" applyFill="1" applyBorder="1" applyAlignment="1" applyProtection="1">
      <alignment horizontal="center" vertical="center" wrapText="1"/>
      <protection hidden="1"/>
    </xf>
    <xf numFmtId="2" fontId="11" fillId="6" borderId="56" xfId="0" applyNumberFormat="1" applyFont="1" applyFill="1" applyBorder="1" applyAlignment="1" applyProtection="1">
      <alignment horizontal="center" vertical="center"/>
      <protection hidden="1"/>
    </xf>
    <xf numFmtId="0" fontId="9" fillId="6" borderId="2" xfId="0" applyFont="1" applyFill="1" applyBorder="1" applyAlignment="1" applyProtection="1">
      <alignment horizontal="center" vertical="center"/>
      <protection hidden="1"/>
    </xf>
    <xf numFmtId="0" fontId="9" fillId="6" borderId="9" xfId="0" applyFont="1" applyFill="1" applyBorder="1" applyAlignment="1" applyProtection="1">
      <alignment horizontal="center" vertical="center"/>
      <protection hidden="1"/>
    </xf>
    <xf numFmtId="0" fontId="9" fillId="6" borderId="3" xfId="0" applyFont="1" applyFill="1" applyBorder="1" applyAlignment="1" applyProtection="1">
      <alignment horizontal="center" vertical="center"/>
      <protection hidden="1"/>
    </xf>
    <xf numFmtId="0" fontId="38" fillId="4" borderId="9" xfId="10" applyFont="1" applyFill="1" applyBorder="1" applyAlignment="1" applyProtection="1">
      <alignment horizontal="center" vertical="center" wrapText="1"/>
      <protection hidden="1"/>
    </xf>
    <xf numFmtId="0" fontId="38" fillId="4" borderId="0" xfId="10" applyFont="1" applyFill="1" applyBorder="1" applyAlignment="1" applyProtection="1">
      <alignment horizontal="center" vertical="center" wrapText="1"/>
      <protection hidden="1"/>
    </xf>
    <xf numFmtId="0" fontId="38" fillId="4" borderId="8" xfId="10" applyFont="1" applyFill="1" applyBorder="1" applyAlignment="1" applyProtection="1">
      <alignment horizontal="center" vertical="center" wrapText="1"/>
      <protection hidden="1"/>
    </xf>
    <xf numFmtId="2" fontId="39" fillId="6" borderId="90" xfId="0" applyNumberFormat="1" applyFont="1" applyFill="1" applyBorder="1" applyAlignment="1" applyProtection="1">
      <alignment horizontal="center" vertical="center"/>
      <protection hidden="1"/>
    </xf>
    <xf numFmtId="2" fontId="39" fillId="6" borderId="58" xfId="0" applyNumberFormat="1" applyFont="1" applyFill="1" applyBorder="1" applyAlignment="1" applyProtection="1">
      <alignment horizontal="center" vertical="center"/>
      <protection hidden="1"/>
    </xf>
    <xf numFmtId="2" fontId="39" fillId="6" borderId="80" xfId="0" applyNumberFormat="1" applyFont="1" applyFill="1" applyBorder="1" applyAlignment="1" applyProtection="1">
      <alignment horizontal="center" vertical="center"/>
      <protection hidden="1"/>
    </xf>
    <xf numFmtId="2" fontId="39" fillId="6" borderId="59" xfId="0" applyNumberFormat="1" applyFont="1" applyFill="1" applyBorder="1" applyAlignment="1" applyProtection="1">
      <alignment horizontal="center" vertical="center"/>
      <protection hidden="1"/>
    </xf>
    <xf numFmtId="2" fontId="39" fillId="6" borderId="91" xfId="0" applyNumberFormat="1" applyFont="1" applyFill="1" applyBorder="1" applyAlignment="1" applyProtection="1">
      <alignment horizontal="center" vertical="center"/>
      <protection hidden="1"/>
    </xf>
    <xf numFmtId="2" fontId="39" fillId="6" borderId="60" xfId="0" applyNumberFormat="1" applyFont="1" applyFill="1" applyBorder="1" applyAlignment="1" applyProtection="1">
      <alignment horizontal="center" vertical="center"/>
      <protection hidden="1"/>
    </xf>
    <xf numFmtId="0" fontId="15" fillId="0" borderId="0" xfId="0" applyFont="1" applyAlignment="1">
      <alignment horizontal="left" vertical="top" wrapText="1"/>
    </xf>
    <xf numFmtId="0" fontId="13" fillId="0" borderId="0" xfId="0" applyFont="1" applyAlignment="1">
      <alignment horizontal="left" vertical="center" wrapText="1"/>
    </xf>
    <xf numFmtId="0" fontId="14" fillId="0" borderId="0" xfId="0" applyFont="1" applyAlignment="1">
      <alignment horizontal="left" vertical="center" wrapText="1"/>
    </xf>
    <xf numFmtId="0" fontId="28" fillId="0" borderId="0" xfId="0" applyFont="1" applyAlignment="1">
      <alignment horizontal="left" vertical="center" wrapText="1"/>
    </xf>
    <xf numFmtId="0" fontId="15" fillId="0" borderId="0" xfId="0" applyFont="1" applyAlignment="1">
      <alignment horizontal="left" wrapText="1"/>
    </xf>
    <xf numFmtId="0" fontId="14" fillId="0" borderId="0" xfId="0" applyFont="1" applyFill="1" applyBorder="1" applyAlignment="1">
      <alignment horizontal="left" vertical="center" wrapText="1"/>
    </xf>
    <xf numFmtId="0" fontId="14" fillId="0" borderId="9" xfId="0" applyFont="1" applyFill="1" applyBorder="1" applyAlignment="1">
      <alignment horizontal="left" vertical="center" wrapText="1"/>
    </xf>
    <xf numFmtId="0" fontId="14" fillId="0" borderId="8" xfId="0" applyFont="1" applyFill="1" applyBorder="1" applyAlignment="1">
      <alignment horizontal="left" vertical="center" wrapText="1"/>
    </xf>
    <xf numFmtId="0" fontId="0" fillId="5" borderId="8" xfId="0" applyFill="1" applyBorder="1" applyAlignment="1">
      <alignment horizontal="left"/>
    </xf>
    <xf numFmtId="0" fontId="0" fillId="5" borderId="8" xfId="0" applyFill="1" applyBorder="1" applyAlignment="1">
      <alignment horizontal="right"/>
    </xf>
    <xf numFmtId="0" fontId="14" fillId="0" borderId="0" xfId="0" applyFont="1" applyFill="1" applyBorder="1" applyAlignment="1">
      <alignment horizontal="right" vertical="center" wrapText="1"/>
    </xf>
    <xf numFmtId="0" fontId="8" fillId="0" borderId="0" xfId="11" applyFill="1" applyBorder="1" applyAlignment="1" applyProtection="1">
      <alignment horizontal="left" vertical="center" wrapText="1"/>
      <protection locked="0"/>
    </xf>
    <xf numFmtId="0" fontId="8" fillId="0" borderId="0" xfId="11" applyFill="1" applyBorder="1" applyAlignment="1" applyProtection="1">
      <alignment horizontal="right" vertical="center" wrapText="1"/>
      <protection locked="0"/>
    </xf>
  </cellXfs>
  <cellStyles count="13">
    <cellStyle name="Comma 2" xfId="9" xr:uid="{00000000-0005-0000-0000-000000000000}"/>
    <cellStyle name="Heading2" xfId="5" xr:uid="{00000000-0005-0000-0000-000001000000}"/>
    <cellStyle name="Hyperlink" xfId="11" builtinId="8"/>
    <cellStyle name="Normal" xfId="0" builtinId="0"/>
    <cellStyle name="Normal 2" xfId="1" xr:uid="{00000000-0005-0000-0000-000004000000}"/>
    <cellStyle name="Normal 2 2" xfId="4" xr:uid="{00000000-0005-0000-0000-000005000000}"/>
    <cellStyle name="Normal 2 2 2" xfId="12" xr:uid="{00000000-0005-0000-0000-000006000000}"/>
    <cellStyle name="Normal 3" xfId="6" xr:uid="{00000000-0005-0000-0000-000007000000}"/>
    <cellStyle name="Normal 4" xfId="8" xr:uid="{00000000-0005-0000-0000-000008000000}"/>
    <cellStyle name="Normal 5" xfId="10" xr:uid="{00000000-0005-0000-0000-000009000000}"/>
    <cellStyle name="Percent 2" xfId="7" xr:uid="{00000000-0005-0000-0000-00000A000000}"/>
    <cellStyle name="Podnaslov" xfId="2" xr:uid="{00000000-0005-0000-0000-00000B000000}"/>
    <cellStyle name="UnosPodataka" xfId="3" xr:uid="{00000000-0005-0000-0000-00000C000000}"/>
  </cellStyles>
  <dxfs count="249">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fill>
        <patternFill patternType="solid">
          <fgColor indexed="64"/>
          <bgColor rgb="FFC0C0C0"/>
        </patternFill>
      </fill>
      <alignment horizontal="general" vertical="center" textRotation="0" wrapText="0" indent="0" justifyLastLine="0" shrinkToFit="0" readingOrder="0"/>
      <protection locked="1" hidden="1"/>
    </dxf>
    <dxf>
      <fill>
        <patternFill patternType="solid">
          <fgColor indexed="64"/>
          <bgColor rgb="FFC0C0C0"/>
        </patternFill>
      </fill>
      <alignment horizontal="general" vertical="center" textRotation="0" wrapText="0" indent="0" justifyLastLine="0" shrinkToFit="0" readingOrder="0"/>
      <protection locked="1" hidden="1"/>
    </dxf>
    <dxf>
      <protection locked="1" hidden="1"/>
    </dxf>
    <dxf>
      <fill>
        <patternFill patternType="solid">
          <fgColor indexed="64"/>
          <bgColor rgb="FFC0C0C0"/>
        </patternFill>
      </fill>
      <alignment horizontal="general" vertical="center" textRotation="0" wrapText="0" indent="0" justifyLastLine="0" shrinkToFit="0" readingOrder="0"/>
      <protection locked="1" hidden="1"/>
    </dxf>
    <dxf>
      <fill>
        <patternFill patternType="solid">
          <fgColor indexed="64"/>
          <bgColor rgb="FFC0C0C0"/>
        </patternFill>
      </fill>
      <alignment horizontal="general" vertical="center" textRotation="0" wrapText="0" indent="0" justifyLastLine="0" shrinkToFit="0" readingOrder="0"/>
      <protection locked="1" hidden="1"/>
    </dxf>
    <dxf>
      <protection locked="1" hidden="1"/>
    </dxf>
    <dxf>
      <font>
        <strike val="0"/>
        <outline val="0"/>
        <shadow val="0"/>
        <u val="none"/>
        <vertAlign val="baseline"/>
        <name val="Calibri"/>
        <family val="2"/>
        <scheme val="minor"/>
      </font>
      <alignment vertical="center" textRotation="0" indent="0" justifyLastLine="0" readingOrder="0"/>
      <protection locked="1" hidden="1"/>
    </dxf>
    <dxf>
      <font>
        <strike val="0"/>
        <outline val="0"/>
        <shadow val="0"/>
        <u val="none"/>
        <vertAlign val="baseline"/>
        <name val="Calibri"/>
        <family val="2"/>
        <scheme val="minor"/>
      </font>
      <alignment vertical="center" textRotation="0" indent="0" justifyLastLine="0" readingOrder="0"/>
      <protection locked="1" hidden="1"/>
    </dxf>
    <dxf>
      <font>
        <strike val="0"/>
        <outline val="0"/>
        <shadow val="0"/>
        <u val="none"/>
        <vertAlign val="baseline"/>
        <name val="Calibri"/>
        <family val="2"/>
        <scheme val="minor"/>
      </font>
      <alignment vertical="center" textRotation="0" indent="0" justifyLastLine="0" readingOrder="0"/>
      <protection locked="1" hidden="1"/>
    </dxf>
    <dxf>
      <font>
        <b/>
        <strike val="0"/>
        <outline val="0"/>
        <shadow val="0"/>
        <u val="none"/>
        <vertAlign val="baseline"/>
        <sz val="11"/>
        <color rgb="FF0000CC"/>
        <name val="Calibri"/>
        <family val="2"/>
        <scheme val="minor"/>
      </font>
      <alignment horizontal="left" vertical="center" textRotation="0" wrapText="0" indent="1" justifyLastLine="0" shrinkToFit="1" readingOrder="0"/>
      <protection locked="0" hidden="0"/>
    </dxf>
    <dxf>
      <font>
        <b val="0"/>
        <i val="0"/>
        <strike val="0"/>
        <condense val="0"/>
        <extend val="0"/>
        <outline val="0"/>
        <shadow val="0"/>
        <u val="none"/>
        <vertAlign val="baseline"/>
        <sz val="10"/>
        <color auto="1"/>
        <name val="Arial CE"/>
        <scheme val="none"/>
      </font>
      <fill>
        <patternFill patternType="solid">
          <fgColor indexed="64"/>
          <bgColor rgb="FFFFFFCC"/>
        </patternFill>
      </fill>
      <alignment horizontal="center" vertical="center" textRotation="0" wrapText="0" indent="0" justifyLastLine="0" shrinkToFit="0" readingOrder="0"/>
      <border diagonalUp="0" diagonalDown="0" outline="0">
        <left style="dotted">
          <color indexed="64"/>
        </left>
        <right style="dotted">
          <color indexed="64"/>
        </right>
        <top/>
        <bottom style="thin">
          <color indexed="64"/>
        </bottom>
      </border>
      <protection locked="1" hidden="1"/>
    </dxf>
    <dxf>
      <font>
        <b/>
        <strike val="0"/>
        <outline val="0"/>
        <shadow val="0"/>
        <u val="none"/>
        <vertAlign val="baseline"/>
        <sz val="11"/>
        <color rgb="FF0000CC"/>
        <name val="Calibri"/>
        <family val="2"/>
        <scheme val="minor"/>
      </font>
      <fill>
        <patternFill patternType="none">
          <fgColor indexed="64"/>
          <bgColor indexed="65"/>
        </patternFill>
      </fill>
      <alignment horizontal="left" vertical="center" textRotation="0" wrapText="0" indent="1" justifyLastLine="0" shrinkToFit="1" readingOrder="0"/>
      <protection locked="0" hidden="0"/>
    </dxf>
    <dxf>
      <font>
        <b val="0"/>
        <i val="0"/>
        <strike val="0"/>
        <condense val="0"/>
        <extend val="0"/>
        <outline val="0"/>
        <shadow val="0"/>
        <u val="none"/>
        <vertAlign val="baseline"/>
        <sz val="10"/>
        <color auto="1"/>
        <name val="Arial CE"/>
        <scheme val="none"/>
      </font>
      <fill>
        <patternFill patternType="solid">
          <fgColor indexed="64"/>
          <bgColor rgb="FFFFFFCC"/>
        </patternFill>
      </fill>
      <alignment horizontal="center" vertical="center" textRotation="0" wrapText="0" indent="0" justifyLastLine="0" shrinkToFit="0" readingOrder="0"/>
      <border diagonalUp="0" diagonalDown="0" outline="0">
        <left style="dotted">
          <color indexed="64"/>
        </left>
        <right style="dotted">
          <color indexed="64"/>
        </right>
        <top/>
        <bottom style="thin">
          <color indexed="64"/>
        </bottom>
      </border>
      <protection locked="1" hidden="1"/>
    </dxf>
    <dxf>
      <fill>
        <patternFill patternType="none">
          <fgColor indexed="64"/>
          <bgColor indexed="65"/>
        </patternFill>
      </fill>
      <alignment horizontal="left" vertical="center" textRotation="0" wrapText="0" indent="1" justifyLastLine="0" shrinkToFit="1" readingOrder="0"/>
      <protection locked="1" hidden="1"/>
    </dxf>
    <dxf>
      <font>
        <b val="0"/>
        <i val="0"/>
        <strike val="0"/>
        <condense val="0"/>
        <extend val="0"/>
        <outline val="0"/>
        <shadow val="0"/>
        <u val="none"/>
        <vertAlign val="baseline"/>
        <sz val="10"/>
        <color auto="1"/>
        <name val="Arial CE"/>
        <scheme val="none"/>
      </font>
      <fill>
        <patternFill patternType="solid">
          <fgColor indexed="64"/>
          <bgColor rgb="FFFFFFCC"/>
        </patternFill>
      </fill>
      <alignment horizontal="center" vertical="center" textRotation="0" wrapText="0" indent="0" justifyLastLine="0" shrinkToFit="0" readingOrder="0"/>
      <border diagonalUp="0" diagonalDown="0" outline="0">
        <left style="dotted">
          <color indexed="64"/>
        </left>
        <right style="dotted">
          <color indexed="64"/>
        </right>
        <top/>
        <bottom style="thin">
          <color indexed="64"/>
        </bottom>
      </border>
      <protection locked="1" hidden="1"/>
    </dxf>
    <dxf>
      <alignment horizontal="left" vertical="center" textRotation="0" wrapText="0" indent="1" justifyLastLine="0" shrinkToFit="1" readingOrder="0"/>
      <protection locked="1" hidden="1"/>
    </dxf>
    <dxf>
      <font>
        <b val="0"/>
        <i val="0"/>
        <strike val="0"/>
        <condense val="0"/>
        <extend val="0"/>
        <outline val="0"/>
        <shadow val="0"/>
        <u val="none"/>
        <vertAlign val="baseline"/>
        <sz val="10"/>
        <color auto="1"/>
        <name val="Arial CE"/>
        <scheme val="none"/>
      </font>
      <fill>
        <patternFill patternType="solid">
          <fgColor indexed="64"/>
          <bgColor rgb="FFFFFFCC"/>
        </patternFill>
      </fill>
      <alignment horizontal="center" vertical="center" textRotation="0" wrapText="0" indent="0" justifyLastLine="0" shrinkToFit="0" readingOrder="0"/>
      <border diagonalUp="0" diagonalDown="0" outline="0">
        <left style="dotted">
          <color indexed="64"/>
        </left>
        <right style="dotted">
          <color indexed="64"/>
        </right>
        <top/>
        <bottom style="thin">
          <color indexed="64"/>
        </bottom>
      </border>
      <protection locked="1" hidden="1"/>
    </dxf>
    <dxf>
      <alignment horizontal="left" vertical="center" textRotation="0" wrapText="0" indent="1" justifyLastLine="0" shrinkToFit="1" readingOrder="0"/>
      <protection locked="1" hidden="1"/>
    </dxf>
    <dxf>
      <font>
        <b val="0"/>
        <i val="0"/>
        <strike val="0"/>
        <condense val="0"/>
        <extend val="0"/>
        <outline val="0"/>
        <shadow val="0"/>
        <u val="none"/>
        <vertAlign val="baseline"/>
        <sz val="10"/>
        <color auto="1"/>
        <name val="Arial CE"/>
        <scheme val="none"/>
      </font>
      <fill>
        <patternFill patternType="solid">
          <fgColor indexed="64"/>
          <bgColor rgb="FFFFFFCC"/>
        </patternFill>
      </fill>
      <alignment horizontal="center" vertical="center" textRotation="0" wrapText="0" indent="0" justifyLastLine="0" shrinkToFit="0" readingOrder="0"/>
      <border diagonalUp="0" diagonalDown="0" outline="0">
        <left style="dotted">
          <color indexed="64"/>
        </left>
        <right style="dotted">
          <color indexed="64"/>
        </right>
        <top/>
        <bottom style="thin">
          <color indexed="64"/>
        </bottom>
      </border>
      <protection locked="1" hidden="1"/>
    </dxf>
    <dxf>
      <font>
        <b/>
        <strike val="0"/>
        <outline val="0"/>
        <shadow val="0"/>
        <u val="none"/>
        <vertAlign val="baseline"/>
        <sz val="11"/>
        <color rgb="FF0000CC"/>
        <name val="Calibri"/>
        <family val="2"/>
        <scheme val="minor"/>
      </font>
      <alignment horizontal="left" vertical="center" textRotation="0" wrapText="0" indent="1" justifyLastLine="0" shrinkToFit="1" readingOrder="0"/>
      <protection locked="0" hidden="0"/>
    </dxf>
    <dxf>
      <font>
        <b val="0"/>
        <i val="0"/>
        <strike val="0"/>
        <condense val="0"/>
        <extend val="0"/>
        <outline val="0"/>
        <shadow val="0"/>
        <u val="none"/>
        <vertAlign val="baseline"/>
        <sz val="10"/>
        <color auto="1"/>
        <name val="Arial CE"/>
        <scheme val="none"/>
      </font>
      <fill>
        <patternFill patternType="solid">
          <fgColor indexed="64"/>
          <bgColor rgb="FFFFFFCC"/>
        </patternFill>
      </fill>
      <alignment horizontal="center" vertical="center" textRotation="0" wrapText="0" indent="0" justifyLastLine="0" shrinkToFit="0" readingOrder="0"/>
      <border diagonalUp="0" diagonalDown="0" outline="0">
        <left style="dotted">
          <color indexed="64"/>
        </left>
        <right style="dotted">
          <color indexed="64"/>
        </right>
        <top/>
        <bottom style="thin">
          <color indexed="64"/>
        </bottom>
      </border>
      <protection locked="1" hidden="1"/>
    </dxf>
    <dxf>
      <font>
        <b/>
        <strike val="0"/>
        <outline val="0"/>
        <shadow val="0"/>
        <u val="none"/>
        <vertAlign val="baseline"/>
        <sz val="11"/>
        <color rgb="FF0000CC"/>
        <name val="Calibri"/>
        <family val="2"/>
        <scheme val="minor"/>
      </font>
      <alignment horizontal="left" vertical="center" textRotation="0" wrapText="0" indent="1" justifyLastLine="0" shrinkToFit="1" readingOrder="0"/>
      <protection locked="0" hidden="0"/>
    </dxf>
    <dxf>
      <fill>
        <patternFill patternType="solid">
          <fgColor indexed="64"/>
          <bgColor rgb="FFFFFFCC"/>
        </patternFill>
      </fill>
      <alignment horizontal="center" vertical="center" textRotation="0" wrapText="0" indent="0" justifyLastLine="0" shrinkToFit="0" readingOrder="0"/>
      <border diagonalUp="0" diagonalDown="0" outline="0">
        <left/>
        <right style="dotted">
          <color indexed="64"/>
        </right>
        <top/>
        <bottom style="thin">
          <color indexed="64"/>
        </bottom>
      </border>
      <protection locked="1" hidden="1"/>
    </dxf>
    <dxf>
      <border diagonalUp="0" diagonalDown="0">
        <top style="thin">
          <color indexed="64"/>
        </top>
        <bottom/>
      </border>
    </dxf>
    <dxf>
      <alignment horizontal="left" vertical="center" textRotation="0" wrapText="0" indent="1" justifyLastLine="0" shrinkToFit="1" readingOrder="0"/>
      <protection locked="1" hidden="1"/>
    </dxf>
    <dxf>
      <alignment horizontal="left" vertical="center" textRotation="0" wrapText="0" indent="1" justifyLastLine="0" shrinkToFit="1" readingOrder="0"/>
      <protection locked="1" hidden="1"/>
    </dxf>
    <dxf>
      <font>
        <strike val="0"/>
        <outline val="0"/>
        <shadow val="0"/>
        <u val="none"/>
        <vertAlign val="baseline"/>
        <name val="Calibri"/>
        <family val="2"/>
        <scheme val="minor"/>
      </font>
      <alignment vertical="center" textRotation="0" indent="0" justifyLastLine="0" readingOrder="0"/>
      <protection locked="1" hidden="1"/>
    </dxf>
    <dxf>
      <font>
        <strike val="0"/>
        <outline val="0"/>
        <shadow val="0"/>
        <u val="none"/>
        <vertAlign val="baseline"/>
        <name val="Calibri"/>
        <family val="2"/>
        <scheme val="minor"/>
      </font>
      <alignment vertical="center" textRotation="0" indent="0" justifyLastLine="0" readingOrder="0"/>
      <protection locked="1" hidden="1"/>
    </dxf>
    <dxf>
      <font>
        <strike val="0"/>
        <outline val="0"/>
        <shadow val="0"/>
        <u val="none"/>
        <vertAlign val="baseline"/>
        <name val="Calibri"/>
        <family val="2"/>
        <scheme val="minor"/>
      </font>
      <alignment vertical="center" textRotation="0" indent="0" justifyLastLine="0" readingOrder="0"/>
      <protection locked="1" hidden="1"/>
    </dxf>
    <dxf>
      <font>
        <strike val="0"/>
        <outline val="0"/>
        <shadow val="0"/>
        <u val="none"/>
        <vertAlign val="baseline"/>
        <name val="Calibri"/>
        <family val="2"/>
        <scheme val="minor"/>
      </font>
      <alignment vertical="center" textRotation="0" indent="0" justifyLastLine="0" readingOrder="0"/>
      <protection locked="1" hidden="1"/>
    </dxf>
    <dxf>
      <font>
        <strike val="0"/>
        <outline val="0"/>
        <shadow val="0"/>
        <u val="none"/>
        <vertAlign val="baseline"/>
        <name val="Calibri"/>
        <family val="2"/>
        <scheme val="minor"/>
      </font>
      <alignment vertical="center" textRotation="0" indent="0" justifyLastLine="0" readingOrder="0"/>
      <protection locked="1" hidden="1"/>
    </dxf>
    <dxf>
      <font>
        <strike val="0"/>
        <outline val="0"/>
        <shadow val="0"/>
        <u val="none"/>
        <vertAlign val="baseline"/>
        <name val="Calibri"/>
        <family val="2"/>
        <scheme val="minor"/>
      </font>
      <alignment vertical="center" textRotation="0" indent="0" justifyLastLine="0" readingOrder="0"/>
      <protection locked="1" hidden="1"/>
    </dxf>
    <dxf>
      <alignment vertical="center" textRotation="0" indent="0" justifyLastLine="0" readingOrder="0"/>
      <protection locked="1" hidden="1"/>
    </dxf>
    <dxf>
      <alignment vertical="center" textRotation="0" indent="0" justifyLastLine="0" readingOrder="0"/>
      <protection locked="1" hidden="1"/>
    </dxf>
    <dxf>
      <alignment vertical="center" textRotation="0" indent="0" justifyLastLine="0" readingOrder="0"/>
      <protection locked="1" hidden="1"/>
    </dxf>
    <dxf>
      <alignment vertical="center" textRotation="0" indent="0" justifyLastLine="0" readingOrder="0"/>
      <protection locked="1" hidden="1"/>
    </dxf>
    <dxf>
      <alignment vertical="center" textRotation="0" indent="0" justifyLastLine="0" readingOrder="0"/>
      <protection locked="1" hidden="1"/>
    </dxf>
    <dxf>
      <alignment vertical="center" textRotation="0" indent="0" justifyLastLine="0" readingOrder="0"/>
      <protection locked="1" hidden="1"/>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left" vertical="bottom"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alignment horizontal="left" vertical="center" textRotation="0" wrapText="0" indent="0" justifyLastLine="0" shrinkToFit="0" readingOrder="0"/>
      <protection locked="1" hidden="1"/>
    </dxf>
    <dxf>
      <alignment horizontal="left" vertical="bottom" textRotation="0" wrapText="0" indent="1" justifyLastLine="0" shrinkToFit="0" readingOrder="0"/>
    </dxf>
    <dxf>
      <font>
        <b/>
        <strike val="0"/>
        <outline val="0"/>
        <shadow val="0"/>
        <u val="none"/>
        <vertAlign val="baseline"/>
        <sz val="11"/>
        <color rgb="FF0000CC"/>
        <name val="Calibri"/>
        <family val="2"/>
        <scheme val="minor"/>
      </font>
      <alignment horizontal="left" vertical="center" textRotation="0" wrapText="0" relativeIndent="1" justifyLastLine="0" shrinkToFit="0" readingOrder="0"/>
      <border diagonalUp="0" diagonalDown="0">
        <left style="thin">
          <color indexed="64"/>
        </left>
        <right style="thin">
          <color indexed="64"/>
        </right>
      </border>
      <protection locked="0" hidden="0"/>
    </dxf>
    <dxf>
      <alignment horizontal="left" vertical="bottom" textRotation="0" wrapText="0" indent="1" justifyLastLine="0" shrinkToFit="0" readingOrder="0"/>
    </dxf>
    <dxf>
      <font>
        <strike val="0"/>
        <outline val="0"/>
        <shadow val="0"/>
        <u val="none"/>
        <vertAlign val="baseline"/>
        <name val="Calibri"/>
        <family val="2"/>
        <scheme val="minor"/>
      </font>
      <alignment horizontal="left" vertical="center" textRotation="0" wrapText="0" indent="0" justifyLastLine="0" shrinkToFit="0" readingOrder="0"/>
      <protection locked="1" hidden="1"/>
    </dxf>
    <dxf>
      <font>
        <strike val="0"/>
        <outline val="0"/>
        <shadow val="0"/>
        <u val="none"/>
        <vertAlign val="baseline"/>
        <name val="Calibri"/>
        <family val="2"/>
        <scheme val="minor"/>
      </font>
      <alignment horizontal="left" vertical="center" textRotation="0" wrapText="0" indent="0" justifyLastLine="0" shrinkToFit="0" readingOrder="0"/>
      <protection locked="1" hidden="1"/>
    </dxf>
    <dxf>
      <font>
        <strike val="0"/>
        <outline val="0"/>
        <shadow val="0"/>
        <u val="none"/>
        <vertAlign val="baseline"/>
        <name val="Calibri"/>
        <family val="2"/>
        <scheme val="minor"/>
      </font>
      <alignment horizontal="left" vertical="center" textRotation="0" wrapText="0" indent="0" justifyLastLine="0" shrinkToFit="0" readingOrder="0"/>
      <protection locked="1" hidden="1"/>
    </dxf>
    <dxf>
      <font>
        <color theme="0" tint="-0.24994659260841701"/>
      </font>
      <fill>
        <patternFill>
          <bgColor theme="0" tint="-0.24994659260841701"/>
        </patternFill>
      </fill>
      <border>
        <left/>
        <right/>
        <top/>
        <bottom/>
        <vertical/>
        <horizontal/>
      </border>
    </dxf>
    <dxf>
      <protection locked="0" hidden="0"/>
    </dxf>
    <dxf>
      <protection locked="0" hidden="0"/>
    </dxf>
    <dxf>
      <protection locked="0" hidden="0"/>
    </dxf>
    <dxf>
      <protection locked="0" hidden="0"/>
    </dxf>
    <dxf>
      <protection locked="0" hidden="0"/>
    </dxf>
    <dxf>
      <protection locked="0" hidden="0"/>
    </dxf>
    <dxf>
      <protection locked="0" hidden="0"/>
    </dxf>
    <dxf>
      <numFmt numFmtId="2" formatCode="0.00"/>
      <protection locked="0" hidden="0"/>
    </dxf>
    <dxf>
      <protection locked="0" hidden="0"/>
    </dxf>
    <dxf>
      <numFmt numFmtId="2" formatCode="0.0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 formatCode="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protection locked="0" hidden="0"/>
    </dxf>
    <dxf>
      <protection locked="0" hidden="0"/>
    </dxf>
    <dxf>
      <font>
        <color theme="0" tint="-0.14993743705557422"/>
      </font>
      <fill>
        <patternFill>
          <fgColor indexed="64"/>
          <bgColor theme="0" tint="-0.24994659260841701"/>
        </patternFill>
      </fill>
    </dxf>
    <dxf>
      <font>
        <color theme="0" tint="-4.9989318521683403E-2"/>
      </font>
    </dxf>
    <dxf>
      <font>
        <color theme="0"/>
      </font>
    </dxf>
    <dxf>
      <font>
        <color theme="0" tint="-0.14993743705557422"/>
      </font>
      <fill>
        <patternFill>
          <fgColor indexed="64"/>
          <bgColor theme="0" tint="-0.24994659260841701"/>
        </patternFill>
      </fill>
    </dxf>
    <dxf>
      <font>
        <color theme="0" tint="-4.9989318521683403E-2"/>
      </font>
    </dxf>
    <dxf>
      <font>
        <color theme="0"/>
      </font>
    </dxf>
    <dxf>
      <font>
        <color theme="0" tint="-0.14993743705557422"/>
      </font>
      <fill>
        <patternFill>
          <fgColor indexed="64"/>
          <bgColor theme="0" tint="-0.24994659260841701"/>
        </patternFill>
      </fill>
    </dxf>
    <dxf>
      <font>
        <color theme="0" tint="-4.9989318521683403E-2"/>
      </font>
    </dxf>
    <dxf>
      <font>
        <color theme="0"/>
      </font>
    </dxf>
    <dxf>
      <font>
        <color theme="0" tint="-0.14993743705557422"/>
      </font>
      <fill>
        <patternFill>
          <fgColor indexed="64"/>
          <bgColor theme="0" tint="-0.24994659260841701"/>
        </patternFill>
      </fill>
    </dxf>
    <dxf>
      <font>
        <color theme="0" tint="-4.9989318521683403E-2"/>
      </font>
    </dxf>
    <dxf>
      <font>
        <color theme="0"/>
      </font>
    </dxf>
    <dxf>
      <font>
        <color theme="0" tint="-0.14993743705557422"/>
      </font>
      <fill>
        <patternFill>
          <fgColor indexed="64"/>
          <bgColor theme="0" tint="-0.24994659260841701"/>
        </patternFill>
      </fill>
    </dxf>
    <dxf>
      <font>
        <color theme="0" tint="-4.9989318521683403E-2"/>
      </font>
    </dxf>
    <dxf>
      <font>
        <color theme="0"/>
      </font>
    </dxf>
    <dxf>
      <font>
        <color theme="0" tint="-0.14993743705557422"/>
      </font>
      <fill>
        <patternFill>
          <fgColor indexed="64"/>
          <bgColor theme="0" tint="-0.24994659260841701"/>
        </patternFill>
      </fill>
    </dxf>
    <dxf>
      <font>
        <color theme="0" tint="-4.9989318521683403E-2"/>
      </font>
    </dxf>
    <dxf>
      <font>
        <color theme="0"/>
      </font>
    </dxf>
    <dxf>
      <font>
        <color theme="0" tint="-0.14993743705557422"/>
      </font>
      <fill>
        <patternFill>
          <fgColor indexed="64"/>
          <bgColor theme="0" tint="-0.24994659260841701"/>
        </patternFill>
      </fill>
    </dxf>
    <dxf>
      <font>
        <color theme="0" tint="-4.9989318521683403E-2"/>
      </font>
    </dxf>
    <dxf>
      <font>
        <color theme="0"/>
      </font>
    </dxf>
    <dxf>
      <font>
        <color theme="0" tint="-0.14993743705557422"/>
      </font>
      <fill>
        <patternFill>
          <fgColor indexed="64"/>
          <bgColor theme="0" tint="-0.24994659260841701"/>
        </patternFill>
      </fill>
    </dxf>
    <dxf>
      <font>
        <color theme="0" tint="-4.9989318521683403E-2"/>
      </font>
    </dxf>
    <dxf>
      <font>
        <color theme="0"/>
      </font>
    </dxf>
    <dxf>
      <font>
        <color theme="0" tint="-0.14993743705557422"/>
      </font>
      <fill>
        <patternFill>
          <fgColor indexed="64"/>
          <bgColor theme="0" tint="-0.24994659260841701"/>
        </patternFill>
      </fill>
    </dxf>
    <dxf>
      <font>
        <color theme="0" tint="-4.9989318521683403E-2"/>
      </font>
    </dxf>
    <dxf>
      <font>
        <color theme="0"/>
      </font>
    </dxf>
    <dxf>
      <font>
        <color theme="0" tint="-0.14993743705557422"/>
      </font>
      <fill>
        <patternFill>
          <fgColor indexed="64"/>
          <bgColor theme="0" tint="-0.24994659260841701"/>
        </patternFill>
      </fill>
    </dxf>
    <dxf>
      <font>
        <color theme="0" tint="-4.9989318521683403E-2"/>
      </font>
    </dxf>
    <dxf>
      <font>
        <color theme="0"/>
      </font>
    </dxf>
    <dxf>
      <font>
        <color theme="0" tint="-0.14993743705557422"/>
      </font>
      <fill>
        <patternFill>
          <fgColor indexed="64"/>
          <bgColor theme="0" tint="-0.24994659260841701"/>
        </patternFill>
      </fill>
    </dxf>
    <dxf>
      <font>
        <color theme="0" tint="-4.9989318521683403E-2"/>
      </font>
    </dxf>
    <dxf>
      <font>
        <color theme="0"/>
      </font>
    </dxf>
    <dxf>
      <font>
        <color theme="0" tint="-0.14993743705557422"/>
      </font>
      <fill>
        <patternFill>
          <fgColor indexed="64"/>
          <bgColor theme="0" tint="-0.24994659260841701"/>
        </patternFill>
      </fill>
    </dxf>
    <dxf>
      <font>
        <color theme="0" tint="-4.9989318521683403E-2"/>
      </font>
    </dxf>
    <dxf>
      <font>
        <color theme="0"/>
      </font>
    </dxf>
    <dxf>
      <font>
        <color theme="0" tint="-0.14993743705557422"/>
      </font>
      <fill>
        <patternFill>
          <fgColor indexed="64"/>
          <bgColor theme="0" tint="-0.24994659260841701"/>
        </patternFill>
      </fill>
    </dxf>
    <dxf>
      <font>
        <color theme="0" tint="-4.9989318521683403E-2"/>
      </font>
    </dxf>
    <dxf>
      <font>
        <color theme="0"/>
      </font>
    </dxf>
    <dxf>
      <font>
        <color theme="0" tint="-0.14993743705557422"/>
      </font>
      <fill>
        <patternFill>
          <fgColor indexed="64"/>
          <bgColor theme="0" tint="-0.24994659260841701"/>
        </patternFill>
      </fill>
    </dxf>
    <dxf>
      <font>
        <color theme="0" tint="-4.9989318521683403E-2"/>
      </font>
    </dxf>
    <dxf>
      <font>
        <color theme="0"/>
      </font>
    </dxf>
    <dxf>
      <font>
        <color theme="0" tint="-0.14993743705557422"/>
      </font>
      <fill>
        <patternFill>
          <fgColor indexed="64"/>
          <bgColor theme="0" tint="-0.24994659260841701"/>
        </patternFill>
      </fill>
    </dxf>
    <dxf>
      <font>
        <color theme="0" tint="-4.9989318521683403E-2"/>
      </font>
    </dxf>
    <dxf>
      <font>
        <color theme="0"/>
      </font>
    </dxf>
    <dxf>
      <font>
        <color theme="0" tint="-0.14993743705557422"/>
      </font>
      <fill>
        <patternFill>
          <fgColor indexed="64"/>
          <bgColor theme="0" tint="-0.24994659260841701"/>
        </patternFill>
      </fill>
    </dxf>
    <dxf>
      <font>
        <color theme="0" tint="-4.9989318521683403E-2"/>
      </font>
    </dxf>
    <dxf>
      <font>
        <color theme="0"/>
      </font>
    </dxf>
    <dxf>
      <font>
        <color theme="0" tint="-0.14993743705557422"/>
      </font>
      <fill>
        <patternFill>
          <fgColor indexed="64"/>
          <bgColor theme="0" tint="-0.24994659260841701"/>
        </patternFill>
      </fill>
    </dxf>
    <dxf>
      <font>
        <color theme="0" tint="-4.9989318521683403E-2"/>
      </font>
    </dxf>
    <dxf>
      <font>
        <color theme="0"/>
      </font>
    </dxf>
    <dxf>
      <font>
        <color theme="0" tint="-0.14993743705557422"/>
      </font>
      <fill>
        <patternFill>
          <fgColor indexed="64"/>
          <bgColor theme="0" tint="-0.24994659260841701"/>
        </patternFill>
      </fill>
    </dxf>
    <dxf>
      <font>
        <color theme="0" tint="-4.9989318521683403E-2"/>
      </font>
    </dxf>
    <dxf>
      <font>
        <color theme="0"/>
      </font>
    </dxf>
    <dxf>
      <font>
        <color theme="0" tint="-0.14993743705557422"/>
      </font>
      <fill>
        <patternFill>
          <fgColor indexed="64"/>
          <bgColor theme="0" tint="-0.24994659260841701"/>
        </patternFill>
      </fill>
    </dxf>
    <dxf>
      <font>
        <color theme="0" tint="-4.9989318521683403E-2"/>
      </font>
    </dxf>
    <dxf>
      <font>
        <color theme="0"/>
      </font>
    </dxf>
    <dxf>
      <font>
        <color theme="0" tint="-0.14993743705557422"/>
      </font>
      <fill>
        <patternFill>
          <fgColor indexed="64"/>
          <bgColor theme="0" tint="-0.24994659260841701"/>
        </patternFill>
      </fill>
    </dxf>
    <dxf>
      <font>
        <color theme="0" tint="-4.9989318521683403E-2"/>
      </font>
    </dxf>
    <dxf>
      <font>
        <color theme="0"/>
      </font>
    </dxf>
    <dxf>
      <font>
        <color theme="0" tint="-0.14993743705557422"/>
      </font>
      <fill>
        <patternFill>
          <fgColor indexed="64"/>
          <bgColor theme="0" tint="-0.24994659260841701"/>
        </patternFill>
      </fill>
    </dxf>
    <dxf>
      <font>
        <color theme="0" tint="-4.9989318521683403E-2"/>
      </font>
    </dxf>
    <dxf>
      <font>
        <color theme="0"/>
      </font>
    </dxf>
    <dxf>
      <font>
        <color theme="0" tint="-0.14993743705557422"/>
      </font>
      <fill>
        <patternFill>
          <fgColor indexed="64"/>
          <bgColor theme="0" tint="-0.24994659260841701"/>
        </patternFill>
      </fill>
    </dxf>
    <dxf>
      <font>
        <color theme="0" tint="-4.9989318521683403E-2"/>
      </font>
    </dxf>
    <dxf>
      <font>
        <color theme="0"/>
      </font>
    </dxf>
    <dxf>
      <font>
        <color theme="0" tint="-0.14993743705557422"/>
      </font>
      <fill>
        <patternFill>
          <fgColor indexed="64"/>
          <bgColor theme="0" tint="-0.24994659260841701"/>
        </patternFill>
      </fill>
    </dxf>
    <dxf>
      <font>
        <color theme="0" tint="-4.9989318521683403E-2"/>
      </font>
    </dxf>
    <dxf>
      <font>
        <color theme="0"/>
      </font>
    </dxf>
    <dxf>
      <font>
        <color theme="0" tint="-0.14993743705557422"/>
      </font>
      <fill>
        <patternFill>
          <fgColor indexed="64"/>
          <bgColor theme="0" tint="-0.24994659260841701"/>
        </patternFill>
      </fill>
    </dxf>
    <dxf>
      <font>
        <color theme="0" tint="-4.9989318521683403E-2"/>
      </font>
    </dxf>
    <dxf>
      <font>
        <color theme="0"/>
      </font>
    </dxf>
    <dxf>
      <font>
        <color theme="0" tint="-0.14993743705557422"/>
      </font>
      <fill>
        <patternFill>
          <fgColor indexed="64"/>
          <bgColor theme="0" tint="-0.24994659260841701"/>
        </patternFill>
      </fill>
    </dxf>
    <dxf>
      <font>
        <color theme="0" tint="-4.9989318521683403E-2"/>
      </font>
    </dxf>
    <dxf>
      <font>
        <color theme="0"/>
      </font>
    </dxf>
    <dxf>
      <font>
        <color theme="0" tint="-0.14993743705557422"/>
      </font>
      <fill>
        <patternFill>
          <fgColor indexed="64"/>
          <bgColor theme="0" tint="-0.24994659260841701"/>
        </patternFill>
      </fill>
    </dxf>
    <dxf>
      <font>
        <color theme="0" tint="-4.9989318521683403E-2"/>
      </font>
    </dxf>
    <dxf>
      <font>
        <color theme="0"/>
      </font>
    </dxf>
    <dxf>
      <font>
        <color theme="0" tint="-0.14993743705557422"/>
      </font>
      <fill>
        <patternFill>
          <fgColor indexed="64"/>
          <bgColor theme="0" tint="-0.24994659260841701"/>
        </patternFill>
      </fill>
    </dxf>
    <dxf>
      <font>
        <color theme="0" tint="-4.9989318521683403E-2"/>
      </font>
    </dxf>
    <dxf>
      <font>
        <color theme="0"/>
      </font>
    </dxf>
    <dxf>
      <font>
        <color theme="0" tint="-0.14993743705557422"/>
      </font>
      <fill>
        <patternFill>
          <fgColor indexed="64"/>
          <bgColor theme="0" tint="-0.24994659260841701"/>
        </patternFill>
      </fill>
    </dxf>
    <dxf>
      <font>
        <color theme="0" tint="-4.9989318521683403E-2"/>
      </font>
    </dxf>
    <dxf>
      <font>
        <color theme="0"/>
      </font>
    </dxf>
    <dxf>
      <font>
        <color theme="0" tint="-0.14993743705557422"/>
      </font>
      <fill>
        <patternFill>
          <fgColor indexed="64"/>
          <bgColor theme="0" tint="-0.24994659260841701"/>
        </patternFill>
      </fill>
    </dxf>
    <dxf>
      <font>
        <color theme="0" tint="-4.9989318521683403E-2"/>
      </font>
    </dxf>
    <dxf>
      <font>
        <color theme="0"/>
      </font>
    </dxf>
    <dxf>
      <font>
        <color theme="0" tint="-0.14993743705557422"/>
      </font>
      <fill>
        <patternFill>
          <fgColor indexed="64"/>
          <bgColor theme="0" tint="-0.24994659260841701"/>
        </patternFill>
      </fill>
    </dxf>
    <dxf>
      <font>
        <color theme="0" tint="-4.9989318521683403E-2"/>
      </font>
    </dxf>
    <dxf>
      <font>
        <color theme="0"/>
      </font>
    </dxf>
    <dxf>
      <font>
        <color theme="0" tint="-0.14993743705557422"/>
      </font>
      <fill>
        <patternFill>
          <fgColor indexed="64"/>
          <bgColor theme="0" tint="-0.24994659260841701"/>
        </patternFill>
      </fill>
    </dxf>
    <dxf>
      <font>
        <color theme="0" tint="-4.9989318521683403E-2"/>
      </font>
    </dxf>
    <dxf>
      <font>
        <color theme="0"/>
      </font>
    </dxf>
    <dxf>
      <fill>
        <patternFill>
          <fgColor indexed="64"/>
          <bgColor theme="0" tint="-4.9989318521683403E-2"/>
        </patternFill>
      </fill>
    </dxf>
    <dxf>
      <fill>
        <patternFill>
          <fgColor indexed="64"/>
          <bgColor theme="6" tint="0.59996337778862885"/>
        </patternFill>
      </fill>
    </dxf>
    <dxf>
      <fill>
        <patternFill>
          <fgColor indexed="64"/>
          <bgColor theme="0" tint="-4.9989318521683403E-2"/>
        </patternFill>
      </fill>
    </dxf>
    <dxf>
      <fill>
        <patternFill>
          <bgColor rgb="FFFFCC00"/>
        </patternFill>
      </fill>
      <border>
        <left style="thin">
          <color rgb="FFFF0000"/>
        </left>
        <right style="thin">
          <color rgb="FFFF0000"/>
        </right>
        <top style="thin">
          <color rgb="FFFF0000"/>
        </top>
        <bottom style="thin">
          <color rgb="FFFF0000"/>
        </bottom>
        <vertical/>
        <horizontal/>
      </border>
    </dxf>
    <dxf>
      <fill>
        <patternFill>
          <bgColor rgb="FFFFFFE1"/>
        </patternFill>
      </fill>
    </dxf>
    <dxf>
      <fill>
        <patternFill>
          <bgColor rgb="FFFFFFCC"/>
        </patternFill>
      </fill>
    </dxf>
    <dxf>
      <fill>
        <patternFill>
          <bgColor rgb="FFFFFF99"/>
        </patternFill>
      </fill>
    </dxf>
    <dxf>
      <border>
        <left style="thin">
          <color auto="1"/>
        </left>
        <right style="thin">
          <color auto="1"/>
        </right>
        <top style="thin">
          <color auto="1"/>
        </top>
        <bottom style="thin">
          <color auto="1"/>
        </bottom>
        <vertical style="dotted">
          <color auto="1"/>
        </vertical>
      </border>
    </dxf>
  </dxfs>
  <tableStyles count="1" defaultTableStyle="TableStyleMedium2" defaultPivotStyle="PivotStyleMedium9">
    <tableStyle name="YourSpreadsheetsTableStyle2" pivot="0" count="4" xr9:uid="{00000000-0011-0000-FFFF-FFFF01000000}">
      <tableStyleElement type="wholeTable" dxfId="248"/>
      <tableStyleElement type="headerRow" dxfId="247"/>
      <tableStyleElement type="firstRowStripe" dxfId="246"/>
      <tableStyleElement type="secondRowStripe" dxfId="245"/>
    </tableStyle>
  </tableStyles>
  <colors>
    <mruColors>
      <color rgb="FF0000CC"/>
      <color rgb="FFFFFF99"/>
      <color rgb="FFFFFFCC"/>
      <color rgb="FFFFCC00"/>
      <color rgb="FF2C4D7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[employee_performance_tracker_v2.1.xlsm]Pivot_NumberOfEmployees!PivotTable2</c:name>
    <c:fmtId val="6"/>
  </c:pivotSource>
  <c:chart>
    <c:autoTitleDeleted val="1"/>
    <c:pivotFmts>
      <c:pivotFmt>
        <c:idx val="0"/>
        <c:spPr>
          <a:pattFill prst="ltUpDiag">
            <a:fgClr>
              <a:schemeClr val="accent1"/>
            </a:fgClr>
            <a:bgClr>
              <a:schemeClr val="accent1">
                <a:lumMod val="20000"/>
                <a:lumOff val="80000"/>
              </a:schemeClr>
            </a:bgClr>
          </a:pattFill>
          <a:ln w="19050">
            <a:solidFill>
              <a:srgbClr val="FFFFCC"/>
            </a:solidFill>
          </a:ln>
          <a:effectLst>
            <a:innerShdw blurRad="114300">
              <a:schemeClr val="accent1"/>
            </a:inn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pattFill prst="ltUpDiag">
            <a:fgClr>
              <a:schemeClr val="accent1"/>
            </a:fgClr>
            <a:bgClr>
              <a:schemeClr val="accent1">
                <a:lumMod val="20000"/>
                <a:lumOff val="80000"/>
              </a:schemeClr>
            </a:bgClr>
          </a:pattFill>
          <a:ln w="19050">
            <a:solidFill>
              <a:srgbClr val="FFFFCC"/>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
        <c:spPr>
          <a:pattFill prst="ltUpDiag">
            <a:fgClr>
              <a:schemeClr val="accent1"/>
            </a:fgClr>
            <a:bgClr>
              <a:schemeClr val="accent1">
                <a:lumMod val="20000"/>
                <a:lumOff val="80000"/>
              </a:schemeClr>
            </a:bgClr>
          </a:pattFill>
          <a:ln w="19050">
            <a:solidFill>
              <a:srgbClr val="FFFFCC"/>
            </a:solidFill>
          </a:ln>
          <a:effectLst>
            <a:innerShdw blurRad="114300">
              <a:schemeClr val="accent1"/>
            </a:innerShdw>
          </a:effectLst>
        </c:spPr>
      </c:pivotFmt>
      <c:pivotFmt>
        <c:idx val="3"/>
        <c:spPr>
          <a:pattFill prst="ltUpDiag">
            <a:fgClr>
              <a:schemeClr val="accent1"/>
            </a:fgClr>
            <a:bgClr>
              <a:schemeClr val="accent1">
                <a:lumMod val="20000"/>
                <a:lumOff val="80000"/>
              </a:schemeClr>
            </a:bgClr>
          </a:pattFill>
          <a:ln w="19050">
            <a:solidFill>
              <a:srgbClr val="FFFFCC"/>
            </a:solidFill>
          </a:ln>
          <a:effectLst>
            <a:innerShdw blurRad="114300">
              <a:schemeClr val="accent1"/>
            </a:innerShdw>
          </a:effectLst>
        </c:spPr>
      </c:pivotFmt>
      <c:pivotFmt>
        <c:idx val="4"/>
        <c:spPr>
          <a:pattFill prst="ltUpDiag">
            <a:fgClr>
              <a:schemeClr val="accent1"/>
            </a:fgClr>
            <a:bgClr>
              <a:schemeClr val="accent1">
                <a:lumMod val="20000"/>
                <a:lumOff val="80000"/>
              </a:schemeClr>
            </a:bgClr>
          </a:pattFill>
          <a:ln w="19050">
            <a:solidFill>
              <a:srgbClr val="FFFFCC"/>
            </a:solidFill>
          </a:ln>
          <a:effectLst>
            <a:innerShdw blurRad="114300">
              <a:schemeClr val="accent1"/>
            </a:innerShdw>
          </a:effectLst>
        </c:spPr>
      </c:pivotFmt>
      <c:pivotFmt>
        <c:idx val="5"/>
        <c:spPr>
          <a:pattFill prst="ltUpDiag">
            <a:fgClr>
              <a:schemeClr val="accent1"/>
            </a:fgClr>
            <a:bgClr>
              <a:schemeClr val="accent1">
                <a:lumMod val="20000"/>
                <a:lumOff val="80000"/>
              </a:schemeClr>
            </a:bgClr>
          </a:pattFill>
          <a:ln w="19050">
            <a:solidFill>
              <a:srgbClr val="FFFFCC"/>
            </a:solidFill>
          </a:ln>
          <a:effectLst>
            <a:innerShdw blurRad="114300">
              <a:schemeClr val="accent1"/>
            </a:innerShdw>
          </a:effectLst>
        </c:spPr>
      </c:pivotFmt>
      <c:pivotFmt>
        <c:idx val="6"/>
        <c:spPr>
          <a:pattFill prst="ltUpDiag">
            <a:fgClr>
              <a:schemeClr val="accent1"/>
            </a:fgClr>
            <a:bgClr>
              <a:schemeClr val="accent1">
                <a:lumMod val="20000"/>
                <a:lumOff val="80000"/>
              </a:schemeClr>
            </a:bgClr>
          </a:pattFill>
          <a:ln w="19050">
            <a:solidFill>
              <a:srgbClr val="FFFFCC"/>
            </a:solidFill>
          </a:ln>
          <a:effectLst>
            <a:innerShdw blurRad="114300">
              <a:schemeClr val="accent1"/>
            </a:innerShdw>
          </a:effectLst>
        </c:spPr>
      </c:pivotFmt>
      <c:pivotFmt>
        <c:idx val="7"/>
        <c:spPr>
          <a:pattFill prst="ltUpDiag">
            <a:fgClr>
              <a:schemeClr val="accent1"/>
            </a:fgClr>
            <a:bgClr>
              <a:schemeClr val="accent1">
                <a:lumMod val="20000"/>
                <a:lumOff val="80000"/>
              </a:schemeClr>
            </a:bgClr>
          </a:pattFill>
          <a:ln w="19050">
            <a:solidFill>
              <a:srgbClr val="FFFFCC"/>
            </a:solidFill>
          </a:ln>
          <a:effectLst>
            <a:innerShdw blurRad="114300">
              <a:schemeClr val="accent1"/>
            </a:innerShdw>
          </a:effectLst>
        </c:spPr>
      </c:pivotFmt>
      <c:pivotFmt>
        <c:idx val="8"/>
        <c:spPr>
          <a:pattFill prst="ltUpDiag">
            <a:fgClr>
              <a:schemeClr val="accent1"/>
            </a:fgClr>
            <a:bgClr>
              <a:schemeClr val="accent1">
                <a:lumMod val="20000"/>
                <a:lumOff val="80000"/>
              </a:schemeClr>
            </a:bgClr>
          </a:pattFill>
          <a:ln w="19050">
            <a:solidFill>
              <a:srgbClr val="FFFFCC"/>
            </a:solidFill>
          </a:ln>
          <a:effectLst>
            <a:innerShdw blurRad="114300">
              <a:schemeClr val="accent1"/>
            </a:innerShdw>
          </a:effectLst>
        </c:spPr>
      </c:pivotFmt>
      <c:pivotFmt>
        <c:idx val="9"/>
        <c:spPr>
          <a:pattFill prst="ltUpDiag">
            <a:fgClr>
              <a:schemeClr val="accent1"/>
            </a:fgClr>
            <a:bgClr>
              <a:schemeClr val="accent1">
                <a:lumMod val="20000"/>
                <a:lumOff val="80000"/>
              </a:schemeClr>
            </a:bgClr>
          </a:pattFill>
          <a:ln w="19050">
            <a:solidFill>
              <a:srgbClr val="FFFFCC"/>
            </a:solidFill>
          </a:ln>
          <a:effectLst>
            <a:innerShdw blurRad="114300">
              <a:schemeClr val="accent1"/>
            </a:innerShdw>
          </a:effectLst>
        </c:spPr>
        <c:marker>
          <c:symbol val="none"/>
        </c:marker>
        <c:dLbl>
          <c:idx val="0"/>
          <c:spPr>
            <a:noFill/>
            <a:ln>
              <a:noFill/>
            </a:ln>
            <a:effectLst/>
          </c:spPr>
          <c:txPr>
            <a:bodyPr rot="0" spcFirstLastPara="1" vertOverflow="overflow" horzOverflow="overflow" vert="horz" wrap="non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0"/>
        <c:spPr>
          <a:pattFill prst="ltUpDiag">
            <a:fgClr>
              <a:schemeClr val="accent1"/>
            </a:fgClr>
            <a:bgClr>
              <a:schemeClr val="accent1">
                <a:lumMod val="20000"/>
                <a:lumOff val="80000"/>
              </a:schemeClr>
            </a:bgClr>
          </a:pattFill>
          <a:ln w="19050">
            <a:solidFill>
              <a:srgbClr val="FFFFCC"/>
            </a:solidFill>
          </a:ln>
          <a:effectLst>
            <a:innerShdw blurRad="114300">
              <a:schemeClr val="accent1"/>
            </a:innerShdw>
          </a:effectLst>
        </c:spPr>
      </c:pivotFmt>
      <c:pivotFmt>
        <c:idx val="11"/>
        <c:spPr>
          <a:pattFill prst="ltUpDiag">
            <a:fgClr>
              <a:schemeClr val="accent1"/>
            </a:fgClr>
            <a:bgClr>
              <a:schemeClr val="accent1">
                <a:lumMod val="20000"/>
                <a:lumOff val="80000"/>
              </a:schemeClr>
            </a:bgClr>
          </a:pattFill>
          <a:ln w="19050">
            <a:solidFill>
              <a:srgbClr val="FFFFCC"/>
            </a:solidFill>
          </a:ln>
          <a:effectLst>
            <a:innerShdw blurRad="114300">
              <a:schemeClr val="accent1"/>
            </a:innerShdw>
          </a:effectLst>
        </c:spPr>
      </c:pivotFmt>
      <c:pivotFmt>
        <c:idx val="12"/>
        <c:spPr>
          <a:pattFill prst="ltUpDiag">
            <a:fgClr>
              <a:schemeClr val="accent1"/>
            </a:fgClr>
            <a:bgClr>
              <a:schemeClr val="accent1">
                <a:lumMod val="20000"/>
                <a:lumOff val="80000"/>
              </a:schemeClr>
            </a:bgClr>
          </a:pattFill>
          <a:ln w="19050">
            <a:solidFill>
              <a:srgbClr val="FFFFCC"/>
            </a:solidFill>
          </a:ln>
          <a:effectLst>
            <a:innerShdw blurRad="114300">
              <a:schemeClr val="accent1"/>
            </a:innerShdw>
          </a:effectLst>
        </c:spPr>
      </c:pivotFmt>
      <c:pivotFmt>
        <c:idx val="13"/>
        <c:spPr>
          <a:pattFill prst="ltUpDiag">
            <a:fgClr>
              <a:schemeClr val="accent1"/>
            </a:fgClr>
            <a:bgClr>
              <a:schemeClr val="accent1">
                <a:lumMod val="20000"/>
                <a:lumOff val="80000"/>
              </a:schemeClr>
            </a:bgClr>
          </a:pattFill>
          <a:ln w="19050">
            <a:solidFill>
              <a:srgbClr val="FFFFCC"/>
            </a:solidFill>
          </a:ln>
          <a:effectLst>
            <a:innerShdw blurRad="114300">
              <a:schemeClr val="accent1"/>
            </a:innerShdw>
          </a:effectLst>
        </c:spPr>
      </c:pivotFmt>
      <c:pivotFmt>
        <c:idx val="14"/>
        <c:spPr>
          <a:pattFill prst="ltUpDiag">
            <a:fgClr>
              <a:schemeClr val="accent1"/>
            </a:fgClr>
            <a:bgClr>
              <a:schemeClr val="accent1">
                <a:lumMod val="20000"/>
                <a:lumOff val="80000"/>
              </a:schemeClr>
            </a:bgClr>
          </a:pattFill>
          <a:ln w="19050">
            <a:solidFill>
              <a:srgbClr val="FFFFCC"/>
            </a:solidFill>
          </a:ln>
          <a:effectLst>
            <a:innerShdw blurRad="114300">
              <a:schemeClr val="accent1"/>
            </a:innerShdw>
          </a:effectLst>
        </c:spPr>
      </c:pivotFmt>
      <c:pivotFmt>
        <c:idx val="15"/>
        <c:spPr>
          <a:pattFill prst="ltUpDiag">
            <a:fgClr>
              <a:schemeClr val="accent1"/>
            </a:fgClr>
            <a:bgClr>
              <a:schemeClr val="accent1">
                <a:lumMod val="20000"/>
                <a:lumOff val="80000"/>
              </a:schemeClr>
            </a:bgClr>
          </a:pattFill>
          <a:ln w="19050">
            <a:solidFill>
              <a:srgbClr val="FFFFCC"/>
            </a:solidFill>
          </a:ln>
          <a:effectLst>
            <a:innerShdw blurRad="114300">
              <a:schemeClr val="accent1"/>
            </a:innerShdw>
          </a:effectLst>
        </c:spPr>
      </c:pivotFmt>
      <c:pivotFmt>
        <c:idx val="16"/>
        <c:spPr>
          <a:pattFill prst="ltUpDiag">
            <a:fgClr>
              <a:schemeClr val="accent1"/>
            </a:fgClr>
            <a:bgClr>
              <a:schemeClr val="accent1">
                <a:lumMod val="20000"/>
                <a:lumOff val="80000"/>
              </a:schemeClr>
            </a:bgClr>
          </a:pattFill>
          <a:ln w="19050">
            <a:solidFill>
              <a:srgbClr val="FFFFCC"/>
            </a:solidFill>
          </a:ln>
          <a:effectLst>
            <a:innerShdw blurRad="114300">
              <a:schemeClr val="accent1"/>
            </a:innerShdw>
          </a:effectLst>
        </c:spPr>
      </c:pivotFmt>
      <c:pivotFmt>
        <c:idx val="17"/>
        <c:spPr>
          <a:pattFill prst="ltUpDiag">
            <a:fgClr>
              <a:schemeClr val="accent1"/>
            </a:fgClr>
            <a:bgClr>
              <a:schemeClr val="accent1">
                <a:lumMod val="20000"/>
                <a:lumOff val="80000"/>
              </a:schemeClr>
            </a:bgClr>
          </a:pattFill>
          <a:ln w="19050">
            <a:solidFill>
              <a:srgbClr val="FFFFCC"/>
            </a:solidFill>
          </a:ln>
          <a:effectLst>
            <a:innerShdw blurRad="114300">
              <a:schemeClr val="accent1"/>
            </a:innerShdw>
          </a:effectLst>
        </c:spPr>
      </c:pivotFmt>
      <c:pivotFmt>
        <c:idx val="18"/>
        <c:spPr>
          <a:pattFill prst="ltUpDiag">
            <a:fgClr>
              <a:schemeClr val="accent1"/>
            </a:fgClr>
            <a:bgClr>
              <a:schemeClr val="accent1">
                <a:lumMod val="20000"/>
                <a:lumOff val="80000"/>
              </a:schemeClr>
            </a:bgClr>
          </a:pattFill>
          <a:ln w="19050">
            <a:solidFill>
              <a:srgbClr val="FFFFCC"/>
            </a:solidFill>
          </a:ln>
          <a:effectLst>
            <a:innerShdw blurRad="114300">
              <a:schemeClr val="accent1"/>
            </a:innerShdw>
          </a:effectLst>
        </c:spPr>
      </c:pivotFmt>
      <c:pivotFmt>
        <c:idx val="19"/>
        <c:spPr>
          <a:pattFill prst="ltUpDiag">
            <a:fgClr>
              <a:schemeClr val="accent1"/>
            </a:fgClr>
            <a:bgClr>
              <a:schemeClr val="accent1">
                <a:lumMod val="20000"/>
                <a:lumOff val="80000"/>
              </a:schemeClr>
            </a:bgClr>
          </a:pattFill>
          <a:ln w="19050">
            <a:solidFill>
              <a:srgbClr val="FFFFCC"/>
            </a:solidFill>
          </a:ln>
          <a:effectLst>
            <a:innerShdw blurRad="114300">
              <a:schemeClr val="accent1"/>
            </a:innerShdw>
          </a:effectLst>
        </c:spPr>
      </c:pivotFmt>
      <c:pivotFmt>
        <c:idx val="20"/>
        <c:spPr>
          <a:pattFill prst="ltUpDiag">
            <a:fgClr>
              <a:schemeClr val="accent1"/>
            </a:fgClr>
            <a:bgClr>
              <a:schemeClr val="accent1">
                <a:lumMod val="20000"/>
                <a:lumOff val="80000"/>
              </a:schemeClr>
            </a:bgClr>
          </a:pattFill>
          <a:ln w="19050">
            <a:solidFill>
              <a:srgbClr val="FFFFCC"/>
            </a:solidFill>
          </a:ln>
          <a:effectLst>
            <a:innerShdw blurRad="114300">
              <a:schemeClr val="accent1"/>
            </a:innerShdw>
          </a:effectLst>
        </c:spPr>
      </c:pivotFmt>
      <c:pivotFmt>
        <c:idx val="21"/>
        <c:spPr>
          <a:pattFill prst="ltUpDiag">
            <a:fgClr>
              <a:schemeClr val="accent1"/>
            </a:fgClr>
            <a:bgClr>
              <a:schemeClr val="accent1">
                <a:lumMod val="20000"/>
                <a:lumOff val="80000"/>
              </a:schemeClr>
            </a:bgClr>
          </a:pattFill>
          <a:ln w="19050">
            <a:solidFill>
              <a:srgbClr val="FFFFCC"/>
            </a:solidFill>
          </a:ln>
          <a:effectLst>
            <a:innerShdw blurRad="114300">
              <a:schemeClr val="accent1"/>
            </a:innerShdw>
          </a:effectLst>
        </c:spPr>
      </c:pivotFmt>
      <c:pivotFmt>
        <c:idx val="22"/>
        <c:spPr>
          <a:pattFill prst="ltUpDiag">
            <a:fgClr>
              <a:schemeClr val="accent1"/>
            </a:fgClr>
            <a:bgClr>
              <a:schemeClr val="accent1">
                <a:lumMod val="20000"/>
                <a:lumOff val="80000"/>
              </a:schemeClr>
            </a:bgClr>
          </a:pattFill>
          <a:ln w="19050">
            <a:solidFill>
              <a:srgbClr val="FFFFCC"/>
            </a:solidFill>
          </a:ln>
          <a:effectLst>
            <a:innerShdw blurRad="114300">
              <a:schemeClr val="accent1"/>
            </a:innerShdw>
          </a:effectLst>
        </c:spPr>
      </c:pivotFmt>
    </c:pivotFmts>
    <c:plotArea>
      <c:layout>
        <c:manualLayout>
          <c:layoutTarget val="inner"/>
          <c:xMode val="edge"/>
          <c:yMode val="edge"/>
          <c:x val="0.2443109226731274"/>
          <c:y val="0.1964419516053644"/>
          <c:w val="0.51137855844942448"/>
          <c:h val="0.60711609678927114"/>
        </c:manualLayout>
      </c:layout>
      <c:pieChart>
        <c:varyColors val="1"/>
        <c:ser>
          <c:idx val="0"/>
          <c:order val="0"/>
          <c:tx>
            <c:strRef>
              <c:f>Pivot_NumberOfEmployees!$B$3</c:f>
              <c:strCache>
                <c:ptCount val="1"/>
                <c:pt idx="0">
                  <c:v>Total</c:v>
                </c:pt>
              </c:strCache>
            </c:strRef>
          </c:tx>
          <c:spPr>
            <a:ln>
              <a:solidFill>
                <a:srgbClr val="FFFFCC"/>
              </a:solidFill>
            </a:ln>
            <a:effectLst>
              <a:innerShdw blurRad="114300">
                <a:schemeClr val="accent1"/>
              </a:innerShdw>
            </a:effectLst>
          </c:spPr>
          <c:dPt>
            <c:idx val="0"/>
            <c:bubble3D val="0"/>
            <c:spPr>
              <a:pattFill prst="ltUpDiag">
                <a:fgClr>
                  <a:schemeClr val="accent1"/>
                </a:fgClr>
                <a:bgClr>
                  <a:schemeClr val="accent1">
                    <a:lumMod val="20000"/>
                    <a:lumOff val="80000"/>
                  </a:schemeClr>
                </a:bgClr>
              </a:pattFill>
              <a:ln w="19050">
                <a:solidFill>
                  <a:srgbClr val="FFFFCC"/>
                </a:solidFill>
              </a:ln>
              <a:effectLst>
                <a:innerShdw blurRad="114300">
                  <a:schemeClr val="accent1"/>
                </a:innerShdw>
              </a:effectLst>
            </c:spPr>
            <c:extLst>
              <c:ext xmlns:c16="http://schemas.microsoft.com/office/drawing/2014/chart" uri="{C3380CC4-5D6E-409C-BE32-E72D297353CC}">
                <c16:uniqueId val="{00000001-F0A4-4FD2-B81E-50D0ED5EF632}"/>
              </c:ext>
            </c:extLst>
          </c:dPt>
          <c:dPt>
            <c:idx val="1"/>
            <c:bubble3D val="0"/>
            <c:spPr>
              <a:pattFill prst="ltUpDiag">
                <a:fgClr>
                  <a:schemeClr val="accent2"/>
                </a:fgClr>
                <a:bgClr>
                  <a:schemeClr val="accent2">
                    <a:lumMod val="20000"/>
                    <a:lumOff val="80000"/>
                  </a:schemeClr>
                </a:bgClr>
              </a:pattFill>
              <a:ln w="19050">
                <a:solidFill>
                  <a:srgbClr val="FFFFCC"/>
                </a:solidFill>
              </a:ln>
              <a:effectLst>
                <a:innerShdw blurRad="114300">
                  <a:schemeClr val="accent1"/>
                </a:innerShdw>
              </a:effectLst>
            </c:spPr>
            <c:extLst>
              <c:ext xmlns:c16="http://schemas.microsoft.com/office/drawing/2014/chart" uri="{C3380CC4-5D6E-409C-BE32-E72D297353CC}">
                <c16:uniqueId val="{00000003-F0A4-4FD2-B81E-50D0ED5EF632}"/>
              </c:ext>
            </c:extLst>
          </c:dPt>
          <c:dPt>
            <c:idx val="2"/>
            <c:bubble3D val="0"/>
            <c:spPr>
              <a:pattFill prst="ltUpDiag">
                <a:fgClr>
                  <a:schemeClr val="accent3"/>
                </a:fgClr>
                <a:bgClr>
                  <a:schemeClr val="accent3">
                    <a:lumMod val="20000"/>
                    <a:lumOff val="80000"/>
                  </a:schemeClr>
                </a:bgClr>
              </a:pattFill>
              <a:ln w="19050">
                <a:solidFill>
                  <a:srgbClr val="FFFFCC"/>
                </a:solidFill>
              </a:ln>
              <a:effectLst>
                <a:innerShdw blurRad="114300">
                  <a:schemeClr val="accent3"/>
                </a:innerShdw>
              </a:effectLst>
            </c:spPr>
            <c:extLst>
              <c:ext xmlns:c16="http://schemas.microsoft.com/office/drawing/2014/chart" uri="{C3380CC4-5D6E-409C-BE32-E72D297353CC}">
                <c16:uniqueId val="{00000005-F0A4-4FD2-B81E-50D0ED5EF632}"/>
              </c:ext>
            </c:extLst>
          </c:dPt>
          <c:dPt>
            <c:idx val="3"/>
            <c:bubble3D val="0"/>
            <c:spPr>
              <a:pattFill prst="ltUpDiag">
                <a:fgClr>
                  <a:schemeClr val="accent4"/>
                </a:fgClr>
                <a:bgClr>
                  <a:schemeClr val="accent4">
                    <a:lumMod val="20000"/>
                    <a:lumOff val="80000"/>
                  </a:schemeClr>
                </a:bgClr>
              </a:pattFill>
              <a:ln w="19050">
                <a:solidFill>
                  <a:srgbClr val="FFFFCC"/>
                </a:solidFill>
              </a:ln>
              <a:effectLst>
                <a:innerShdw blurRad="114300">
                  <a:schemeClr val="accent1"/>
                </a:innerShdw>
              </a:effectLst>
            </c:spPr>
            <c:extLst>
              <c:ext xmlns:c16="http://schemas.microsoft.com/office/drawing/2014/chart" uri="{C3380CC4-5D6E-409C-BE32-E72D297353CC}">
                <c16:uniqueId val="{00000007-F0A4-4FD2-B81E-50D0ED5EF632}"/>
              </c:ext>
            </c:extLst>
          </c:dPt>
          <c:dPt>
            <c:idx val="4"/>
            <c:bubble3D val="0"/>
            <c:spPr>
              <a:pattFill prst="ltUpDiag">
                <a:fgClr>
                  <a:schemeClr val="accent5"/>
                </a:fgClr>
                <a:bgClr>
                  <a:schemeClr val="accent5">
                    <a:lumMod val="20000"/>
                    <a:lumOff val="80000"/>
                  </a:schemeClr>
                </a:bgClr>
              </a:pattFill>
              <a:ln w="19050">
                <a:solidFill>
                  <a:srgbClr val="FFFFCC"/>
                </a:solidFill>
              </a:ln>
              <a:effectLst>
                <a:innerShdw blurRad="114300">
                  <a:schemeClr val="accent1"/>
                </a:innerShdw>
              </a:effectLst>
            </c:spPr>
            <c:extLst>
              <c:ext xmlns:c16="http://schemas.microsoft.com/office/drawing/2014/chart" uri="{C3380CC4-5D6E-409C-BE32-E72D297353CC}">
                <c16:uniqueId val="{00000009-F0A4-4FD2-B81E-50D0ED5EF632}"/>
              </c:ext>
            </c:extLst>
          </c:dPt>
          <c:dPt>
            <c:idx val="5"/>
            <c:bubble3D val="0"/>
            <c:spPr>
              <a:pattFill prst="ltUpDiag">
                <a:fgClr>
                  <a:schemeClr val="accent6"/>
                </a:fgClr>
                <a:bgClr>
                  <a:schemeClr val="accent6">
                    <a:lumMod val="20000"/>
                    <a:lumOff val="80000"/>
                  </a:schemeClr>
                </a:bgClr>
              </a:pattFill>
              <a:ln w="19050">
                <a:solidFill>
                  <a:srgbClr val="FFFFCC"/>
                </a:solidFill>
              </a:ln>
              <a:effectLst>
                <a:innerShdw blurRad="114300">
                  <a:schemeClr val="accent1"/>
                </a:innerShdw>
              </a:effectLst>
            </c:spPr>
            <c:extLst>
              <c:ext xmlns:c16="http://schemas.microsoft.com/office/drawing/2014/chart" uri="{C3380CC4-5D6E-409C-BE32-E72D297353CC}">
                <c16:uniqueId val="{0000000B-F0A4-4FD2-B81E-50D0ED5EF632}"/>
              </c:ext>
            </c:extLst>
          </c:dPt>
          <c:dPt>
            <c:idx val="6"/>
            <c:bubble3D val="0"/>
            <c:spPr>
              <a:pattFill prst="ltUpDiag">
                <a:fgClr>
                  <a:schemeClr val="accent1">
                    <a:lumMod val="60000"/>
                  </a:schemeClr>
                </a:fgClr>
                <a:bgClr>
                  <a:schemeClr val="accent1">
                    <a:lumMod val="60000"/>
                    <a:lumMod val="20000"/>
                    <a:lumOff val="80000"/>
                  </a:schemeClr>
                </a:bgClr>
              </a:pattFill>
              <a:ln w="19050">
                <a:solidFill>
                  <a:srgbClr val="FFFFCC"/>
                </a:solidFill>
              </a:ln>
              <a:effectLst>
                <a:innerShdw blurRad="114300">
                  <a:schemeClr val="accent1"/>
                </a:innerShdw>
              </a:effectLst>
            </c:spPr>
            <c:extLst>
              <c:ext xmlns:c16="http://schemas.microsoft.com/office/drawing/2014/chart" uri="{C3380CC4-5D6E-409C-BE32-E72D297353CC}">
                <c16:uniqueId val="{0000000D-F0A4-4FD2-B81E-50D0ED5EF632}"/>
              </c:ext>
            </c:extLst>
          </c:dPt>
          <c:dPt>
            <c:idx val="7"/>
            <c:bubble3D val="0"/>
            <c:spPr>
              <a:pattFill prst="ltUpDiag">
                <a:fgClr>
                  <a:schemeClr val="accent2">
                    <a:lumMod val="60000"/>
                  </a:schemeClr>
                </a:fgClr>
                <a:bgClr>
                  <a:schemeClr val="accent2">
                    <a:lumMod val="60000"/>
                    <a:lumMod val="20000"/>
                    <a:lumOff val="80000"/>
                  </a:schemeClr>
                </a:bgClr>
              </a:pattFill>
              <a:ln w="19050">
                <a:solidFill>
                  <a:srgbClr val="FFFFCC"/>
                </a:solidFill>
              </a:ln>
              <a:effectLst>
                <a:innerShdw blurRad="114300">
                  <a:schemeClr val="accent1"/>
                </a:innerShdw>
              </a:effectLst>
            </c:spPr>
            <c:extLst>
              <c:ext xmlns:c16="http://schemas.microsoft.com/office/drawing/2014/chart" uri="{C3380CC4-5D6E-409C-BE32-E72D297353CC}">
                <c16:uniqueId val="{0000000F-617D-4B56-BF85-114DD0E61E5D}"/>
              </c:ext>
            </c:extLst>
          </c:dPt>
          <c:dPt>
            <c:idx val="8"/>
            <c:bubble3D val="0"/>
            <c:spPr>
              <a:pattFill prst="ltUpDiag">
                <a:fgClr>
                  <a:schemeClr val="accent3">
                    <a:lumMod val="60000"/>
                  </a:schemeClr>
                </a:fgClr>
                <a:bgClr>
                  <a:schemeClr val="accent3">
                    <a:lumMod val="60000"/>
                    <a:lumMod val="20000"/>
                    <a:lumOff val="80000"/>
                  </a:schemeClr>
                </a:bgClr>
              </a:pattFill>
              <a:ln w="19050">
                <a:solidFill>
                  <a:srgbClr val="FFFFCC"/>
                </a:solidFill>
              </a:ln>
              <a:effectLst>
                <a:innerShdw blurRad="114300">
                  <a:schemeClr val="accent1"/>
                </a:innerShdw>
              </a:effectLst>
            </c:spPr>
            <c:extLst>
              <c:ext xmlns:c16="http://schemas.microsoft.com/office/drawing/2014/chart" uri="{C3380CC4-5D6E-409C-BE32-E72D297353CC}">
                <c16:uniqueId val="{00000011-617D-4B56-BF85-114DD0E61E5D}"/>
              </c:ext>
            </c:extLst>
          </c:dPt>
          <c:dPt>
            <c:idx val="9"/>
            <c:bubble3D val="0"/>
            <c:spPr>
              <a:pattFill prst="ltUpDiag">
                <a:fgClr>
                  <a:schemeClr val="accent4">
                    <a:lumMod val="60000"/>
                  </a:schemeClr>
                </a:fgClr>
                <a:bgClr>
                  <a:schemeClr val="accent4">
                    <a:lumMod val="60000"/>
                    <a:lumMod val="20000"/>
                    <a:lumOff val="80000"/>
                  </a:schemeClr>
                </a:bgClr>
              </a:pattFill>
              <a:ln w="19050">
                <a:solidFill>
                  <a:srgbClr val="FFFFCC"/>
                </a:solidFill>
              </a:ln>
              <a:effectLst>
                <a:innerShdw blurRad="114300">
                  <a:schemeClr val="accent1"/>
                </a:innerShdw>
              </a:effectLst>
            </c:spPr>
            <c:extLst>
              <c:ext xmlns:c16="http://schemas.microsoft.com/office/drawing/2014/chart" uri="{C3380CC4-5D6E-409C-BE32-E72D297353CC}">
                <c16:uniqueId val="{00000013-617D-4B56-BF85-114DD0E61E5D}"/>
              </c:ext>
            </c:extLst>
          </c:dPt>
          <c:dPt>
            <c:idx val="10"/>
            <c:bubble3D val="0"/>
            <c:spPr>
              <a:pattFill prst="ltUpDiag">
                <a:fgClr>
                  <a:schemeClr val="accent5">
                    <a:lumMod val="60000"/>
                  </a:schemeClr>
                </a:fgClr>
                <a:bgClr>
                  <a:schemeClr val="accent5">
                    <a:lumMod val="60000"/>
                    <a:lumMod val="20000"/>
                    <a:lumOff val="80000"/>
                  </a:schemeClr>
                </a:bgClr>
              </a:pattFill>
              <a:ln w="19050">
                <a:solidFill>
                  <a:srgbClr val="FFFFCC"/>
                </a:solidFill>
              </a:ln>
              <a:effectLst>
                <a:innerShdw blurRad="114300">
                  <a:schemeClr val="accent1"/>
                </a:innerShdw>
              </a:effectLst>
            </c:spPr>
            <c:extLst>
              <c:ext xmlns:c16="http://schemas.microsoft.com/office/drawing/2014/chart" uri="{C3380CC4-5D6E-409C-BE32-E72D297353CC}">
                <c16:uniqueId val="{00000015-617D-4B56-BF85-114DD0E61E5D}"/>
              </c:ext>
            </c:extLst>
          </c:dPt>
          <c:dLbls>
            <c:spPr>
              <a:noFill/>
              <a:ln>
                <a:noFill/>
              </a:ln>
              <a:effectLst/>
            </c:spPr>
            <c:txPr>
              <a:bodyPr rot="0" spcFirstLastPara="1" vertOverflow="overflow" horzOverflow="overflow" vert="horz" wrap="non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Pivot_NumberOfEmployees!$A$4:$A$7</c:f>
              <c:strCache>
                <c:ptCount val="3"/>
                <c:pt idx="0">
                  <c:v>Architectural</c:v>
                </c:pt>
                <c:pt idx="1">
                  <c:v>Fo phones</c:v>
                </c:pt>
                <c:pt idx="2">
                  <c:v>Revit technicians</c:v>
                </c:pt>
              </c:strCache>
            </c:strRef>
          </c:cat>
          <c:val>
            <c:numRef>
              <c:f>Pivot_NumberOfEmployees!$B$4:$B$7</c:f>
              <c:numCache>
                <c:formatCode>General</c:formatCode>
                <c:ptCount val="3"/>
                <c:pt idx="0">
                  <c:v>1</c:v>
                </c:pt>
                <c:pt idx="1">
                  <c:v>1</c:v>
                </c:pt>
                <c:pt idx="2">
                  <c:v>1</c:v>
                </c:pt>
              </c:numCache>
            </c:numRef>
          </c:val>
          <c:extLst>
            <c:ext xmlns:c16="http://schemas.microsoft.com/office/drawing/2014/chart" uri="{C3380CC4-5D6E-409C-BE32-E72D297353CC}">
              <c16:uniqueId val="{0000000E-F0A4-4FD2-B81E-50D0ED5EF632}"/>
            </c:ext>
          </c:extLst>
        </c:ser>
        <c:dLbls>
          <c:dLblPos val="outEnd"/>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[employee_performance_tracker_v2.1.xlsm]Pivot_Top10DepartmentsChart!PVTable1</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2225" cap="rnd">
            <a:solidFill>
              <a:schemeClr val="accent1"/>
            </a:solidFill>
            <a:round/>
          </a:ln>
          <a:effectLst/>
        </c:spPr>
        <c:marker>
          <c:symbol val="circle"/>
          <c:size val="6"/>
          <c:spPr>
            <a:solidFill>
              <a:schemeClr val="lt1"/>
            </a:solidFill>
            <a:ln w="15875">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2225" cap="rnd">
            <a:solidFill>
              <a:schemeClr val="accent1"/>
            </a:solidFill>
            <a:round/>
          </a:ln>
          <a:effectLst/>
        </c:spPr>
        <c:marker>
          <c:symbol val="circle"/>
          <c:size val="6"/>
          <c:spPr>
            <a:solidFill>
              <a:schemeClr val="lt1"/>
            </a:solidFill>
            <a:ln w="15875">
              <a:solidFill>
                <a:schemeClr val="accent6"/>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2225" cap="rnd">
            <a:solidFill>
              <a:schemeClr val="accent1"/>
            </a:solidFill>
            <a:round/>
          </a:ln>
          <a:effectLst/>
        </c:spPr>
        <c:marker>
          <c:symbol val="circle"/>
          <c:size val="6"/>
          <c:spPr>
            <a:solidFill>
              <a:schemeClr val="lt1"/>
            </a:solidFill>
            <a:ln w="15875">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2225" cap="rnd">
            <a:solidFill>
              <a:schemeClr val="accent1"/>
            </a:solidFill>
            <a:round/>
          </a:ln>
          <a:effectLst/>
        </c:spPr>
        <c:marker>
          <c:symbol val="circle"/>
          <c:size val="6"/>
          <c:spPr>
            <a:solidFill>
              <a:schemeClr val="lt1"/>
            </a:solidFill>
            <a:ln w="15875">
              <a:solidFill>
                <a:schemeClr val="accent5"/>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2225" cap="rnd">
            <a:solidFill>
              <a:schemeClr val="accent1"/>
            </a:solidFill>
            <a:round/>
          </a:ln>
          <a:effectLst/>
        </c:spPr>
        <c:marker>
          <c:symbol val="circle"/>
          <c:size val="6"/>
          <c:spPr>
            <a:solidFill>
              <a:schemeClr val="lt1"/>
            </a:solidFill>
            <a:ln w="15875">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2225" cap="rnd">
            <a:solidFill>
              <a:schemeClr val="accent1"/>
            </a:solidFill>
            <a:round/>
          </a:ln>
          <a:effectLst/>
        </c:spPr>
        <c:marker>
          <c:symbol val="circle"/>
          <c:size val="6"/>
          <c:spPr>
            <a:solidFill>
              <a:schemeClr val="lt1"/>
            </a:solidFill>
            <a:ln w="15875">
              <a:solidFill>
                <a:schemeClr val="accent1">
                  <a:lumMod val="6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2225" cap="rnd">
            <a:solidFill>
              <a:schemeClr val="accent1"/>
            </a:solidFill>
            <a:round/>
          </a:ln>
          <a:effectLst/>
        </c:spPr>
        <c:marker>
          <c:symbol val="circle"/>
          <c:size val="6"/>
          <c:spPr>
            <a:solidFill>
              <a:schemeClr val="lt1"/>
            </a:solidFill>
            <a:ln w="15875">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2225" cap="rnd">
            <a:solidFill>
              <a:schemeClr val="accent1"/>
            </a:solidFill>
            <a:round/>
          </a:ln>
          <a:effectLst/>
        </c:spPr>
        <c:marker>
          <c:symbol val="circle"/>
          <c:size val="6"/>
          <c:spPr>
            <a:solidFill>
              <a:schemeClr val="lt1"/>
            </a:solidFill>
            <a:ln w="15875">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2225" cap="rnd">
            <a:solidFill>
              <a:schemeClr val="accent1"/>
            </a:solidFill>
            <a:round/>
          </a:ln>
          <a:effectLst/>
        </c:spPr>
        <c:marker>
          <c:symbol val="circle"/>
          <c:size val="6"/>
          <c:spPr>
            <a:solidFill>
              <a:schemeClr val="lt1"/>
            </a:solidFill>
            <a:ln w="15875">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2225" cap="rnd">
            <a:solidFill>
              <a:schemeClr val="accent1"/>
            </a:solidFill>
            <a:round/>
          </a:ln>
          <a:effectLst/>
        </c:spPr>
        <c:marker>
          <c:symbol val="circle"/>
          <c:size val="6"/>
          <c:spPr>
            <a:solidFill>
              <a:schemeClr val="lt1"/>
            </a:solidFill>
            <a:ln w="15875">
              <a:solidFill>
                <a:schemeClr val="accent5"/>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2225" cap="rnd">
            <a:solidFill>
              <a:schemeClr val="accent1"/>
            </a:solidFill>
            <a:round/>
          </a:ln>
          <a:effectLst/>
        </c:spPr>
        <c:marker>
          <c:symbol val="circle"/>
          <c:size val="6"/>
          <c:spPr>
            <a:solidFill>
              <a:schemeClr val="lt1"/>
            </a:solidFill>
            <a:ln w="15875">
              <a:solidFill>
                <a:schemeClr val="accent6"/>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2225" cap="rnd">
            <a:solidFill>
              <a:schemeClr val="accent1"/>
            </a:solidFill>
            <a:round/>
          </a:ln>
          <a:effectLst/>
        </c:spPr>
        <c:marker>
          <c:symbol val="circle"/>
          <c:size val="6"/>
          <c:spPr>
            <a:solidFill>
              <a:schemeClr val="lt1"/>
            </a:solidFill>
            <a:ln w="15875">
              <a:solidFill>
                <a:schemeClr val="accent1">
                  <a:lumMod val="6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12700" cap="rnd">
            <a:solidFill>
              <a:schemeClr val="bg1">
                <a:lumMod val="75000"/>
              </a:schemeClr>
            </a:solidFill>
            <a:prstDash val="solid"/>
            <a:round/>
          </a:ln>
          <a:effectLst/>
        </c:spPr>
        <c:marker>
          <c:spPr>
            <a:noFill/>
            <a:ln w="15875">
              <a:no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5400" cap="rnd">
            <a:solidFill>
              <a:srgbClr val="BFBFBF"/>
            </a:solidFill>
            <a:prstDash val="solid"/>
            <a:round/>
          </a:ln>
          <a:effectLst/>
        </c:spPr>
        <c:marker>
          <c:symbol val="circle"/>
          <c:size val="6"/>
          <c:spPr>
            <a:noFill/>
            <a:ln w="12700">
              <a:noFill/>
              <a:round/>
            </a:ln>
            <a:effectLst/>
            <a:extLst>
              <a:ext uri="{909E8E84-426E-40DD-AFC4-6F175D3DCCD1}">
                <a14:hiddenFill xmlns:a14="http://schemas.microsoft.com/office/drawing/2010/main">
                  <a:noFill/>
                </a14:hiddenFill>
              </a:ext>
              <a:ext uri="{91240B29-F687-4F45-9708-019B960494DF}">
                <a14:hiddenLine xmlns:a14="http://schemas.microsoft.com/office/drawing/2010/main" w="12700">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5400" cap="rnd">
            <a:solidFill>
              <a:srgbClr val="BFBFBF"/>
            </a:solidFill>
            <a:prstDash val="solid"/>
            <a:round/>
          </a:ln>
          <a:effectLst/>
        </c:spPr>
        <c:marker>
          <c:symbol val="circle"/>
          <c:size val="6"/>
          <c:spPr>
            <a:noFill/>
            <a:ln w="12700">
              <a:noFill/>
              <a:round/>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2700">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5400" cap="rnd">
            <a:solidFill>
              <a:srgbClr val="BFBFBF"/>
            </a:solidFill>
            <a:prstDash val="solid"/>
            <a:round/>
          </a:ln>
          <a:effectLst/>
        </c:spPr>
        <c:marker>
          <c:symbol val="circle"/>
          <c:size val="6"/>
          <c:spPr>
            <a:noFill/>
            <a:ln w="12700">
              <a:noFill/>
              <a:round/>
            </a:ln>
            <a:effectLst/>
            <a:extLst>
              <a:ext uri="{909E8E84-426E-40DD-AFC4-6F175D3DCCD1}">
                <a14:hiddenFill xmlns:a14="http://schemas.microsoft.com/office/drawing/2010/main">
                  <a:noFill/>
                </a14:hiddenFill>
              </a:ext>
              <a:ext uri="{91240B29-F687-4F45-9708-019B960494DF}">
                <a14:hiddenLine xmlns:a14="http://schemas.microsoft.com/office/drawing/2010/main" w="12700">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5400" cap="rnd">
            <a:solidFill>
              <a:srgbClr val="BFBFBF"/>
            </a:solidFill>
            <a:prstDash val="solid"/>
            <a:round/>
          </a:ln>
          <a:effectLst/>
        </c:spPr>
        <c:marker>
          <c:symbol val="circle"/>
          <c:size val="6"/>
          <c:spPr>
            <a:noFill/>
            <a:ln w="12700">
              <a:noFill/>
              <a:round/>
            </a:ln>
            <a:effectLst/>
            <a:extLst>
              <a:ext uri="{909E8E84-426E-40DD-AFC4-6F175D3DCCD1}">
                <a14:hiddenFill xmlns:a14="http://schemas.microsoft.com/office/drawing/2010/main">
                  <a:noFill/>
                </a14:hiddenFill>
              </a:ext>
              <a:ext uri="{91240B29-F687-4F45-9708-019B960494DF}">
                <a14:hiddenLine xmlns:a14="http://schemas.microsoft.com/office/drawing/2010/main" w="12700">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5400" cap="rnd">
            <a:solidFill>
              <a:srgbClr val="BFBFBF"/>
            </a:solidFill>
            <a:prstDash val="solid"/>
            <a:round/>
          </a:ln>
          <a:effectLst/>
        </c:spPr>
        <c:marker>
          <c:symbol val="circle"/>
          <c:size val="6"/>
          <c:spPr>
            <a:noFill/>
            <a:ln w="12700">
              <a:noFill/>
              <a:round/>
            </a:ln>
            <a:effectLst/>
            <a:extLst>
              <a:ext uri="{909E8E84-426E-40DD-AFC4-6F175D3DCCD1}">
                <a14:hiddenFill xmlns:a14="http://schemas.microsoft.com/office/drawing/2010/main">
                  <a:noFill/>
                </a14:hiddenFill>
              </a:ext>
              <a:ext uri="{91240B29-F687-4F45-9708-019B960494DF}">
                <a14:hiddenLine xmlns:a14="http://schemas.microsoft.com/office/drawing/2010/main" w="12700">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5400" cap="rnd">
            <a:solidFill>
              <a:srgbClr val="BFBFBF"/>
            </a:solidFill>
            <a:prstDash val="solid"/>
            <a:round/>
          </a:ln>
          <a:effectLst/>
        </c:spPr>
        <c:marker>
          <c:symbol val="circle"/>
          <c:size val="6"/>
          <c:spPr>
            <a:noFill/>
            <a:ln w="12700">
              <a:noFill/>
              <a:round/>
            </a:ln>
            <a:effectLst/>
            <a:extLst>
              <a:ext uri="{909E8E84-426E-40DD-AFC4-6F175D3DCCD1}">
                <a14:hiddenFill xmlns:a14="http://schemas.microsoft.com/office/drawing/2010/main">
                  <a:noFill/>
                </a14:hiddenFill>
              </a:ext>
              <a:ext uri="{91240B29-F687-4F45-9708-019B960494DF}">
                <a14:hiddenLine xmlns:a14="http://schemas.microsoft.com/office/drawing/2010/main" w="12700">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12700" cap="rnd">
            <a:solidFill>
              <a:srgbClr val="0000CC"/>
            </a:solidFill>
            <a:prstDash val="solid"/>
            <a:round/>
          </a:ln>
          <a:effectLst/>
        </c:spPr>
        <c:marker>
          <c:spPr>
            <a:noFill/>
            <a:ln w="15875">
              <a:no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5400" cap="rnd">
            <a:solidFill>
              <a:srgbClr val="BFBFBF"/>
            </a:solidFill>
            <a:prstDash val="solid"/>
            <a:round/>
          </a:ln>
          <a:effectLst/>
        </c:spPr>
        <c:marker>
          <c:symbol val="circle"/>
          <c:size val="6"/>
          <c:spPr>
            <a:noFill/>
            <a:ln w="12700">
              <a:noFill/>
              <a:round/>
            </a:ln>
            <a:effectLst/>
            <a:extLst>
              <a:ext uri="{909E8E84-426E-40DD-AFC4-6F175D3DCCD1}">
                <a14:hiddenFill xmlns:a14="http://schemas.microsoft.com/office/drawing/2010/main">
                  <a:noFill/>
                </a14:hiddenFill>
              </a:ext>
              <a:ext uri="{91240B29-F687-4F45-9708-019B960494DF}">
                <a14:hiddenLine xmlns:a14="http://schemas.microsoft.com/office/drawing/2010/main" w="12700">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5400" cap="rnd">
            <a:solidFill>
              <a:srgbClr val="BFBFBF"/>
            </a:solidFill>
            <a:prstDash val="solid"/>
            <a:round/>
          </a:ln>
          <a:effectLst/>
        </c:spPr>
        <c:marker>
          <c:symbol val="circle"/>
          <c:size val="6"/>
          <c:spPr>
            <a:noFill/>
            <a:ln w="12700">
              <a:noFill/>
              <a:round/>
            </a:ln>
            <a:effectLst/>
            <a:extLst>
              <a:ext uri="{909E8E84-426E-40DD-AFC4-6F175D3DCCD1}">
                <a14:hiddenFill xmlns:a14="http://schemas.microsoft.com/office/drawing/2010/main">
                  <a:noFill/>
                </a14:hiddenFill>
              </a:ext>
              <a:ext uri="{91240B29-F687-4F45-9708-019B960494DF}">
                <a14:hiddenLine xmlns:a14="http://schemas.microsoft.com/office/drawing/2010/main" w="12700">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5400" cap="rnd">
            <a:solidFill>
              <a:srgbClr val="BFBFBF"/>
            </a:solidFill>
            <a:prstDash val="solid"/>
            <a:round/>
          </a:ln>
          <a:effectLst/>
        </c:spPr>
        <c:marker>
          <c:symbol val="circle"/>
          <c:size val="6"/>
          <c:spPr>
            <a:noFill/>
            <a:ln w="15875">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5875">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12700" cap="rnd">
            <a:solidFill>
              <a:schemeClr val="bg1">
                <a:lumMod val="75000"/>
              </a:schemeClr>
            </a:solidFill>
            <a:round/>
          </a:ln>
          <a:effectLst/>
        </c:spPr>
        <c:marker>
          <c:spPr>
            <a:noFill/>
            <a:ln w="15875">
              <a:no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5400" cap="rnd">
            <a:solidFill>
              <a:srgbClr val="BFBFBF"/>
            </a:solidFill>
            <a:prstDash val="solid"/>
            <a:round/>
          </a:ln>
          <a:effectLst/>
        </c:spPr>
        <c:marker>
          <c:symbol val="circle"/>
          <c:size val="6"/>
          <c:spPr>
            <a:noFill/>
            <a:ln w="12700">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2700">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5400" cap="rnd">
            <a:solidFill>
              <a:srgbClr val="BFBFBF"/>
            </a:solidFill>
            <a:prstDash val="solid"/>
            <a:round/>
          </a:ln>
          <a:effectLst/>
        </c:spPr>
        <c:marker>
          <c:symbol val="circle"/>
          <c:size val="6"/>
          <c:spPr>
            <a:noFill/>
            <a:ln w="15875">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5875">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5400" cap="rnd">
            <a:solidFill>
              <a:srgbClr val="BFBFBF"/>
            </a:solidFill>
            <a:prstDash val="solid"/>
            <a:round/>
          </a:ln>
          <a:effectLst/>
        </c:spPr>
        <c:marker>
          <c:symbol val="circle"/>
          <c:size val="6"/>
          <c:spPr>
            <a:noFill/>
            <a:ln w="12700">
              <a:noFill/>
              <a:round/>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2700">
                  <a:noFill/>
                  <a:round/>
                </a14:hiddenLine>
              </a:ext>
            </a:extLst>
          </c:spPr>
        </c:marker>
      </c:pivotFmt>
      <c:pivotFmt>
        <c:idx val="72"/>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5400" cap="rnd">
            <a:solidFill>
              <a:srgbClr val="BFBFBF"/>
            </a:solidFill>
            <a:prstDash val="solid"/>
            <a:round/>
          </a:ln>
          <a:effectLst/>
        </c:spPr>
        <c:marker>
          <c:symbol val="circle"/>
          <c:size val="6"/>
        </c:marker>
      </c:pivotFmt>
      <c:pivotFmt>
        <c:idx val="74"/>
        <c:spPr>
          <a:solidFill>
            <a:schemeClr val="accent1"/>
          </a:solidFill>
          <a:ln w="25400" cap="rnd">
            <a:solidFill>
              <a:srgbClr val="BFBFBF"/>
            </a:solidFill>
            <a:prstDash val="solid"/>
            <a:round/>
          </a:ln>
          <a:effectLst/>
        </c:spPr>
        <c:marker>
          <c:symbol val="circle"/>
          <c:size val="6"/>
          <c:spPr>
            <a:noFill/>
            <a:ln w="15875">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5875">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5400" cap="rnd">
            <a:solidFill>
              <a:srgbClr val="BFBFBF"/>
            </a:solidFill>
            <a:prstDash val="solid"/>
            <a:round/>
          </a:ln>
          <a:effectLst/>
        </c:spPr>
        <c:marker>
          <c:spPr>
            <a:noFill/>
            <a:ln w="15875">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5875">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5400" cap="rnd">
            <a:solidFill>
              <a:srgbClr val="BFBFBF"/>
            </a:solidFill>
            <a:prstDash val="solid"/>
            <a:round/>
          </a:ln>
          <a:effectLst/>
        </c:spPr>
        <c:marker>
          <c:spPr>
            <a:noFill/>
            <a:ln w="15875">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5875">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5400" cap="rnd">
            <a:solidFill>
              <a:srgbClr val="BFBFBF"/>
            </a:solidFill>
            <a:prstDash val="solid"/>
            <a:round/>
          </a:ln>
          <a:effectLst/>
        </c:spPr>
        <c:marker>
          <c:spPr>
            <a:noFill/>
            <a:ln w="15875">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5875">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marker>
          <c:symbol val="circle"/>
          <c:size val="6"/>
        </c:marker>
      </c:pivotFmt>
      <c:pivotFmt>
        <c:idx val="83"/>
        <c:spPr>
          <a:solidFill>
            <a:schemeClr val="accent1"/>
          </a:solidFill>
          <a:ln w="25400" cap="rnd">
            <a:solidFill>
              <a:srgbClr val="BFBFBF"/>
            </a:solidFill>
            <a:prstDash val="solid"/>
            <a:round/>
          </a:ln>
          <a:effectLst/>
        </c:spPr>
        <c:marker>
          <c:symbol val="circle"/>
          <c:size val="6"/>
          <c:spPr>
            <a:noFill/>
            <a:ln w="15875">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5875">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5400" cap="rnd">
            <a:solidFill>
              <a:srgbClr val="BFBFBF"/>
            </a:solidFill>
            <a:prstDash val="solid"/>
            <a:round/>
          </a:ln>
          <a:effectLst/>
        </c:spPr>
        <c:marker>
          <c:symbol val="circle"/>
          <c:size val="6"/>
        </c:marker>
      </c:pivotFmt>
      <c:pivotFmt>
        <c:idx val="86"/>
        <c:spPr>
          <a:solidFill>
            <a:schemeClr val="accent1"/>
          </a:solidFill>
          <a:ln w="25400" cap="rnd">
            <a:solidFill>
              <a:srgbClr val="BFBFBF"/>
            </a:solidFill>
            <a:prstDash val="solid"/>
            <a:round/>
          </a:ln>
          <a:effectLst/>
        </c:spPr>
        <c:marker>
          <c:symbol val="circle"/>
          <c:size val="6"/>
          <c:spPr>
            <a:noFill/>
            <a:ln w="15875">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5875">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5400" cap="rnd">
            <a:solidFill>
              <a:srgbClr val="BFBFBF"/>
            </a:solidFill>
            <a:prstDash val="solid"/>
            <a:round/>
          </a:ln>
          <a:effectLst/>
        </c:spPr>
        <c:marker>
          <c:symbol val="circle"/>
          <c:size val="6"/>
          <c:spPr>
            <a:noFill/>
            <a:ln w="15875">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5875">
                  <a:noFill/>
                  <a:round/>
                </a14:hiddenLine>
              </a:ext>
            </a:extLst>
          </c:spPr>
        </c:marker>
      </c:pivotFmt>
      <c:pivotFmt>
        <c:idx val="89"/>
        <c:spPr>
          <a:ln w="25400" cap="rnd">
            <a:solidFill>
              <a:srgbClr val="BFBFBF"/>
            </a:solidFill>
            <a:prstDash val="solid"/>
            <a:round/>
          </a:ln>
          <a:effectLst/>
        </c:spPr>
        <c:marker>
          <c:symbol val="circle"/>
          <c:size val="6"/>
          <c:spPr>
            <a:noFill/>
            <a:ln w="15875">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5875">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ln w="22225" cap="rnd">
            <a:solidFill>
              <a:schemeClr val="accent1"/>
            </a:solidFill>
            <a:round/>
          </a:ln>
          <a:effectLst/>
        </c:spPr>
        <c:marker>
          <c:symbol val="circle"/>
          <c:size val="6"/>
          <c:spPr>
            <a:solidFill>
              <a:schemeClr val="lt1"/>
            </a:solidFill>
            <a:ln w="15875">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948717948717955E-2"/>
          <c:y val="6.5185185185185179E-2"/>
          <c:w val="0.6601700989299415"/>
          <c:h val="0.79734359871682703"/>
        </c:manualLayout>
      </c:layout>
      <c:lineChart>
        <c:grouping val="standard"/>
        <c:varyColors val="0"/>
        <c:ser>
          <c:idx val="0"/>
          <c:order val="0"/>
          <c:tx>
            <c:strRef>
              <c:f>Pivot_Top10DepartmentsChart!$B$3:$B$5</c:f>
              <c:strCache>
                <c:ptCount val="1"/>
                <c:pt idx="0">
                  <c:v>Fo phones - Comp.</c:v>
                </c:pt>
              </c:strCache>
            </c:strRef>
          </c:tx>
          <c:spPr>
            <a:ln w="25400" cap="rnd">
              <a:solidFill>
                <a:srgbClr val="BFBFBF"/>
              </a:solidFill>
              <a:prstDash val="solid"/>
              <a:round/>
            </a:ln>
            <a:effectLst/>
          </c:spPr>
          <c:marker>
            <c:symbol val="circle"/>
            <c:size val="6"/>
            <c:spPr>
              <a:noFill/>
              <a:ln w="15875">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5875">
                    <a:noFill/>
                    <a:round/>
                  </a14:hiddenLine>
                </a:ext>
              </a:extLst>
            </c:spPr>
          </c:marker>
          <c:cat>
            <c:strRef>
              <c:f>Pivot_Top10DepartmentsChart!$A$6</c:f>
              <c:strCache>
                <c:ptCount val="1"/>
                <c:pt idx="0">
                  <c:v>2018</c:v>
                </c:pt>
              </c:strCache>
            </c:strRef>
          </c:cat>
          <c:val>
            <c:numRef>
              <c:f>Pivot_Top10DepartmentsChart!$B$6</c:f>
              <c:numCache>
                <c:formatCode>0.00</c:formatCode>
                <c:ptCount val="1"/>
                <c:pt idx="0">
                  <c:v>7.625</c:v>
                </c:pt>
              </c:numCache>
            </c:numRef>
          </c:val>
          <c:smooth val="0"/>
          <c:extLst>
            <c:ext xmlns:c16="http://schemas.microsoft.com/office/drawing/2014/chart" uri="{C3380CC4-5D6E-409C-BE32-E72D297353CC}">
              <c16:uniqueId val="{00000000-D79A-4BC0-BA4D-925B790ABF52}"/>
            </c:ext>
          </c:extLst>
        </c:ser>
        <c:ser>
          <c:idx val="1"/>
          <c:order val="1"/>
          <c:tx>
            <c:strRef>
              <c:f>Pivot_Top10DepartmentsChart!$C$3:$C$5</c:f>
              <c:strCache>
                <c:ptCount val="1"/>
                <c:pt idx="0">
                  <c:v>Fo phones -  </c:v>
                </c:pt>
              </c:strCache>
            </c:strRef>
          </c:tx>
          <c:spPr>
            <a:ln w="22225" cap="rnd">
              <a:solidFill>
                <a:schemeClr val="accent2"/>
              </a:solidFill>
              <a:round/>
            </a:ln>
            <a:effectLst/>
          </c:spPr>
          <c:marker>
            <c:symbol val="circle"/>
            <c:size val="6"/>
            <c:spPr>
              <a:solidFill>
                <a:schemeClr val="lt1"/>
              </a:solidFill>
              <a:ln w="15875">
                <a:solidFill>
                  <a:schemeClr val="accent2"/>
                </a:solidFill>
                <a:round/>
              </a:ln>
              <a:effectLst/>
            </c:spPr>
          </c:marker>
          <c:cat>
            <c:strRef>
              <c:f>Pivot_Top10DepartmentsChart!$A$6</c:f>
              <c:strCache>
                <c:ptCount val="1"/>
                <c:pt idx="0">
                  <c:v>2018</c:v>
                </c:pt>
              </c:strCache>
            </c:strRef>
          </c:cat>
          <c:val>
            <c:numRef>
              <c:f>Pivot_Top10DepartmentsChart!$C$6</c:f>
              <c:numCache>
                <c:formatCode>0.00</c:formatCode>
                <c:ptCount val="1"/>
                <c:pt idx="0">
                  <c:v>7.625</c:v>
                </c:pt>
              </c:numCache>
            </c:numRef>
          </c:val>
          <c:smooth val="0"/>
          <c:extLst>
            <c:ext xmlns:c16="http://schemas.microsoft.com/office/drawing/2014/chart" uri="{C3380CC4-5D6E-409C-BE32-E72D297353CC}">
              <c16:uniqueId val="{00000007-D79A-4BC0-BA4D-925B790ABF52}"/>
            </c:ext>
          </c:extLst>
        </c:ser>
        <c:dLbls>
          <c:showLegendKey val="0"/>
          <c:showVal val="0"/>
          <c:showCatName val="0"/>
          <c:showSerName val="0"/>
          <c:showPercent val="0"/>
          <c:showBubbleSize val="0"/>
        </c:dLbls>
        <c:marker val="1"/>
        <c:smooth val="0"/>
        <c:axId val="847036328"/>
        <c:axId val="847034032"/>
      </c:lineChart>
      <c:catAx>
        <c:axId val="847036328"/>
        <c:scaling>
          <c:orientation val="minMax"/>
        </c:scaling>
        <c:delete val="0"/>
        <c:axPos val="b"/>
        <c:majorGridlines>
          <c:spPr>
            <a:ln w="9525" cap="flat" cmpd="sng" algn="ctr">
              <a:solidFill>
                <a:schemeClr val="bg1">
                  <a:lumMod val="85000"/>
                  <a:alpha val="60000"/>
                </a:schemeClr>
              </a:solidFill>
              <a:prstDash val="dash"/>
              <a:round/>
            </a:ln>
            <a:effectLst/>
          </c:spPr>
        </c:majorGridlines>
        <c:numFmt formatCode="General" sourceLinked="1"/>
        <c:majorTickMark val="none"/>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1" i="0" u="none" strike="noStrike" kern="1200" cap="none" spc="0" normalizeH="0" baseline="0">
                <a:solidFill>
                  <a:schemeClr val="dk1">
                    <a:lumMod val="65000"/>
                    <a:lumOff val="35000"/>
                  </a:schemeClr>
                </a:solidFill>
                <a:latin typeface="+mn-lt"/>
                <a:ea typeface="+mn-ea"/>
                <a:cs typeface="+mn-cs"/>
              </a:defRPr>
            </a:pPr>
            <a:endParaRPr lang="en-US"/>
          </a:p>
        </c:txPr>
        <c:crossAx val="847034032"/>
        <c:crosses val="autoZero"/>
        <c:auto val="1"/>
        <c:lblAlgn val="ctr"/>
        <c:lblOffset val="100"/>
        <c:noMultiLvlLbl val="0"/>
      </c:catAx>
      <c:valAx>
        <c:axId val="847034032"/>
        <c:scaling>
          <c:orientation val="minMax"/>
        </c:scaling>
        <c:delete val="0"/>
        <c:axPos val="l"/>
        <c:majorGridlines>
          <c:spPr>
            <a:ln w="9525" cap="flat" cmpd="sng" algn="ctr">
              <a:solidFill>
                <a:schemeClr val="bg1">
                  <a:lumMod val="85000"/>
                  <a:alpha val="70000"/>
                </a:schemeClr>
              </a:solidFill>
              <a:prstDash val="dash"/>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crossAx val="847036328"/>
        <c:crosses val="autoZero"/>
        <c:crossBetween val="midCat"/>
        <c:majorUnit val="1"/>
        <c:minorUnit val="1"/>
      </c:valAx>
      <c:spPr>
        <a:noFill/>
        <a:ln w="25400">
          <a:noFill/>
        </a:ln>
        <a:effectLst/>
      </c:spPr>
    </c:plotArea>
    <c:legend>
      <c:legendPos val="r"/>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[employee_performance_tracker_v2.1.xlsm]Pivot_RatingPerDepartment3Years!PivotTable5</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pattFill prst="ltUpDiag">
            <a:fgClr>
              <a:srgbClr val="0000CC"/>
            </a:fgClr>
            <a:bgClr>
              <a:srgbClr val="FFFFCC"/>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pattFill prst="ltUpDiag">
            <a:fgClr>
              <a:srgbClr val="0000CC"/>
            </a:fgClr>
            <a:bgClr>
              <a:srgbClr val="FFFFCC"/>
            </a:bgClr>
          </a:pattFill>
          <a:ln>
            <a:noFill/>
          </a:ln>
          <a:effectLst>
            <a:innerShdw blurRad="114300">
              <a:schemeClr val="accent1"/>
            </a:innerShdw>
          </a:effectLst>
        </c:spPr>
      </c:pivotFmt>
      <c:pivotFmt>
        <c:idx val="31"/>
        <c:spPr>
          <a:pattFill prst="ltUpDiag">
            <a:fgClr>
              <a:srgbClr val="0000CC"/>
            </a:fgClr>
            <a:bgClr>
              <a:srgbClr val="FFFFCC"/>
            </a:bgClr>
          </a:pattFill>
          <a:ln>
            <a:noFill/>
          </a:ln>
          <a:effectLst>
            <a:innerShdw blurRad="114300">
              <a:schemeClr val="accent1"/>
            </a:innerShdw>
          </a:effectLst>
        </c:spPr>
      </c:pivotFmt>
      <c:pivotFmt>
        <c:idx val="32"/>
        <c:spPr>
          <a:pattFill prst="ltUpDiag">
            <a:fgClr>
              <a:srgbClr val="0000CC"/>
            </a:fgClr>
            <a:bgClr>
              <a:srgbClr val="FFFFCC"/>
            </a:bgClr>
          </a:pattFill>
          <a:ln>
            <a:noFill/>
          </a:ln>
          <a:effectLst>
            <a:innerShdw blurRad="114300">
              <a:schemeClr val="accent1"/>
            </a:innerShdw>
          </a:effectLst>
        </c:spPr>
      </c:pivotFmt>
      <c:pivotFmt>
        <c:idx val="33"/>
        <c:spPr>
          <a:pattFill prst="ltUpDiag">
            <a:fgClr>
              <a:srgbClr val="0000CC"/>
            </a:fgClr>
            <a:bgClr>
              <a:srgbClr val="FFFFCC"/>
            </a:bgClr>
          </a:pattFill>
          <a:ln>
            <a:noFill/>
          </a:ln>
          <a:effectLst>
            <a:innerShdw blurRad="114300">
              <a:schemeClr val="accent1"/>
            </a:innerShdw>
          </a:effectLst>
        </c:spPr>
      </c:pivotFmt>
      <c:pivotFmt>
        <c:idx val="34"/>
        <c:spPr>
          <a:pattFill prst="ltUpDiag">
            <a:fgClr>
              <a:srgbClr val="0000CC"/>
            </a:fgClr>
            <a:bgClr>
              <a:srgbClr val="FFFFCC"/>
            </a:bgClr>
          </a:pattFill>
          <a:ln>
            <a:noFill/>
          </a:ln>
          <a:effectLst>
            <a:innerShdw blurRad="114300">
              <a:schemeClr val="accent1"/>
            </a:innerShdw>
          </a:effectLst>
        </c:spPr>
      </c:pivotFmt>
      <c:pivotFmt>
        <c:idx val="35"/>
        <c:spPr>
          <a:pattFill prst="ltUpDiag">
            <a:fgClr>
              <a:srgbClr val="0000CC"/>
            </a:fgClr>
            <a:bgClr>
              <a:srgbClr val="FFFFCC"/>
            </a:bgClr>
          </a:pattFill>
          <a:ln>
            <a:noFill/>
          </a:ln>
          <a:effectLst>
            <a:innerShdw blurRad="114300">
              <a:schemeClr val="accent1"/>
            </a:innerShdw>
          </a:effectLst>
        </c:spPr>
      </c:pivotFmt>
      <c:pivotFmt>
        <c:idx val="36"/>
        <c:spPr>
          <a:pattFill prst="ltUpDiag">
            <a:fgClr>
              <a:srgbClr val="0000CC"/>
            </a:fgClr>
            <a:bgClr>
              <a:srgbClr val="FFFFCC"/>
            </a:bgClr>
          </a:pattFill>
          <a:ln>
            <a:noFill/>
          </a:ln>
          <a:effectLst>
            <a:innerShdw blurRad="114300">
              <a:schemeClr val="accent1"/>
            </a:innerShdw>
          </a:effectLst>
        </c:spPr>
      </c:pivotFmt>
      <c:pivotFmt>
        <c:idx val="37"/>
        <c:spPr>
          <a:pattFill prst="ltUpDiag">
            <a:fgClr>
              <a:srgbClr val="0000CC"/>
            </a:fgClr>
            <a:bgClr>
              <a:srgbClr val="FFFFCC"/>
            </a:bgClr>
          </a:pattFill>
          <a:ln>
            <a:noFill/>
          </a:ln>
          <a:effectLst>
            <a:innerShdw blurRad="114300">
              <a:schemeClr val="accent1"/>
            </a:innerShdw>
          </a:effectLst>
        </c:spPr>
      </c:pivotFmt>
      <c:pivotFmt>
        <c:idx val="38"/>
        <c:spPr>
          <a:pattFill prst="ltUpDiag">
            <a:fgClr>
              <a:srgbClr val="0000CC"/>
            </a:fgClr>
            <a:bgClr>
              <a:srgbClr val="FFFFCC"/>
            </a:bgClr>
          </a:pattFill>
          <a:ln>
            <a:noFill/>
          </a:ln>
          <a:effectLst>
            <a:innerShdw blurRad="114300">
              <a:schemeClr val="accent1"/>
            </a:innerShdw>
          </a:effectLst>
        </c:spPr>
      </c:pivotFmt>
      <c:pivotFmt>
        <c:idx val="39"/>
        <c:spPr>
          <a:pattFill prst="ltUpDiag">
            <a:fgClr>
              <a:srgbClr val="0000CC"/>
            </a:fgClr>
            <a:bgClr>
              <a:srgbClr val="FFFFCC"/>
            </a:bgClr>
          </a:pattFill>
          <a:ln>
            <a:noFill/>
          </a:ln>
          <a:effectLst>
            <a:innerShdw blurRad="114300">
              <a:schemeClr val="accent1"/>
            </a:innerShdw>
          </a:effectLst>
        </c:spPr>
      </c:pivotFmt>
      <c:pivotFmt>
        <c:idx val="40"/>
        <c:spPr>
          <a:pattFill prst="ltUpDiag">
            <a:fgClr>
              <a:srgbClr val="0000CC"/>
            </a:fgClr>
            <a:bgClr>
              <a:srgbClr val="FFFFCC"/>
            </a:bgClr>
          </a:pattFill>
          <a:ln>
            <a:noFill/>
          </a:ln>
          <a:effectLst>
            <a:innerShdw blurRad="114300">
              <a:schemeClr val="accent1"/>
            </a:innerShdw>
          </a:effectLst>
        </c:spPr>
      </c:pivotFmt>
      <c:pivotFmt>
        <c:idx val="41"/>
        <c:spPr>
          <a:pattFill prst="ltUpDiag">
            <a:fgClr>
              <a:srgbClr val="0000CC"/>
            </a:fgClr>
            <a:bgClr>
              <a:srgbClr val="FFFFCC"/>
            </a:bgClr>
          </a:pattFill>
          <a:ln>
            <a:noFill/>
          </a:ln>
          <a:effectLst>
            <a:innerShdw blurRad="114300">
              <a:schemeClr val="accent1"/>
            </a:innerShdw>
          </a:effectLst>
        </c:spPr>
      </c:pivotFmt>
      <c:pivotFmt>
        <c:idx val="42"/>
        <c:spPr>
          <a:pattFill prst="ltUpDiag">
            <a:fgClr>
              <a:srgbClr val="0000CC"/>
            </a:fgClr>
            <a:bgClr>
              <a:srgbClr val="FFFFCC"/>
            </a:bgClr>
          </a:pattFill>
          <a:ln>
            <a:noFill/>
          </a:ln>
          <a:effectLst>
            <a:innerShdw blurRad="114300">
              <a:schemeClr val="accent1"/>
            </a:innerShdw>
          </a:effectLst>
        </c:spPr>
      </c:pivotFmt>
      <c:pivotFmt>
        <c:idx val="43"/>
        <c:spPr>
          <a:pattFill prst="ltUpDiag">
            <a:fgClr>
              <a:srgbClr val="0000CC"/>
            </a:fgClr>
            <a:bgClr>
              <a:srgbClr val="FFFFCC"/>
            </a:bgClr>
          </a:pattFill>
          <a:ln>
            <a:noFill/>
          </a:ln>
          <a:effectLst>
            <a:innerShdw blurRad="114300">
              <a:schemeClr val="accent1"/>
            </a:innerShdw>
          </a:effectLst>
        </c:spPr>
      </c:pivotFmt>
      <c:pivotFmt>
        <c:idx val="44"/>
        <c:spPr>
          <a:pattFill prst="ltUpDiag">
            <a:fgClr>
              <a:srgbClr val="0000CC"/>
            </a:fgClr>
            <a:bgClr>
              <a:srgbClr val="FFFFCC"/>
            </a:bgClr>
          </a:pattFill>
          <a:ln>
            <a:noFill/>
          </a:ln>
          <a:effectLst>
            <a:innerShdw blurRad="114300">
              <a:schemeClr val="accent1"/>
            </a:innerShdw>
          </a:effectLst>
        </c:spPr>
      </c:pivotFmt>
      <c:pivotFmt>
        <c:idx val="45"/>
        <c:spPr>
          <a:pattFill prst="ltUpDiag">
            <a:fgClr>
              <a:srgbClr val="0000CC"/>
            </a:fgClr>
            <a:bgClr>
              <a:srgbClr val="FFFFCC"/>
            </a:bgClr>
          </a:pattFill>
          <a:ln>
            <a:noFill/>
          </a:ln>
          <a:effectLst>
            <a:innerShdw blurRad="114300">
              <a:schemeClr val="accent1"/>
            </a:innerShdw>
          </a:effectLst>
        </c:spPr>
      </c:pivotFmt>
    </c:pivotFmts>
    <c:plotArea>
      <c:layout>
        <c:manualLayout>
          <c:layoutTarget val="inner"/>
          <c:xMode val="edge"/>
          <c:yMode val="edge"/>
          <c:x val="0.11273190851143607"/>
          <c:y val="6.6971080669710803E-2"/>
          <c:w val="0.85084514435695535"/>
          <c:h val="0.58398590587135513"/>
        </c:manualLayout>
      </c:layout>
      <c:barChart>
        <c:barDir val="col"/>
        <c:grouping val="clustered"/>
        <c:varyColors val="1"/>
        <c:ser>
          <c:idx val="0"/>
          <c:order val="0"/>
          <c:tx>
            <c:strRef>
              <c:f>Pivot_RatingPerDepartment3Years!$B$4</c:f>
              <c:strCache>
                <c:ptCount val="1"/>
                <c:pt idx="0">
                  <c:v>Total</c:v>
                </c:pt>
              </c:strCache>
            </c:strRef>
          </c:tx>
          <c:spPr>
            <a:pattFill prst="ltUpDiag">
              <a:fgClr>
                <a:srgbClr val="0000CC"/>
              </a:fgClr>
              <a:bgClr>
                <a:srgbClr val="FFFFCC"/>
              </a:bgClr>
            </a:pattFill>
            <a:ln>
              <a:noFill/>
            </a:ln>
          </c:spPr>
          <c:invertIfNegative val="0"/>
          <c:dPt>
            <c:idx val="0"/>
            <c:invertIfNegative val="0"/>
            <c:bubble3D val="0"/>
            <c:spPr>
              <a:pattFill prst="ltUpDiag">
                <a:fgClr>
                  <a:srgbClr val="0000CC"/>
                </a:fgClr>
                <a:bgClr>
                  <a:srgbClr val="FFFFCC"/>
                </a:bgClr>
              </a:pattFill>
              <a:ln>
                <a:noFill/>
              </a:ln>
              <a:effectLst>
                <a:innerShdw blurRad="114300">
                  <a:schemeClr val="accent1"/>
                </a:innerShdw>
              </a:effectLst>
            </c:spPr>
            <c:extLst>
              <c:ext xmlns:c16="http://schemas.microsoft.com/office/drawing/2014/chart" uri="{C3380CC4-5D6E-409C-BE32-E72D297353CC}">
                <c16:uniqueId val="{00000001-7E33-497B-8716-F9E8148FD0E8}"/>
              </c:ext>
            </c:extLst>
          </c:dPt>
          <c:dPt>
            <c:idx val="1"/>
            <c:invertIfNegative val="0"/>
            <c:bubble3D val="0"/>
            <c:spPr>
              <a:pattFill prst="ltUpDiag">
                <a:fgClr>
                  <a:srgbClr val="0000CC"/>
                </a:fgClr>
                <a:bgClr>
                  <a:srgbClr val="FFFFCC"/>
                </a:bgClr>
              </a:pattFill>
              <a:ln>
                <a:noFill/>
              </a:ln>
              <a:effectLst>
                <a:innerShdw blurRad="114300">
                  <a:schemeClr val="accent2"/>
                </a:innerShdw>
              </a:effectLst>
            </c:spPr>
            <c:extLst>
              <c:ext xmlns:c16="http://schemas.microsoft.com/office/drawing/2014/chart" uri="{C3380CC4-5D6E-409C-BE32-E72D297353CC}">
                <c16:uniqueId val="{00000003-7E33-497B-8716-F9E8148FD0E8}"/>
              </c:ext>
            </c:extLst>
          </c:dPt>
          <c:dPt>
            <c:idx val="2"/>
            <c:invertIfNegative val="0"/>
            <c:bubble3D val="0"/>
            <c:spPr>
              <a:pattFill prst="ltUpDiag">
                <a:fgClr>
                  <a:srgbClr val="0000CC"/>
                </a:fgClr>
                <a:bgClr>
                  <a:srgbClr val="FFFFCC"/>
                </a:bgClr>
              </a:pattFill>
              <a:ln>
                <a:noFill/>
              </a:ln>
              <a:effectLst>
                <a:innerShdw blurRad="114300">
                  <a:schemeClr val="accent3"/>
                </a:innerShdw>
              </a:effectLst>
            </c:spPr>
            <c:extLst>
              <c:ext xmlns:c16="http://schemas.microsoft.com/office/drawing/2014/chart" uri="{C3380CC4-5D6E-409C-BE32-E72D297353CC}">
                <c16:uniqueId val="{00000005-7E33-497B-8716-F9E8148FD0E8}"/>
              </c:ext>
            </c:extLst>
          </c:dPt>
          <c:dPt>
            <c:idx val="3"/>
            <c:invertIfNegative val="0"/>
            <c:bubble3D val="0"/>
            <c:spPr>
              <a:pattFill prst="ltUpDiag">
                <a:fgClr>
                  <a:srgbClr val="0000CC"/>
                </a:fgClr>
                <a:bgClr>
                  <a:srgbClr val="FFFFCC"/>
                </a:bgClr>
              </a:pattFill>
              <a:ln>
                <a:noFill/>
              </a:ln>
              <a:effectLst>
                <a:innerShdw blurRad="114300">
                  <a:schemeClr val="accent4"/>
                </a:innerShdw>
              </a:effectLst>
            </c:spPr>
            <c:extLst>
              <c:ext xmlns:c16="http://schemas.microsoft.com/office/drawing/2014/chart" uri="{C3380CC4-5D6E-409C-BE32-E72D297353CC}">
                <c16:uniqueId val="{00000007-7E33-497B-8716-F9E8148FD0E8}"/>
              </c:ext>
            </c:extLst>
          </c:dPt>
          <c:dPt>
            <c:idx val="4"/>
            <c:invertIfNegative val="0"/>
            <c:bubble3D val="0"/>
            <c:spPr>
              <a:pattFill prst="ltUpDiag">
                <a:fgClr>
                  <a:srgbClr val="0000CC"/>
                </a:fgClr>
                <a:bgClr>
                  <a:srgbClr val="FFFFCC"/>
                </a:bgClr>
              </a:pattFill>
              <a:ln>
                <a:noFill/>
              </a:ln>
              <a:effectLst>
                <a:innerShdw blurRad="114300">
                  <a:schemeClr val="accent5"/>
                </a:innerShdw>
              </a:effectLst>
            </c:spPr>
            <c:extLst>
              <c:ext xmlns:c16="http://schemas.microsoft.com/office/drawing/2014/chart" uri="{C3380CC4-5D6E-409C-BE32-E72D297353CC}">
                <c16:uniqueId val="{00000009-7E33-497B-8716-F9E8148FD0E8}"/>
              </c:ext>
            </c:extLst>
          </c:dPt>
          <c:dPt>
            <c:idx val="5"/>
            <c:invertIfNegative val="0"/>
            <c:bubble3D val="0"/>
            <c:spPr>
              <a:pattFill prst="ltUpDiag">
                <a:fgClr>
                  <a:srgbClr val="0000CC"/>
                </a:fgClr>
                <a:bgClr>
                  <a:srgbClr val="FFFFCC"/>
                </a:bgClr>
              </a:pattFill>
              <a:ln>
                <a:noFill/>
              </a:ln>
              <a:effectLst>
                <a:innerShdw blurRad="114300">
                  <a:schemeClr val="accent6"/>
                </a:innerShdw>
              </a:effectLst>
            </c:spPr>
            <c:extLst>
              <c:ext xmlns:c16="http://schemas.microsoft.com/office/drawing/2014/chart" uri="{C3380CC4-5D6E-409C-BE32-E72D297353CC}">
                <c16:uniqueId val="{0000000B-7E33-497B-8716-F9E8148FD0E8}"/>
              </c:ext>
            </c:extLst>
          </c:dPt>
          <c:dPt>
            <c:idx val="6"/>
            <c:invertIfNegative val="0"/>
            <c:bubble3D val="0"/>
            <c:spPr>
              <a:pattFill prst="ltUpDiag">
                <a:fgClr>
                  <a:srgbClr val="0000CC"/>
                </a:fgClr>
                <a:bgClr>
                  <a:srgbClr val="FFFFCC"/>
                </a:bgClr>
              </a:pattFill>
              <a:ln>
                <a:noFill/>
              </a:ln>
              <a:effectLst>
                <a:innerShdw blurRad="114300">
                  <a:schemeClr val="accent1">
                    <a:lumMod val="60000"/>
                  </a:schemeClr>
                </a:innerShdw>
              </a:effectLst>
            </c:spPr>
            <c:extLst>
              <c:ext xmlns:c16="http://schemas.microsoft.com/office/drawing/2014/chart" uri="{C3380CC4-5D6E-409C-BE32-E72D297353CC}">
                <c16:uniqueId val="{0000000D-7E33-497B-8716-F9E8148FD0E8}"/>
              </c:ext>
            </c:extLst>
          </c:dPt>
          <c:dPt>
            <c:idx val="7"/>
            <c:invertIfNegative val="0"/>
            <c:bubble3D val="0"/>
            <c:spPr>
              <a:pattFill prst="ltUpDiag">
                <a:fgClr>
                  <a:srgbClr val="0000CC"/>
                </a:fgClr>
                <a:bgClr>
                  <a:srgbClr val="FFFFCC"/>
                </a:bgClr>
              </a:pattFill>
              <a:ln>
                <a:noFill/>
              </a:ln>
              <a:effectLst>
                <a:innerShdw blurRad="114300">
                  <a:schemeClr val="accent2">
                    <a:lumMod val="60000"/>
                  </a:schemeClr>
                </a:innerShdw>
              </a:effectLst>
            </c:spPr>
            <c:extLst>
              <c:ext xmlns:c16="http://schemas.microsoft.com/office/drawing/2014/chart" uri="{C3380CC4-5D6E-409C-BE32-E72D297353CC}">
                <c16:uniqueId val="{0000000F-211E-497B-BDAD-38F674A1505E}"/>
              </c:ext>
            </c:extLst>
          </c:dPt>
          <c:dPt>
            <c:idx val="8"/>
            <c:invertIfNegative val="0"/>
            <c:bubble3D val="0"/>
            <c:spPr>
              <a:pattFill prst="ltUpDiag">
                <a:fgClr>
                  <a:srgbClr val="0000CC"/>
                </a:fgClr>
                <a:bgClr>
                  <a:srgbClr val="FFFFCC"/>
                </a:bgClr>
              </a:pattFill>
              <a:ln>
                <a:noFill/>
              </a:ln>
              <a:effectLst>
                <a:innerShdw blurRad="114300">
                  <a:schemeClr val="accent3">
                    <a:lumMod val="60000"/>
                  </a:schemeClr>
                </a:innerShdw>
              </a:effectLst>
            </c:spPr>
            <c:extLst>
              <c:ext xmlns:c16="http://schemas.microsoft.com/office/drawing/2014/chart" uri="{C3380CC4-5D6E-409C-BE32-E72D297353CC}">
                <c16:uniqueId val="{00000011-211E-497B-BDAD-38F674A1505E}"/>
              </c:ext>
            </c:extLst>
          </c:dPt>
          <c:dPt>
            <c:idx val="9"/>
            <c:invertIfNegative val="0"/>
            <c:bubble3D val="0"/>
            <c:spPr>
              <a:pattFill prst="ltUpDiag">
                <a:fgClr>
                  <a:srgbClr val="0000CC"/>
                </a:fgClr>
                <a:bgClr>
                  <a:srgbClr val="FFFFCC"/>
                </a:bgClr>
              </a:pattFill>
              <a:ln>
                <a:noFill/>
              </a:ln>
              <a:effectLst>
                <a:innerShdw blurRad="114300">
                  <a:schemeClr val="accent4">
                    <a:lumMod val="60000"/>
                  </a:schemeClr>
                </a:innerShdw>
              </a:effectLst>
            </c:spPr>
            <c:extLst>
              <c:ext xmlns:c16="http://schemas.microsoft.com/office/drawing/2014/chart" uri="{C3380CC4-5D6E-409C-BE32-E72D297353CC}">
                <c16:uniqueId val="{00000013-211E-497B-BDAD-38F674A1505E}"/>
              </c:ext>
            </c:extLst>
          </c:dPt>
          <c:dPt>
            <c:idx val="10"/>
            <c:invertIfNegative val="0"/>
            <c:bubble3D val="0"/>
            <c:spPr>
              <a:pattFill prst="ltUpDiag">
                <a:fgClr>
                  <a:srgbClr val="0000CC"/>
                </a:fgClr>
                <a:bgClr>
                  <a:srgbClr val="FFFFCC"/>
                </a:bgClr>
              </a:pattFill>
              <a:ln>
                <a:noFill/>
              </a:ln>
              <a:effectLst>
                <a:innerShdw blurRad="114300">
                  <a:schemeClr val="accent5">
                    <a:lumMod val="60000"/>
                  </a:schemeClr>
                </a:innerShdw>
              </a:effectLst>
            </c:spPr>
            <c:extLst>
              <c:ext xmlns:c16="http://schemas.microsoft.com/office/drawing/2014/chart" uri="{C3380CC4-5D6E-409C-BE32-E72D297353CC}">
                <c16:uniqueId val="{00000015-211E-497B-BDAD-38F674A1505E}"/>
              </c:ext>
            </c:extLst>
          </c:dPt>
          <c:cat>
            <c:strRef>
              <c:f>Pivot_RatingPerDepartment3Years!$A$5:$A$6</c:f>
              <c:strCache>
                <c:ptCount val="1"/>
                <c:pt idx="0">
                  <c:v>Fo phones</c:v>
                </c:pt>
              </c:strCache>
            </c:strRef>
          </c:cat>
          <c:val>
            <c:numRef>
              <c:f>Pivot_RatingPerDepartment3Years!$B$5:$B$6</c:f>
              <c:numCache>
                <c:formatCode>0.00</c:formatCode>
                <c:ptCount val="1"/>
                <c:pt idx="0">
                  <c:v>7.625</c:v>
                </c:pt>
              </c:numCache>
            </c:numRef>
          </c:val>
          <c:extLst>
            <c:ext xmlns:c16="http://schemas.microsoft.com/office/drawing/2014/chart" uri="{C3380CC4-5D6E-409C-BE32-E72D297353CC}">
              <c16:uniqueId val="{00000000-9D66-47FD-BED5-A72A3837ECB9}"/>
            </c:ext>
          </c:extLst>
        </c:ser>
        <c:dLbls>
          <c:showLegendKey val="0"/>
          <c:showVal val="0"/>
          <c:showCatName val="0"/>
          <c:showSerName val="0"/>
          <c:showPercent val="0"/>
          <c:showBubbleSize val="0"/>
        </c:dLbls>
        <c:gapWidth val="100"/>
        <c:overlap val="-22"/>
        <c:axId val="549934200"/>
        <c:axId val="549940104"/>
      </c:barChart>
      <c:catAx>
        <c:axId val="549934200"/>
        <c:scaling>
          <c:orientation val="minMax"/>
        </c:scaling>
        <c:delete val="0"/>
        <c:axPos val="b"/>
        <c:minorGridlines>
          <c:spPr>
            <a:ln cmpd="sng">
              <a:solidFill>
                <a:schemeClr val="bg1">
                  <a:lumMod val="85000"/>
                  <a:alpha val="60000"/>
                </a:schemeClr>
              </a:solidFill>
              <a:prstDash val="dash"/>
            </a:ln>
            <a:effectLst/>
          </c:spPr>
        </c:minorGridlines>
        <c:numFmt formatCode="General" sourceLinked="1"/>
        <c:majorTickMark val="none"/>
        <c:minorTickMark val="none"/>
        <c:tickLblPos val="nextTo"/>
        <c:spPr>
          <a:noFill/>
          <a:ln w="9525" cap="flat" cmpd="sng" algn="ctr">
            <a:solidFill>
              <a:schemeClr val="bg1">
                <a:lumMod val="75000"/>
              </a:schemeClr>
            </a:solidFill>
            <a:round/>
          </a:ln>
          <a:effectLst/>
        </c:spPr>
        <c:txPr>
          <a:bodyPr rot="-2700000" spcFirstLastPara="1" vertOverflow="ellipsis" wrap="square" anchor="t"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549940104"/>
        <c:crosses val="autoZero"/>
        <c:auto val="1"/>
        <c:lblAlgn val="ctr"/>
        <c:lblOffset val="100"/>
        <c:noMultiLvlLbl val="0"/>
      </c:catAx>
      <c:valAx>
        <c:axId val="549940104"/>
        <c:scaling>
          <c:orientation val="minMax"/>
        </c:scaling>
        <c:delete val="0"/>
        <c:axPos val="l"/>
        <c:majorGridlines>
          <c:spPr>
            <a:ln>
              <a:solidFill>
                <a:schemeClr val="bg1">
                  <a:lumMod val="85000"/>
                  <a:alpha val="60000"/>
                </a:schemeClr>
              </a:solidFill>
              <a:prstDash val="dash"/>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49934200"/>
        <c:crosses val="autoZero"/>
        <c:crossBetween val="between"/>
        <c:majorUnit val="1"/>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[employee_performance_tracker_v2.1.xlsm]Pivot_Top10EmployeesOfAllTimes!PVTable5</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rgbClr val="0000CC"/>
            </a:fgClr>
            <a:bgClr>
              <a:srgbClr val="FFFFCC"/>
            </a:bgClr>
          </a:pattFill>
          <a:ln w="19050">
            <a:solidFill>
              <a:srgbClr val="FFFFCC"/>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pattFill prst="ltUpDiag">
            <a:fgClr>
              <a:srgbClr val="0000CC"/>
            </a:fgClr>
            <a:bgClr>
              <a:srgbClr val="FFFFCC"/>
            </a:bgClr>
          </a:pattFill>
          <a:ln w="19050">
            <a:solidFill>
              <a:srgbClr val="FFFFCC"/>
            </a:solidFill>
          </a:ln>
          <a:effectLst>
            <a:innerShdw blurRad="114300">
              <a:schemeClr val="accent1"/>
            </a:innerShdw>
          </a:effectLst>
        </c:spPr>
      </c:pivotFmt>
      <c:pivotFmt>
        <c:idx val="4"/>
        <c:spPr>
          <a:pattFill prst="ltUpDiag">
            <a:fgClr>
              <a:srgbClr val="0000CC"/>
            </a:fgClr>
            <a:bgClr>
              <a:srgbClr val="FFFFCC"/>
            </a:bgClr>
          </a:pattFill>
          <a:ln w="19050">
            <a:solidFill>
              <a:srgbClr val="FFFFCC"/>
            </a:solidFill>
          </a:ln>
          <a:effectLst>
            <a:innerShdw blurRad="114300">
              <a:schemeClr val="accent1"/>
            </a:innerShdw>
          </a:effectLst>
        </c:spPr>
      </c:pivotFmt>
      <c:pivotFmt>
        <c:idx val="5"/>
        <c:spPr>
          <a:pattFill prst="ltUpDiag">
            <a:fgClr>
              <a:srgbClr val="0000CC"/>
            </a:fgClr>
            <a:bgClr>
              <a:srgbClr val="FFFFCC"/>
            </a:bgClr>
          </a:pattFill>
          <a:ln w="19050">
            <a:solidFill>
              <a:srgbClr val="FFFFCC"/>
            </a:solidFill>
          </a:ln>
          <a:effectLst>
            <a:innerShdw blurRad="114300">
              <a:schemeClr val="accent1"/>
            </a:innerShdw>
          </a:effectLst>
        </c:spPr>
      </c:pivotFmt>
      <c:pivotFmt>
        <c:idx val="6"/>
        <c:spPr>
          <a:pattFill prst="ltUpDiag">
            <a:fgClr>
              <a:srgbClr val="0000CC"/>
            </a:fgClr>
            <a:bgClr>
              <a:srgbClr val="FFFFCC"/>
            </a:bgClr>
          </a:pattFill>
          <a:ln w="19050">
            <a:solidFill>
              <a:srgbClr val="FFFFCC"/>
            </a:solidFill>
          </a:ln>
          <a:effectLst>
            <a:innerShdw blurRad="114300">
              <a:schemeClr val="accent1"/>
            </a:innerShdw>
          </a:effectLst>
        </c:spPr>
      </c:pivotFmt>
      <c:pivotFmt>
        <c:idx val="7"/>
        <c:spPr>
          <a:pattFill prst="ltUpDiag">
            <a:fgClr>
              <a:srgbClr val="0000CC"/>
            </a:fgClr>
            <a:bgClr>
              <a:srgbClr val="FFFFCC"/>
            </a:bgClr>
          </a:pattFill>
          <a:ln w="19050">
            <a:solidFill>
              <a:srgbClr val="FFFFCC"/>
            </a:solidFill>
          </a:ln>
          <a:effectLst>
            <a:innerShdw blurRad="114300">
              <a:schemeClr val="accent1"/>
            </a:innerShdw>
          </a:effectLst>
        </c:spPr>
      </c:pivotFmt>
      <c:pivotFmt>
        <c:idx val="8"/>
        <c:spPr>
          <a:pattFill prst="ltUpDiag">
            <a:fgClr>
              <a:srgbClr val="0000CC"/>
            </a:fgClr>
            <a:bgClr>
              <a:srgbClr val="FFFFCC"/>
            </a:bgClr>
          </a:pattFill>
          <a:ln w="19050">
            <a:solidFill>
              <a:srgbClr val="FFFFCC"/>
            </a:solidFill>
          </a:ln>
          <a:effectLst>
            <a:innerShdw blurRad="114300">
              <a:schemeClr val="accent1"/>
            </a:innerShdw>
          </a:effectLst>
        </c:spPr>
      </c:pivotFmt>
      <c:pivotFmt>
        <c:idx val="9"/>
        <c:spPr>
          <a:pattFill prst="ltUpDiag">
            <a:fgClr>
              <a:srgbClr val="0000CC"/>
            </a:fgClr>
            <a:bgClr>
              <a:srgbClr val="FFFFCC"/>
            </a:bgClr>
          </a:pattFill>
          <a:ln w="19050">
            <a:solidFill>
              <a:srgbClr val="FFFFCC"/>
            </a:solidFill>
          </a:ln>
          <a:effectLst>
            <a:innerShdw blurRad="114300">
              <a:schemeClr val="accent1"/>
            </a:innerShdw>
          </a:effectLst>
        </c:spPr>
      </c:pivotFmt>
      <c:pivotFmt>
        <c:idx val="10"/>
        <c:spPr>
          <a:pattFill prst="ltUpDiag">
            <a:fgClr>
              <a:srgbClr val="0000CC"/>
            </a:fgClr>
            <a:bgClr>
              <a:srgbClr val="FFFFCC"/>
            </a:bgClr>
          </a:pattFill>
          <a:ln w="19050">
            <a:solidFill>
              <a:srgbClr val="FFFFCC"/>
            </a:solidFill>
          </a:ln>
          <a:effectLst>
            <a:innerShdw blurRad="114300">
              <a:schemeClr val="accent1"/>
            </a:innerShdw>
          </a:effectLst>
        </c:spPr>
      </c:pivotFmt>
      <c:pivotFmt>
        <c:idx val="11"/>
        <c:spPr>
          <a:pattFill prst="ltUpDiag">
            <a:fgClr>
              <a:srgbClr val="0000CC"/>
            </a:fgClr>
            <a:bgClr>
              <a:srgbClr val="FFFFCC"/>
            </a:bgClr>
          </a:pattFill>
          <a:ln w="19050">
            <a:solidFill>
              <a:srgbClr val="FFFFCC"/>
            </a:solidFill>
          </a:ln>
          <a:effectLst>
            <a:innerShdw blurRad="114300">
              <a:schemeClr val="accent1"/>
            </a:innerShdw>
          </a:effectLst>
        </c:spPr>
      </c:pivotFmt>
      <c:pivotFmt>
        <c:idx val="12"/>
        <c:spPr>
          <a:pattFill prst="ltUpDiag">
            <a:fgClr>
              <a:srgbClr val="0000CC"/>
            </a:fgClr>
            <a:bgClr>
              <a:srgbClr val="FFFFCC"/>
            </a:bgClr>
          </a:pattFill>
          <a:ln w="19050">
            <a:solidFill>
              <a:srgbClr val="FFFFCC"/>
            </a:solidFill>
          </a:ln>
          <a:effectLst>
            <a:innerShdw blurRad="114300">
              <a:schemeClr val="accent1"/>
            </a:innerShdw>
          </a:effectLst>
        </c:spPr>
      </c:pivotFmt>
      <c:pivotFmt>
        <c:idx val="13"/>
        <c:spPr>
          <a:pattFill prst="ltUpDiag">
            <a:fgClr>
              <a:srgbClr val="0000CC"/>
            </a:fgClr>
            <a:bgClr>
              <a:srgbClr val="FFFFCC"/>
            </a:bgClr>
          </a:pattFill>
          <a:ln w="19050">
            <a:solidFill>
              <a:srgbClr val="FFFFCC"/>
            </a:solidFill>
          </a:ln>
          <a:effectLst>
            <a:innerShdw blurRad="114300">
              <a:schemeClr val="accent1"/>
            </a:innerShdw>
          </a:effectLst>
        </c:spPr>
      </c:pivotFmt>
      <c:pivotFmt>
        <c:idx val="14"/>
        <c:spPr>
          <a:pattFill prst="ltUpDiag">
            <a:fgClr>
              <a:srgbClr val="0000CC"/>
            </a:fgClr>
            <a:bgClr>
              <a:srgbClr val="FFFFCC"/>
            </a:bgClr>
          </a:pattFill>
          <a:ln w="19050">
            <a:solidFill>
              <a:srgbClr val="FFFFCC"/>
            </a:solidFill>
          </a:ln>
          <a:effectLst>
            <a:innerShdw blurRad="114300">
              <a:schemeClr val="accent1"/>
            </a:innerShdw>
          </a:effectLst>
        </c:spPr>
      </c:pivotFmt>
      <c:pivotFmt>
        <c:idx val="15"/>
        <c:spPr>
          <a:pattFill prst="ltUpDiag">
            <a:fgClr>
              <a:srgbClr val="0000CC"/>
            </a:fgClr>
            <a:bgClr>
              <a:srgbClr val="FFFFCC"/>
            </a:bgClr>
          </a:pattFill>
          <a:ln w="19050">
            <a:solidFill>
              <a:srgbClr val="FFFFCC"/>
            </a:solidFill>
          </a:ln>
          <a:effectLst>
            <a:innerShdw blurRad="114300">
              <a:schemeClr val="accent1"/>
            </a:innerShdw>
          </a:effectLst>
        </c:spPr>
      </c:pivotFmt>
      <c:pivotFmt>
        <c:idx val="16"/>
        <c:spPr>
          <a:pattFill prst="ltUpDiag">
            <a:fgClr>
              <a:srgbClr val="0000CC"/>
            </a:fgClr>
            <a:bgClr>
              <a:srgbClr val="FFFFCC"/>
            </a:bgClr>
          </a:pattFill>
          <a:ln w="19050">
            <a:solidFill>
              <a:srgbClr val="FFFFCC"/>
            </a:solidFill>
          </a:ln>
          <a:effectLst>
            <a:innerShdw blurRad="114300">
              <a:schemeClr val="accent1"/>
            </a:innerShdw>
          </a:effectLst>
        </c:spPr>
      </c:pivotFmt>
      <c:pivotFmt>
        <c:idx val="17"/>
        <c:spPr>
          <a:pattFill prst="ltUpDiag">
            <a:fgClr>
              <a:srgbClr val="0000CC"/>
            </a:fgClr>
            <a:bgClr>
              <a:srgbClr val="FFFFCC"/>
            </a:bgClr>
          </a:pattFill>
          <a:ln w="19050">
            <a:solidFill>
              <a:srgbClr val="FFFFCC"/>
            </a:solidFill>
          </a:ln>
          <a:effectLst>
            <a:innerShdw blurRad="114300">
              <a:schemeClr val="accent1"/>
            </a:innerShdw>
          </a:effectLst>
        </c:spPr>
      </c:pivotFmt>
      <c:pivotFmt>
        <c:idx val="18"/>
        <c:spPr>
          <a:pattFill prst="ltUpDiag">
            <a:fgClr>
              <a:srgbClr val="0000CC"/>
            </a:fgClr>
            <a:bgClr>
              <a:srgbClr val="FFFFCC"/>
            </a:bgClr>
          </a:pattFill>
          <a:ln w="19050">
            <a:solidFill>
              <a:srgbClr val="FFFFCC"/>
            </a:solidFill>
          </a:ln>
          <a:effectLst>
            <a:innerShdw blurRad="114300">
              <a:schemeClr val="accent1"/>
            </a:innerShdw>
          </a:effectLst>
        </c:spPr>
      </c:pivotFmt>
    </c:pivotFmts>
    <c:plotArea>
      <c:layout/>
      <c:barChart>
        <c:barDir val="bar"/>
        <c:grouping val="clustered"/>
        <c:varyColors val="1"/>
        <c:ser>
          <c:idx val="0"/>
          <c:order val="0"/>
          <c:tx>
            <c:strRef>
              <c:f>Pivot_Top10EmployeesOfAllTimes!$B$3</c:f>
              <c:strCache>
                <c:ptCount val="1"/>
                <c:pt idx="0">
                  <c:v>Total</c:v>
                </c:pt>
              </c:strCache>
            </c:strRef>
          </c:tx>
          <c:spPr>
            <a:pattFill prst="ltUpDiag">
              <a:fgClr>
                <a:srgbClr val="0000CC"/>
              </a:fgClr>
              <a:bgClr>
                <a:srgbClr val="FFFFCC"/>
              </a:bgClr>
            </a:pattFill>
            <a:ln w="19050">
              <a:solidFill>
                <a:srgbClr val="FFFFCC"/>
              </a:solidFill>
            </a:ln>
          </c:spPr>
          <c:invertIfNegative val="0"/>
          <c:dPt>
            <c:idx val="0"/>
            <c:invertIfNegative val="0"/>
            <c:bubble3D val="0"/>
            <c:spPr>
              <a:pattFill prst="ltUpDiag">
                <a:fgClr>
                  <a:srgbClr val="0000CC"/>
                </a:fgClr>
                <a:bgClr>
                  <a:srgbClr val="FFFFCC"/>
                </a:bgClr>
              </a:pattFill>
              <a:ln w="19050">
                <a:solidFill>
                  <a:srgbClr val="FFFFCC"/>
                </a:solidFill>
              </a:ln>
              <a:effectLst>
                <a:innerShdw blurRad="114300">
                  <a:schemeClr val="accent1"/>
                </a:innerShdw>
              </a:effectLst>
            </c:spPr>
            <c:extLst>
              <c:ext xmlns:c16="http://schemas.microsoft.com/office/drawing/2014/chart" uri="{C3380CC4-5D6E-409C-BE32-E72D297353CC}">
                <c16:uniqueId val="{00000001-50FD-4F57-B4F9-587B89A7F0E5}"/>
              </c:ext>
            </c:extLst>
          </c:dPt>
          <c:dPt>
            <c:idx val="1"/>
            <c:invertIfNegative val="0"/>
            <c:bubble3D val="0"/>
            <c:spPr>
              <a:pattFill prst="ltUpDiag">
                <a:fgClr>
                  <a:srgbClr val="0000CC"/>
                </a:fgClr>
                <a:bgClr>
                  <a:srgbClr val="FFFFCC"/>
                </a:bgClr>
              </a:pattFill>
              <a:ln w="19050">
                <a:solidFill>
                  <a:srgbClr val="FFFFCC"/>
                </a:solidFill>
              </a:ln>
              <a:effectLst>
                <a:innerShdw blurRad="114300">
                  <a:schemeClr val="accent2"/>
                </a:innerShdw>
              </a:effectLst>
            </c:spPr>
            <c:extLst>
              <c:ext xmlns:c16="http://schemas.microsoft.com/office/drawing/2014/chart" uri="{C3380CC4-5D6E-409C-BE32-E72D297353CC}">
                <c16:uniqueId val="{00000003-50FD-4F57-B4F9-587B89A7F0E5}"/>
              </c:ext>
            </c:extLst>
          </c:dPt>
          <c:dPt>
            <c:idx val="2"/>
            <c:invertIfNegative val="0"/>
            <c:bubble3D val="0"/>
            <c:spPr>
              <a:pattFill prst="ltUpDiag">
                <a:fgClr>
                  <a:srgbClr val="0000CC"/>
                </a:fgClr>
                <a:bgClr>
                  <a:srgbClr val="FFFFCC"/>
                </a:bgClr>
              </a:pattFill>
              <a:ln w="19050">
                <a:solidFill>
                  <a:srgbClr val="FFFFCC"/>
                </a:solidFill>
              </a:ln>
              <a:effectLst>
                <a:innerShdw blurRad="114300">
                  <a:schemeClr val="accent3"/>
                </a:innerShdw>
              </a:effectLst>
            </c:spPr>
            <c:extLst>
              <c:ext xmlns:c16="http://schemas.microsoft.com/office/drawing/2014/chart" uri="{C3380CC4-5D6E-409C-BE32-E72D297353CC}">
                <c16:uniqueId val="{00000005-50FD-4F57-B4F9-587B89A7F0E5}"/>
              </c:ext>
            </c:extLst>
          </c:dPt>
          <c:dPt>
            <c:idx val="3"/>
            <c:invertIfNegative val="0"/>
            <c:bubble3D val="0"/>
            <c:spPr>
              <a:pattFill prst="ltUpDiag">
                <a:fgClr>
                  <a:srgbClr val="0000CC"/>
                </a:fgClr>
                <a:bgClr>
                  <a:srgbClr val="FFFFCC"/>
                </a:bgClr>
              </a:pattFill>
              <a:ln w="19050">
                <a:solidFill>
                  <a:srgbClr val="FFFFCC"/>
                </a:solidFill>
              </a:ln>
              <a:effectLst>
                <a:innerShdw blurRad="114300">
                  <a:schemeClr val="accent4"/>
                </a:innerShdw>
              </a:effectLst>
            </c:spPr>
            <c:extLst>
              <c:ext xmlns:c16="http://schemas.microsoft.com/office/drawing/2014/chart" uri="{C3380CC4-5D6E-409C-BE32-E72D297353CC}">
                <c16:uniqueId val="{00000007-50FD-4F57-B4F9-587B89A7F0E5}"/>
              </c:ext>
            </c:extLst>
          </c:dPt>
          <c:dPt>
            <c:idx val="4"/>
            <c:invertIfNegative val="0"/>
            <c:bubble3D val="0"/>
            <c:spPr>
              <a:pattFill prst="ltUpDiag">
                <a:fgClr>
                  <a:srgbClr val="0000CC"/>
                </a:fgClr>
                <a:bgClr>
                  <a:srgbClr val="FFFFCC"/>
                </a:bgClr>
              </a:pattFill>
              <a:ln w="19050">
                <a:solidFill>
                  <a:srgbClr val="FFFFCC"/>
                </a:solidFill>
              </a:ln>
              <a:effectLst>
                <a:innerShdw blurRad="114300">
                  <a:schemeClr val="accent5"/>
                </a:innerShdw>
              </a:effectLst>
            </c:spPr>
            <c:extLst>
              <c:ext xmlns:c16="http://schemas.microsoft.com/office/drawing/2014/chart" uri="{C3380CC4-5D6E-409C-BE32-E72D297353CC}">
                <c16:uniqueId val="{00000009-50FD-4F57-B4F9-587B89A7F0E5}"/>
              </c:ext>
            </c:extLst>
          </c:dPt>
          <c:dPt>
            <c:idx val="5"/>
            <c:invertIfNegative val="0"/>
            <c:bubble3D val="0"/>
            <c:spPr>
              <a:pattFill prst="ltUpDiag">
                <a:fgClr>
                  <a:srgbClr val="0000CC"/>
                </a:fgClr>
                <a:bgClr>
                  <a:srgbClr val="FFFFCC"/>
                </a:bgClr>
              </a:pattFill>
              <a:ln w="19050">
                <a:solidFill>
                  <a:srgbClr val="FFFFCC"/>
                </a:solidFill>
              </a:ln>
              <a:effectLst>
                <a:innerShdw blurRad="114300">
                  <a:schemeClr val="accent6"/>
                </a:innerShdw>
              </a:effectLst>
            </c:spPr>
            <c:extLst>
              <c:ext xmlns:c16="http://schemas.microsoft.com/office/drawing/2014/chart" uri="{C3380CC4-5D6E-409C-BE32-E72D297353CC}">
                <c16:uniqueId val="{0000000B-50FD-4F57-B4F9-587B89A7F0E5}"/>
              </c:ext>
            </c:extLst>
          </c:dPt>
          <c:dPt>
            <c:idx val="6"/>
            <c:invertIfNegative val="0"/>
            <c:bubble3D val="0"/>
            <c:spPr>
              <a:pattFill prst="ltUpDiag">
                <a:fgClr>
                  <a:srgbClr val="0000CC"/>
                </a:fgClr>
                <a:bgClr>
                  <a:srgbClr val="FFFFCC"/>
                </a:bgClr>
              </a:pattFill>
              <a:ln w="19050">
                <a:solidFill>
                  <a:srgbClr val="FFFFCC"/>
                </a:solidFill>
              </a:ln>
              <a:effectLst>
                <a:innerShdw blurRad="114300">
                  <a:schemeClr val="accent1">
                    <a:lumMod val="60000"/>
                  </a:schemeClr>
                </a:innerShdw>
              </a:effectLst>
            </c:spPr>
            <c:extLst>
              <c:ext xmlns:c16="http://schemas.microsoft.com/office/drawing/2014/chart" uri="{C3380CC4-5D6E-409C-BE32-E72D297353CC}">
                <c16:uniqueId val="{0000000D-50FD-4F57-B4F9-587B89A7F0E5}"/>
              </c:ext>
            </c:extLst>
          </c:dPt>
          <c:dPt>
            <c:idx val="7"/>
            <c:invertIfNegative val="0"/>
            <c:bubble3D val="0"/>
            <c:spPr>
              <a:pattFill prst="ltUpDiag">
                <a:fgClr>
                  <a:srgbClr val="0000CC"/>
                </a:fgClr>
                <a:bgClr>
                  <a:srgbClr val="FFFFCC"/>
                </a:bgClr>
              </a:pattFill>
              <a:ln w="19050">
                <a:solidFill>
                  <a:srgbClr val="FFFFCC"/>
                </a:solidFill>
              </a:ln>
              <a:effectLst>
                <a:innerShdw blurRad="114300">
                  <a:schemeClr val="accent2">
                    <a:lumMod val="60000"/>
                  </a:schemeClr>
                </a:innerShdw>
              </a:effectLst>
            </c:spPr>
            <c:extLst>
              <c:ext xmlns:c16="http://schemas.microsoft.com/office/drawing/2014/chart" uri="{C3380CC4-5D6E-409C-BE32-E72D297353CC}">
                <c16:uniqueId val="{0000000F-50FD-4F57-B4F9-587B89A7F0E5}"/>
              </c:ext>
            </c:extLst>
          </c:dPt>
          <c:dPt>
            <c:idx val="8"/>
            <c:invertIfNegative val="0"/>
            <c:bubble3D val="0"/>
            <c:spPr>
              <a:pattFill prst="ltUpDiag">
                <a:fgClr>
                  <a:srgbClr val="0000CC"/>
                </a:fgClr>
                <a:bgClr>
                  <a:srgbClr val="FFFFCC"/>
                </a:bgClr>
              </a:pattFill>
              <a:ln w="19050">
                <a:solidFill>
                  <a:srgbClr val="FFFFCC"/>
                </a:solidFill>
              </a:ln>
              <a:effectLst>
                <a:innerShdw blurRad="114300">
                  <a:schemeClr val="accent3">
                    <a:lumMod val="60000"/>
                  </a:schemeClr>
                </a:innerShdw>
              </a:effectLst>
            </c:spPr>
            <c:extLst>
              <c:ext xmlns:c16="http://schemas.microsoft.com/office/drawing/2014/chart" uri="{C3380CC4-5D6E-409C-BE32-E72D297353CC}">
                <c16:uniqueId val="{00000011-50FD-4F57-B4F9-587B89A7F0E5}"/>
              </c:ext>
            </c:extLst>
          </c:dPt>
          <c:dPt>
            <c:idx val="9"/>
            <c:invertIfNegative val="0"/>
            <c:bubble3D val="0"/>
            <c:spPr>
              <a:pattFill prst="ltUpDiag">
                <a:fgClr>
                  <a:srgbClr val="0000CC"/>
                </a:fgClr>
                <a:bgClr>
                  <a:srgbClr val="FFFFCC"/>
                </a:bgClr>
              </a:pattFill>
              <a:ln w="19050">
                <a:solidFill>
                  <a:srgbClr val="FFFFCC"/>
                </a:solidFill>
              </a:ln>
              <a:effectLst>
                <a:innerShdw blurRad="114300">
                  <a:schemeClr val="accent4">
                    <a:lumMod val="60000"/>
                  </a:schemeClr>
                </a:innerShdw>
              </a:effectLst>
            </c:spPr>
            <c:extLst>
              <c:ext xmlns:c16="http://schemas.microsoft.com/office/drawing/2014/chart" uri="{C3380CC4-5D6E-409C-BE32-E72D297353CC}">
                <c16:uniqueId val="{00000013-50FD-4F57-B4F9-587B89A7F0E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Pivot_Top10EmployeesOfAllTimes!$A$4</c:f>
              <c:strCache>
                <c:ptCount val="1"/>
                <c:pt idx="0">
                  <c:v>baker makaylin</c:v>
                </c:pt>
              </c:strCache>
            </c:strRef>
          </c:cat>
          <c:val>
            <c:numRef>
              <c:f>Pivot_Top10EmployeesOfAllTimes!$B$4</c:f>
              <c:numCache>
                <c:formatCode>0.00</c:formatCode>
                <c:ptCount val="1"/>
                <c:pt idx="0">
                  <c:v>7.625</c:v>
                </c:pt>
              </c:numCache>
            </c:numRef>
          </c:val>
          <c:extLst>
            <c:ext xmlns:c16="http://schemas.microsoft.com/office/drawing/2014/chart" uri="{C3380CC4-5D6E-409C-BE32-E72D297353CC}">
              <c16:uniqueId val="{00000000-C75B-4A4F-8F56-52F6402C529C}"/>
            </c:ext>
          </c:extLst>
        </c:ser>
        <c:dLbls>
          <c:dLblPos val="outEnd"/>
          <c:showLegendKey val="0"/>
          <c:showVal val="1"/>
          <c:showCatName val="0"/>
          <c:showSerName val="0"/>
          <c:showPercent val="0"/>
          <c:showBubbleSize val="0"/>
        </c:dLbls>
        <c:gapWidth val="75"/>
        <c:axId val="859582240"/>
        <c:axId val="859573056"/>
      </c:barChart>
      <c:catAx>
        <c:axId val="859582240"/>
        <c:scaling>
          <c:orientation val="minMax"/>
        </c:scaling>
        <c:delete val="0"/>
        <c:axPos val="l"/>
        <c:numFmt formatCode="General" sourceLinked="1"/>
        <c:majorTickMark val="none"/>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lgn="ctr">
              <a:defRPr lang="en-US" sz="900" b="0" i="0" u="none" strike="noStrike" kern="1200" baseline="0">
                <a:solidFill>
                  <a:sysClr val="windowText" lastClr="000000"/>
                </a:solidFill>
                <a:latin typeface="+mn-lt"/>
                <a:ea typeface="+mn-ea"/>
                <a:cs typeface="+mn-cs"/>
              </a:defRPr>
            </a:pPr>
            <a:endParaRPr lang="en-US"/>
          </a:p>
        </c:txPr>
        <c:crossAx val="859573056"/>
        <c:crosses val="autoZero"/>
        <c:auto val="1"/>
        <c:lblAlgn val="ctr"/>
        <c:lblOffset val="100"/>
        <c:noMultiLvlLbl val="0"/>
      </c:catAx>
      <c:valAx>
        <c:axId val="859573056"/>
        <c:scaling>
          <c:orientation val="minMax"/>
        </c:scaling>
        <c:delete val="1"/>
        <c:axPos val="b"/>
        <c:majorGridlines>
          <c:spPr>
            <a:ln>
              <a:solidFill>
                <a:schemeClr val="bg1">
                  <a:lumMod val="85000"/>
                  <a:alpha val="70000"/>
                </a:schemeClr>
              </a:solidFill>
              <a:prstDash val="dash"/>
            </a:ln>
            <a:effectLst/>
          </c:spPr>
        </c:majorGridlines>
        <c:numFmt formatCode="0.00" sourceLinked="1"/>
        <c:majorTickMark val="out"/>
        <c:minorTickMark val="none"/>
        <c:tickLblPos val="nextTo"/>
        <c:crossAx val="859582240"/>
        <c:crosses val="autoZero"/>
        <c:crossBetween val="between"/>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[employee_performance_tracker_v2.1.xlsm]Pivot_Top10EmployeesLastYear!PVTable6</c:name>
    <c:fmtId val="2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rgbClr val="0000CC"/>
            </a:fgClr>
            <a:bgClr>
              <a:srgbClr val="FFFFCC"/>
            </a:bgClr>
          </a:pattFill>
          <a:ln w="19050">
            <a:solidFill>
              <a:srgbClr val="FFFFCC"/>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pattFill prst="ltUpDiag">
            <a:fgClr>
              <a:srgbClr val="0000CC"/>
            </a:fgClr>
            <a:bgClr>
              <a:srgbClr val="FFFFCC"/>
            </a:bgClr>
          </a:pattFill>
          <a:ln w="19050">
            <a:solidFill>
              <a:srgbClr val="FFFFCC"/>
            </a:solidFill>
          </a:ln>
          <a:effectLst>
            <a:innerShdw blurRad="114300">
              <a:schemeClr val="accent1"/>
            </a:innerShdw>
          </a:effectLst>
        </c:spPr>
      </c:pivotFmt>
      <c:pivotFmt>
        <c:idx val="4"/>
        <c:spPr>
          <a:pattFill prst="ltUpDiag">
            <a:fgClr>
              <a:srgbClr val="0000CC"/>
            </a:fgClr>
            <a:bgClr>
              <a:srgbClr val="FFFFCC"/>
            </a:bgClr>
          </a:pattFill>
          <a:ln w="19050">
            <a:solidFill>
              <a:srgbClr val="FFFFCC"/>
            </a:solidFill>
          </a:ln>
          <a:effectLst>
            <a:innerShdw blurRad="114300">
              <a:schemeClr val="accent1"/>
            </a:innerShdw>
          </a:effectLst>
        </c:spPr>
      </c:pivotFmt>
      <c:pivotFmt>
        <c:idx val="5"/>
        <c:spPr>
          <a:pattFill prst="ltUpDiag">
            <a:fgClr>
              <a:srgbClr val="0000CC"/>
            </a:fgClr>
            <a:bgClr>
              <a:srgbClr val="FFFFCC"/>
            </a:bgClr>
          </a:pattFill>
          <a:ln w="19050">
            <a:solidFill>
              <a:srgbClr val="FFFFCC"/>
            </a:solidFill>
          </a:ln>
          <a:effectLst>
            <a:innerShdw blurRad="114300">
              <a:schemeClr val="accent1"/>
            </a:innerShdw>
          </a:effectLst>
        </c:spPr>
      </c:pivotFmt>
      <c:pivotFmt>
        <c:idx val="6"/>
        <c:spPr>
          <a:pattFill prst="ltUpDiag">
            <a:fgClr>
              <a:srgbClr val="0000CC"/>
            </a:fgClr>
            <a:bgClr>
              <a:srgbClr val="FFFFCC"/>
            </a:bgClr>
          </a:pattFill>
          <a:ln w="19050">
            <a:solidFill>
              <a:srgbClr val="FFFFCC"/>
            </a:solidFill>
          </a:ln>
          <a:effectLst>
            <a:innerShdw blurRad="114300">
              <a:schemeClr val="accent1"/>
            </a:innerShdw>
          </a:effectLst>
        </c:spPr>
      </c:pivotFmt>
      <c:pivotFmt>
        <c:idx val="7"/>
        <c:spPr>
          <a:pattFill prst="ltUpDiag">
            <a:fgClr>
              <a:srgbClr val="0000CC"/>
            </a:fgClr>
            <a:bgClr>
              <a:srgbClr val="FFFFCC"/>
            </a:bgClr>
          </a:pattFill>
          <a:ln w="19050">
            <a:solidFill>
              <a:srgbClr val="FFFFCC"/>
            </a:solidFill>
          </a:ln>
          <a:effectLst>
            <a:innerShdw blurRad="114300">
              <a:schemeClr val="accent1"/>
            </a:innerShdw>
          </a:effectLst>
        </c:spPr>
      </c:pivotFmt>
      <c:pivotFmt>
        <c:idx val="8"/>
        <c:spPr>
          <a:pattFill prst="ltUpDiag">
            <a:fgClr>
              <a:srgbClr val="0000CC"/>
            </a:fgClr>
            <a:bgClr>
              <a:srgbClr val="FFFFCC"/>
            </a:bgClr>
          </a:pattFill>
          <a:ln w="19050">
            <a:solidFill>
              <a:srgbClr val="FFFFCC"/>
            </a:solidFill>
          </a:ln>
          <a:effectLst>
            <a:innerShdw blurRad="114300">
              <a:schemeClr val="accent1"/>
            </a:innerShdw>
          </a:effectLst>
        </c:spPr>
      </c:pivotFmt>
      <c:pivotFmt>
        <c:idx val="9"/>
        <c:spPr>
          <a:pattFill prst="ltUpDiag">
            <a:fgClr>
              <a:srgbClr val="0000CC"/>
            </a:fgClr>
            <a:bgClr>
              <a:srgbClr val="FFFFCC"/>
            </a:bgClr>
          </a:pattFill>
          <a:ln w="19050">
            <a:solidFill>
              <a:srgbClr val="FFFFCC"/>
            </a:solidFill>
          </a:ln>
          <a:effectLst>
            <a:innerShdw blurRad="114300">
              <a:schemeClr val="accent1"/>
            </a:innerShdw>
          </a:effectLst>
        </c:spPr>
      </c:pivotFmt>
      <c:pivotFmt>
        <c:idx val="10"/>
        <c:spPr>
          <a:pattFill prst="ltUpDiag">
            <a:fgClr>
              <a:srgbClr val="0000CC"/>
            </a:fgClr>
            <a:bgClr>
              <a:srgbClr val="FFFFCC"/>
            </a:bgClr>
          </a:pattFill>
          <a:ln w="19050">
            <a:solidFill>
              <a:srgbClr val="FFFFCC"/>
            </a:solidFill>
          </a:ln>
          <a:effectLst>
            <a:innerShdw blurRad="114300">
              <a:schemeClr val="accent1"/>
            </a:innerShdw>
          </a:effectLst>
        </c:spPr>
      </c:pivotFmt>
      <c:pivotFmt>
        <c:idx val="11"/>
        <c:spPr>
          <a:pattFill prst="ltUpDiag">
            <a:fgClr>
              <a:srgbClr val="0000CC"/>
            </a:fgClr>
            <a:bgClr>
              <a:srgbClr val="FFFFCC"/>
            </a:bgClr>
          </a:pattFill>
          <a:ln w="19050">
            <a:solidFill>
              <a:srgbClr val="FFFFCC"/>
            </a:solidFill>
          </a:ln>
          <a:effectLst>
            <a:innerShdw blurRad="114300">
              <a:schemeClr val="accent1"/>
            </a:innerShdw>
          </a:effectLst>
        </c:spPr>
      </c:pivotFmt>
      <c:pivotFmt>
        <c:idx val="12"/>
        <c:spPr>
          <a:pattFill prst="ltUpDiag">
            <a:fgClr>
              <a:srgbClr val="0000CC"/>
            </a:fgClr>
            <a:bgClr>
              <a:srgbClr val="FFFFCC"/>
            </a:bgClr>
          </a:pattFill>
          <a:ln w="19050">
            <a:solidFill>
              <a:srgbClr val="FFFFCC"/>
            </a:solidFill>
          </a:ln>
          <a:effectLst>
            <a:innerShdw blurRad="114300">
              <a:schemeClr val="accent1"/>
            </a:innerShdw>
          </a:effectLst>
        </c:spPr>
      </c:pivotFmt>
      <c:pivotFmt>
        <c:idx val="13"/>
        <c:spPr>
          <a:pattFill prst="ltUpDiag">
            <a:fgClr>
              <a:srgbClr val="0000CC"/>
            </a:fgClr>
            <a:bgClr>
              <a:srgbClr val="FFFFCC"/>
            </a:bgClr>
          </a:pattFill>
          <a:ln w="19050">
            <a:solidFill>
              <a:srgbClr val="FFFFCC"/>
            </a:solidFill>
          </a:ln>
          <a:effectLst>
            <a:innerShdw blurRad="114300">
              <a:schemeClr val="accent1"/>
            </a:innerShdw>
          </a:effectLst>
        </c:spPr>
      </c:pivotFmt>
      <c:pivotFmt>
        <c:idx val="14"/>
        <c:spPr>
          <a:pattFill prst="ltUpDiag">
            <a:fgClr>
              <a:srgbClr val="0000CC"/>
            </a:fgClr>
            <a:bgClr>
              <a:srgbClr val="FFFFCC"/>
            </a:bgClr>
          </a:pattFill>
          <a:ln w="19050">
            <a:solidFill>
              <a:srgbClr val="FFFFCC"/>
            </a:solidFill>
          </a:ln>
          <a:effectLst>
            <a:innerShdw blurRad="114300">
              <a:schemeClr val="accent1"/>
            </a:innerShdw>
          </a:effectLst>
        </c:spPr>
      </c:pivotFmt>
      <c:pivotFmt>
        <c:idx val="15"/>
        <c:spPr>
          <a:pattFill prst="ltUpDiag">
            <a:fgClr>
              <a:srgbClr val="0000CC"/>
            </a:fgClr>
            <a:bgClr>
              <a:srgbClr val="FFFFCC"/>
            </a:bgClr>
          </a:pattFill>
          <a:ln w="19050">
            <a:solidFill>
              <a:srgbClr val="FFFFCC"/>
            </a:solidFill>
          </a:ln>
          <a:effectLst>
            <a:innerShdw blurRad="114300">
              <a:schemeClr val="accent1"/>
            </a:innerShdw>
          </a:effectLst>
        </c:spPr>
      </c:pivotFmt>
      <c:pivotFmt>
        <c:idx val="16"/>
        <c:spPr>
          <a:pattFill prst="ltUpDiag">
            <a:fgClr>
              <a:srgbClr val="0000CC"/>
            </a:fgClr>
            <a:bgClr>
              <a:srgbClr val="FFFFCC"/>
            </a:bgClr>
          </a:pattFill>
          <a:ln w="19050">
            <a:solidFill>
              <a:srgbClr val="FFFFCC"/>
            </a:solidFill>
          </a:ln>
          <a:effectLst>
            <a:innerShdw blurRad="114300">
              <a:schemeClr val="accent1"/>
            </a:innerShdw>
          </a:effectLst>
        </c:spPr>
      </c:pivotFmt>
      <c:pivotFmt>
        <c:idx val="17"/>
        <c:spPr>
          <a:pattFill prst="ltUpDiag">
            <a:fgClr>
              <a:srgbClr val="0000CC"/>
            </a:fgClr>
            <a:bgClr>
              <a:srgbClr val="FFFFCC"/>
            </a:bgClr>
          </a:pattFill>
          <a:ln w="19050">
            <a:solidFill>
              <a:srgbClr val="FFFFCC"/>
            </a:solidFill>
          </a:ln>
          <a:effectLst>
            <a:innerShdw blurRad="114300">
              <a:schemeClr val="accent1"/>
            </a:innerShdw>
          </a:effectLst>
        </c:spPr>
      </c:pivotFmt>
      <c:pivotFmt>
        <c:idx val="18"/>
        <c:spPr>
          <a:pattFill prst="ltUpDiag">
            <a:fgClr>
              <a:srgbClr val="0000CC"/>
            </a:fgClr>
            <a:bgClr>
              <a:srgbClr val="FFFFCC"/>
            </a:bgClr>
          </a:pattFill>
          <a:ln w="19050">
            <a:solidFill>
              <a:srgbClr val="FFFFCC"/>
            </a:solidFill>
          </a:ln>
          <a:effectLst>
            <a:innerShdw blurRad="114300">
              <a:schemeClr val="accent1"/>
            </a:innerShdw>
          </a:effectLst>
        </c:spPr>
      </c:pivotFmt>
    </c:pivotFmts>
    <c:plotArea>
      <c:layout/>
      <c:barChart>
        <c:barDir val="bar"/>
        <c:grouping val="clustered"/>
        <c:varyColors val="1"/>
        <c:ser>
          <c:idx val="0"/>
          <c:order val="0"/>
          <c:tx>
            <c:strRef>
              <c:f>Pivot_Top10EmployeesLastYear!$B$4</c:f>
              <c:strCache>
                <c:ptCount val="1"/>
                <c:pt idx="0">
                  <c:v>Total</c:v>
                </c:pt>
              </c:strCache>
            </c:strRef>
          </c:tx>
          <c:spPr>
            <a:pattFill prst="ltUpDiag">
              <a:fgClr>
                <a:srgbClr val="0000CC"/>
              </a:fgClr>
              <a:bgClr>
                <a:srgbClr val="FFFFCC"/>
              </a:bgClr>
            </a:pattFill>
            <a:ln w="19050">
              <a:solidFill>
                <a:srgbClr val="FFFFCC"/>
              </a:solidFill>
            </a:ln>
          </c:spPr>
          <c:invertIfNegative val="0"/>
          <c:dPt>
            <c:idx val="0"/>
            <c:invertIfNegative val="0"/>
            <c:bubble3D val="0"/>
            <c:spPr>
              <a:pattFill prst="ltUpDiag">
                <a:fgClr>
                  <a:srgbClr val="0000CC"/>
                </a:fgClr>
                <a:bgClr>
                  <a:srgbClr val="FFFFCC"/>
                </a:bgClr>
              </a:pattFill>
              <a:ln w="19050">
                <a:solidFill>
                  <a:srgbClr val="FFFFCC"/>
                </a:solidFill>
              </a:ln>
              <a:effectLst>
                <a:innerShdw blurRad="114300">
                  <a:schemeClr val="accent1"/>
                </a:innerShdw>
              </a:effectLst>
            </c:spPr>
            <c:extLst>
              <c:ext xmlns:c16="http://schemas.microsoft.com/office/drawing/2014/chart" uri="{C3380CC4-5D6E-409C-BE32-E72D297353CC}">
                <c16:uniqueId val="{00000001-9869-450D-BEF1-1EE1DFB71FE6}"/>
              </c:ext>
            </c:extLst>
          </c:dPt>
          <c:dPt>
            <c:idx val="1"/>
            <c:invertIfNegative val="0"/>
            <c:bubble3D val="0"/>
            <c:spPr>
              <a:pattFill prst="ltUpDiag">
                <a:fgClr>
                  <a:srgbClr val="0000CC"/>
                </a:fgClr>
                <a:bgClr>
                  <a:srgbClr val="FFFFCC"/>
                </a:bgClr>
              </a:pattFill>
              <a:ln w="19050">
                <a:solidFill>
                  <a:srgbClr val="FFFFCC"/>
                </a:solidFill>
              </a:ln>
              <a:effectLst>
                <a:innerShdw blurRad="114300">
                  <a:schemeClr val="accent2"/>
                </a:innerShdw>
              </a:effectLst>
            </c:spPr>
            <c:extLst>
              <c:ext xmlns:c16="http://schemas.microsoft.com/office/drawing/2014/chart" uri="{C3380CC4-5D6E-409C-BE32-E72D297353CC}">
                <c16:uniqueId val="{00000003-9869-450D-BEF1-1EE1DFB71FE6}"/>
              </c:ext>
            </c:extLst>
          </c:dPt>
          <c:dPt>
            <c:idx val="2"/>
            <c:invertIfNegative val="0"/>
            <c:bubble3D val="0"/>
            <c:spPr>
              <a:pattFill prst="ltUpDiag">
                <a:fgClr>
                  <a:srgbClr val="0000CC"/>
                </a:fgClr>
                <a:bgClr>
                  <a:srgbClr val="FFFFCC"/>
                </a:bgClr>
              </a:pattFill>
              <a:ln w="19050">
                <a:solidFill>
                  <a:srgbClr val="FFFFCC"/>
                </a:solidFill>
              </a:ln>
              <a:effectLst>
                <a:innerShdw blurRad="114300">
                  <a:schemeClr val="accent3"/>
                </a:innerShdw>
              </a:effectLst>
            </c:spPr>
            <c:extLst>
              <c:ext xmlns:c16="http://schemas.microsoft.com/office/drawing/2014/chart" uri="{C3380CC4-5D6E-409C-BE32-E72D297353CC}">
                <c16:uniqueId val="{00000005-9869-450D-BEF1-1EE1DFB71FE6}"/>
              </c:ext>
            </c:extLst>
          </c:dPt>
          <c:dPt>
            <c:idx val="3"/>
            <c:invertIfNegative val="0"/>
            <c:bubble3D val="0"/>
            <c:spPr>
              <a:pattFill prst="ltUpDiag">
                <a:fgClr>
                  <a:srgbClr val="0000CC"/>
                </a:fgClr>
                <a:bgClr>
                  <a:srgbClr val="FFFFCC"/>
                </a:bgClr>
              </a:pattFill>
              <a:ln w="19050">
                <a:solidFill>
                  <a:srgbClr val="FFFFCC"/>
                </a:solidFill>
              </a:ln>
              <a:effectLst>
                <a:innerShdw blurRad="114300">
                  <a:schemeClr val="accent4"/>
                </a:innerShdw>
              </a:effectLst>
            </c:spPr>
            <c:extLst>
              <c:ext xmlns:c16="http://schemas.microsoft.com/office/drawing/2014/chart" uri="{C3380CC4-5D6E-409C-BE32-E72D297353CC}">
                <c16:uniqueId val="{00000007-9869-450D-BEF1-1EE1DFB71FE6}"/>
              </c:ext>
            </c:extLst>
          </c:dPt>
          <c:dPt>
            <c:idx val="4"/>
            <c:invertIfNegative val="0"/>
            <c:bubble3D val="0"/>
            <c:spPr>
              <a:pattFill prst="ltUpDiag">
                <a:fgClr>
                  <a:srgbClr val="0000CC"/>
                </a:fgClr>
                <a:bgClr>
                  <a:srgbClr val="FFFFCC"/>
                </a:bgClr>
              </a:pattFill>
              <a:ln w="19050">
                <a:solidFill>
                  <a:srgbClr val="FFFFCC"/>
                </a:solidFill>
              </a:ln>
              <a:effectLst>
                <a:innerShdw blurRad="114300">
                  <a:schemeClr val="accent5"/>
                </a:innerShdw>
              </a:effectLst>
            </c:spPr>
            <c:extLst>
              <c:ext xmlns:c16="http://schemas.microsoft.com/office/drawing/2014/chart" uri="{C3380CC4-5D6E-409C-BE32-E72D297353CC}">
                <c16:uniqueId val="{00000009-9869-450D-BEF1-1EE1DFB71FE6}"/>
              </c:ext>
            </c:extLst>
          </c:dPt>
          <c:dPt>
            <c:idx val="5"/>
            <c:invertIfNegative val="0"/>
            <c:bubble3D val="0"/>
            <c:spPr>
              <a:pattFill prst="ltUpDiag">
                <a:fgClr>
                  <a:srgbClr val="0000CC"/>
                </a:fgClr>
                <a:bgClr>
                  <a:srgbClr val="FFFFCC"/>
                </a:bgClr>
              </a:pattFill>
              <a:ln w="19050">
                <a:solidFill>
                  <a:srgbClr val="FFFFCC"/>
                </a:solidFill>
              </a:ln>
              <a:effectLst>
                <a:innerShdw blurRad="114300">
                  <a:schemeClr val="accent6"/>
                </a:innerShdw>
              </a:effectLst>
            </c:spPr>
            <c:extLst>
              <c:ext xmlns:c16="http://schemas.microsoft.com/office/drawing/2014/chart" uri="{C3380CC4-5D6E-409C-BE32-E72D297353CC}">
                <c16:uniqueId val="{0000000B-9869-450D-BEF1-1EE1DFB71FE6}"/>
              </c:ext>
            </c:extLst>
          </c:dPt>
          <c:dPt>
            <c:idx val="6"/>
            <c:invertIfNegative val="0"/>
            <c:bubble3D val="0"/>
            <c:spPr>
              <a:pattFill prst="ltUpDiag">
                <a:fgClr>
                  <a:srgbClr val="0000CC"/>
                </a:fgClr>
                <a:bgClr>
                  <a:srgbClr val="FFFFCC"/>
                </a:bgClr>
              </a:pattFill>
              <a:ln w="19050">
                <a:solidFill>
                  <a:srgbClr val="FFFFCC"/>
                </a:solidFill>
              </a:ln>
              <a:effectLst>
                <a:innerShdw blurRad="114300">
                  <a:schemeClr val="accent1">
                    <a:lumMod val="60000"/>
                  </a:schemeClr>
                </a:innerShdw>
              </a:effectLst>
            </c:spPr>
            <c:extLst>
              <c:ext xmlns:c16="http://schemas.microsoft.com/office/drawing/2014/chart" uri="{C3380CC4-5D6E-409C-BE32-E72D297353CC}">
                <c16:uniqueId val="{0000000D-9869-450D-BEF1-1EE1DFB71FE6}"/>
              </c:ext>
            </c:extLst>
          </c:dPt>
          <c:dPt>
            <c:idx val="7"/>
            <c:invertIfNegative val="0"/>
            <c:bubble3D val="0"/>
            <c:spPr>
              <a:pattFill prst="ltUpDiag">
                <a:fgClr>
                  <a:srgbClr val="0000CC"/>
                </a:fgClr>
                <a:bgClr>
                  <a:srgbClr val="FFFFCC"/>
                </a:bgClr>
              </a:pattFill>
              <a:ln w="19050">
                <a:solidFill>
                  <a:srgbClr val="FFFFCC"/>
                </a:solidFill>
              </a:ln>
              <a:effectLst>
                <a:innerShdw blurRad="114300">
                  <a:schemeClr val="accent2">
                    <a:lumMod val="60000"/>
                  </a:schemeClr>
                </a:innerShdw>
              </a:effectLst>
            </c:spPr>
            <c:extLst>
              <c:ext xmlns:c16="http://schemas.microsoft.com/office/drawing/2014/chart" uri="{C3380CC4-5D6E-409C-BE32-E72D297353CC}">
                <c16:uniqueId val="{0000000F-9869-450D-BEF1-1EE1DFB71FE6}"/>
              </c:ext>
            </c:extLst>
          </c:dPt>
          <c:dPt>
            <c:idx val="8"/>
            <c:invertIfNegative val="0"/>
            <c:bubble3D val="0"/>
            <c:spPr>
              <a:pattFill prst="ltUpDiag">
                <a:fgClr>
                  <a:srgbClr val="0000CC"/>
                </a:fgClr>
                <a:bgClr>
                  <a:srgbClr val="FFFFCC"/>
                </a:bgClr>
              </a:pattFill>
              <a:ln w="19050">
                <a:solidFill>
                  <a:srgbClr val="FFFFCC"/>
                </a:solidFill>
              </a:ln>
              <a:effectLst>
                <a:innerShdw blurRad="114300">
                  <a:schemeClr val="accent3">
                    <a:lumMod val="60000"/>
                  </a:schemeClr>
                </a:innerShdw>
              </a:effectLst>
            </c:spPr>
            <c:extLst>
              <c:ext xmlns:c16="http://schemas.microsoft.com/office/drawing/2014/chart" uri="{C3380CC4-5D6E-409C-BE32-E72D297353CC}">
                <c16:uniqueId val="{00000011-9869-450D-BEF1-1EE1DFB71FE6}"/>
              </c:ext>
            </c:extLst>
          </c:dPt>
          <c:dPt>
            <c:idx val="9"/>
            <c:invertIfNegative val="0"/>
            <c:bubble3D val="0"/>
            <c:spPr>
              <a:pattFill prst="ltUpDiag">
                <a:fgClr>
                  <a:srgbClr val="0000CC"/>
                </a:fgClr>
                <a:bgClr>
                  <a:srgbClr val="FFFFCC"/>
                </a:bgClr>
              </a:pattFill>
              <a:ln w="19050">
                <a:solidFill>
                  <a:srgbClr val="FFFFCC"/>
                </a:solidFill>
              </a:ln>
              <a:effectLst>
                <a:innerShdw blurRad="114300">
                  <a:schemeClr val="accent4">
                    <a:lumMod val="60000"/>
                  </a:schemeClr>
                </a:innerShdw>
              </a:effectLst>
            </c:spPr>
            <c:extLst>
              <c:ext xmlns:c16="http://schemas.microsoft.com/office/drawing/2014/chart" uri="{C3380CC4-5D6E-409C-BE32-E72D297353CC}">
                <c16:uniqueId val="{00000013-9869-450D-BEF1-1EE1DFB71FE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Pivot_Top10EmployeesLastYear!$A$5</c:f>
              <c:strCache>
                <c:ptCount val="1"/>
                <c:pt idx="0">
                  <c:v>baker makaylin</c:v>
                </c:pt>
              </c:strCache>
            </c:strRef>
          </c:cat>
          <c:val>
            <c:numRef>
              <c:f>Pivot_Top10EmployeesLastYear!$B$5</c:f>
              <c:numCache>
                <c:formatCode>0.00</c:formatCode>
                <c:ptCount val="1"/>
                <c:pt idx="0">
                  <c:v>7.625</c:v>
                </c:pt>
              </c:numCache>
            </c:numRef>
          </c:val>
          <c:extLst>
            <c:ext xmlns:c16="http://schemas.microsoft.com/office/drawing/2014/chart" uri="{C3380CC4-5D6E-409C-BE32-E72D297353CC}">
              <c16:uniqueId val="{00000000-46DD-4ED4-9056-7A320CE9DB65}"/>
            </c:ext>
          </c:extLst>
        </c:ser>
        <c:dLbls>
          <c:dLblPos val="outEnd"/>
          <c:showLegendKey val="0"/>
          <c:showVal val="1"/>
          <c:showCatName val="0"/>
          <c:showSerName val="0"/>
          <c:showPercent val="0"/>
          <c:showBubbleSize val="0"/>
        </c:dLbls>
        <c:gapWidth val="75"/>
        <c:axId val="414090488"/>
        <c:axId val="414086880"/>
      </c:barChart>
      <c:catAx>
        <c:axId val="414090488"/>
        <c:scaling>
          <c:orientation val="minMax"/>
        </c:scaling>
        <c:delete val="0"/>
        <c:axPos val="l"/>
        <c:numFmt formatCode="General" sourceLinked="1"/>
        <c:majorTickMark val="none"/>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lgn="ctr">
              <a:defRPr lang="en-US" sz="900" b="0" i="0" u="none" strike="noStrike" kern="1200" baseline="0">
                <a:solidFill>
                  <a:sysClr val="windowText" lastClr="000000"/>
                </a:solidFill>
                <a:latin typeface="+mn-lt"/>
                <a:ea typeface="+mn-ea"/>
                <a:cs typeface="+mn-cs"/>
              </a:defRPr>
            </a:pPr>
            <a:endParaRPr lang="en-US"/>
          </a:p>
        </c:txPr>
        <c:crossAx val="414086880"/>
        <c:crosses val="autoZero"/>
        <c:auto val="1"/>
        <c:lblAlgn val="ctr"/>
        <c:lblOffset val="100"/>
        <c:noMultiLvlLbl val="1"/>
      </c:catAx>
      <c:valAx>
        <c:axId val="414086880"/>
        <c:scaling>
          <c:orientation val="minMax"/>
        </c:scaling>
        <c:delete val="1"/>
        <c:axPos val="b"/>
        <c:majorGridlines>
          <c:spPr>
            <a:ln>
              <a:solidFill>
                <a:schemeClr val="bg1">
                  <a:lumMod val="85000"/>
                  <a:alpha val="70000"/>
                </a:schemeClr>
              </a:solidFill>
              <a:prstDash val="dash"/>
            </a:ln>
            <a:effectLst/>
          </c:spPr>
        </c:majorGridlines>
        <c:numFmt formatCode="0" sourceLinked="0"/>
        <c:majorTickMark val="out"/>
        <c:minorTickMark val="none"/>
        <c:tickLblPos val="nextTo"/>
        <c:crossAx val="414090488"/>
        <c:crosses val="autoZero"/>
        <c:crossBetween val="between"/>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[employee_performance_tracker_v2.1.xlsm]Pivot_Top10DepartmentsOfAllTime!PVTable2</c:name>
    <c:fmtId val="2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rgbClr val="0000CC"/>
            </a:fgClr>
            <a:bgClr>
              <a:srgbClr val="FFFFCC"/>
            </a:bgClr>
          </a:pattFill>
          <a:ln w="19050">
            <a:solidFill>
              <a:srgbClr val="FFFFCC"/>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pattFill prst="ltUpDiag">
            <a:fgClr>
              <a:srgbClr val="0000CC"/>
            </a:fgClr>
            <a:bgClr>
              <a:srgbClr val="FFFFCC"/>
            </a:bgClr>
          </a:pattFill>
          <a:ln w="19050">
            <a:solidFill>
              <a:srgbClr val="FFFFCC"/>
            </a:solidFill>
          </a:ln>
          <a:effectLst>
            <a:innerShdw blurRad="114300">
              <a:schemeClr val="accent1"/>
            </a:innerShdw>
          </a:effectLst>
        </c:spPr>
      </c:pivotFmt>
      <c:pivotFmt>
        <c:idx val="4"/>
        <c:spPr>
          <a:pattFill prst="ltUpDiag">
            <a:fgClr>
              <a:srgbClr val="0000CC"/>
            </a:fgClr>
            <a:bgClr>
              <a:srgbClr val="FFFFCC"/>
            </a:bgClr>
          </a:pattFill>
          <a:ln w="19050">
            <a:solidFill>
              <a:srgbClr val="FFFFCC"/>
            </a:solidFill>
          </a:ln>
          <a:effectLst>
            <a:innerShdw blurRad="114300">
              <a:schemeClr val="accent1"/>
            </a:innerShdw>
          </a:effectLst>
        </c:spPr>
      </c:pivotFmt>
      <c:pivotFmt>
        <c:idx val="5"/>
        <c:spPr>
          <a:pattFill prst="ltUpDiag">
            <a:fgClr>
              <a:srgbClr val="0000CC"/>
            </a:fgClr>
            <a:bgClr>
              <a:srgbClr val="FFFFCC"/>
            </a:bgClr>
          </a:pattFill>
          <a:ln w="19050">
            <a:solidFill>
              <a:srgbClr val="FFFFCC"/>
            </a:solidFill>
          </a:ln>
          <a:effectLst>
            <a:innerShdw blurRad="114300">
              <a:schemeClr val="accent1"/>
            </a:innerShdw>
          </a:effectLst>
        </c:spPr>
      </c:pivotFmt>
      <c:pivotFmt>
        <c:idx val="6"/>
        <c:spPr>
          <a:pattFill prst="ltUpDiag">
            <a:fgClr>
              <a:srgbClr val="0000CC"/>
            </a:fgClr>
            <a:bgClr>
              <a:srgbClr val="FFFFCC"/>
            </a:bgClr>
          </a:pattFill>
          <a:ln w="19050">
            <a:solidFill>
              <a:srgbClr val="FFFFCC"/>
            </a:solidFill>
          </a:ln>
          <a:effectLst>
            <a:innerShdw blurRad="114300">
              <a:schemeClr val="accent1"/>
            </a:innerShdw>
          </a:effectLst>
        </c:spPr>
      </c:pivotFmt>
      <c:pivotFmt>
        <c:idx val="7"/>
        <c:spPr>
          <a:pattFill prst="ltUpDiag">
            <a:fgClr>
              <a:srgbClr val="0000CC"/>
            </a:fgClr>
            <a:bgClr>
              <a:srgbClr val="FFFFCC"/>
            </a:bgClr>
          </a:pattFill>
          <a:ln w="19050">
            <a:solidFill>
              <a:srgbClr val="FFFFCC"/>
            </a:solidFill>
          </a:ln>
          <a:effectLst>
            <a:innerShdw blurRad="114300">
              <a:schemeClr val="accent1"/>
            </a:innerShdw>
          </a:effectLst>
        </c:spPr>
      </c:pivotFmt>
      <c:pivotFmt>
        <c:idx val="8"/>
        <c:spPr>
          <a:pattFill prst="ltUpDiag">
            <a:fgClr>
              <a:srgbClr val="0000CC"/>
            </a:fgClr>
            <a:bgClr>
              <a:srgbClr val="FFFFCC"/>
            </a:bgClr>
          </a:pattFill>
          <a:ln w="19050">
            <a:solidFill>
              <a:srgbClr val="FFFFCC"/>
            </a:solidFill>
          </a:ln>
          <a:effectLst>
            <a:innerShdw blurRad="114300">
              <a:schemeClr val="accent1"/>
            </a:innerShdw>
          </a:effectLst>
        </c:spPr>
      </c:pivotFmt>
      <c:pivotFmt>
        <c:idx val="9"/>
        <c:spPr>
          <a:pattFill prst="ltUpDiag">
            <a:fgClr>
              <a:srgbClr val="0000CC"/>
            </a:fgClr>
            <a:bgClr>
              <a:srgbClr val="FFFFCC"/>
            </a:bgClr>
          </a:pattFill>
          <a:ln w="19050">
            <a:solidFill>
              <a:srgbClr val="FFFFCC"/>
            </a:solidFill>
          </a:ln>
          <a:effectLst>
            <a:innerShdw blurRad="114300">
              <a:schemeClr val="accent1"/>
            </a:innerShdw>
          </a:effectLst>
        </c:spPr>
      </c:pivotFmt>
      <c:pivotFmt>
        <c:idx val="10"/>
        <c:spPr>
          <a:pattFill prst="ltUpDiag">
            <a:fgClr>
              <a:srgbClr val="0000CC"/>
            </a:fgClr>
            <a:bgClr>
              <a:srgbClr val="FFFFCC"/>
            </a:bgClr>
          </a:pattFill>
          <a:ln w="19050">
            <a:solidFill>
              <a:srgbClr val="FFFFCC"/>
            </a:solidFill>
          </a:ln>
          <a:effectLst>
            <a:innerShdw blurRad="114300">
              <a:schemeClr val="accent1"/>
            </a:innerShdw>
          </a:effectLst>
        </c:spPr>
      </c:pivotFmt>
      <c:pivotFmt>
        <c:idx val="11"/>
        <c:spPr>
          <a:pattFill prst="ltUpDiag">
            <a:fgClr>
              <a:srgbClr val="0000CC"/>
            </a:fgClr>
            <a:bgClr>
              <a:srgbClr val="FFFFCC"/>
            </a:bgClr>
          </a:pattFill>
          <a:ln w="19050">
            <a:solidFill>
              <a:srgbClr val="FFFFCC"/>
            </a:solidFill>
          </a:ln>
          <a:effectLst>
            <a:innerShdw blurRad="114300">
              <a:schemeClr val="accent1"/>
            </a:innerShdw>
          </a:effectLst>
        </c:spPr>
      </c:pivotFmt>
      <c:pivotFmt>
        <c:idx val="12"/>
        <c:spPr>
          <a:pattFill prst="ltUpDiag">
            <a:fgClr>
              <a:srgbClr val="0000CC"/>
            </a:fgClr>
            <a:bgClr>
              <a:srgbClr val="FFFFCC"/>
            </a:bgClr>
          </a:pattFill>
          <a:ln w="19050">
            <a:solidFill>
              <a:srgbClr val="FFFFCC"/>
            </a:solidFill>
          </a:ln>
          <a:effectLst>
            <a:innerShdw blurRad="114300">
              <a:schemeClr val="accent1"/>
            </a:innerShdw>
          </a:effectLst>
        </c:spPr>
      </c:pivotFmt>
      <c:pivotFmt>
        <c:idx val="13"/>
        <c:spPr>
          <a:pattFill prst="ltUpDiag">
            <a:fgClr>
              <a:srgbClr val="0000CC"/>
            </a:fgClr>
            <a:bgClr>
              <a:srgbClr val="FFFFCC"/>
            </a:bgClr>
          </a:pattFill>
          <a:ln w="19050">
            <a:solidFill>
              <a:srgbClr val="FFFFCC"/>
            </a:solidFill>
          </a:ln>
          <a:effectLst>
            <a:innerShdw blurRad="114300">
              <a:schemeClr val="accent1"/>
            </a:innerShdw>
          </a:effectLst>
        </c:spPr>
      </c:pivotFmt>
      <c:pivotFmt>
        <c:idx val="14"/>
        <c:spPr>
          <a:pattFill prst="ltUpDiag">
            <a:fgClr>
              <a:srgbClr val="0000CC"/>
            </a:fgClr>
            <a:bgClr>
              <a:srgbClr val="FFFFCC"/>
            </a:bgClr>
          </a:pattFill>
          <a:ln w="19050">
            <a:solidFill>
              <a:srgbClr val="FFFFCC"/>
            </a:solidFill>
          </a:ln>
          <a:effectLst>
            <a:innerShdw blurRad="114300">
              <a:schemeClr val="accent1"/>
            </a:innerShdw>
          </a:effectLst>
        </c:spPr>
      </c:pivotFmt>
      <c:pivotFmt>
        <c:idx val="15"/>
        <c:spPr>
          <a:pattFill prst="ltUpDiag">
            <a:fgClr>
              <a:srgbClr val="0000CC"/>
            </a:fgClr>
            <a:bgClr>
              <a:srgbClr val="FFFFCC"/>
            </a:bgClr>
          </a:pattFill>
          <a:ln w="19050">
            <a:solidFill>
              <a:srgbClr val="FFFFCC"/>
            </a:solidFill>
          </a:ln>
          <a:effectLst>
            <a:innerShdw blurRad="114300">
              <a:schemeClr val="accent1"/>
            </a:innerShdw>
          </a:effectLst>
        </c:spPr>
      </c:pivotFmt>
      <c:pivotFmt>
        <c:idx val="16"/>
        <c:spPr>
          <a:pattFill prst="ltUpDiag">
            <a:fgClr>
              <a:srgbClr val="0000CC"/>
            </a:fgClr>
            <a:bgClr>
              <a:srgbClr val="FFFFCC"/>
            </a:bgClr>
          </a:pattFill>
          <a:ln w="19050">
            <a:solidFill>
              <a:srgbClr val="FFFFCC"/>
            </a:solidFill>
          </a:ln>
          <a:effectLst>
            <a:innerShdw blurRad="114300">
              <a:schemeClr val="accent1"/>
            </a:innerShdw>
          </a:effectLst>
        </c:spPr>
      </c:pivotFmt>
      <c:pivotFmt>
        <c:idx val="17"/>
        <c:spPr>
          <a:pattFill prst="ltUpDiag">
            <a:fgClr>
              <a:srgbClr val="0000CC"/>
            </a:fgClr>
            <a:bgClr>
              <a:srgbClr val="FFFFCC"/>
            </a:bgClr>
          </a:pattFill>
          <a:ln w="19050">
            <a:solidFill>
              <a:srgbClr val="FFFFCC"/>
            </a:solidFill>
          </a:ln>
          <a:effectLst>
            <a:innerShdw blurRad="114300">
              <a:schemeClr val="accent1"/>
            </a:innerShdw>
          </a:effectLst>
        </c:spPr>
      </c:pivotFmt>
      <c:pivotFmt>
        <c:idx val="18"/>
        <c:spPr>
          <a:pattFill prst="ltUpDiag">
            <a:fgClr>
              <a:srgbClr val="0000CC"/>
            </a:fgClr>
            <a:bgClr>
              <a:srgbClr val="FFFFCC"/>
            </a:bgClr>
          </a:pattFill>
          <a:ln w="19050">
            <a:solidFill>
              <a:srgbClr val="FFFFCC"/>
            </a:solidFill>
          </a:ln>
          <a:effectLst>
            <a:innerShdw blurRad="114300">
              <a:schemeClr val="accent1"/>
            </a:innerShdw>
          </a:effectLst>
        </c:spPr>
      </c:pivotFmt>
    </c:pivotFmts>
    <c:plotArea>
      <c:layout/>
      <c:barChart>
        <c:barDir val="bar"/>
        <c:grouping val="clustered"/>
        <c:varyColors val="1"/>
        <c:ser>
          <c:idx val="0"/>
          <c:order val="0"/>
          <c:tx>
            <c:strRef>
              <c:f>Pivot_Top10DepartmentsOfAllTime!$B$3</c:f>
              <c:strCache>
                <c:ptCount val="1"/>
                <c:pt idx="0">
                  <c:v>Total</c:v>
                </c:pt>
              </c:strCache>
            </c:strRef>
          </c:tx>
          <c:spPr>
            <a:pattFill prst="ltUpDiag">
              <a:fgClr>
                <a:srgbClr val="0000CC"/>
              </a:fgClr>
              <a:bgClr>
                <a:srgbClr val="FFFFCC"/>
              </a:bgClr>
            </a:pattFill>
            <a:ln w="19050">
              <a:solidFill>
                <a:srgbClr val="FFFFCC"/>
              </a:solidFill>
            </a:ln>
          </c:spPr>
          <c:invertIfNegative val="0"/>
          <c:dPt>
            <c:idx val="0"/>
            <c:invertIfNegative val="0"/>
            <c:bubble3D val="0"/>
            <c:spPr>
              <a:pattFill prst="ltUpDiag">
                <a:fgClr>
                  <a:srgbClr val="0000CC"/>
                </a:fgClr>
                <a:bgClr>
                  <a:srgbClr val="FFFFCC"/>
                </a:bgClr>
              </a:pattFill>
              <a:ln w="19050">
                <a:solidFill>
                  <a:srgbClr val="FFFFCC"/>
                </a:solidFill>
              </a:ln>
              <a:effectLst>
                <a:innerShdw blurRad="114300">
                  <a:schemeClr val="accent1"/>
                </a:innerShdw>
              </a:effectLst>
            </c:spPr>
            <c:extLst>
              <c:ext xmlns:c16="http://schemas.microsoft.com/office/drawing/2014/chart" uri="{C3380CC4-5D6E-409C-BE32-E72D297353CC}">
                <c16:uniqueId val="{00000001-9255-4C60-BF0E-674AE5B60EF8}"/>
              </c:ext>
            </c:extLst>
          </c:dPt>
          <c:dPt>
            <c:idx val="1"/>
            <c:invertIfNegative val="0"/>
            <c:bubble3D val="0"/>
            <c:spPr>
              <a:pattFill prst="ltUpDiag">
                <a:fgClr>
                  <a:srgbClr val="0000CC"/>
                </a:fgClr>
                <a:bgClr>
                  <a:srgbClr val="FFFFCC"/>
                </a:bgClr>
              </a:pattFill>
              <a:ln w="19050">
                <a:solidFill>
                  <a:srgbClr val="FFFFCC"/>
                </a:solidFill>
              </a:ln>
              <a:effectLst>
                <a:innerShdw blurRad="114300">
                  <a:schemeClr val="accent2"/>
                </a:innerShdw>
              </a:effectLst>
            </c:spPr>
            <c:extLst>
              <c:ext xmlns:c16="http://schemas.microsoft.com/office/drawing/2014/chart" uri="{C3380CC4-5D6E-409C-BE32-E72D297353CC}">
                <c16:uniqueId val="{00000003-9255-4C60-BF0E-674AE5B60EF8}"/>
              </c:ext>
            </c:extLst>
          </c:dPt>
          <c:dPt>
            <c:idx val="2"/>
            <c:invertIfNegative val="0"/>
            <c:bubble3D val="0"/>
            <c:spPr>
              <a:pattFill prst="ltUpDiag">
                <a:fgClr>
                  <a:srgbClr val="0000CC"/>
                </a:fgClr>
                <a:bgClr>
                  <a:srgbClr val="FFFFCC"/>
                </a:bgClr>
              </a:pattFill>
              <a:ln w="19050">
                <a:solidFill>
                  <a:srgbClr val="FFFFCC"/>
                </a:solidFill>
              </a:ln>
              <a:effectLst>
                <a:innerShdw blurRad="114300">
                  <a:schemeClr val="accent3"/>
                </a:innerShdw>
              </a:effectLst>
            </c:spPr>
            <c:extLst>
              <c:ext xmlns:c16="http://schemas.microsoft.com/office/drawing/2014/chart" uri="{C3380CC4-5D6E-409C-BE32-E72D297353CC}">
                <c16:uniqueId val="{00000005-9255-4C60-BF0E-674AE5B60EF8}"/>
              </c:ext>
            </c:extLst>
          </c:dPt>
          <c:dPt>
            <c:idx val="3"/>
            <c:invertIfNegative val="0"/>
            <c:bubble3D val="0"/>
            <c:spPr>
              <a:pattFill prst="ltUpDiag">
                <a:fgClr>
                  <a:srgbClr val="0000CC"/>
                </a:fgClr>
                <a:bgClr>
                  <a:srgbClr val="FFFFCC"/>
                </a:bgClr>
              </a:pattFill>
              <a:ln w="19050">
                <a:solidFill>
                  <a:srgbClr val="FFFFCC"/>
                </a:solidFill>
              </a:ln>
              <a:effectLst>
                <a:innerShdw blurRad="114300">
                  <a:schemeClr val="accent4"/>
                </a:innerShdw>
              </a:effectLst>
            </c:spPr>
            <c:extLst>
              <c:ext xmlns:c16="http://schemas.microsoft.com/office/drawing/2014/chart" uri="{C3380CC4-5D6E-409C-BE32-E72D297353CC}">
                <c16:uniqueId val="{00000007-9255-4C60-BF0E-674AE5B60EF8}"/>
              </c:ext>
            </c:extLst>
          </c:dPt>
          <c:dPt>
            <c:idx val="4"/>
            <c:invertIfNegative val="0"/>
            <c:bubble3D val="0"/>
            <c:spPr>
              <a:pattFill prst="ltUpDiag">
                <a:fgClr>
                  <a:srgbClr val="0000CC"/>
                </a:fgClr>
                <a:bgClr>
                  <a:srgbClr val="FFFFCC"/>
                </a:bgClr>
              </a:pattFill>
              <a:ln w="19050">
                <a:solidFill>
                  <a:srgbClr val="FFFFCC"/>
                </a:solidFill>
              </a:ln>
              <a:effectLst>
                <a:innerShdw blurRad="114300">
                  <a:schemeClr val="accent5"/>
                </a:innerShdw>
              </a:effectLst>
            </c:spPr>
            <c:extLst>
              <c:ext xmlns:c16="http://schemas.microsoft.com/office/drawing/2014/chart" uri="{C3380CC4-5D6E-409C-BE32-E72D297353CC}">
                <c16:uniqueId val="{00000009-9255-4C60-BF0E-674AE5B60EF8}"/>
              </c:ext>
            </c:extLst>
          </c:dPt>
          <c:dPt>
            <c:idx val="5"/>
            <c:invertIfNegative val="0"/>
            <c:bubble3D val="0"/>
            <c:spPr>
              <a:pattFill prst="ltUpDiag">
                <a:fgClr>
                  <a:srgbClr val="0000CC"/>
                </a:fgClr>
                <a:bgClr>
                  <a:srgbClr val="FFFFCC"/>
                </a:bgClr>
              </a:pattFill>
              <a:ln w="19050">
                <a:solidFill>
                  <a:srgbClr val="FFFFCC"/>
                </a:solidFill>
              </a:ln>
              <a:effectLst>
                <a:innerShdw blurRad="114300">
                  <a:schemeClr val="accent6"/>
                </a:innerShdw>
              </a:effectLst>
            </c:spPr>
            <c:extLst>
              <c:ext xmlns:c16="http://schemas.microsoft.com/office/drawing/2014/chart" uri="{C3380CC4-5D6E-409C-BE32-E72D297353CC}">
                <c16:uniqueId val="{0000000B-9255-4C60-BF0E-674AE5B60EF8}"/>
              </c:ext>
            </c:extLst>
          </c:dPt>
          <c:dPt>
            <c:idx val="6"/>
            <c:invertIfNegative val="0"/>
            <c:bubble3D val="0"/>
            <c:spPr>
              <a:pattFill prst="ltUpDiag">
                <a:fgClr>
                  <a:srgbClr val="0000CC"/>
                </a:fgClr>
                <a:bgClr>
                  <a:srgbClr val="FFFFCC"/>
                </a:bgClr>
              </a:pattFill>
              <a:ln w="19050">
                <a:solidFill>
                  <a:srgbClr val="FFFFCC"/>
                </a:solidFill>
              </a:ln>
              <a:effectLst>
                <a:innerShdw blurRad="114300">
                  <a:schemeClr val="accent1">
                    <a:lumMod val="60000"/>
                  </a:schemeClr>
                </a:innerShdw>
              </a:effectLst>
            </c:spPr>
            <c:extLst>
              <c:ext xmlns:c16="http://schemas.microsoft.com/office/drawing/2014/chart" uri="{C3380CC4-5D6E-409C-BE32-E72D297353CC}">
                <c16:uniqueId val="{0000000D-9255-4C60-BF0E-674AE5B60EF8}"/>
              </c:ext>
            </c:extLst>
          </c:dPt>
          <c:dPt>
            <c:idx val="7"/>
            <c:invertIfNegative val="0"/>
            <c:bubble3D val="0"/>
            <c:spPr>
              <a:pattFill prst="ltUpDiag">
                <a:fgClr>
                  <a:srgbClr val="0000CC"/>
                </a:fgClr>
                <a:bgClr>
                  <a:srgbClr val="FFFFCC"/>
                </a:bgClr>
              </a:pattFill>
              <a:ln w="19050">
                <a:solidFill>
                  <a:srgbClr val="FFFFCC"/>
                </a:solidFill>
              </a:ln>
              <a:effectLst>
                <a:innerShdw blurRad="114300">
                  <a:schemeClr val="accent2">
                    <a:lumMod val="60000"/>
                  </a:schemeClr>
                </a:innerShdw>
              </a:effectLst>
            </c:spPr>
            <c:extLst>
              <c:ext xmlns:c16="http://schemas.microsoft.com/office/drawing/2014/chart" uri="{C3380CC4-5D6E-409C-BE32-E72D297353CC}">
                <c16:uniqueId val="{0000000F-9006-4417-AA13-1B1469A20993}"/>
              </c:ext>
            </c:extLst>
          </c:dPt>
          <c:dPt>
            <c:idx val="8"/>
            <c:invertIfNegative val="0"/>
            <c:bubble3D val="0"/>
            <c:spPr>
              <a:pattFill prst="ltUpDiag">
                <a:fgClr>
                  <a:srgbClr val="0000CC"/>
                </a:fgClr>
                <a:bgClr>
                  <a:srgbClr val="FFFFCC"/>
                </a:bgClr>
              </a:pattFill>
              <a:ln w="19050">
                <a:solidFill>
                  <a:srgbClr val="FFFFCC"/>
                </a:solidFill>
              </a:ln>
              <a:effectLst>
                <a:innerShdw blurRad="114300">
                  <a:schemeClr val="accent3">
                    <a:lumMod val="60000"/>
                  </a:schemeClr>
                </a:innerShdw>
              </a:effectLst>
            </c:spPr>
            <c:extLst>
              <c:ext xmlns:c16="http://schemas.microsoft.com/office/drawing/2014/chart" uri="{C3380CC4-5D6E-409C-BE32-E72D297353CC}">
                <c16:uniqueId val="{00000011-9006-4417-AA13-1B1469A20993}"/>
              </c:ext>
            </c:extLst>
          </c:dPt>
          <c:dPt>
            <c:idx val="9"/>
            <c:invertIfNegative val="0"/>
            <c:bubble3D val="0"/>
            <c:spPr>
              <a:pattFill prst="ltUpDiag">
                <a:fgClr>
                  <a:srgbClr val="0000CC"/>
                </a:fgClr>
                <a:bgClr>
                  <a:srgbClr val="FFFFCC"/>
                </a:bgClr>
              </a:pattFill>
              <a:ln w="19050">
                <a:solidFill>
                  <a:srgbClr val="FFFFCC"/>
                </a:solidFill>
              </a:ln>
              <a:effectLst>
                <a:innerShdw blurRad="114300">
                  <a:schemeClr val="accent4">
                    <a:lumMod val="60000"/>
                  </a:schemeClr>
                </a:innerShdw>
              </a:effectLst>
            </c:spPr>
            <c:extLst>
              <c:ext xmlns:c16="http://schemas.microsoft.com/office/drawing/2014/chart" uri="{C3380CC4-5D6E-409C-BE32-E72D297353CC}">
                <c16:uniqueId val="{00000013-9006-4417-AA13-1B1469A2099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Pivot_Top10DepartmentsOfAllTime!$A$4</c:f>
              <c:strCache>
                <c:ptCount val="1"/>
                <c:pt idx="0">
                  <c:v>Fo phones</c:v>
                </c:pt>
              </c:strCache>
            </c:strRef>
          </c:cat>
          <c:val>
            <c:numRef>
              <c:f>Pivot_Top10DepartmentsOfAllTime!$B$4</c:f>
              <c:numCache>
                <c:formatCode>0.00</c:formatCode>
                <c:ptCount val="1"/>
                <c:pt idx="0">
                  <c:v>7.625</c:v>
                </c:pt>
              </c:numCache>
            </c:numRef>
          </c:val>
          <c:extLst>
            <c:ext xmlns:c16="http://schemas.microsoft.com/office/drawing/2014/chart" uri="{C3380CC4-5D6E-409C-BE32-E72D297353CC}">
              <c16:uniqueId val="{00000000-7748-4524-8822-55C62008D5E7}"/>
            </c:ext>
          </c:extLst>
        </c:ser>
        <c:dLbls>
          <c:showLegendKey val="0"/>
          <c:showVal val="0"/>
          <c:showCatName val="0"/>
          <c:showSerName val="0"/>
          <c:showPercent val="0"/>
          <c:showBubbleSize val="0"/>
        </c:dLbls>
        <c:gapWidth val="75"/>
        <c:axId val="414057360"/>
        <c:axId val="414052112"/>
      </c:barChart>
      <c:catAx>
        <c:axId val="414057360"/>
        <c:scaling>
          <c:orientation val="minMax"/>
        </c:scaling>
        <c:delete val="0"/>
        <c:axPos val="l"/>
        <c:numFmt formatCode="General" sourceLinked="1"/>
        <c:majorTickMark val="none"/>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lgn="ctr">
              <a:defRPr lang="en-US" sz="900" b="0" i="0" u="none" strike="noStrike" kern="1200" baseline="0">
                <a:solidFill>
                  <a:sysClr val="windowText" lastClr="000000"/>
                </a:solidFill>
                <a:latin typeface="+mn-lt"/>
                <a:ea typeface="+mn-ea"/>
                <a:cs typeface="+mn-cs"/>
              </a:defRPr>
            </a:pPr>
            <a:endParaRPr lang="en-US"/>
          </a:p>
        </c:txPr>
        <c:crossAx val="414052112"/>
        <c:crosses val="autoZero"/>
        <c:auto val="1"/>
        <c:lblAlgn val="ctr"/>
        <c:lblOffset val="100"/>
        <c:noMultiLvlLbl val="0"/>
      </c:catAx>
      <c:valAx>
        <c:axId val="414052112"/>
        <c:scaling>
          <c:orientation val="minMax"/>
        </c:scaling>
        <c:delete val="1"/>
        <c:axPos val="b"/>
        <c:majorGridlines>
          <c:spPr>
            <a:ln>
              <a:solidFill>
                <a:schemeClr val="bg1">
                  <a:lumMod val="85000"/>
                  <a:alpha val="70000"/>
                </a:schemeClr>
              </a:solidFill>
              <a:prstDash val="dash"/>
            </a:ln>
            <a:effectLst/>
          </c:spPr>
        </c:majorGridlines>
        <c:numFmt formatCode="0" sourceLinked="0"/>
        <c:majorTickMark val="out"/>
        <c:minorTickMark val="none"/>
        <c:tickLblPos val="nextTo"/>
        <c:crossAx val="414057360"/>
        <c:crosses val="autoZero"/>
        <c:crossBetween val="between"/>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[employee_performance_tracker_v2.1.xlsm]Pivot_Top10DepartmentsLastYear!PVTable3</c:name>
    <c:fmtId val="3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rgbClr val="0000CC"/>
            </a:fgClr>
            <a:bgClr>
              <a:srgbClr val="FFFFCC"/>
            </a:bgClr>
          </a:pattFill>
          <a:ln w="19050">
            <a:solidFill>
              <a:srgbClr val="FFFFCC"/>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pattFill prst="ltUpDiag">
            <a:fgClr>
              <a:srgbClr val="0000CC"/>
            </a:fgClr>
            <a:bgClr>
              <a:srgbClr val="FFFFCC"/>
            </a:bgClr>
          </a:pattFill>
          <a:ln w="19050">
            <a:solidFill>
              <a:srgbClr val="FFFFCC"/>
            </a:solidFill>
          </a:ln>
          <a:effectLst>
            <a:innerShdw blurRad="114300">
              <a:schemeClr val="accent1"/>
            </a:innerShdw>
          </a:effectLst>
        </c:spPr>
      </c:pivotFmt>
      <c:pivotFmt>
        <c:idx val="4"/>
        <c:spPr>
          <a:pattFill prst="ltUpDiag">
            <a:fgClr>
              <a:srgbClr val="0000CC"/>
            </a:fgClr>
            <a:bgClr>
              <a:srgbClr val="FFFFCC"/>
            </a:bgClr>
          </a:pattFill>
          <a:ln w="19050">
            <a:solidFill>
              <a:srgbClr val="FFFFCC"/>
            </a:solidFill>
          </a:ln>
          <a:effectLst>
            <a:innerShdw blurRad="114300">
              <a:schemeClr val="accent1"/>
            </a:innerShdw>
          </a:effectLst>
        </c:spPr>
      </c:pivotFmt>
      <c:pivotFmt>
        <c:idx val="5"/>
        <c:spPr>
          <a:pattFill prst="ltUpDiag">
            <a:fgClr>
              <a:srgbClr val="0000CC"/>
            </a:fgClr>
            <a:bgClr>
              <a:srgbClr val="FFFFCC"/>
            </a:bgClr>
          </a:pattFill>
          <a:ln w="19050">
            <a:solidFill>
              <a:srgbClr val="FFFFCC"/>
            </a:solidFill>
          </a:ln>
          <a:effectLst>
            <a:innerShdw blurRad="114300">
              <a:schemeClr val="accent1"/>
            </a:innerShdw>
          </a:effectLst>
        </c:spPr>
      </c:pivotFmt>
      <c:pivotFmt>
        <c:idx val="6"/>
        <c:spPr>
          <a:pattFill prst="ltUpDiag">
            <a:fgClr>
              <a:srgbClr val="0000CC"/>
            </a:fgClr>
            <a:bgClr>
              <a:srgbClr val="FFFFCC"/>
            </a:bgClr>
          </a:pattFill>
          <a:ln w="19050">
            <a:solidFill>
              <a:srgbClr val="FFFFCC"/>
            </a:solidFill>
          </a:ln>
          <a:effectLst>
            <a:innerShdw blurRad="114300">
              <a:schemeClr val="accent1"/>
            </a:innerShdw>
          </a:effectLst>
        </c:spPr>
      </c:pivotFmt>
      <c:pivotFmt>
        <c:idx val="7"/>
        <c:spPr>
          <a:pattFill prst="ltUpDiag">
            <a:fgClr>
              <a:srgbClr val="0000CC"/>
            </a:fgClr>
            <a:bgClr>
              <a:srgbClr val="FFFFCC"/>
            </a:bgClr>
          </a:pattFill>
          <a:ln w="19050">
            <a:solidFill>
              <a:srgbClr val="FFFFCC"/>
            </a:solidFill>
          </a:ln>
          <a:effectLst>
            <a:innerShdw blurRad="114300">
              <a:schemeClr val="accent1"/>
            </a:innerShdw>
          </a:effectLst>
        </c:spPr>
      </c:pivotFmt>
      <c:pivotFmt>
        <c:idx val="8"/>
        <c:spPr>
          <a:pattFill prst="ltUpDiag">
            <a:fgClr>
              <a:srgbClr val="0000CC"/>
            </a:fgClr>
            <a:bgClr>
              <a:srgbClr val="FFFFCC"/>
            </a:bgClr>
          </a:pattFill>
          <a:ln w="19050">
            <a:solidFill>
              <a:srgbClr val="FFFFCC"/>
            </a:solidFill>
          </a:ln>
          <a:effectLst>
            <a:innerShdw blurRad="114300">
              <a:schemeClr val="accent1"/>
            </a:innerShdw>
          </a:effectLst>
        </c:spPr>
      </c:pivotFmt>
      <c:pivotFmt>
        <c:idx val="9"/>
        <c:spPr>
          <a:pattFill prst="ltUpDiag">
            <a:fgClr>
              <a:srgbClr val="0000CC"/>
            </a:fgClr>
            <a:bgClr>
              <a:srgbClr val="FFFFCC"/>
            </a:bgClr>
          </a:pattFill>
          <a:ln w="19050">
            <a:solidFill>
              <a:srgbClr val="FFFFCC"/>
            </a:solidFill>
          </a:ln>
          <a:effectLst>
            <a:innerShdw blurRad="114300">
              <a:schemeClr val="accent1"/>
            </a:innerShdw>
          </a:effectLst>
        </c:spPr>
      </c:pivotFmt>
      <c:pivotFmt>
        <c:idx val="10"/>
        <c:spPr>
          <a:pattFill prst="ltUpDiag">
            <a:fgClr>
              <a:srgbClr val="0000CC"/>
            </a:fgClr>
            <a:bgClr>
              <a:srgbClr val="FFFFCC"/>
            </a:bgClr>
          </a:pattFill>
          <a:ln w="19050">
            <a:solidFill>
              <a:srgbClr val="FFFFCC"/>
            </a:solidFill>
          </a:ln>
          <a:effectLst>
            <a:innerShdw blurRad="114300">
              <a:schemeClr val="accent1"/>
            </a:innerShdw>
          </a:effectLst>
        </c:spPr>
      </c:pivotFmt>
      <c:pivotFmt>
        <c:idx val="11"/>
        <c:spPr>
          <a:pattFill prst="ltUpDiag">
            <a:fgClr>
              <a:srgbClr val="0000CC"/>
            </a:fgClr>
            <a:bgClr>
              <a:srgbClr val="FFFFCC"/>
            </a:bgClr>
          </a:pattFill>
          <a:ln w="19050">
            <a:solidFill>
              <a:srgbClr val="FFFFCC"/>
            </a:solidFill>
          </a:ln>
          <a:effectLst>
            <a:innerShdw blurRad="114300">
              <a:schemeClr val="accent1"/>
            </a:innerShdw>
          </a:effectLst>
        </c:spPr>
      </c:pivotFmt>
      <c:pivotFmt>
        <c:idx val="12"/>
        <c:spPr>
          <a:pattFill prst="ltUpDiag">
            <a:fgClr>
              <a:srgbClr val="0000CC"/>
            </a:fgClr>
            <a:bgClr>
              <a:srgbClr val="FFFFCC"/>
            </a:bgClr>
          </a:pattFill>
          <a:ln w="19050">
            <a:solidFill>
              <a:srgbClr val="FFFFCC"/>
            </a:solidFill>
          </a:ln>
          <a:effectLst>
            <a:innerShdw blurRad="114300">
              <a:schemeClr val="accent1"/>
            </a:innerShdw>
          </a:effectLst>
        </c:spPr>
      </c:pivotFmt>
      <c:pivotFmt>
        <c:idx val="13"/>
        <c:spPr>
          <a:pattFill prst="ltUpDiag">
            <a:fgClr>
              <a:srgbClr val="0000CC"/>
            </a:fgClr>
            <a:bgClr>
              <a:srgbClr val="FFFFCC"/>
            </a:bgClr>
          </a:pattFill>
          <a:ln w="19050">
            <a:solidFill>
              <a:srgbClr val="FFFFCC"/>
            </a:solidFill>
          </a:ln>
          <a:effectLst>
            <a:innerShdw blurRad="114300">
              <a:schemeClr val="accent1"/>
            </a:innerShdw>
          </a:effectLst>
        </c:spPr>
      </c:pivotFmt>
      <c:pivotFmt>
        <c:idx val="14"/>
        <c:spPr>
          <a:pattFill prst="ltUpDiag">
            <a:fgClr>
              <a:srgbClr val="0000CC"/>
            </a:fgClr>
            <a:bgClr>
              <a:srgbClr val="FFFFCC"/>
            </a:bgClr>
          </a:pattFill>
          <a:ln w="19050">
            <a:solidFill>
              <a:srgbClr val="FFFFCC"/>
            </a:solidFill>
          </a:ln>
          <a:effectLst>
            <a:innerShdw blurRad="114300">
              <a:schemeClr val="accent1"/>
            </a:innerShdw>
          </a:effectLst>
        </c:spPr>
      </c:pivotFmt>
      <c:pivotFmt>
        <c:idx val="15"/>
        <c:spPr>
          <a:pattFill prst="ltUpDiag">
            <a:fgClr>
              <a:srgbClr val="0000CC"/>
            </a:fgClr>
            <a:bgClr>
              <a:srgbClr val="FFFFCC"/>
            </a:bgClr>
          </a:pattFill>
          <a:ln w="19050">
            <a:solidFill>
              <a:srgbClr val="FFFFCC"/>
            </a:solidFill>
          </a:ln>
          <a:effectLst>
            <a:innerShdw blurRad="114300">
              <a:schemeClr val="accent1"/>
            </a:innerShdw>
          </a:effectLst>
        </c:spPr>
      </c:pivotFmt>
      <c:pivotFmt>
        <c:idx val="16"/>
        <c:spPr>
          <a:pattFill prst="ltUpDiag">
            <a:fgClr>
              <a:srgbClr val="0000CC"/>
            </a:fgClr>
            <a:bgClr>
              <a:srgbClr val="FFFFCC"/>
            </a:bgClr>
          </a:pattFill>
          <a:ln w="19050">
            <a:solidFill>
              <a:srgbClr val="FFFFCC"/>
            </a:solidFill>
          </a:ln>
          <a:effectLst>
            <a:innerShdw blurRad="114300">
              <a:schemeClr val="accent1"/>
            </a:innerShdw>
          </a:effectLst>
        </c:spPr>
      </c:pivotFmt>
      <c:pivotFmt>
        <c:idx val="17"/>
        <c:spPr>
          <a:pattFill prst="ltUpDiag">
            <a:fgClr>
              <a:srgbClr val="0000CC"/>
            </a:fgClr>
            <a:bgClr>
              <a:srgbClr val="FFFFCC"/>
            </a:bgClr>
          </a:pattFill>
          <a:ln w="19050">
            <a:solidFill>
              <a:srgbClr val="FFFFCC"/>
            </a:solidFill>
          </a:ln>
          <a:effectLst>
            <a:innerShdw blurRad="114300">
              <a:schemeClr val="accent1"/>
            </a:innerShdw>
          </a:effectLst>
        </c:spPr>
      </c:pivotFmt>
      <c:pivotFmt>
        <c:idx val="18"/>
        <c:spPr>
          <a:pattFill prst="ltUpDiag">
            <a:fgClr>
              <a:srgbClr val="0000CC"/>
            </a:fgClr>
            <a:bgClr>
              <a:srgbClr val="FFFFCC"/>
            </a:bgClr>
          </a:pattFill>
          <a:ln w="19050">
            <a:solidFill>
              <a:srgbClr val="FFFFCC"/>
            </a:solidFill>
          </a:ln>
          <a:effectLst>
            <a:innerShdw blurRad="114300">
              <a:schemeClr val="accent1"/>
            </a:innerShdw>
          </a:effectLst>
        </c:spPr>
      </c:pivotFmt>
    </c:pivotFmts>
    <c:plotArea>
      <c:layout/>
      <c:barChart>
        <c:barDir val="bar"/>
        <c:grouping val="clustered"/>
        <c:varyColors val="1"/>
        <c:ser>
          <c:idx val="0"/>
          <c:order val="0"/>
          <c:tx>
            <c:strRef>
              <c:f>Pivot_Top10DepartmentsLastYear!$B$4</c:f>
              <c:strCache>
                <c:ptCount val="1"/>
                <c:pt idx="0">
                  <c:v>Total</c:v>
                </c:pt>
              </c:strCache>
            </c:strRef>
          </c:tx>
          <c:spPr>
            <a:pattFill prst="ltUpDiag">
              <a:fgClr>
                <a:srgbClr val="0000CC"/>
              </a:fgClr>
              <a:bgClr>
                <a:srgbClr val="FFFFCC"/>
              </a:bgClr>
            </a:pattFill>
            <a:ln w="19050">
              <a:solidFill>
                <a:srgbClr val="FFFFCC"/>
              </a:solidFill>
            </a:ln>
          </c:spPr>
          <c:invertIfNegative val="0"/>
          <c:dPt>
            <c:idx val="0"/>
            <c:invertIfNegative val="0"/>
            <c:bubble3D val="0"/>
            <c:spPr>
              <a:pattFill prst="ltUpDiag">
                <a:fgClr>
                  <a:srgbClr val="0000CC"/>
                </a:fgClr>
                <a:bgClr>
                  <a:srgbClr val="FFFFCC"/>
                </a:bgClr>
              </a:pattFill>
              <a:ln w="19050">
                <a:solidFill>
                  <a:srgbClr val="FFFFCC"/>
                </a:solidFill>
              </a:ln>
              <a:effectLst>
                <a:innerShdw blurRad="114300">
                  <a:schemeClr val="accent1"/>
                </a:innerShdw>
              </a:effectLst>
            </c:spPr>
            <c:extLst>
              <c:ext xmlns:c16="http://schemas.microsoft.com/office/drawing/2014/chart" uri="{C3380CC4-5D6E-409C-BE32-E72D297353CC}">
                <c16:uniqueId val="{00000001-D580-4403-BC09-88B28D584054}"/>
              </c:ext>
            </c:extLst>
          </c:dPt>
          <c:dPt>
            <c:idx val="1"/>
            <c:invertIfNegative val="0"/>
            <c:bubble3D val="0"/>
            <c:spPr>
              <a:pattFill prst="ltUpDiag">
                <a:fgClr>
                  <a:srgbClr val="0000CC"/>
                </a:fgClr>
                <a:bgClr>
                  <a:srgbClr val="FFFFCC"/>
                </a:bgClr>
              </a:pattFill>
              <a:ln w="19050">
                <a:solidFill>
                  <a:srgbClr val="FFFFCC"/>
                </a:solidFill>
              </a:ln>
              <a:effectLst>
                <a:innerShdw blurRad="114300">
                  <a:schemeClr val="accent2"/>
                </a:innerShdw>
              </a:effectLst>
            </c:spPr>
            <c:extLst>
              <c:ext xmlns:c16="http://schemas.microsoft.com/office/drawing/2014/chart" uri="{C3380CC4-5D6E-409C-BE32-E72D297353CC}">
                <c16:uniqueId val="{00000003-D580-4403-BC09-88B28D584054}"/>
              </c:ext>
            </c:extLst>
          </c:dPt>
          <c:dPt>
            <c:idx val="2"/>
            <c:invertIfNegative val="0"/>
            <c:bubble3D val="0"/>
            <c:spPr>
              <a:pattFill prst="ltUpDiag">
                <a:fgClr>
                  <a:srgbClr val="0000CC"/>
                </a:fgClr>
                <a:bgClr>
                  <a:srgbClr val="FFFFCC"/>
                </a:bgClr>
              </a:pattFill>
              <a:ln w="19050">
                <a:solidFill>
                  <a:srgbClr val="FFFFCC"/>
                </a:solidFill>
              </a:ln>
              <a:effectLst>
                <a:innerShdw blurRad="114300">
                  <a:schemeClr val="accent3"/>
                </a:innerShdw>
              </a:effectLst>
            </c:spPr>
            <c:extLst>
              <c:ext xmlns:c16="http://schemas.microsoft.com/office/drawing/2014/chart" uri="{C3380CC4-5D6E-409C-BE32-E72D297353CC}">
                <c16:uniqueId val="{00000005-D580-4403-BC09-88B28D584054}"/>
              </c:ext>
            </c:extLst>
          </c:dPt>
          <c:dPt>
            <c:idx val="3"/>
            <c:invertIfNegative val="0"/>
            <c:bubble3D val="0"/>
            <c:spPr>
              <a:pattFill prst="ltUpDiag">
                <a:fgClr>
                  <a:srgbClr val="0000CC"/>
                </a:fgClr>
                <a:bgClr>
                  <a:srgbClr val="FFFFCC"/>
                </a:bgClr>
              </a:pattFill>
              <a:ln w="19050">
                <a:solidFill>
                  <a:srgbClr val="FFFFCC"/>
                </a:solidFill>
              </a:ln>
              <a:effectLst>
                <a:innerShdw blurRad="114300">
                  <a:schemeClr val="accent4"/>
                </a:innerShdw>
              </a:effectLst>
            </c:spPr>
            <c:extLst>
              <c:ext xmlns:c16="http://schemas.microsoft.com/office/drawing/2014/chart" uri="{C3380CC4-5D6E-409C-BE32-E72D297353CC}">
                <c16:uniqueId val="{00000007-D580-4403-BC09-88B28D584054}"/>
              </c:ext>
            </c:extLst>
          </c:dPt>
          <c:dPt>
            <c:idx val="4"/>
            <c:invertIfNegative val="0"/>
            <c:bubble3D val="0"/>
            <c:spPr>
              <a:pattFill prst="ltUpDiag">
                <a:fgClr>
                  <a:srgbClr val="0000CC"/>
                </a:fgClr>
                <a:bgClr>
                  <a:srgbClr val="FFFFCC"/>
                </a:bgClr>
              </a:pattFill>
              <a:ln w="19050">
                <a:solidFill>
                  <a:srgbClr val="FFFFCC"/>
                </a:solidFill>
              </a:ln>
              <a:effectLst>
                <a:innerShdw blurRad="114300">
                  <a:schemeClr val="accent5"/>
                </a:innerShdw>
              </a:effectLst>
            </c:spPr>
            <c:extLst>
              <c:ext xmlns:c16="http://schemas.microsoft.com/office/drawing/2014/chart" uri="{C3380CC4-5D6E-409C-BE32-E72D297353CC}">
                <c16:uniqueId val="{00000009-D580-4403-BC09-88B28D584054}"/>
              </c:ext>
            </c:extLst>
          </c:dPt>
          <c:dPt>
            <c:idx val="5"/>
            <c:invertIfNegative val="0"/>
            <c:bubble3D val="0"/>
            <c:spPr>
              <a:pattFill prst="ltUpDiag">
                <a:fgClr>
                  <a:srgbClr val="0000CC"/>
                </a:fgClr>
                <a:bgClr>
                  <a:srgbClr val="FFFFCC"/>
                </a:bgClr>
              </a:pattFill>
              <a:ln w="19050">
                <a:solidFill>
                  <a:srgbClr val="FFFFCC"/>
                </a:solidFill>
              </a:ln>
              <a:effectLst>
                <a:innerShdw blurRad="114300">
                  <a:schemeClr val="accent6"/>
                </a:innerShdw>
              </a:effectLst>
            </c:spPr>
            <c:extLst>
              <c:ext xmlns:c16="http://schemas.microsoft.com/office/drawing/2014/chart" uri="{C3380CC4-5D6E-409C-BE32-E72D297353CC}">
                <c16:uniqueId val="{0000000B-D580-4403-BC09-88B28D584054}"/>
              </c:ext>
            </c:extLst>
          </c:dPt>
          <c:dPt>
            <c:idx val="6"/>
            <c:invertIfNegative val="0"/>
            <c:bubble3D val="0"/>
            <c:spPr>
              <a:pattFill prst="ltUpDiag">
                <a:fgClr>
                  <a:srgbClr val="0000CC"/>
                </a:fgClr>
                <a:bgClr>
                  <a:srgbClr val="FFFFCC"/>
                </a:bgClr>
              </a:pattFill>
              <a:ln w="19050">
                <a:solidFill>
                  <a:srgbClr val="FFFFCC"/>
                </a:solidFill>
              </a:ln>
              <a:effectLst>
                <a:innerShdw blurRad="114300">
                  <a:schemeClr val="accent1">
                    <a:lumMod val="60000"/>
                  </a:schemeClr>
                </a:innerShdw>
              </a:effectLst>
            </c:spPr>
            <c:extLst>
              <c:ext xmlns:c16="http://schemas.microsoft.com/office/drawing/2014/chart" uri="{C3380CC4-5D6E-409C-BE32-E72D297353CC}">
                <c16:uniqueId val="{0000000D-D580-4403-BC09-88B28D584054}"/>
              </c:ext>
            </c:extLst>
          </c:dPt>
          <c:dPt>
            <c:idx val="7"/>
            <c:invertIfNegative val="0"/>
            <c:bubble3D val="0"/>
            <c:spPr>
              <a:pattFill prst="ltUpDiag">
                <a:fgClr>
                  <a:srgbClr val="0000CC"/>
                </a:fgClr>
                <a:bgClr>
                  <a:srgbClr val="FFFFCC"/>
                </a:bgClr>
              </a:pattFill>
              <a:ln w="19050">
                <a:solidFill>
                  <a:srgbClr val="FFFFCC"/>
                </a:solidFill>
              </a:ln>
              <a:effectLst>
                <a:innerShdw blurRad="114300">
                  <a:schemeClr val="accent2">
                    <a:lumMod val="60000"/>
                  </a:schemeClr>
                </a:innerShdw>
              </a:effectLst>
            </c:spPr>
            <c:extLst>
              <c:ext xmlns:c16="http://schemas.microsoft.com/office/drawing/2014/chart" uri="{C3380CC4-5D6E-409C-BE32-E72D297353CC}">
                <c16:uniqueId val="{0000000F-6881-49DB-B82A-7E2CE24AE8FA}"/>
              </c:ext>
            </c:extLst>
          </c:dPt>
          <c:dPt>
            <c:idx val="8"/>
            <c:invertIfNegative val="0"/>
            <c:bubble3D val="0"/>
            <c:spPr>
              <a:pattFill prst="ltUpDiag">
                <a:fgClr>
                  <a:srgbClr val="0000CC"/>
                </a:fgClr>
                <a:bgClr>
                  <a:srgbClr val="FFFFCC"/>
                </a:bgClr>
              </a:pattFill>
              <a:ln w="19050">
                <a:solidFill>
                  <a:srgbClr val="FFFFCC"/>
                </a:solidFill>
              </a:ln>
              <a:effectLst>
                <a:innerShdw blurRad="114300">
                  <a:schemeClr val="accent3">
                    <a:lumMod val="60000"/>
                  </a:schemeClr>
                </a:innerShdw>
              </a:effectLst>
            </c:spPr>
            <c:extLst>
              <c:ext xmlns:c16="http://schemas.microsoft.com/office/drawing/2014/chart" uri="{C3380CC4-5D6E-409C-BE32-E72D297353CC}">
                <c16:uniqueId val="{00000011-6881-49DB-B82A-7E2CE24AE8FA}"/>
              </c:ext>
            </c:extLst>
          </c:dPt>
          <c:dPt>
            <c:idx val="9"/>
            <c:invertIfNegative val="0"/>
            <c:bubble3D val="0"/>
            <c:spPr>
              <a:pattFill prst="ltUpDiag">
                <a:fgClr>
                  <a:srgbClr val="0000CC"/>
                </a:fgClr>
                <a:bgClr>
                  <a:srgbClr val="FFFFCC"/>
                </a:bgClr>
              </a:pattFill>
              <a:ln w="19050">
                <a:solidFill>
                  <a:srgbClr val="FFFFCC"/>
                </a:solidFill>
              </a:ln>
              <a:effectLst>
                <a:innerShdw blurRad="114300">
                  <a:schemeClr val="accent4">
                    <a:lumMod val="60000"/>
                  </a:schemeClr>
                </a:innerShdw>
              </a:effectLst>
            </c:spPr>
            <c:extLst>
              <c:ext xmlns:c16="http://schemas.microsoft.com/office/drawing/2014/chart" uri="{C3380CC4-5D6E-409C-BE32-E72D297353CC}">
                <c16:uniqueId val="{00000013-6881-49DB-B82A-7E2CE24AE8F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Pivot_Top10DepartmentsLastYear!$A$5</c:f>
              <c:strCache>
                <c:ptCount val="1"/>
                <c:pt idx="0">
                  <c:v>Fo phones</c:v>
                </c:pt>
              </c:strCache>
            </c:strRef>
          </c:cat>
          <c:val>
            <c:numRef>
              <c:f>Pivot_Top10DepartmentsLastYear!$B$5</c:f>
              <c:numCache>
                <c:formatCode>0.00</c:formatCode>
                <c:ptCount val="1"/>
                <c:pt idx="0">
                  <c:v>7.625</c:v>
                </c:pt>
              </c:numCache>
            </c:numRef>
          </c:val>
          <c:extLst>
            <c:ext xmlns:c16="http://schemas.microsoft.com/office/drawing/2014/chart" uri="{C3380CC4-5D6E-409C-BE32-E72D297353CC}">
              <c16:uniqueId val="{00000000-2D17-43CE-905B-7C1CE8B2F9CF}"/>
            </c:ext>
          </c:extLst>
        </c:ser>
        <c:dLbls>
          <c:showLegendKey val="0"/>
          <c:showVal val="0"/>
          <c:showCatName val="0"/>
          <c:showSerName val="0"/>
          <c:showPercent val="0"/>
          <c:showBubbleSize val="0"/>
        </c:dLbls>
        <c:gapWidth val="75"/>
        <c:axId val="847067488"/>
        <c:axId val="847070112"/>
      </c:barChart>
      <c:catAx>
        <c:axId val="847067488"/>
        <c:scaling>
          <c:orientation val="minMax"/>
        </c:scaling>
        <c:delete val="0"/>
        <c:axPos val="l"/>
        <c:numFmt formatCode="General" sourceLinked="1"/>
        <c:majorTickMark val="none"/>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lgn="ctr">
              <a:defRPr lang="en-US" sz="900" b="0" i="0" u="none" strike="noStrike" kern="1200" baseline="0">
                <a:solidFill>
                  <a:sysClr val="windowText" lastClr="000000"/>
                </a:solidFill>
                <a:latin typeface="+mn-lt"/>
                <a:ea typeface="+mn-ea"/>
                <a:cs typeface="+mn-cs"/>
              </a:defRPr>
            </a:pPr>
            <a:endParaRPr lang="en-US"/>
          </a:p>
        </c:txPr>
        <c:crossAx val="847070112"/>
        <c:crosses val="autoZero"/>
        <c:auto val="1"/>
        <c:lblAlgn val="ctr"/>
        <c:lblOffset val="100"/>
        <c:noMultiLvlLbl val="1"/>
      </c:catAx>
      <c:valAx>
        <c:axId val="847070112"/>
        <c:scaling>
          <c:orientation val="minMax"/>
        </c:scaling>
        <c:delete val="1"/>
        <c:axPos val="b"/>
        <c:majorGridlines>
          <c:spPr>
            <a:ln>
              <a:solidFill>
                <a:schemeClr val="bg1">
                  <a:lumMod val="85000"/>
                  <a:alpha val="70000"/>
                </a:schemeClr>
              </a:solidFill>
              <a:prstDash val="dash"/>
            </a:ln>
            <a:effectLst/>
          </c:spPr>
        </c:majorGridlines>
        <c:numFmt formatCode="0" sourceLinked="0"/>
        <c:majorTickMark val="out"/>
        <c:minorTickMark val="none"/>
        <c:tickLblPos val="nextTo"/>
        <c:crossAx val="847067488"/>
        <c:crosses val="autoZero"/>
        <c:crossBetween val="between"/>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radarChart>
        <c:radarStyle val="filled"/>
        <c:varyColors val="0"/>
        <c:ser>
          <c:idx val="0"/>
          <c:order val="0"/>
          <c:spPr>
            <a:solidFill>
              <a:schemeClr val="tx2">
                <a:lumMod val="40000"/>
                <a:lumOff val="60000"/>
                <a:alpha val="80000"/>
              </a:schemeClr>
            </a:solidFill>
            <a:ln w="3175">
              <a:solidFill>
                <a:srgbClr val="0000CC"/>
              </a:solidFill>
              <a:prstDash val="solid"/>
            </a:ln>
            <a:effectLst/>
          </c:spPr>
          <c:cat>
            <c:strRef>
              <c:extLst>
                <c:ext xmlns:c15="http://schemas.microsoft.com/office/drawing/2012/chart" uri="{02D57815-91ED-43cb-92C2-25804820EDAC}">
                  <c15:fullRef>
                    <c15:sqref>Pivot_AllCompetencies!$D$3:$D$22</c15:sqref>
                  </c15:fullRef>
                </c:ext>
              </c:extLst>
              <c:f>Pivot_AllCompetencies!$D$3:$D$10</c:f>
              <c:strCache>
                <c:ptCount val="8"/>
                <c:pt idx="0">
                  <c:v>Quality of Work</c:v>
                </c:pt>
                <c:pt idx="1">
                  <c:v>CaLL flow</c:v>
                </c:pt>
                <c:pt idx="2">
                  <c:v>Job Knowledge</c:v>
                </c:pt>
                <c:pt idx="3">
                  <c:v>Client Service</c:v>
                </c:pt>
                <c:pt idx="4">
                  <c:v>Teamwork</c:v>
                </c:pt>
                <c:pt idx="5">
                  <c:v>Safety</c:v>
                </c:pt>
                <c:pt idx="6">
                  <c:v>Reliability</c:v>
                </c:pt>
                <c:pt idx="7">
                  <c:v>Initiative/Adaptability</c:v>
                </c:pt>
              </c:strCache>
            </c:strRef>
          </c:cat>
          <c:val>
            <c:numRef>
              <c:extLst>
                <c:ext xmlns:c15="http://schemas.microsoft.com/office/drawing/2012/chart" uri="{02D57815-91ED-43cb-92C2-25804820EDAC}">
                  <c15:fullRef>
                    <c15:sqref>Pivot_AllCompetencies!$E$3:$E$22</c15:sqref>
                  </c15:fullRef>
                </c:ext>
              </c:extLst>
              <c:f>Pivot_AllCompetencies!$E$3:$E$10</c:f>
              <c:numCache>
                <c:formatCode>0.00</c:formatCode>
                <c:ptCount val="8"/>
                <c:pt idx="0">
                  <c:v>5</c:v>
                </c:pt>
                <c:pt idx="1">
                  <c:v>8</c:v>
                </c:pt>
                <c:pt idx="2">
                  <c:v>7</c:v>
                </c:pt>
                <c:pt idx="3">
                  <c:v>5</c:v>
                </c:pt>
                <c:pt idx="4">
                  <c:v>9</c:v>
                </c:pt>
                <c:pt idx="5">
                  <c:v>8</c:v>
                </c:pt>
                <c:pt idx="6">
                  <c:v>10</c:v>
                </c:pt>
                <c:pt idx="7">
                  <c:v>9</c:v>
                </c:pt>
              </c:numCache>
            </c:numRef>
          </c:val>
          <c:extLst>
            <c:ext xmlns:c16="http://schemas.microsoft.com/office/drawing/2014/chart" uri="{C3380CC4-5D6E-409C-BE32-E72D297353CC}">
              <c16:uniqueId val="{00000000-C340-4F34-A6A0-909F0E4364F8}"/>
            </c:ext>
          </c:extLst>
        </c:ser>
        <c:dLbls>
          <c:showLegendKey val="0"/>
          <c:showVal val="0"/>
          <c:showCatName val="0"/>
          <c:showSerName val="0"/>
          <c:showPercent val="0"/>
          <c:showBubbleSize val="0"/>
        </c:dLbls>
        <c:axId val="846414544"/>
        <c:axId val="846416512"/>
      </c:radarChart>
      <c:catAx>
        <c:axId val="846414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846416512"/>
        <c:crosses val="autoZero"/>
        <c:auto val="1"/>
        <c:lblAlgn val="ctr"/>
        <c:lblOffset val="100"/>
        <c:noMultiLvlLbl val="0"/>
      </c:catAx>
      <c:valAx>
        <c:axId val="846416512"/>
        <c:scaling>
          <c:orientation val="minMax"/>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66675">
            <a:noFill/>
          </a:ln>
          <a:effectLst/>
        </c:spPr>
        <c:txPr>
          <a:bodyPr rot="-60000000" spcFirstLastPara="1" vertOverflow="ellipsis" vert="horz" wrap="square" anchor="ctr" anchorCtr="1"/>
          <a:lstStyle/>
          <a:p>
            <a:pPr>
              <a:defRPr sz="900" b="1" i="0" u="none" strike="noStrike" kern="1200" baseline="0">
                <a:ln>
                  <a:noFill/>
                </a:ln>
                <a:solidFill>
                  <a:schemeClr val="tx1">
                    <a:lumMod val="65000"/>
                    <a:lumOff val="35000"/>
                  </a:schemeClr>
                </a:solidFill>
                <a:latin typeface="+mn-lt"/>
                <a:ea typeface="+mn-ea"/>
                <a:cs typeface="+mn-cs"/>
              </a:defRPr>
            </a:pPr>
            <a:endParaRPr lang="en-US"/>
          </a:p>
        </c:txPr>
        <c:crossAx val="846414544"/>
        <c:crosses val="autoZero"/>
        <c:crossBetween val="between"/>
        <c:majorUnit val="1"/>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[employee_performance_tracker_v2.1.xlsm]Pivot_Top10EmployeesChart!PVTable4</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2225" cap="rnd">
            <a:solidFill>
              <a:schemeClr val="accent1"/>
            </a:solidFill>
            <a:round/>
          </a:ln>
          <a:effectLst/>
        </c:spPr>
        <c:marker>
          <c:spPr>
            <a:solidFill>
              <a:schemeClr val="lt1"/>
            </a:solidFill>
            <a:ln w="15875">
              <a:solidFill>
                <a:schemeClr val="accent1"/>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5400" cap="rnd">
            <a:solidFill>
              <a:srgbClr val="BFBFBF"/>
            </a:solidFill>
            <a:prstDash val="solid"/>
            <a:round/>
          </a:ln>
          <a:effectLst/>
        </c:spPr>
        <c:marker>
          <c:symbol val="circle"/>
          <c:size val="6"/>
          <c:spPr>
            <a:noFill/>
            <a:ln w="12700">
              <a:noFill/>
              <a:round/>
            </a:ln>
            <a:effectLst/>
            <a:extLst>
              <a:ext uri="{909E8E84-426E-40DD-AFC4-6F175D3DCCD1}">
                <a14:hiddenFill xmlns:a14="http://schemas.microsoft.com/office/drawing/2010/main">
                  <a:noFill/>
                </a14:hiddenFill>
              </a:ext>
              <a:ext uri="{91240B29-F687-4F45-9708-019B960494DF}">
                <a14:hiddenLine xmlns:a14="http://schemas.microsoft.com/office/drawing/2010/main" w="12700">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5400" cap="rnd">
            <a:solidFill>
              <a:srgbClr val="BFBFBF"/>
            </a:solidFill>
            <a:prstDash val="solid"/>
            <a:round/>
          </a:ln>
          <a:effectLst/>
        </c:spPr>
        <c:marker>
          <c:symbol val="circle"/>
          <c:size val="6"/>
          <c:spPr>
            <a:noFill/>
            <a:ln w="12700">
              <a:noFill/>
              <a:round/>
            </a:ln>
            <a:effectLst/>
            <a:extLst>
              <a:ext uri="{909E8E84-426E-40DD-AFC4-6F175D3DCCD1}">
                <a14:hiddenFill xmlns:a14="http://schemas.microsoft.com/office/drawing/2010/main">
                  <a:noFill/>
                </a14:hiddenFill>
              </a:ext>
              <a:ext uri="{91240B29-F687-4F45-9708-019B960494DF}">
                <a14:hiddenLine xmlns:a14="http://schemas.microsoft.com/office/drawing/2010/main" w="12700">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5400" cap="rnd">
            <a:solidFill>
              <a:srgbClr val="BFBFBF"/>
            </a:solidFill>
            <a:prstDash val="solid"/>
            <a:round/>
          </a:ln>
          <a:effectLst/>
        </c:spPr>
        <c:marker>
          <c:symbol val="circle"/>
          <c:size val="6"/>
          <c:spPr>
            <a:noFill/>
            <a:ln w="12700">
              <a:noFill/>
              <a:round/>
            </a:ln>
            <a:effectLst/>
            <a:extLst>
              <a:ext uri="{909E8E84-426E-40DD-AFC4-6F175D3DCCD1}">
                <a14:hiddenFill xmlns:a14="http://schemas.microsoft.com/office/drawing/2010/main">
                  <a:noFill/>
                </a14:hiddenFill>
              </a:ext>
              <a:ext uri="{91240B29-F687-4F45-9708-019B960494DF}">
                <a14:hiddenLine xmlns:a14="http://schemas.microsoft.com/office/drawing/2010/main" w="12700">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5400" cap="rnd">
            <a:solidFill>
              <a:srgbClr val="BFBFBF"/>
            </a:solidFill>
            <a:prstDash val="solid"/>
            <a:round/>
          </a:ln>
          <a:effectLst/>
        </c:spPr>
        <c:marker>
          <c:symbol val="circle"/>
          <c:size val="6"/>
          <c:spPr>
            <a:noFill/>
            <a:ln w="12700">
              <a:noFill/>
              <a:round/>
            </a:ln>
            <a:effectLst/>
            <a:extLst>
              <a:ext uri="{909E8E84-426E-40DD-AFC4-6F175D3DCCD1}">
                <a14:hiddenFill xmlns:a14="http://schemas.microsoft.com/office/drawing/2010/main">
                  <a:noFill/>
                </a14:hiddenFill>
              </a:ext>
              <a:ext uri="{91240B29-F687-4F45-9708-019B960494DF}">
                <a14:hiddenLine xmlns:a14="http://schemas.microsoft.com/office/drawing/2010/main" w="12700">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5400" cap="rnd">
            <a:solidFill>
              <a:srgbClr val="BFBFBF"/>
            </a:solidFill>
            <a:prstDash val="solid"/>
            <a:round/>
          </a:ln>
          <a:effectLst/>
        </c:spPr>
        <c:marker>
          <c:symbol val="circle"/>
          <c:size val="6"/>
          <c:spPr>
            <a:noFill/>
            <a:ln w="12700">
              <a:noFill/>
              <a:round/>
            </a:ln>
            <a:effectLst/>
            <a:extLst>
              <a:ext uri="{909E8E84-426E-40DD-AFC4-6F175D3DCCD1}">
                <a14:hiddenFill xmlns:a14="http://schemas.microsoft.com/office/drawing/2010/main">
                  <a:noFill/>
                </a14:hiddenFill>
              </a:ext>
              <a:ext uri="{91240B29-F687-4F45-9708-019B960494DF}">
                <a14:hiddenLine xmlns:a14="http://schemas.microsoft.com/office/drawing/2010/main" w="12700">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5400" cap="rnd">
            <a:solidFill>
              <a:srgbClr val="BFBFBF"/>
            </a:solidFill>
            <a:prstDash val="solid"/>
            <a:round/>
          </a:ln>
          <a:effectLst/>
        </c:spPr>
        <c:marker>
          <c:symbol val="circle"/>
          <c:size val="6"/>
          <c:spPr>
            <a:noFill/>
            <a:ln w="12700">
              <a:noFill/>
              <a:round/>
            </a:ln>
            <a:effectLst/>
            <a:extLst>
              <a:ext uri="{909E8E84-426E-40DD-AFC4-6F175D3DCCD1}">
                <a14:hiddenFill xmlns:a14="http://schemas.microsoft.com/office/drawing/2010/main">
                  <a:noFill/>
                </a14:hiddenFill>
              </a:ext>
              <a:ext uri="{91240B29-F687-4F45-9708-019B960494DF}">
                <a14:hiddenLine xmlns:a14="http://schemas.microsoft.com/office/drawing/2010/main" w="12700">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5400" cap="rnd">
            <a:solidFill>
              <a:srgbClr val="BFBFBF"/>
            </a:solidFill>
            <a:prstDash val="solid"/>
            <a:round/>
          </a:ln>
          <a:effectLst/>
        </c:spPr>
        <c:marker>
          <c:symbol val="circle"/>
          <c:size val="6"/>
          <c:spPr>
            <a:noFill/>
            <a:ln w="12700">
              <a:noFill/>
              <a:round/>
            </a:ln>
            <a:effectLst/>
            <a:extLst>
              <a:ext uri="{909E8E84-426E-40DD-AFC4-6F175D3DCCD1}">
                <a14:hiddenFill xmlns:a14="http://schemas.microsoft.com/office/drawing/2010/main">
                  <a:noFill/>
                </a14:hiddenFill>
              </a:ext>
              <a:ext uri="{91240B29-F687-4F45-9708-019B960494DF}">
                <a14:hiddenLine xmlns:a14="http://schemas.microsoft.com/office/drawing/2010/main" w="12700">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5400" cap="rnd">
            <a:solidFill>
              <a:srgbClr val="BFBFBF"/>
            </a:solidFill>
            <a:prstDash val="solid"/>
            <a:round/>
          </a:ln>
          <a:effectLst/>
        </c:spPr>
        <c:marker>
          <c:symbol val="circle"/>
          <c:size val="6"/>
          <c:spPr>
            <a:noFill/>
            <a:ln w="12700">
              <a:noFill/>
              <a:round/>
            </a:ln>
            <a:effectLst/>
            <a:extLst>
              <a:ext uri="{909E8E84-426E-40DD-AFC4-6F175D3DCCD1}">
                <a14:hiddenFill xmlns:a14="http://schemas.microsoft.com/office/drawing/2010/main">
                  <a:noFill/>
                </a14:hiddenFill>
              </a:ext>
              <a:ext uri="{91240B29-F687-4F45-9708-019B960494DF}">
                <a14:hiddenLine xmlns:a14="http://schemas.microsoft.com/office/drawing/2010/main" w="12700">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5400" cap="rnd">
            <a:solidFill>
              <a:srgbClr val="BFBFBF"/>
            </a:solidFill>
            <a:prstDash val="solid"/>
            <a:round/>
          </a:ln>
          <a:effectLst/>
        </c:spPr>
        <c:marker>
          <c:symbol val="circle"/>
          <c:size val="6"/>
          <c:spPr>
            <a:noFill/>
            <a:ln w="12700">
              <a:noFill/>
              <a:round/>
            </a:ln>
            <a:effectLst/>
            <a:extLst>
              <a:ext uri="{909E8E84-426E-40DD-AFC4-6F175D3DCCD1}">
                <a14:hiddenFill xmlns:a14="http://schemas.microsoft.com/office/drawing/2010/main">
                  <a:noFill/>
                </a14:hiddenFill>
              </a:ext>
              <a:ext uri="{91240B29-F687-4F45-9708-019B960494DF}">
                <a14:hiddenLine xmlns:a14="http://schemas.microsoft.com/office/drawing/2010/main" w="12700">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5400" cap="rnd">
            <a:solidFill>
              <a:srgbClr val="BFBFBF"/>
            </a:solidFill>
            <a:prstDash val="solid"/>
            <a:round/>
          </a:ln>
          <a:effectLst/>
        </c:spPr>
        <c:marker>
          <c:symbol val="circle"/>
          <c:size val="6"/>
          <c:spPr>
            <a:noFill/>
            <a:ln w="12700">
              <a:noFill/>
              <a:prstDash val="solid"/>
              <a:round/>
            </a:ln>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2700">
                  <a:noFill/>
                  <a:prstDash val="solid"/>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pivotFmt>
      <c:pivotFmt>
        <c:idx val="69"/>
      </c:pivotFmt>
      <c:pivotFmt>
        <c:idx val="70"/>
      </c:pivotFmt>
      <c:pivotFmt>
        <c:idx val="71"/>
      </c:pivotFmt>
      <c:pivotFmt>
        <c:idx val="72"/>
      </c:pivotFmt>
      <c:pivotFmt>
        <c:idx val="73"/>
        <c:spPr>
          <a:solidFill>
            <a:schemeClr val="accent1"/>
          </a:solidFill>
          <a:ln w="25400" cap="rnd">
            <a:solidFill>
              <a:srgbClr val="BFBFBF"/>
            </a:solidFill>
            <a:prstDash val="solid"/>
            <a:round/>
          </a:ln>
          <a:effectLst/>
        </c:spPr>
        <c:marker>
          <c:symbol val="circle"/>
          <c:size val="6"/>
          <c:spPr>
            <a:noFill/>
            <a:ln w="15875">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5875">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5400" cap="rnd">
            <a:solidFill>
              <a:srgbClr val="BFBFBF"/>
            </a:solidFill>
            <a:prstDash val="solid"/>
            <a:round/>
          </a:ln>
          <a:effectLst/>
        </c:spPr>
        <c:marker>
          <c:symbol val="circle"/>
          <c:size val="6"/>
          <c:spPr>
            <a:noFill/>
            <a:ln w="15875">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5875">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5400" cap="rnd">
            <a:solidFill>
              <a:srgbClr val="BFBFBF"/>
            </a:solidFill>
            <a:prstDash val="solid"/>
            <a:round/>
          </a:ln>
          <a:effectLst/>
        </c:spPr>
        <c:marker>
          <c:symbol val="circle"/>
          <c:size val="6"/>
          <c:spPr>
            <a:noFill/>
            <a:ln w="15875">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5875">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5400" cap="rnd">
            <a:solidFill>
              <a:srgbClr val="BFBFBF"/>
            </a:solidFill>
            <a:prstDash val="solid"/>
            <a:round/>
          </a:ln>
          <a:effectLst/>
        </c:spPr>
        <c:marker>
          <c:symbol val="circle"/>
          <c:size val="6"/>
          <c:spPr>
            <a:noFill/>
            <a:ln w="15875">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5875">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5400" cap="rnd">
            <a:solidFill>
              <a:srgbClr val="BFBFBF"/>
            </a:solidFill>
            <a:prstDash val="solid"/>
            <a:round/>
          </a:ln>
          <a:effectLst/>
        </c:spPr>
        <c:marker>
          <c:symbol val="circle"/>
          <c:size val="6"/>
          <c:spPr>
            <a:noFill/>
            <a:ln w="15875">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5875">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2225" cap="rnd">
            <a:solidFill>
              <a:schemeClr val="accent1"/>
            </a:solidFill>
            <a:round/>
          </a:ln>
          <a:effectLst/>
        </c:spPr>
        <c:marker>
          <c:symbol val="circle"/>
          <c:size val="6"/>
          <c:spPr>
            <a:solidFill>
              <a:schemeClr val="lt1"/>
            </a:solidFill>
            <a:ln w="1587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ln w="25400" cap="rnd">
            <a:solidFill>
              <a:srgbClr val="BFBFBF"/>
            </a:solidFill>
            <a:prstDash val="solid"/>
            <a:round/>
          </a:ln>
          <a:effectLst/>
        </c:spPr>
        <c:marker>
          <c:symbol val="circle"/>
          <c:size val="6"/>
          <c:spPr>
            <a:noFill/>
            <a:ln w="15875">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5875">
                  <a:noFill/>
                  <a:round/>
                </a14:hiddenLine>
              </a:ext>
            </a:ex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ln w="22225" cap="rnd">
            <a:solidFill>
              <a:schemeClr val="accent1"/>
            </a:solidFill>
            <a:round/>
          </a:ln>
          <a:effectLst/>
        </c:spPr>
        <c:marker>
          <c:symbol val="circle"/>
          <c:size val="6"/>
          <c:spPr>
            <a:solidFill>
              <a:schemeClr val="lt1"/>
            </a:solidFill>
            <a:ln w="15875">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21518987341772E-2"/>
          <c:y val="6.5185185185185179E-2"/>
          <c:w val="0.63166583607428817"/>
          <c:h val="0.79734359871682703"/>
        </c:manualLayout>
      </c:layout>
      <c:lineChart>
        <c:grouping val="standard"/>
        <c:varyColors val="0"/>
        <c:ser>
          <c:idx val="0"/>
          <c:order val="0"/>
          <c:tx>
            <c:strRef>
              <c:f>Pivot_Top10EmployeesChart!$B$3:$B$5</c:f>
              <c:strCache>
                <c:ptCount val="1"/>
                <c:pt idx="0">
                  <c:v>baker makaylin - Comp.</c:v>
                </c:pt>
              </c:strCache>
            </c:strRef>
          </c:tx>
          <c:spPr>
            <a:ln w="25400" cap="rnd">
              <a:solidFill>
                <a:srgbClr val="BFBFBF"/>
              </a:solidFill>
              <a:prstDash val="solid"/>
              <a:round/>
            </a:ln>
            <a:effectLst/>
          </c:spPr>
          <c:marker>
            <c:symbol val="circle"/>
            <c:size val="6"/>
            <c:spPr>
              <a:noFill/>
              <a:ln w="15875">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15875">
                    <a:noFill/>
                    <a:round/>
                  </a14:hiddenLine>
                </a:ext>
              </a:extLst>
            </c:spPr>
          </c:marker>
          <c:cat>
            <c:strRef>
              <c:f>Pivot_Top10EmployeesChart!$A$6</c:f>
              <c:strCache>
                <c:ptCount val="1"/>
                <c:pt idx="0">
                  <c:v>2018</c:v>
                </c:pt>
              </c:strCache>
            </c:strRef>
          </c:cat>
          <c:val>
            <c:numRef>
              <c:f>Pivot_Top10EmployeesChart!$B$6</c:f>
              <c:numCache>
                <c:formatCode>0.00</c:formatCode>
                <c:ptCount val="1"/>
                <c:pt idx="0">
                  <c:v>7.625</c:v>
                </c:pt>
              </c:numCache>
            </c:numRef>
          </c:val>
          <c:smooth val="0"/>
          <c:extLst>
            <c:ext xmlns:c16="http://schemas.microsoft.com/office/drawing/2014/chart" uri="{C3380CC4-5D6E-409C-BE32-E72D297353CC}">
              <c16:uniqueId val="{0000000A-5845-4389-9036-904581B74AEA}"/>
            </c:ext>
          </c:extLst>
        </c:ser>
        <c:ser>
          <c:idx val="1"/>
          <c:order val="1"/>
          <c:tx>
            <c:strRef>
              <c:f>Pivot_Top10EmployeesChart!$C$3:$C$5</c:f>
              <c:strCache>
                <c:ptCount val="1"/>
                <c:pt idx="0">
                  <c:v>baker makaylin -  </c:v>
                </c:pt>
              </c:strCache>
            </c:strRef>
          </c:tx>
          <c:spPr>
            <a:ln w="22225" cap="rnd">
              <a:solidFill>
                <a:schemeClr val="accent2"/>
              </a:solidFill>
              <a:round/>
            </a:ln>
            <a:effectLst/>
          </c:spPr>
          <c:marker>
            <c:symbol val="circle"/>
            <c:size val="6"/>
            <c:spPr>
              <a:solidFill>
                <a:schemeClr val="lt1"/>
              </a:solidFill>
              <a:ln w="15875">
                <a:solidFill>
                  <a:schemeClr val="accent2"/>
                </a:solidFill>
                <a:round/>
              </a:ln>
              <a:effectLst/>
            </c:spPr>
          </c:marker>
          <c:cat>
            <c:strRef>
              <c:f>Pivot_Top10EmployeesChart!$A$6</c:f>
              <c:strCache>
                <c:ptCount val="1"/>
                <c:pt idx="0">
                  <c:v>2018</c:v>
                </c:pt>
              </c:strCache>
            </c:strRef>
          </c:cat>
          <c:val>
            <c:numRef>
              <c:f>Pivot_Top10EmployeesChart!$C$6</c:f>
              <c:numCache>
                <c:formatCode>0.00</c:formatCode>
                <c:ptCount val="1"/>
                <c:pt idx="0">
                  <c:v>7.625</c:v>
                </c:pt>
              </c:numCache>
            </c:numRef>
          </c:val>
          <c:smooth val="0"/>
          <c:extLst>
            <c:ext xmlns:c16="http://schemas.microsoft.com/office/drawing/2014/chart" uri="{C3380CC4-5D6E-409C-BE32-E72D297353CC}">
              <c16:uniqueId val="{0000000B-5845-4389-9036-904581B74AEA}"/>
            </c:ext>
          </c:extLst>
        </c:ser>
        <c:dLbls>
          <c:showLegendKey val="0"/>
          <c:showVal val="0"/>
          <c:showCatName val="0"/>
          <c:showSerName val="0"/>
          <c:showPercent val="0"/>
          <c:showBubbleSize val="0"/>
        </c:dLbls>
        <c:marker val="1"/>
        <c:smooth val="0"/>
        <c:axId val="859620616"/>
        <c:axId val="859620944"/>
      </c:lineChart>
      <c:catAx>
        <c:axId val="859620616"/>
        <c:scaling>
          <c:orientation val="minMax"/>
        </c:scaling>
        <c:delete val="0"/>
        <c:axPos val="b"/>
        <c:majorGridlines>
          <c:spPr>
            <a:ln w="9525" cap="flat" cmpd="sng" algn="ctr">
              <a:solidFill>
                <a:schemeClr val="bg1">
                  <a:lumMod val="85000"/>
                  <a:alpha val="50000"/>
                </a:schemeClr>
              </a:solidFill>
              <a:prstDash val="dash"/>
              <a:round/>
            </a:ln>
            <a:effectLst/>
          </c:spPr>
        </c:majorGridlines>
        <c:numFmt formatCode="General" sourceLinked="1"/>
        <c:majorTickMark val="none"/>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1" i="0" u="none" strike="noStrike" kern="1200" cap="none" spc="0" normalizeH="0" baseline="0">
                <a:solidFill>
                  <a:schemeClr val="dk1">
                    <a:lumMod val="65000"/>
                    <a:lumOff val="35000"/>
                  </a:schemeClr>
                </a:solidFill>
                <a:latin typeface="+mn-lt"/>
                <a:ea typeface="+mn-ea"/>
                <a:cs typeface="+mn-cs"/>
              </a:defRPr>
            </a:pPr>
            <a:endParaRPr lang="en-US"/>
          </a:p>
        </c:txPr>
        <c:crossAx val="859620944"/>
        <c:crosses val="autoZero"/>
        <c:auto val="1"/>
        <c:lblAlgn val="ctr"/>
        <c:lblOffset val="100"/>
        <c:noMultiLvlLbl val="0"/>
      </c:catAx>
      <c:valAx>
        <c:axId val="859620944"/>
        <c:scaling>
          <c:orientation val="minMax"/>
        </c:scaling>
        <c:delete val="0"/>
        <c:axPos val="l"/>
        <c:majorGridlines>
          <c:spPr>
            <a:ln w="9525" cap="flat" cmpd="sng" algn="ctr">
              <a:solidFill>
                <a:schemeClr val="bg1">
                  <a:lumMod val="85000"/>
                  <a:alpha val="60000"/>
                </a:schemeClr>
              </a:solidFill>
              <a:prstDash val="dash"/>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crossAx val="859620616"/>
        <c:crosses val="autoZero"/>
        <c:crossBetween val="midCat"/>
        <c:majorUnit val="1"/>
        <c:minorUnit val="1"/>
      </c:valAx>
      <c:spPr>
        <a:noFill/>
        <a:ln>
          <a:noFill/>
          <a:prstDash val="dash"/>
        </a:ln>
        <a:effectLst/>
      </c:spPr>
    </c:plotArea>
    <c:legend>
      <c:legendPos val="r"/>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9386398815532676E-2"/>
          <c:y val="6.7901234567901231E-2"/>
          <c:w val="0.83136886735311932"/>
          <c:h val="0.46011519393409156"/>
        </c:manualLayout>
      </c:layout>
      <c:barChart>
        <c:barDir val="col"/>
        <c:grouping val="clustered"/>
        <c:varyColors val="0"/>
        <c:ser>
          <c:idx val="0"/>
          <c:order val="0"/>
          <c:tx>
            <c:strRef>
              <c:f>Pivot_RatingPerCompetency3Years!$F$2</c:f>
              <c:strCache>
                <c:ptCount val="1"/>
                <c:pt idx="0">
                  <c:v>2018</c:v>
                </c:pt>
              </c:strCache>
            </c:strRef>
          </c:tx>
          <c:spPr>
            <a:pattFill prst="dkUpDiag">
              <a:fgClr>
                <a:srgbClr val="0000CC"/>
              </a:fgClr>
              <a:bgClr>
                <a:srgbClr val="FFFFCC"/>
              </a:bgClr>
            </a:pattFill>
            <a:ln>
              <a:noFill/>
            </a:ln>
            <a:effectLst>
              <a:innerShdw blurRad="63500">
                <a:schemeClr val="accent1"/>
              </a:innerShdw>
            </a:effectLst>
          </c:spPr>
          <c:invertIfNegative val="0"/>
          <c:cat>
            <c:strRef>
              <c:extLst>
                <c:ext xmlns:c15="http://schemas.microsoft.com/office/drawing/2012/chart" uri="{02D57815-91ED-43cb-92C2-25804820EDAC}">
                  <c15:fullRef>
                    <c15:sqref>Pivot_RatingPerCompetency3Years!$E$3:$E$22</c15:sqref>
                  </c15:fullRef>
                </c:ext>
              </c:extLst>
              <c:f>Pivot_RatingPerCompetency3Years!$E$3:$E$10</c:f>
              <c:strCache>
                <c:ptCount val="8"/>
                <c:pt idx="0">
                  <c:v>Quality of Work</c:v>
                </c:pt>
                <c:pt idx="1">
                  <c:v>CaLL flow</c:v>
                </c:pt>
                <c:pt idx="2">
                  <c:v>Job Knowledge</c:v>
                </c:pt>
                <c:pt idx="3">
                  <c:v>Client Service</c:v>
                </c:pt>
                <c:pt idx="4">
                  <c:v>Teamwork</c:v>
                </c:pt>
                <c:pt idx="5">
                  <c:v>Safety</c:v>
                </c:pt>
                <c:pt idx="6">
                  <c:v>Reliability</c:v>
                </c:pt>
                <c:pt idx="7">
                  <c:v>Initiative/Adaptability</c:v>
                </c:pt>
              </c:strCache>
            </c:strRef>
          </c:cat>
          <c:val>
            <c:numRef>
              <c:extLst>
                <c:ext xmlns:c15="http://schemas.microsoft.com/office/drawing/2012/chart" uri="{02D57815-91ED-43cb-92C2-25804820EDAC}">
                  <c15:fullRef>
                    <c15:sqref>Pivot_RatingPerCompetency3Years!$F$3:$F$22</c15:sqref>
                  </c15:fullRef>
                </c:ext>
              </c:extLst>
              <c:f>Pivot_RatingPerCompetency3Years!$F$3:$F$10</c:f>
              <c:numCache>
                <c:formatCode>0.00</c:formatCode>
                <c:ptCount val="8"/>
                <c:pt idx="0">
                  <c:v>5</c:v>
                </c:pt>
                <c:pt idx="1">
                  <c:v>8</c:v>
                </c:pt>
                <c:pt idx="2">
                  <c:v>7</c:v>
                </c:pt>
                <c:pt idx="3">
                  <c:v>5</c:v>
                </c:pt>
                <c:pt idx="4">
                  <c:v>9</c:v>
                </c:pt>
                <c:pt idx="5">
                  <c:v>8</c:v>
                </c:pt>
                <c:pt idx="6">
                  <c:v>10</c:v>
                </c:pt>
                <c:pt idx="7">
                  <c:v>9</c:v>
                </c:pt>
              </c:numCache>
            </c:numRef>
          </c:val>
          <c:extLst>
            <c:ext xmlns:c16="http://schemas.microsoft.com/office/drawing/2014/chart" uri="{C3380CC4-5D6E-409C-BE32-E72D297353CC}">
              <c16:uniqueId val="{00000000-5480-43E9-8809-2461DEF9C110}"/>
            </c:ext>
          </c:extLst>
        </c:ser>
        <c:ser>
          <c:idx val="1"/>
          <c:order val="1"/>
          <c:tx>
            <c:strRef>
              <c:f>Pivot_RatingPerCompetency3Years!$G$2</c:f>
              <c:strCache>
                <c:ptCount val="1"/>
                <c:pt idx="0">
                  <c:v>0</c:v>
                </c:pt>
              </c:strCache>
            </c:strRef>
          </c:tx>
          <c:spPr>
            <a:pattFill prst="dkUpDiag">
              <a:fgClr>
                <a:srgbClr val="FF0000"/>
              </a:fgClr>
              <a:bgClr>
                <a:srgbClr val="FFFFCC"/>
              </a:bgClr>
            </a:pattFill>
            <a:ln>
              <a:noFill/>
            </a:ln>
            <a:effectLst>
              <a:innerShdw blurRad="63500">
                <a:schemeClr val="accent1"/>
              </a:innerShdw>
            </a:effectLst>
          </c:spPr>
          <c:invertIfNegative val="0"/>
          <c:cat>
            <c:strRef>
              <c:extLst>
                <c:ext xmlns:c15="http://schemas.microsoft.com/office/drawing/2012/chart" uri="{02D57815-91ED-43cb-92C2-25804820EDAC}">
                  <c15:fullRef>
                    <c15:sqref>Pivot_RatingPerCompetency3Years!$E$3:$E$22</c15:sqref>
                  </c15:fullRef>
                </c:ext>
              </c:extLst>
              <c:f>Pivot_RatingPerCompetency3Years!$E$3:$E$10</c:f>
              <c:strCache>
                <c:ptCount val="8"/>
                <c:pt idx="0">
                  <c:v>Quality of Work</c:v>
                </c:pt>
                <c:pt idx="1">
                  <c:v>CaLL flow</c:v>
                </c:pt>
                <c:pt idx="2">
                  <c:v>Job Knowledge</c:v>
                </c:pt>
                <c:pt idx="3">
                  <c:v>Client Service</c:v>
                </c:pt>
                <c:pt idx="4">
                  <c:v>Teamwork</c:v>
                </c:pt>
                <c:pt idx="5">
                  <c:v>Safety</c:v>
                </c:pt>
                <c:pt idx="6">
                  <c:v>Reliability</c:v>
                </c:pt>
                <c:pt idx="7">
                  <c:v>Initiative/Adaptability</c:v>
                </c:pt>
              </c:strCache>
            </c:strRef>
          </c:cat>
          <c:val>
            <c:numRef>
              <c:extLst>
                <c:ext xmlns:c15="http://schemas.microsoft.com/office/drawing/2012/chart" uri="{02D57815-91ED-43cb-92C2-25804820EDAC}">
                  <c15:fullRef>
                    <c15:sqref>Pivot_RatingPerCompetency3Years!$G$3:$G$22</c15:sqref>
                  </c15:fullRef>
                </c:ext>
              </c:extLst>
              <c:f>Pivot_RatingPerCompetency3Years!$G$3:$G$10</c:f>
              <c:numCache>
                <c:formatCode>0.00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5480-43E9-8809-2461DEF9C110}"/>
            </c:ext>
          </c:extLst>
        </c:ser>
        <c:ser>
          <c:idx val="2"/>
          <c:order val="2"/>
          <c:tx>
            <c:strRef>
              <c:f>Pivot_RatingPerCompetency3Years!$H$2</c:f>
              <c:strCache>
                <c:ptCount val="1"/>
                <c:pt idx="0">
                  <c:v>0</c:v>
                </c:pt>
              </c:strCache>
            </c:strRef>
          </c:tx>
          <c:spPr>
            <a:pattFill prst="dkUpDiag">
              <a:fgClr>
                <a:schemeClr val="tx1"/>
              </a:fgClr>
              <a:bgClr>
                <a:srgbClr val="FFFFCC"/>
              </a:bgClr>
            </a:pattFill>
            <a:ln>
              <a:noFill/>
            </a:ln>
            <a:effectLst>
              <a:innerShdw blurRad="63500">
                <a:schemeClr val="accent1"/>
              </a:innerShdw>
            </a:effectLst>
          </c:spPr>
          <c:invertIfNegative val="0"/>
          <c:cat>
            <c:strRef>
              <c:extLst>
                <c:ext xmlns:c15="http://schemas.microsoft.com/office/drawing/2012/chart" uri="{02D57815-91ED-43cb-92C2-25804820EDAC}">
                  <c15:fullRef>
                    <c15:sqref>Pivot_RatingPerCompetency3Years!$E$3:$E$22</c15:sqref>
                  </c15:fullRef>
                </c:ext>
              </c:extLst>
              <c:f>Pivot_RatingPerCompetency3Years!$E$3:$E$10</c:f>
              <c:strCache>
                <c:ptCount val="8"/>
                <c:pt idx="0">
                  <c:v>Quality of Work</c:v>
                </c:pt>
                <c:pt idx="1">
                  <c:v>CaLL flow</c:v>
                </c:pt>
                <c:pt idx="2">
                  <c:v>Job Knowledge</c:v>
                </c:pt>
                <c:pt idx="3">
                  <c:v>Client Service</c:v>
                </c:pt>
                <c:pt idx="4">
                  <c:v>Teamwork</c:v>
                </c:pt>
                <c:pt idx="5">
                  <c:v>Safety</c:v>
                </c:pt>
                <c:pt idx="6">
                  <c:v>Reliability</c:v>
                </c:pt>
                <c:pt idx="7">
                  <c:v>Initiative/Adaptability</c:v>
                </c:pt>
              </c:strCache>
            </c:strRef>
          </c:cat>
          <c:val>
            <c:numRef>
              <c:extLst>
                <c:ext xmlns:c15="http://schemas.microsoft.com/office/drawing/2012/chart" uri="{02D57815-91ED-43cb-92C2-25804820EDAC}">
                  <c15:fullRef>
                    <c15:sqref>Pivot_RatingPerCompetency3Years!$H$3:$H$22</c15:sqref>
                  </c15:fullRef>
                </c:ext>
              </c:extLst>
              <c:f>Pivot_RatingPerCompetency3Years!$H$3:$H$10</c:f>
              <c:numCache>
                <c:formatCode>0.00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5480-43E9-8809-2461DEF9C110}"/>
            </c:ext>
          </c:extLst>
        </c:ser>
        <c:dLbls>
          <c:showLegendKey val="0"/>
          <c:showVal val="0"/>
          <c:showCatName val="0"/>
          <c:showSerName val="0"/>
          <c:showPercent val="0"/>
          <c:showBubbleSize val="0"/>
        </c:dLbls>
        <c:gapWidth val="100"/>
        <c:overlap val="-15"/>
        <c:axId val="846425040"/>
        <c:axId val="846428648"/>
      </c:barChart>
      <c:catAx>
        <c:axId val="846425040"/>
        <c:scaling>
          <c:orientation val="minMax"/>
        </c:scaling>
        <c:delete val="0"/>
        <c:axPos val="b"/>
        <c:minorGridlines>
          <c:spPr>
            <a:ln>
              <a:solidFill>
                <a:schemeClr val="bg1">
                  <a:lumMod val="85000"/>
                  <a:alpha val="60000"/>
                </a:schemeClr>
              </a:solidFill>
              <a:prstDash val="dash"/>
            </a:ln>
            <a:effectLst/>
          </c:spPr>
        </c:minorGridlines>
        <c:numFmt formatCode="General" sourceLinked="1"/>
        <c:majorTickMark val="none"/>
        <c:minorTickMark val="none"/>
        <c:tickLblPos val="nextTo"/>
        <c:spPr>
          <a:noFill/>
          <a:ln w="9525" cap="flat" cmpd="sng" algn="ctr">
            <a:solidFill>
              <a:schemeClr val="bg1">
                <a:lumMod val="75000"/>
              </a:schemeClr>
            </a:solidFill>
            <a:round/>
          </a:ln>
          <a:effectLst/>
        </c:spPr>
        <c:txPr>
          <a:bodyPr rot="-2700000" spcFirstLastPara="1" vertOverflow="ellipsis" wrap="square" anchor="ctr"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846428648"/>
        <c:crosses val="autoZero"/>
        <c:auto val="1"/>
        <c:lblAlgn val="ctr"/>
        <c:lblOffset val="100"/>
        <c:noMultiLvlLbl val="0"/>
      </c:catAx>
      <c:valAx>
        <c:axId val="846428648"/>
        <c:scaling>
          <c:orientation val="minMax"/>
        </c:scaling>
        <c:delete val="0"/>
        <c:axPos val="l"/>
        <c:majorGridlines>
          <c:spPr>
            <a:ln>
              <a:solidFill>
                <a:schemeClr val="bg1">
                  <a:lumMod val="85000"/>
                  <a:alpha val="60000"/>
                </a:schemeClr>
              </a:solidFill>
              <a:prstDash val="dash"/>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46425040"/>
        <c:crosses val="autoZero"/>
        <c:crossBetween val="between"/>
        <c:majorUnit val="1"/>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Pivot_EmployeePerCompetency!$F$2</c:f>
              <c:strCache>
                <c:ptCount val="1"/>
                <c:pt idx="0">
                  <c:v>Company average</c:v>
                </c:pt>
              </c:strCache>
            </c:strRef>
          </c:tx>
          <c:spPr>
            <a:pattFill prst="dkUpDiag">
              <a:fgClr>
                <a:srgbClr val="0000CC"/>
              </a:fgClr>
              <a:bgClr>
                <a:srgbClr val="FFFFCC"/>
              </a:bgClr>
            </a:pattFill>
            <a:ln>
              <a:noFill/>
            </a:ln>
            <a:effectLst>
              <a:innerShdw blurRad="63500">
                <a:schemeClr val="accent1"/>
              </a:innerShdw>
            </a:effectLst>
          </c:spPr>
          <c:invertIfNegative val="0"/>
          <c:cat>
            <c:strRef>
              <c:extLst>
                <c:ext xmlns:c15="http://schemas.microsoft.com/office/drawing/2012/chart" uri="{02D57815-91ED-43cb-92C2-25804820EDAC}">
                  <c15:fullRef>
                    <c15:sqref>Pivot_EmployeePerCompetency!$E$3:$E$22</c15:sqref>
                  </c15:fullRef>
                </c:ext>
              </c:extLst>
              <c:f>Pivot_EmployeePerCompetency!$E$3:$E$10</c:f>
              <c:strCache>
                <c:ptCount val="8"/>
                <c:pt idx="0">
                  <c:v>Quality of Work</c:v>
                </c:pt>
                <c:pt idx="1">
                  <c:v>CaLL flow</c:v>
                </c:pt>
                <c:pt idx="2">
                  <c:v>Job Knowledge</c:v>
                </c:pt>
                <c:pt idx="3">
                  <c:v>Client Service</c:v>
                </c:pt>
                <c:pt idx="4">
                  <c:v>Teamwork</c:v>
                </c:pt>
                <c:pt idx="5">
                  <c:v>Safety</c:v>
                </c:pt>
                <c:pt idx="6">
                  <c:v>Reliability</c:v>
                </c:pt>
                <c:pt idx="7">
                  <c:v>Initiative/Adaptability</c:v>
                </c:pt>
              </c:strCache>
            </c:strRef>
          </c:cat>
          <c:val>
            <c:numRef>
              <c:extLst>
                <c:ext xmlns:c15="http://schemas.microsoft.com/office/drawing/2012/chart" uri="{02D57815-91ED-43cb-92C2-25804820EDAC}">
                  <c15:fullRef>
                    <c15:sqref>Pivot_EmployeePerCompetency!$F$3:$F$22</c15:sqref>
                  </c15:fullRef>
                </c:ext>
              </c:extLst>
              <c:f>Pivot_EmployeePerCompetency!$F$3:$F$10</c:f>
              <c:numCache>
                <c:formatCode>0.00</c:formatCode>
                <c:ptCount val="8"/>
                <c:pt idx="0">
                  <c:v>5</c:v>
                </c:pt>
                <c:pt idx="1">
                  <c:v>8</c:v>
                </c:pt>
                <c:pt idx="2">
                  <c:v>7</c:v>
                </c:pt>
                <c:pt idx="3">
                  <c:v>5</c:v>
                </c:pt>
                <c:pt idx="4">
                  <c:v>9</c:v>
                </c:pt>
                <c:pt idx="5">
                  <c:v>8</c:v>
                </c:pt>
                <c:pt idx="6">
                  <c:v>10</c:v>
                </c:pt>
                <c:pt idx="7">
                  <c:v>9</c:v>
                </c:pt>
              </c:numCache>
            </c:numRef>
          </c:val>
          <c:extLst>
            <c:ext xmlns:c16="http://schemas.microsoft.com/office/drawing/2014/chart" uri="{C3380CC4-5D6E-409C-BE32-E72D297353CC}">
              <c16:uniqueId val="{00000000-227F-4D33-9748-E1D6B3427DFB}"/>
            </c:ext>
          </c:extLst>
        </c:ser>
        <c:ser>
          <c:idx val="1"/>
          <c:order val="1"/>
          <c:tx>
            <c:strRef>
              <c:f>Pivot_EmployeePerCompetency!$G$2</c:f>
              <c:strCache>
                <c:ptCount val="1"/>
                <c:pt idx="0">
                  <c:v>Traverso Madeleine</c:v>
                </c:pt>
              </c:strCache>
            </c:strRef>
          </c:tx>
          <c:spPr>
            <a:pattFill prst="dkUpDiag">
              <a:fgClr>
                <a:srgbClr val="FF0000"/>
              </a:fgClr>
              <a:bgClr>
                <a:srgbClr val="FFFFCC"/>
              </a:bgClr>
            </a:pattFill>
            <a:ln>
              <a:noFill/>
            </a:ln>
            <a:effectLst>
              <a:innerShdw blurRad="63500">
                <a:schemeClr val="accent1"/>
              </a:innerShdw>
            </a:effectLst>
          </c:spPr>
          <c:invertIfNegative val="0"/>
          <c:cat>
            <c:strRef>
              <c:extLst>
                <c:ext xmlns:c15="http://schemas.microsoft.com/office/drawing/2012/chart" uri="{02D57815-91ED-43cb-92C2-25804820EDAC}">
                  <c15:fullRef>
                    <c15:sqref>Pivot_EmployeePerCompetency!$E$3:$E$22</c15:sqref>
                  </c15:fullRef>
                </c:ext>
              </c:extLst>
              <c:f>Pivot_EmployeePerCompetency!$E$3:$E$10</c:f>
              <c:strCache>
                <c:ptCount val="8"/>
                <c:pt idx="0">
                  <c:v>Quality of Work</c:v>
                </c:pt>
                <c:pt idx="1">
                  <c:v>CaLL flow</c:v>
                </c:pt>
                <c:pt idx="2">
                  <c:v>Job Knowledge</c:v>
                </c:pt>
                <c:pt idx="3">
                  <c:v>Client Service</c:v>
                </c:pt>
                <c:pt idx="4">
                  <c:v>Teamwork</c:v>
                </c:pt>
                <c:pt idx="5">
                  <c:v>Safety</c:v>
                </c:pt>
                <c:pt idx="6">
                  <c:v>Reliability</c:v>
                </c:pt>
                <c:pt idx="7">
                  <c:v>Initiative/Adaptability</c:v>
                </c:pt>
              </c:strCache>
            </c:strRef>
          </c:cat>
          <c:val>
            <c:numRef>
              <c:extLst>
                <c:ext xmlns:c15="http://schemas.microsoft.com/office/drawing/2012/chart" uri="{02D57815-91ED-43cb-92C2-25804820EDAC}">
                  <c15:fullRef>
                    <c15:sqref>Pivot_EmployeePerCompetency!$G$3:$G$22</c15:sqref>
                  </c15:fullRef>
                </c:ext>
              </c:extLst>
              <c:f>Pivot_EmployeePerCompetency!$G$3:$G$10</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227F-4D33-9748-E1D6B3427DFB}"/>
            </c:ext>
          </c:extLst>
        </c:ser>
        <c:dLbls>
          <c:showLegendKey val="0"/>
          <c:showVal val="0"/>
          <c:showCatName val="0"/>
          <c:showSerName val="0"/>
          <c:showPercent val="0"/>
          <c:showBubbleSize val="0"/>
        </c:dLbls>
        <c:gapWidth val="100"/>
        <c:overlap val="-15"/>
        <c:axId val="847059616"/>
        <c:axId val="847067816"/>
      </c:barChart>
      <c:catAx>
        <c:axId val="847059616"/>
        <c:scaling>
          <c:orientation val="minMax"/>
        </c:scaling>
        <c:delete val="0"/>
        <c:axPos val="b"/>
        <c:minorGridlines>
          <c:spPr>
            <a:ln>
              <a:solidFill>
                <a:schemeClr val="bg1">
                  <a:lumMod val="85000"/>
                  <a:alpha val="60000"/>
                </a:schemeClr>
              </a:solidFill>
              <a:prstDash val="dash"/>
            </a:ln>
            <a:effectLst/>
          </c:spPr>
        </c:minorGridlines>
        <c:numFmt formatCode="General" sourceLinked="1"/>
        <c:majorTickMark val="none"/>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7067816"/>
        <c:crosses val="autoZero"/>
        <c:auto val="1"/>
        <c:lblAlgn val="ctr"/>
        <c:lblOffset val="100"/>
        <c:noMultiLvlLbl val="0"/>
      </c:catAx>
      <c:valAx>
        <c:axId val="847067816"/>
        <c:scaling>
          <c:orientation val="minMax"/>
        </c:scaling>
        <c:delete val="0"/>
        <c:axPos val="l"/>
        <c:majorGridlines>
          <c:spPr>
            <a:ln>
              <a:solidFill>
                <a:schemeClr val="bg1">
                  <a:lumMod val="85000"/>
                  <a:alpha val="60000"/>
                </a:schemeClr>
              </a:solidFill>
              <a:prstDash val="dash"/>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47059616"/>
        <c:crosses val="autoZero"/>
        <c:crossBetween val="between"/>
        <c:majorUnit val="1"/>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31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50196"/>
        </a:schemeClr>
      </a:solidFill>
      <a:ln w="25400">
        <a:solidFill>
          <a:schemeClr val="phClr"/>
        </a:solidFill>
        <a:prstDash val="sysDot"/>
      </a:ln>
    </cs:spPr>
  </cs:dataPoint>
  <cs:dataPoint3D>
    <cs:lnRef idx="0">
      <cs:styleClr val="auto"/>
    </cs:lnRef>
    <cs:fillRef idx="0">
      <cs:styleClr val="auto"/>
    </cs:fillRef>
    <cs:effectRef idx="0"/>
    <cs:fontRef idx="minor">
      <a:schemeClr val="tx1"/>
    </cs:fontRef>
    <cs:spPr>
      <a:solidFill>
        <a:schemeClr val="phClr">
          <a:alpha val="50196"/>
        </a:schemeClr>
      </a:solidFill>
      <a:ln w="25400">
        <a:solidFill>
          <a:schemeClr val="phClr"/>
        </a:solidFill>
        <a:prstDash val="sysDot"/>
      </a:ln>
    </cs:spPr>
  </cs:dataPoint3D>
  <cs:dataPointLine>
    <cs:lnRef idx="0">
      <cs:styleClr val="auto"/>
    </cs:lnRef>
    <cs:fillRef idx="0"/>
    <cs:effectRef idx="0"/>
    <cs:fontRef idx="minor">
      <a:schemeClr val="tx1"/>
    </cs:fontRef>
    <cs:spPr>
      <a:ln w="25400" cap="rnd" cmpd="sng" algn="ctr">
        <a:solidFill>
          <a:schemeClr val="phClr"/>
        </a:solidFill>
        <a:prstDash val="sysDot"/>
        <a:round/>
      </a:ln>
    </cs:spPr>
  </cs:dataPointLine>
  <cs:dataPointMarker>
    <cs:lnRef idx="0">
      <cs:styleClr val="auto"/>
    </cs:lnRef>
    <cs:fillRef idx="0">
      <cs:styleClr val="auto"/>
    </cs:fillRef>
    <cs:effectRef idx="0"/>
    <cs:fontRef idx="minor">
      <a:schemeClr val="tx1"/>
    </cs:fontRef>
    <cs:spPr>
      <a:solidFill>
        <a:schemeClr val="phClr"/>
      </a:solidFill>
    </cs:spPr>
  </cs:dataPointMarker>
  <cs:dataPointMarkerLayout symbol="circle" size="6"/>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0.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g"/><Relationship Id="rId1" Type="http://schemas.openxmlformats.org/officeDocument/2006/relationships/hyperlink" Target="https://www.yourspreadsheets.co.uk/employee-performance-tracker.html"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5</xdr:row>
      <xdr:rowOff>158969</xdr:rowOff>
    </xdr:from>
    <xdr:to>
      <xdr:col>5</xdr:col>
      <xdr:colOff>190500</xdr:colOff>
      <xdr:row>7</xdr:row>
      <xdr:rowOff>196458</xdr:rowOff>
    </xdr:to>
    <xdr:sp macro="[0]!OpenIndividualView" textlink="">
      <xdr:nvSpPr>
        <xdr:cNvPr id="2" name="Rounded Rectangle 2">
          <a:extLst>
            <a:ext uri="{FF2B5EF4-FFF2-40B4-BE49-F238E27FC236}">
              <a16:creationId xmlns:a16="http://schemas.microsoft.com/office/drawing/2014/main" id="{70EF03F0-21F7-4E66-9C22-55639CFA1639}"/>
            </a:ext>
          </a:extLst>
        </xdr:cNvPr>
        <xdr:cNvSpPr>
          <a:spLocks noChangeArrowheads="1"/>
        </xdr:cNvSpPr>
      </xdr:nvSpPr>
      <xdr:spPr bwMode="auto">
        <a:xfrm>
          <a:off x="266700" y="1016219"/>
          <a:ext cx="1257300" cy="351814"/>
        </a:xfrm>
        <a:prstGeom prst="roundRect">
          <a:avLst>
            <a:gd name="adj" fmla="val 8292"/>
          </a:avLst>
        </a:prstGeom>
        <a:solidFill>
          <a:srgbClr val="FFFFCC"/>
        </a:solidFill>
        <a:ln w="12700">
          <a:solidFill>
            <a:sysClr val="windowText" lastClr="000000"/>
          </a:solidFill>
          <a:round/>
          <a:headEnd/>
          <a:tailEnd/>
        </a:ln>
        <a:effectLst>
          <a:outerShdw blurRad="50800" dist="38100" dir="2700000" algn="tl" rotWithShape="0">
            <a:srgbClr val="000000">
              <a:alpha val="39999"/>
            </a:srgbClr>
          </a:outerShdw>
        </a:effectLst>
      </xdr:spPr>
      <xdr:txBody>
        <a:bodyPr vertOverflow="clip" wrap="square" lIns="91440" tIns="0" rIns="91440" bIns="0" anchor="ctr" upright="1"/>
        <a:lstStyle/>
        <a:p>
          <a:pPr algn="ctr" rtl="0">
            <a:defRPr sz="1000"/>
          </a:pPr>
          <a:r>
            <a:rPr lang="pl-PL" sz="1100" b="1">
              <a:effectLst/>
              <a:latin typeface="+mn-lt"/>
              <a:ea typeface="+mn-ea"/>
              <a:cs typeface="+mn-cs"/>
              <a:sym typeface="Webdings" panose="05030102010509060703" pitchFamily="18" charset="2"/>
            </a:rPr>
            <a:t>Individual View</a:t>
          </a:r>
          <a:r>
            <a:rPr lang="en-US" sz="1100" b="0">
              <a:effectLst/>
              <a:latin typeface="+mn-lt"/>
              <a:ea typeface="+mn-ea"/>
              <a:cs typeface="+mn-cs"/>
              <a:sym typeface="Webdings" panose="05030102010509060703" pitchFamily="18" charset="2"/>
            </a:rPr>
            <a:t></a:t>
          </a:r>
          <a:endParaRPr lang="hu-HU" sz="1100" b="0" i="0" u="none" strike="noStrike" baseline="0">
            <a:solidFill>
              <a:srgbClr val="333333"/>
            </a:solidFill>
            <a:latin typeface="+mn-lt"/>
            <a:ea typeface="Arial"/>
            <a:cs typeface="Arial"/>
          </a:endParaRPr>
        </a:p>
      </xdr:txBody>
    </xdr:sp>
    <xdr:clientData fPrintsWithSheet="0"/>
  </xdr:twoCellAnchor>
  <xdr:twoCellAnchor editAs="oneCell">
    <xdr:from>
      <xdr:col>1</xdr:col>
      <xdr:colOff>0</xdr:colOff>
      <xdr:row>8</xdr:row>
      <xdr:rowOff>80798</xdr:rowOff>
    </xdr:from>
    <xdr:to>
      <xdr:col>5</xdr:col>
      <xdr:colOff>190500</xdr:colOff>
      <xdr:row>10</xdr:row>
      <xdr:rowOff>119602</xdr:rowOff>
    </xdr:to>
    <xdr:sp macro="[0]!OpenSettingsView" textlink="">
      <xdr:nvSpPr>
        <xdr:cNvPr id="3" name="Rounded Rectangle 2">
          <a:extLst>
            <a:ext uri="{FF2B5EF4-FFF2-40B4-BE49-F238E27FC236}">
              <a16:creationId xmlns:a16="http://schemas.microsoft.com/office/drawing/2014/main" id="{BECA688C-9A1C-4433-9682-BCFB61BFA3F8}"/>
            </a:ext>
          </a:extLst>
        </xdr:cNvPr>
        <xdr:cNvSpPr>
          <a:spLocks noChangeArrowheads="1"/>
        </xdr:cNvSpPr>
      </xdr:nvSpPr>
      <xdr:spPr bwMode="auto">
        <a:xfrm>
          <a:off x="266700" y="1480973"/>
          <a:ext cx="1257300" cy="353129"/>
        </a:xfrm>
        <a:prstGeom prst="roundRect">
          <a:avLst>
            <a:gd name="adj" fmla="val 8292"/>
          </a:avLst>
        </a:prstGeom>
        <a:solidFill>
          <a:srgbClr val="FFFFCC"/>
        </a:solidFill>
        <a:ln w="12700">
          <a:solidFill>
            <a:sysClr val="windowText" lastClr="000000"/>
          </a:solidFill>
          <a:round/>
          <a:headEnd/>
          <a:tailEnd/>
        </a:ln>
        <a:effectLst>
          <a:outerShdw blurRad="50800" dist="38100" dir="2700000" algn="tl" rotWithShape="0">
            <a:srgbClr val="000000">
              <a:alpha val="39999"/>
            </a:srgbClr>
          </a:outerShdw>
        </a:effectLst>
      </xdr:spPr>
      <xdr:txBody>
        <a:bodyPr vertOverflow="clip" wrap="square" lIns="91440" tIns="0" rIns="91440" bIns="0" anchor="ctr" upright="1"/>
        <a:lstStyle/>
        <a:p>
          <a:pPr algn="ctr" rtl="0">
            <a:defRPr sz="1000"/>
          </a:pPr>
          <a:r>
            <a:rPr lang="pl-PL" sz="1100" b="1">
              <a:effectLst/>
              <a:latin typeface="+mn-lt"/>
              <a:ea typeface="+mn-ea"/>
              <a:cs typeface="+mn-cs"/>
              <a:sym typeface="Webdings" panose="05030102010509060703" pitchFamily="18" charset="2"/>
            </a:rPr>
            <a:t>Settings</a:t>
          </a:r>
          <a:r>
            <a:rPr lang="en-US" sz="1100" b="0">
              <a:effectLst/>
              <a:latin typeface="+mn-lt"/>
              <a:ea typeface="+mn-ea"/>
              <a:cs typeface="+mn-cs"/>
              <a:sym typeface="Webdings" panose="05030102010509060703" pitchFamily="18" charset="2"/>
            </a:rPr>
            <a:t></a:t>
          </a:r>
          <a:endParaRPr lang="pl-PL" sz="1100" b="0">
            <a:effectLst/>
            <a:latin typeface="+mn-lt"/>
            <a:ea typeface="+mn-ea"/>
            <a:cs typeface="+mn-cs"/>
            <a:sym typeface="Webdings" panose="05030102010509060703" pitchFamily="18" charset="2"/>
          </a:endParaRPr>
        </a:p>
      </xdr:txBody>
    </xdr:sp>
    <xdr:clientData fPrintsWithSheet="0"/>
  </xdr:twoCellAnchor>
  <xdr:twoCellAnchor editAs="oneCell">
    <xdr:from>
      <xdr:col>1</xdr:col>
      <xdr:colOff>0</xdr:colOff>
      <xdr:row>1</xdr:row>
      <xdr:rowOff>0</xdr:rowOff>
    </xdr:from>
    <xdr:to>
      <xdr:col>5</xdr:col>
      <xdr:colOff>190500</xdr:colOff>
      <xdr:row>2</xdr:row>
      <xdr:rowOff>124200</xdr:rowOff>
    </xdr:to>
    <xdr:sp macro="[0]!PrintMeThree" textlink="">
      <xdr:nvSpPr>
        <xdr:cNvPr id="4" name="Rounded Rectangle 2">
          <a:extLst>
            <a:ext uri="{FF2B5EF4-FFF2-40B4-BE49-F238E27FC236}">
              <a16:creationId xmlns:a16="http://schemas.microsoft.com/office/drawing/2014/main" id="{33C5DCDF-EA75-4495-ABB6-7C8574D243E4}"/>
            </a:ext>
          </a:extLst>
        </xdr:cNvPr>
        <xdr:cNvSpPr>
          <a:spLocks noChangeArrowheads="1"/>
        </xdr:cNvSpPr>
      </xdr:nvSpPr>
      <xdr:spPr bwMode="auto">
        <a:xfrm>
          <a:off x="266700" y="85725"/>
          <a:ext cx="1257300" cy="352800"/>
        </a:xfrm>
        <a:prstGeom prst="roundRect">
          <a:avLst>
            <a:gd name="adj" fmla="val 8292"/>
          </a:avLst>
        </a:prstGeom>
        <a:solidFill>
          <a:srgbClr val="FFFFCC"/>
        </a:solidFill>
        <a:ln w="12700">
          <a:solidFill>
            <a:sysClr val="windowText" lastClr="000000"/>
          </a:solidFill>
          <a:round/>
          <a:headEnd/>
          <a:tailEnd/>
        </a:ln>
        <a:effectLst>
          <a:outerShdw blurRad="50800" dist="38100" dir="2700000" algn="tl" rotWithShape="0">
            <a:srgbClr val="000000">
              <a:alpha val="39999"/>
            </a:srgbClr>
          </a:outerShdw>
        </a:effectLst>
      </xdr:spPr>
      <xdr:txBody>
        <a:bodyPr vertOverflow="clip" wrap="square" lIns="91440" tIns="0" rIns="91440" bIns="0" anchor="ctr" upright="1"/>
        <a:lstStyle/>
        <a:p>
          <a:pPr algn="ctr" rtl="0">
            <a:defRPr sz="1000"/>
          </a:pPr>
          <a:r>
            <a:rPr lang="pl-PL" sz="1100" b="1">
              <a:effectLst/>
              <a:latin typeface="+mn-lt"/>
              <a:ea typeface="+mn-ea"/>
              <a:cs typeface="+mn-cs"/>
              <a:sym typeface="Webdings" panose="05030102010509060703" pitchFamily="18" charset="2"/>
            </a:rPr>
            <a:t>Print this View</a:t>
          </a:r>
          <a:endParaRPr lang="hu-HU" sz="1100" b="1" i="0" u="none" strike="noStrike" baseline="0">
            <a:solidFill>
              <a:srgbClr val="333333"/>
            </a:solidFill>
            <a:latin typeface="+mn-lt"/>
            <a:ea typeface="Arial"/>
            <a:cs typeface="Arial"/>
          </a:endParaRPr>
        </a:p>
      </xdr:txBody>
    </xdr:sp>
    <xdr:clientData fPrintsWithSheet="0"/>
  </xdr:twoCellAnchor>
  <xdr:twoCellAnchor editAs="oneCell">
    <xdr:from>
      <xdr:col>1</xdr:col>
      <xdr:colOff>0</xdr:colOff>
      <xdr:row>3</xdr:row>
      <xdr:rowOff>10182</xdr:rowOff>
    </xdr:from>
    <xdr:to>
      <xdr:col>5</xdr:col>
      <xdr:colOff>190500</xdr:colOff>
      <xdr:row>5</xdr:row>
      <xdr:rowOff>48657</xdr:rowOff>
    </xdr:to>
    <xdr:sp macro="[0]!OpenOverView" textlink="">
      <xdr:nvSpPr>
        <xdr:cNvPr id="5" name="Rounded Rectangle 2">
          <a:extLst>
            <a:ext uri="{FF2B5EF4-FFF2-40B4-BE49-F238E27FC236}">
              <a16:creationId xmlns:a16="http://schemas.microsoft.com/office/drawing/2014/main" id="{24D16790-60E7-4E9A-8B66-7D3E0D151F7B}"/>
            </a:ext>
          </a:extLst>
        </xdr:cNvPr>
        <xdr:cNvSpPr>
          <a:spLocks noChangeArrowheads="1"/>
        </xdr:cNvSpPr>
      </xdr:nvSpPr>
      <xdr:spPr bwMode="auto">
        <a:xfrm>
          <a:off x="266700" y="553107"/>
          <a:ext cx="1257300" cy="352800"/>
        </a:xfrm>
        <a:prstGeom prst="roundRect">
          <a:avLst>
            <a:gd name="adj" fmla="val 8292"/>
          </a:avLst>
        </a:prstGeom>
        <a:solidFill>
          <a:srgbClr val="FFFFCC"/>
        </a:solidFill>
        <a:ln w="12700">
          <a:solidFill>
            <a:sysClr val="windowText" lastClr="000000"/>
          </a:solidFill>
          <a:round/>
          <a:headEnd/>
          <a:tailEnd/>
        </a:ln>
        <a:effectLst>
          <a:outerShdw blurRad="50800" dist="38100" dir="2700000" algn="tl" rotWithShape="0">
            <a:srgbClr val="000000">
              <a:alpha val="39999"/>
            </a:srgbClr>
          </a:outerShdw>
        </a:effectLst>
      </xdr:spPr>
      <xdr:txBody>
        <a:bodyPr vertOverflow="clip" wrap="square" lIns="91440" tIns="0" rIns="91440" bIns="0" anchor="ctr" upright="1"/>
        <a:lstStyle/>
        <a:p>
          <a:pPr algn="ctr" rtl="0"/>
          <a:r>
            <a:rPr lang="pl-PL" sz="1100" b="1">
              <a:effectLst/>
              <a:latin typeface="+mn-lt"/>
              <a:ea typeface="+mn-ea"/>
              <a:cs typeface="+mn-cs"/>
            </a:rPr>
            <a:t>Overview</a:t>
          </a:r>
          <a:r>
            <a:rPr lang="en-US" sz="1100" b="0">
              <a:effectLst/>
              <a:latin typeface="+mn-lt"/>
              <a:ea typeface="+mn-ea"/>
              <a:cs typeface="+mn-cs"/>
              <a:sym typeface="Webdings" panose="05030102010509060703" pitchFamily="18" charset="2"/>
            </a:rPr>
            <a:t></a:t>
          </a:r>
          <a:endParaRPr lang="en-GB">
            <a:effectLst/>
          </a:endParaRPr>
        </a:p>
      </xdr:txBody>
    </xdr:sp>
    <xdr:clientData fPrintsWithSheet="0"/>
  </xdr:twoCellAnchor>
  <xdr:twoCellAnchor>
    <xdr:from>
      <xdr:col>18</xdr:col>
      <xdr:colOff>0</xdr:colOff>
      <xdr:row>2</xdr:row>
      <xdr:rowOff>0</xdr:rowOff>
    </xdr:from>
    <xdr:to>
      <xdr:col>28</xdr:col>
      <xdr:colOff>0</xdr:colOff>
      <xdr:row>13</xdr:row>
      <xdr:rowOff>0</xdr:rowOff>
    </xdr:to>
    <xdr:graphicFrame macro="">
      <xdr:nvGraphicFramePr>
        <xdr:cNvPr id="7" name="Chart 6">
          <a:extLst>
            <a:ext uri="{FF2B5EF4-FFF2-40B4-BE49-F238E27FC236}">
              <a16:creationId xmlns:a16="http://schemas.microsoft.com/office/drawing/2014/main" id="{813EB4D8-2FAD-43E7-84FA-19FB744E2D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15</xdr:row>
      <xdr:rowOff>0</xdr:rowOff>
    </xdr:from>
    <xdr:to>
      <xdr:col>24</xdr:col>
      <xdr:colOff>0</xdr:colOff>
      <xdr:row>25</xdr:row>
      <xdr:rowOff>0</xdr:rowOff>
    </xdr:to>
    <xdr:graphicFrame macro="">
      <xdr:nvGraphicFramePr>
        <xdr:cNvPr id="8" name="Chart 7">
          <a:extLst>
            <a:ext uri="{FF2B5EF4-FFF2-40B4-BE49-F238E27FC236}">
              <a16:creationId xmlns:a16="http://schemas.microsoft.com/office/drawing/2014/main" id="{0DBEC58A-EE53-4940-BD08-85F1702C60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39</xdr:col>
      <xdr:colOff>0</xdr:colOff>
      <xdr:row>2</xdr:row>
      <xdr:rowOff>0</xdr:rowOff>
    </xdr:from>
    <xdr:to>
      <xdr:col>49</xdr:col>
      <xdr:colOff>0</xdr:colOff>
      <xdr:row>13</xdr:row>
      <xdr:rowOff>0</xdr:rowOff>
    </xdr:to>
    <xdr:graphicFrame macro="">
      <xdr:nvGraphicFramePr>
        <xdr:cNvPr id="10" name="Chart 9">
          <a:extLst>
            <a:ext uri="{FF2B5EF4-FFF2-40B4-BE49-F238E27FC236}">
              <a16:creationId xmlns:a16="http://schemas.microsoft.com/office/drawing/2014/main" id="{DC586F05-238C-4377-8EAB-7FB868415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61</xdr:col>
      <xdr:colOff>0</xdr:colOff>
      <xdr:row>2</xdr:row>
      <xdr:rowOff>1</xdr:rowOff>
    </xdr:from>
    <xdr:to>
      <xdr:col>71</xdr:col>
      <xdr:colOff>0</xdr:colOff>
      <xdr:row>20</xdr:row>
      <xdr:rowOff>0</xdr:rowOff>
    </xdr:to>
    <xdr:graphicFrame macro="">
      <xdr:nvGraphicFramePr>
        <xdr:cNvPr id="11" name="Chart 10">
          <a:extLst>
            <a:ext uri="{FF2B5EF4-FFF2-40B4-BE49-F238E27FC236}">
              <a16:creationId xmlns:a16="http://schemas.microsoft.com/office/drawing/2014/main" id="{B55A2317-BBEE-4F9B-817A-5CFE1A3440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50</xdr:col>
      <xdr:colOff>0</xdr:colOff>
      <xdr:row>2</xdr:row>
      <xdr:rowOff>0</xdr:rowOff>
    </xdr:from>
    <xdr:to>
      <xdr:col>60</xdr:col>
      <xdr:colOff>0</xdr:colOff>
      <xdr:row>20</xdr:row>
      <xdr:rowOff>0</xdr:rowOff>
    </xdr:to>
    <xdr:graphicFrame macro="">
      <xdr:nvGraphicFramePr>
        <xdr:cNvPr id="15" name="Chart 14">
          <a:extLst>
            <a:ext uri="{FF2B5EF4-FFF2-40B4-BE49-F238E27FC236}">
              <a16:creationId xmlns:a16="http://schemas.microsoft.com/office/drawing/2014/main" id="{7AB66AD4-0AB6-457C-943A-0FAFF37096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61</xdr:col>
      <xdr:colOff>0</xdr:colOff>
      <xdr:row>22</xdr:row>
      <xdr:rowOff>0</xdr:rowOff>
    </xdr:from>
    <xdr:to>
      <xdr:col>71</xdr:col>
      <xdr:colOff>0</xdr:colOff>
      <xdr:row>36</xdr:row>
      <xdr:rowOff>0</xdr:rowOff>
    </xdr:to>
    <xdr:graphicFrame macro="">
      <xdr:nvGraphicFramePr>
        <xdr:cNvPr id="16" name="Chart 15">
          <a:extLst>
            <a:ext uri="{FF2B5EF4-FFF2-40B4-BE49-F238E27FC236}">
              <a16:creationId xmlns:a16="http://schemas.microsoft.com/office/drawing/2014/main" id="{2317AF16-1C6E-4EA0-B7A1-5D8F22064A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50</xdr:col>
      <xdr:colOff>0</xdr:colOff>
      <xdr:row>22</xdr:row>
      <xdr:rowOff>0</xdr:rowOff>
    </xdr:from>
    <xdr:to>
      <xdr:col>60</xdr:col>
      <xdr:colOff>0</xdr:colOff>
      <xdr:row>36</xdr:row>
      <xdr:rowOff>0</xdr:rowOff>
    </xdr:to>
    <xdr:graphicFrame macro="">
      <xdr:nvGraphicFramePr>
        <xdr:cNvPr id="18" name="Chart 17">
          <a:extLst>
            <a:ext uri="{FF2B5EF4-FFF2-40B4-BE49-F238E27FC236}">
              <a16:creationId xmlns:a16="http://schemas.microsoft.com/office/drawing/2014/main" id="{9C0910D1-90A9-4A21-BDEF-F566289B68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29</xdr:col>
      <xdr:colOff>1</xdr:colOff>
      <xdr:row>2</xdr:row>
      <xdr:rowOff>2</xdr:rowOff>
    </xdr:from>
    <xdr:to>
      <xdr:col>38</xdr:col>
      <xdr:colOff>0</xdr:colOff>
      <xdr:row>13</xdr:row>
      <xdr:rowOff>0</xdr:rowOff>
    </xdr:to>
    <xdr:graphicFrame macro="">
      <xdr:nvGraphicFramePr>
        <xdr:cNvPr id="22" name="Chart 21">
          <a:extLst>
            <a:ext uri="{FF2B5EF4-FFF2-40B4-BE49-F238E27FC236}">
              <a16:creationId xmlns:a16="http://schemas.microsoft.com/office/drawing/2014/main" id="{31C41F63-58F3-4F0D-AF68-F13C8383EC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25</xdr:col>
      <xdr:colOff>0</xdr:colOff>
      <xdr:row>15</xdr:row>
      <xdr:rowOff>0</xdr:rowOff>
    </xdr:from>
    <xdr:to>
      <xdr:col>49</xdr:col>
      <xdr:colOff>0</xdr:colOff>
      <xdr:row>25</xdr:row>
      <xdr:rowOff>0</xdr:rowOff>
    </xdr:to>
    <xdr:graphicFrame macro="">
      <xdr:nvGraphicFramePr>
        <xdr:cNvPr id="24" name="Chart 23">
          <a:extLst>
            <a:ext uri="{FF2B5EF4-FFF2-40B4-BE49-F238E27FC236}">
              <a16:creationId xmlns:a16="http://schemas.microsoft.com/office/drawing/2014/main" id="{F54CFEE1-3350-4991-8E12-5F4A1E759C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27</xdr:row>
      <xdr:rowOff>0</xdr:rowOff>
    </xdr:from>
    <xdr:to>
      <xdr:col>24</xdr:col>
      <xdr:colOff>0</xdr:colOff>
      <xdr:row>36</xdr:row>
      <xdr:rowOff>0</xdr:rowOff>
    </xdr:to>
    <xdr:graphicFrame macro="">
      <xdr:nvGraphicFramePr>
        <xdr:cNvPr id="25" name="Chart 24">
          <a:extLst>
            <a:ext uri="{FF2B5EF4-FFF2-40B4-BE49-F238E27FC236}">
              <a16:creationId xmlns:a16="http://schemas.microsoft.com/office/drawing/2014/main" id="{DC60D780-D2EC-4BDB-908F-E950512B71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23</xdr:col>
      <xdr:colOff>47625</xdr:colOff>
      <xdr:row>26</xdr:row>
      <xdr:rowOff>0</xdr:rowOff>
    </xdr:from>
    <xdr:to>
      <xdr:col>24</xdr:col>
      <xdr:colOff>0</xdr:colOff>
      <xdr:row>27</xdr:row>
      <xdr:rowOff>0</xdr:rowOff>
    </xdr:to>
    <xdr:sp macro="[0]!Message21_Click" textlink="">
      <xdr:nvSpPr>
        <xdr:cNvPr id="27" name="TextBox1">
          <a:extLst>
            <a:ext uri="{FF2B5EF4-FFF2-40B4-BE49-F238E27FC236}">
              <a16:creationId xmlns:a16="http://schemas.microsoft.com/office/drawing/2014/main" id="{D28EE335-0A60-4870-BED0-F1FFFDE24D03}"/>
            </a:ext>
          </a:extLst>
        </xdr:cNvPr>
        <xdr:cNvSpPr txBox="1"/>
      </xdr:nvSpPr>
      <xdr:spPr>
        <a:xfrm>
          <a:off x="5819775" y="4981575"/>
          <a:ext cx="2190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Ins="0" rtlCol="0" anchor="t"/>
        <a:lstStyle/>
        <a:p>
          <a:r>
            <a:rPr lang="pl-PL" sz="800">
              <a:solidFill>
                <a:schemeClr val="bg1">
                  <a:lumMod val="50000"/>
                </a:schemeClr>
              </a:solidFill>
            </a:rPr>
            <a:t>(?)</a:t>
          </a:r>
          <a:endParaRPr lang="en-GB" sz="800">
            <a:solidFill>
              <a:schemeClr val="bg1">
                <a:lumMod val="50000"/>
              </a:schemeClr>
            </a:solidFill>
          </a:endParaRPr>
        </a:p>
      </xdr:txBody>
    </xdr:sp>
    <xdr:clientData fPrintsWithSheet="0"/>
  </xdr:twoCellAnchor>
  <xdr:twoCellAnchor>
    <xdr:from>
      <xdr:col>23</xdr:col>
      <xdr:colOff>47625</xdr:colOff>
      <xdr:row>14</xdr:row>
      <xdr:rowOff>0</xdr:rowOff>
    </xdr:from>
    <xdr:to>
      <xdr:col>24</xdr:col>
      <xdr:colOff>0</xdr:colOff>
      <xdr:row>15</xdr:row>
      <xdr:rowOff>0</xdr:rowOff>
    </xdr:to>
    <xdr:sp macro="[0]!Message22_Click" textlink="">
      <xdr:nvSpPr>
        <xdr:cNvPr id="29" name="TextBox1">
          <a:extLst>
            <a:ext uri="{FF2B5EF4-FFF2-40B4-BE49-F238E27FC236}">
              <a16:creationId xmlns:a16="http://schemas.microsoft.com/office/drawing/2014/main" id="{C3D3F352-6459-4E8D-80D0-B77BB372B761}"/>
            </a:ext>
          </a:extLst>
        </xdr:cNvPr>
        <xdr:cNvSpPr txBox="1"/>
      </xdr:nvSpPr>
      <xdr:spPr>
        <a:xfrm>
          <a:off x="5819775" y="2524125"/>
          <a:ext cx="2190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Ins="0" rtlCol="0" anchor="t"/>
        <a:lstStyle/>
        <a:p>
          <a:r>
            <a:rPr lang="pl-PL" sz="800">
              <a:solidFill>
                <a:schemeClr val="bg1">
                  <a:lumMod val="50000"/>
                </a:schemeClr>
              </a:solidFill>
            </a:rPr>
            <a:t>(?)</a:t>
          </a:r>
          <a:endParaRPr lang="en-GB" sz="800">
            <a:solidFill>
              <a:schemeClr val="bg1">
                <a:lumMod val="50000"/>
              </a:schemeClr>
            </a:solidFill>
          </a:endParaRPr>
        </a:p>
      </xdr:txBody>
    </xdr:sp>
    <xdr:clientData fPrintsWithSheet="0"/>
  </xdr:twoCellAnchor>
  <xdr:twoCellAnchor>
    <xdr:from>
      <xdr:col>48</xdr:col>
      <xdr:colOff>47625</xdr:colOff>
      <xdr:row>14</xdr:row>
      <xdr:rowOff>0</xdr:rowOff>
    </xdr:from>
    <xdr:to>
      <xdr:col>49</xdr:col>
      <xdr:colOff>0</xdr:colOff>
      <xdr:row>15</xdr:row>
      <xdr:rowOff>0</xdr:rowOff>
    </xdr:to>
    <xdr:sp macro="[0]!Message22_Click" textlink="">
      <xdr:nvSpPr>
        <xdr:cNvPr id="36" name="TextBox1">
          <a:extLst>
            <a:ext uri="{FF2B5EF4-FFF2-40B4-BE49-F238E27FC236}">
              <a16:creationId xmlns:a16="http://schemas.microsoft.com/office/drawing/2014/main" id="{599DF20C-438C-40CD-B922-F904F589E73E}"/>
            </a:ext>
          </a:extLst>
        </xdr:cNvPr>
        <xdr:cNvSpPr txBox="1"/>
      </xdr:nvSpPr>
      <xdr:spPr>
        <a:xfrm>
          <a:off x="12106275" y="2524125"/>
          <a:ext cx="2190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Ins="0" rtlCol="0" anchor="t"/>
        <a:lstStyle/>
        <a:p>
          <a:r>
            <a:rPr lang="pl-PL" sz="800">
              <a:solidFill>
                <a:schemeClr val="bg1">
                  <a:lumMod val="50000"/>
                </a:schemeClr>
              </a:solidFill>
            </a:rPr>
            <a:t>(?)</a:t>
          </a:r>
          <a:endParaRPr lang="en-GB" sz="800">
            <a:solidFill>
              <a:schemeClr val="bg1">
                <a:lumMod val="50000"/>
              </a:schemeClr>
            </a:solidFill>
          </a:endParaRPr>
        </a:p>
      </xdr:txBody>
    </xdr:sp>
    <xdr:clientData fPrintsWithSheet="0"/>
  </xdr:twoCellAnchor>
  <xdr:twoCellAnchor>
    <xdr:from>
      <xdr:col>25</xdr:col>
      <xdr:colOff>0</xdr:colOff>
      <xdr:row>27</xdr:row>
      <xdr:rowOff>0</xdr:rowOff>
    </xdr:from>
    <xdr:to>
      <xdr:col>49</xdr:col>
      <xdr:colOff>0</xdr:colOff>
      <xdr:row>36</xdr:row>
      <xdr:rowOff>0</xdr:rowOff>
    </xdr:to>
    <xdr:graphicFrame macro="">
      <xdr:nvGraphicFramePr>
        <xdr:cNvPr id="37" name="Chart 36">
          <a:extLst>
            <a:ext uri="{FF2B5EF4-FFF2-40B4-BE49-F238E27FC236}">
              <a16:creationId xmlns:a16="http://schemas.microsoft.com/office/drawing/2014/main" id="{5648C3C7-0C9A-42E2-A35B-3449DEF507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48</xdr:col>
      <xdr:colOff>47625</xdr:colOff>
      <xdr:row>26</xdr:row>
      <xdr:rowOff>0</xdr:rowOff>
    </xdr:from>
    <xdr:to>
      <xdr:col>49</xdr:col>
      <xdr:colOff>0</xdr:colOff>
      <xdr:row>27</xdr:row>
      <xdr:rowOff>0</xdr:rowOff>
    </xdr:to>
    <xdr:sp macro="[0]!Message24_Click" textlink="">
      <xdr:nvSpPr>
        <xdr:cNvPr id="42" name="TextBox1">
          <a:extLst>
            <a:ext uri="{FF2B5EF4-FFF2-40B4-BE49-F238E27FC236}">
              <a16:creationId xmlns:a16="http://schemas.microsoft.com/office/drawing/2014/main" id="{9174BDF7-DB96-4DB0-BE16-6ABEC4FCF37B}"/>
            </a:ext>
          </a:extLst>
        </xdr:cNvPr>
        <xdr:cNvSpPr txBox="1"/>
      </xdr:nvSpPr>
      <xdr:spPr>
        <a:xfrm>
          <a:off x="12106275" y="4981575"/>
          <a:ext cx="2190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Ins="0" rtlCol="0" anchor="t"/>
        <a:lstStyle/>
        <a:p>
          <a:r>
            <a:rPr lang="pl-PL" sz="800">
              <a:solidFill>
                <a:schemeClr val="bg1">
                  <a:lumMod val="50000"/>
                </a:schemeClr>
              </a:solidFill>
            </a:rPr>
            <a:t>(?)</a:t>
          </a:r>
          <a:endParaRPr lang="en-GB" sz="800">
            <a:solidFill>
              <a:schemeClr val="bg1">
                <a:lumMod val="50000"/>
              </a:schemeClr>
            </a:solidFill>
          </a:endParaRPr>
        </a:p>
      </xdr:txBody>
    </xdr:sp>
    <xdr:clientData fPrintsWithSheet="0"/>
  </xdr:twoCellAnchor>
  <xdr:twoCellAnchor>
    <xdr:from>
      <xdr:col>37</xdr:col>
      <xdr:colOff>47625</xdr:colOff>
      <xdr:row>1</xdr:row>
      <xdr:rowOff>0</xdr:rowOff>
    </xdr:from>
    <xdr:to>
      <xdr:col>38</xdr:col>
      <xdr:colOff>0</xdr:colOff>
      <xdr:row>2</xdr:row>
      <xdr:rowOff>0</xdr:rowOff>
    </xdr:to>
    <xdr:sp macro="[0]!Message23_Click" textlink="">
      <xdr:nvSpPr>
        <xdr:cNvPr id="43" name="TextBox1">
          <a:extLst>
            <a:ext uri="{FF2B5EF4-FFF2-40B4-BE49-F238E27FC236}">
              <a16:creationId xmlns:a16="http://schemas.microsoft.com/office/drawing/2014/main" id="{E0EC28A9-D2B6-4D19-9C74-0441A9AD8419}"/>
            </a:ext>
          </a:extLst>
        </xdr:cNvPr>
        <xdr:cNvSpPr txBox="1"/>
      </xdr:nvSpPr>
      <xdr:spPr>
        <a:xfrm>
          <a:off x="9629775" y="123825"/>
          <a:ext cx="2190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Ins="0" rtlCol="0" anchor="t"/>
        <a:lstStyle/>
        <a:p>
          <a:r>
            <a:rPr lang="pl-PL" sz="800">
              <a:solidFill>
                <a:schemeClr val="bg1">
                  <a:lumMod val="50000"/>
                </a:schemeClr>
              </a:solidFill>
            </a:rPr>
            <a:t>(?)</a:t>
          </a:r>
          <a:endParaRPr lang="en-GB" sz="800">
            <a:solidFill>
              <a:schemeClr val="bg1">
                <a:lumMod val="50000"/>
              </a:schemeClr>
            </a:solidFill>
          </a:endParaRPr>
        </a:p>
      </xdr:txBody>
    </xdr:sp>
    <xdr:clientData fPrintsWithSheet="0"/>
  </xdr:twoCellAnchor>
  <xdr:twoCellAnchor>
    <xdr:from>
      <xdr:col>48</xdr:col>
      <xdr:colOff>47625</xdr:colOff>
      <xdr:row>1</xdr:row>
      <xdr:rowOff>0</xdr:rowOff>
    </xdr:from>
    <xdr:to>
      <xdr:col>49</xdr:col>
      <xdr:colOff>0</xdr:colOff>
      <xdr:row>2</xdr:row>
      <xdr:rowOff>0</xdr:rowOff>
    </xdr:to>
    <xdr:sp macro="[0]!Message26_Click" textlink="">
      <xdr:nvSpPr>
        <xdr:cNvPr id="26" name="TextBox1">
          <a:extLst>
            <a:ext uri="{FF2B5EF4-FFF2-40B4-BE49-F238E27FC236}">
              <a16:creationId xmlns:a16="http://schemas.microsoft.com/office/drawing/2014/main" id="{3B3CDC18-1518-4CE1-A5BF-FDFCED6379F8}"/>
            </a:ext>
          </a:extLst>
        </xdr:cNvPr>
        <xdr:cNvSpPr txBox="1"/>
      </xdr:nvSpPr>
      <xdr:spPr>
        <a:xfrm>
          <a:off x="12106275" y="123825"/>
          <a:ext cx="2190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Ins="0" rtlCol="0" anchor="t"/>
        <a:lstStyle/>
        <a:p>
          <a:r>
            <a:rPr lang="pl-PL" sz="800">
              <a:solidFill>
                <a:schemeClr val="bg1">
                  <a:lumMod val="50000"/>
                </a:schemeClr>
              </a:solidFill>
            </a:rPr>
            <a:t>(?)</a:t>
          </a:r>
          <a:endParaRPr lang="en-GB" sz="800">
            <a:solidFill>
              <a:schemeClr val="bg1">
                <a:lumMod val="50000"/>
              </a:schemeClr>
            </a:solidFill>
          </a:endParaRP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33</xdr:col>
      <xdr:colOff>1</xdr:colOff>
      <xdr:row>5</xdr:row>
      <xdr:rowOff>94875</xdr:rowOff>
    </xdr:from>
    <xdr:to>
      <xdr:col>36</xdr:col>
      <xdr:colOff>1</xdr:colOff>
      <xdr:row>7</xdr:row>
      <xdr:rowOff>28575</xdr:rowOff>
    </xdr:to>
    <xdr:sp macro="[0]!OpenIndividualView" textlink="">
      <xdr:nvSpPr>
        <xdr:cNvPr id="2" name="Rounded Rectangle 2">
          <a:extLst>
            <a:ext uri="{FF2B5EF4-FFF2-40B4-BE49-F238E27FC236}">
              <a16:creationId xmlns:a16="http://schemas.microsoft.com/office/drawing/2014/main" id="{6641CAC2-B85D-4C96-AC92-F742366C08E1}"/>
            </a:ext>
          </a:extLst>
        </xdr:cNvPr>
        <xdr:cNvSpPr>
          <a:spLocks noChangeArrowheads="1"/>
        </xdr:cNvSpPr>
      </xdr:nvSpPr>
      <xdr:spPr bwMode="auto">
        <a:xfrm>
          <a:off x="9534526" y="1142625"/>
          <a:ext cx="1257300" cy="352800"/>
        </a:xfrm>
        <a:prstGeom prst="roundRect">
          <a:avLst>
            <a:gd name="adj" fmla="val 8292"/>
          </a:avLst>
        </a:prstGeom>
        <a:solidFill>
          <a:srgbClr val="FFFFCC"/>
        </a:solidFill>
        <a:ln w="12700">
          <a:solidFill>
            <a:sysClr val="windowText" lastClr="000000"/>
          </a:solidFill>
          <a:round/>
          <a:headEnd/>
          <a:tailEnd/>
        </a:ln>
        <a:effectLst>
          <a:outerShdw blurRad="50800" dist="38100" dir="2700000" algn="tl" rotWithShape="0">
            <a:srgbClr val="000000">
              <a:alpha val="39999"/>
            </a:srgbClr>
          </a:outerShdw>
        </a:effectLst>
      </xdr:spPr>
      <xdr:txBody>
        <a:bodyPr vertOverflow="clip" wrap="square" lIns="91440" tIns="0" rIns="91440" bIns="0" anchor="ctr" upright="1"/>
        <a:lstStyle/>
        <a:p>
          <a:pPr algn="ctr" rtl="0">
            <a:defRPr sz="1000"/>
          </a:pPr>
          <a:r>
            <a:rPr lang="pl-PL" sz="1100" b="1">
              <a:effectLst/>
              <a:latin typeface="+mn-lt"/>
              <a:ea typeface="+mn-ea"/>
              <a:cs typeface="+mn-cs"/>
              <a:sym typeface="Webdings" panose="05030102010509060703" pitchFamily="18" charset="2"/>
            </a:rPr>
            <a:t>Individual View</a:t>
          </a:r>
          <a:r>
            <a:rPr lang="en-US" sz="1100" b="0">
              <a:effectLst/>
              <a:latin typeface="+mn-lt"/>
              <a:ea typeface="+mn-ea"/>
              <a:cs typeface="+mn-cs"/>
              <a:sym typeface="Webdings" panose="05030102010509060703" pitchFamily="18" charset="2"/>
            </a:rPr>
            <a:t></a:t>
          </a:r>
          <a:endParaRPr lang="hu-HU" sz="1100" b="0" i="0" u="none" strike="noStrike" baseline="0">
            <a:solidFill>
              <a:srgbClr val="333333"/>
            </a:solidFill>
            <a:latin typeface="+mn-lt"/>
            <a:ea typeface="Arial"/>
            <a:cs typeface="Arial"/>
          </a:endParaRPr>
        </a:p>
      </xdr:txBody>
    </xdr:sp>
    <xdr:clientData fPrintsWithSheet="0"/>
  </xdr:twoCellAnchor>
  <xdr:twoCellAnchor editAs="oneCell">
    <xdr:from>
      <xdr:col>33</xdr:col>
      <xdr:colOff>1</xdr:colOff>
      <xdr:row>7</xdr:row>
      <xdr:rowOff>142875</xdr:rowOff>
    </xdr:from>
    <xdr:to>
      <xdr:col>36</xdr:col>
      <xdr:colOff>1</xdr:colOff>
      <xdr:row>9</xdr:row>
      <xdr:rowOff>76575</xdr:rowOff>
    </xdr:to>
    <xdr:sp macro="[0]!OpenSettingsView" textlink="">
      <xdr:nvSpPr>
        <xdr:cNvPr id="4" name="Rounded Rectangle 2">
          <a:extLst>
            <a:ext uri="{FF2B5EF4-FFF2-40B4-BE49-F238E27FC236}">
              <a16:creationId xmlns:a16="http://schemas.microsoft.com/office/drawing/2014/main" id="{F57080A7-74ED-4512-A7B7-6766EBA0B901}"/>
            </a:ext>
          </a:extLst>
        </xdr:cNvPr>
        <xdr:cNvSpPr>
          <a:spLocks noChangeArrowheads="1"/>
        </xdr:cNvSpPr>
      </xdr:nvSpPr>
      <xdr:spPr bwMode="auto">
        <a:xfrm>
          <a:off x="9534526" y="1609725"/>
          <a:ext cx="1257300" cy="352800"/>
        </a:xfrm>
        <a:prstGeom prst="roundRect">
          <a:avLst>
            <a:gd name="adj" fmla="val 8292"/>
          </a:avLst>
        </a:prstGeom>
        <a:solidFill>
          <a:srgbClr val="FFFFCC"/>
        </a:solidFill>
        <a:ln w="12700">
          <a:solidFill>
            <a:sysClr val="windowText" lastClr="000000"/>
          </a:solidFill>
          <a:round/>
          <a:headEnd/>
          <a:tailEnd/>
        </a:ln>
        <a:effectLst>
          <a:outerShdw blurRad="50800" dist="38100" dir="2700000" algn="tl" rotWithShape="0">
            <a:srgbClr val="000000">
              <a:alpha val="39999"/>
            </a:srgbClr>
          </a:outerShdw>
        </a:effectLst>
      </xdr:spPr>
      <xdr:txBody>
        <a:bodyPr vertOverflow="clip" wrap="square" lIns="91440" tIns="0" rIns="91440" bIns="0" anchor="ctr" upright="1"/>
        <a:lstStyle/>
        <a:p>
          <a:pPr algn="ctr" rtl="0">
            <a:defRPr sz="1000"/>
          </a:pPr>
          <a:r>
            <a:rPr lang="pl-PL" sz="1100" b="1">
              <a:effectLst/>
              <a:latin typeface="+mn-lt"/>
              <a:ea typeface="+mn-ea"/>
              <a:cs typeface="+mn-cs"/>
              <a:sym typeface="Webdings" panose="05030102010509060703" pitchFamily="18" charset="2"/>
            </a:rPr>
            <a:t>Settings</a:t>
          </a:r>
          <a:r>
            <a:rPr lang="en-US" sz="1100" b="0">
              <a:effectLst/>
              <a:latin typeface="+mn-lt"/>
              <a:ea typeface="+mn-ea"/>
              <a:cs typeface="+mn-cs"/>
              <a:sym typeface="Webdings" panose="05030102010509060703" pitchFamily="18" charset="2"/>
            </a:rPr>
            <a:t></a:t>
          </a:r>
          <a:endParaRPr lang="pl-PL" sz="1100" b="0">
            <a:effectLst/>
            <a:latin typeface="+mn-lt"/>
            <a:ea typeface="+mn-ea"/>
            <a:cs typeface="+mn-cs"/>
            <a:sym typeface="Webdings" panose="05030102010509060703" pitchFamily="18" charset="2"/>
          </a:endParaRPr>
        </a:p>
      </xdr:txBody>
    </xdr:sp>
    <xdr:clientData fPrintsWithSheet="0"/>
  </xdr:twoCellAnchor>
  <xdr:twoCellAnchor editAs="oneCell">
    <xdr:from>
      <xdr:col>33</xdr:col>
      <xdr:colOff>1</xdr:colOff>
      <xdr:row>1</xdr:row>
      <xdr:rowOff>0</xdr:rowOff>
    </xdr:from>
    <xdr:to>
      <xdr:col>36</xdr:col>
      <xdr:colOff>1</xdr:colOff>
      <xdr:row>2</xdr:row>
      <xdr:rowOff>143250</xdr:rowOff>
    </xdr:to>
    <xdr:sp macro="[0]!PrintMeOne" textlink="">
      <xdr:nvSpPr>
        <xdr:cNvPr id="5" name="Rounded Rectangle 2">
          <a:extLst>
            <a:ext uri="{FF2B5EF4-FFF2-40B4-BE49-F238E27FC236}">
              <a16:creationId xmlns:a16="http://schemas.microsoft.com/office/drawing/2014/main" id="{CA5AEAAD-52D5-4CA6-B6B1-D58E6D3B4A51}"/>
            </a:ext>
          </a:extLst>
        </xdr:cNvPr>
        <xdr:cNvSpPr>
          <a:spLocks noChangeArrowheads="1"/>
        </xdr:cNvSpPr>
      </xdr:nvSpPr>
      <xdr:spPr bwMode="auto">
        <a:xfrm>
          <a:off x="9534526" y="209550"/>
          <a:ext cx="1257300" cy="352800"/>
        </a:xfrm>
        <a:prstGeom prst="roundRect">
          <a:avLst>
            <a:gd name="adj" fmla="val 8292"/>
          </a:avLst>
        </a:prstGeom>
        <a:solidFill>
          <a:srgbClr val="FFFFCC"/>
        </a:solidFill>
        <a:ln w="12700">
          <a:solidFill>
            <a:sysClr val="windowText" lastClr="000000"/>
          </a:solidFill>
          <a:round/>
          <a:headEnd/>
          <a:tailEnd/>
        </a:ln>
        <a:effectLst>
          <a:outerShdw blurRad="50800" dist="38100" dir="2700000" algn="tl" rotWithShape="0">
            <a:srgbClr val="000000">
              <a:alpha val="39999"/>
            </a:srgbClr>
          </a:outerShdw>
        </a:effectLst>
      </xdr:spPr>
      <xdr:txBody>
        <a:bodyPr vertOverflow="clip" wrap="square" lIns="91440" tIns="0" rIns="91440" bIns="0" anchor="ctr" upright="1"/>
        <a:lstStyle/>
        <a:p>
          <a:pPr algn="ctr" rtl="0">
            <a:defRPr sz="1000"/>
          </a:pPr>
          <a:r>
            <a:rPr lang="pl-PL" sz="1100" b="1">
              <a:effectLst/>
              <a:latin typeface="+mn-lt"/>
              <a:ea typeface="+mn-ea"/>
              <a:cs typeface="+mn-cs"/>
              <a:sym typeface="Webdings" panose="05030102010509060703" pitchFamily="18" charset="2"/>
            </a:rPr>
            <a:t>Print this View</a:t>
          </a:r>
          <a:endParaRPr lang="hu-HU" sz="1100" b="1" i="0" u="none" strike="noStrike" baseline="0">
            <a:solidFill>
              <a:srgbClr val="333333"/>
            </a:solidFill>
            <a:latin typeface="+mn-lt"/>
            <a:ea typeface="Arial"/>
            <a:cs typeface="Arial"/>
          </a:endParaRPr>
        </a:p>
      </xdr:txBody>
    </xdr:sp>
    <xdr:clientData fPrintsWithSheet="0"/>
  </xdr:twoCellAnchor>
  <xdr:twoCellAnchor editAs="absolute">
    <xdr:from>
      <xdr:col>0</xdr:col>
      <xdr:colOff>76200</xdr:colOff>
      <xdr:row>10</xdr:row>
      <xdr:rowOff>0</xdr:rowOff>
    </xdr:from>
    <xdr:to>
      <xdr:col>0</xdr:col>
      <xdr:colOff>266700</xdr:colOff>
      <xdr:row>11</xdr:row>
      <xdr:rowOff>0</xdr:rowOff>
    </xdr:to>
    <xdr:sp macro="[0]!Message10_Click" textlink="">
      <xdr:nvSpPr>
        <xdr:cNvPr id="6" name="TextBox1">
          <a:extLst>
            <a:ext uri="{FF2B5EF4-FFF2-40B4-BE49-F238E27FC236}">
              <a16:creationId xmlns:a16="http://schemas.microsoft.com/office/drawing/2014/main" id="{48434F4C-CFBD-4C3D-8602-3F61F8CB17BE}"/>
            </a:ext>
          </a:extLst>
        </xdr:cNvPr>
        <xdr:cNvSpPr txBox="1"/>
      </xdr:nvSpPr>
      <xdr:spPr>
        <a:xfrm>
          <a:off x="76200" y="2095500"/>
          <a:ext cx="190500" cy="207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Ins="0" rtlCol="0" anchor="t"/>
        <a:lstStyle/>
        <a:p>
          <a:pPr lvl="0" algn="r"/>
          <a:r>
            <a:rPr lang="pl-PL" sz="800">
              <a:solidFill>
                <a:schemeClr val="bg1">
                  <a:lumMod val="50000"/>
                </a:schemeClr>
              </a:solidFill>
            </a:rPr>
            <a:t>(?) </a:t>
          </a:r>
          <a:endParaRPr lang="en-GB" sz="800">
            <a:solidFill>
              <a:schemeClr val="bg1">
                <a:lumMod val="50000"/>
              </a:schemeClr>
            </a:solidFill>
          </a:endParaRPr>
        </a:p>
      </xdr:txBody>
    </xdr:sp>
    <xdr:clientData fPrintsWithSheet="0"/>
  </xdr:twoCellAnchor>
  <xdr:twoCellAnchor editAs="oneCell">
    <xdr:from>
      <xdr:col>9</xdr:col>
      <xdr:colOff>0</xdr:colOff>
      <xdr:row>4</xdr:row>
      <xdr:rowOff>0</xdr:rowOff>
    </xdr:from>
    <xdr:to>
      <xdr:col>9</xdr:col>
      <xdr:colOff>190500</xdr:colOff>
      <xdr:row>5</xdr:row>
      <xdr:rowOff>1058</xdr:rowOff>
    </xdr:to>
    <xdr:sp macro="[0]!Message1_Click" textlink="">
      <xdr:nvSpPr>
        <xdr:cNvPr id="7" name="TextBox1">
          <a:extLst>
            <a:ext uri="{FF2B5EF4-FFF2-40B4-BE49-F238E27FC236}">
              <a16:creationId xmlns:a16="http://schemas.microsoft.com/office/drawing/2014/main" id="{9C3116A9-D746-47F8-B046-02BDB1C6EF69}"/>
            </a:ext>
          </a:extLst>
        </xdr:cNvPr>
        <xdr:cNvSpPr txBox="1"/>
      </xdr:nvSpPr>
      <xdr:spPr>
        <a:xfrm>
          <a:off x="4171950" y="838200"/>
          <a:ext cx="190500" cy="207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Ins="0" rtlCol="0" anchor="t"/>
        <a:lstStyle/>
        <a:p>
          <a:pPr lvl="0" algn="l"/>
          <a:r>
            <a:rPr lang="pl-PL" sz="800">
              <a:solidFill>
                <a:schemeClr val="bg1">
                  <a:lumMod val="50000"/>
                </a:schemeClr>
              </a:solidFill>
            </a:rPr>
            <a:t>(?) </a:t>
          </a:r>
          <a:endParaRPr lang="en-GB" sz="800">
            <a:solidFill>
              <a:schemeClr val="bg1">
                <a:lumMod val="50000"/>
              </a:schemeClr>
            </a:solidFill>
          </a:endParaRPr>
        </a:p>
      </xdr:txBody>
    </xdr:sp>
    <xdr:clientData fPrintsWithSheet="0"/>
  </xdr:twoCellAnchor>
  <xdr:twoCellAnchor editAs="oneCell">
    <xdr:from>
      <xdr:col>32</xdr:col>
      <xdr:colOff>0</xdr:colOff>
      <xdr:row>0</xdr:row>
      <xdr:rowOff>190500</xdr:rowOff>
    </xdr:from>
    <xdr:to>
      <xdr:col>32</xdr:col>
      <xdr:colOff>190500</xdr:colOff>
      <xdr:row>1</xdr:row>
      <xdr:rowOff>188383</xdr:rowOff>
    </xdr:to>
    <xdr:sp macro="[0]!Message2_Click" textlink="">
      <xdr:nvSpPr>
        <xdr:cNvPr id="8" name="TextBox1">
          <a:extLst>
            <a:ext uri="{FF2B5EF4-FFF2-40B4-BE49-F238E27FC236}">
              <a16:creationId xmlns:a16="http://schemas.microsoft.com/office/drawing/2014/main" id="{B4B074CE-3444-4755-B746-A34D3112DD62}"/>
            </a:ext>
          </a:extLst>
        </xdr:cNvPr>
        <xdr:cNvSpPr txBox="1"/>
      </xdr:nvSpPr>
      <xdr:spPr>
        <a:xfrm>
          <a:off x="9296400" y="190500"/>
          <a:ext cx="190500" cy="207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Ins="0" rtlCol="0" anchor="t"/>
        <a:lstStyle/>
        <a:p>
          <a:pPr lvl="0" algn="l"/>
          <a:r>
            <a:rPr lang="pl-PL" sz="800">
              <a:solidFill>
                <a:schemeClr val="bg1">
                  <a:lumMod val="50000"/>
                </a:schemeClr>
              </a:solidFill>
            </a:rPr>
            <a:t>(?) </a:t>
          </a:r>
          <a:endParaRPr lang="en-GB" sz="800">
            <a:solidFill>
              <a:schemeClr val="bg1">
                <a:lumMod val="50000"/>
              </a:schemeClr>
            </a:solidFill>
          </a:endParaRPr>
        </a:p>
      </xdr:txBody>
    </xdr:sp>
    <xdr:clientData fPrintsWithSheet="0"/>
  </xdr:twoCellAnchor>
  <xdr:twoCellAnchor editAs="oneCell">
    <xdr:from>
      <xdr:col>33</xdr:col>
      <xdr:colOff>1</xdr:colOff>
      <xdr:row>3</xdr:row>
      <xdr:rowOff>47625</xdr:rowOff>
    </xdr:from>
    <xdr:to>
      <xdr:col>36</xdr:col>
      <xdr:colOff>1</xdr:colOff>
      <xdr:row>4</xdr:row>
      <xdr:rowOff>190875</xdr:rowOff>
    </xdr:to>
    <xdr:sp macro="[0]!OpenDashboard" textlink="">
      <xdr:nvSpPr>
        <xdr:cNvPr id="13" name="Rounded Rectangle 2">
          <a:extLst>
            <a:ext uri="{FF2B5EF4-FFF2-40B4-BE49-F238E27FC236}">
              <a16:creationId xmlns:a16="http://schemas.microsoft.com/office/drawing/2014/main" id="{A6E5F35F-3503-4A68-94B5-166B6A9FC5BF}"/>
            </a:ext>
          </a:extLst>
        </xdr:cNvPr>
        <xdr:cNvSpPr>
          <a:spLocks noChangeArrowheads="1"/>
        </xdr:cNvSpPr>
      </xdr:nvSpPr>
      <xdr:spPr bwMode="auto">
        <a:xfrm>
          <a:off x="9534526" y="676275"/>
          <a:ext cx="1257300" cy="352800"/>
        </a:xfrm>
        <a:prstGeom prst="roundRect">
          <a:avLst>
            <a:gd name="adj" fmla="val 8292"/>
          </a:avLst>
        </a:prstGeom>
        <a:solidFill>
          <a:srgbClr val="FFFFCC"/>
        </a:solidFill>
        <a:ln w="12700">
          <a:solidFill>
            <a:sysClr val="windowText" lastClr="000000"/>
          </a:solidFill>
          <a:round/>
          <a:headEnd/>
          <a:tailEnd/>
        </a:ln>
        <a:effectLst>
          <a:outerShdw blurRad="50800" dist="38100" dir="2700000" algn="tl" rotWithShape="0">
            <a:srgbClr val="000000">
              <a:alpha val="39999"/>
            </a:srgbClr>
          </a:outerShdw>
        </a:effectLst>
      </xdr:spPr>
      <xdr:txBody>
        <a:bodyPr vertOverflow="clip" wrap="square" lIns="91440" tIns="0" rIns="91440" bIns="0" anchor="ctr" upright="1"/>
        <a:lstStyle/>
        <a:p>
          <a:pPr algn="ctr" rtl="0"/>
          <a:r>
            <a:rPr lang="en-US" sz="1100" b="0">
              <a:effectLst/>
              <a:latin typeface="+mn-lt"/>
              <a:ea typeface="+mn-ea"/>
              <a:cs typeface="+mn-cs"/>
              <a:sym typeface="Webdings" panose="05030102010509060703" pitchFamily="18" charset="2"/>
            </a:rPr>
            <a:t></a:t>
          </a:r>
          <a:r>
            <a:rPr lang="pl-PL" sz="1100" b="1">
              <a:effectLst/>
              <a:latin typeface="+mn-lt"/>
              <a:ea typeface="+mn-ea"/>
              <a:cs typeface="+mn-cs"/>
            </a:rPr>
            <a:t>Dashboard</a:t>
          </a:r>
          <a:endParaRPr lang="en-GB">
            <a:effectLst/>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26</xdr:col>
      <xdr:colOff>0</xdr:colOff>
      <xdr:row>5</xdr:row>
      <xdr:rowOff>94875</xdr:rowOff>
    </xdr:from>
    <xdr:to>
      <xdr:col>57</xdr:col>
      <xdr:colOff>361951</xdr:colOff>
      <xdr:row>7</xdr:row>
      <xdr:rowOff>28575</xdr:rowOff>
    </xdr:to>
    <xdr:sp macro="[0]!OpenOverView" textlink="">
      <xdr:nvSpPr>
        <xdr:cNvPr id="2" name="Rounded Rectangle 2">
          <a:extLst>
            <a:ext uri="{FF2B5EF4-FFF2-40B4-BE49-F238E27FC236}">
              <a16:creationId xmlns:a16="http://schemas.microsoft.com/office/drawing/2014/main" id="{5F79BA73-8A51-41A5-B59C-1ED23EE75CDE}"/>
            </a:ext>
          </a:extLst>
        </xdr:cNvPr>
        <xdr:cNvSpPr>
          <a:spLocks noChangeArrowheads="1"/>
        </xdr:cNvSpPr>
      </xdr:nvSpPr>
      <xdr:spPr bwMode="auto">
        <a:xfrm>
          <a:off x="11039475" y="1142625"/>
          <a:ext cx="1257300" cy="352800"/>
        </a:xfrm>
        <a:prstGeom prst="roundRect">
          <a:avLst>
            <a:gd name="adj" fmla="val 8292"/>
          </a:avLst>
        </a:prstGeom>
        <a:solidFill>
          <a:srgbClr val="FFFFCC"/>
        </a:solidFill>
        <a:ln w="12700">
          <a:solidFill>
            <a:sysClr val="windowText" lastClr="000000"/>
          </a:solidFill>
          <a:round/>
          <a:headEnd/>
          <a:tailEnd/>
        </a:ln>
        <a:effectLst>
          <a:outerShdw blurRad="50800" dist="38100" dir="2700000" algn="tl" rotWithShape="0">
            <a:srgbClr val="000000">
              <a:alpha val="39999"/>
            </a:srgbClr>
          </a:outerShdw>
        </a:effectLst>
      </xdr:spPr>
      <xdr:txBody>
        <a:bodyPr vertOverflow="clip" wrap="square" lIns="91440" tIns="0" rIns="91440" bIns="0" anchor="ctr" upright="1"/>
        <a:lstStyle/>
        <a:p>
          <a:pPr algn="ctr" rtl="0"/>
          <a:r>
            <a:rPr lang="en-US" sz="1100" b="0">
              <a:effectLst/>
              <a:latin typeface="+mn-lt"/>
              <a:ea typeface="+mn-ea"/>
              <a:cs typeface="+mn-cs"/>
              <a:sym typeface="Webdings" panose="05030102010509060703" pitchFamily="18" charset="2"/>
            </a:rPr>
            <a:t></a:t>
          </a:r>
          <a:r>
            <a:rPr lang="pl-PL" sz="1100" b="1">
              <a:effectLst/>
              <a:latin typeface="+mn-lt"/>
              <a:ea typeface="+mn-ea"/>
              <a:cs typeface="+mn-cs"/>
            </a:rPr>
            <a:t>Overview</a:t>
          </a:r>
          <a:endParaRPr lang="en-GB">
            <a:effectLst/>
          </a:endParaRPr>
        </a:p>
      </xdr:txBody>
    </xdr:sp>
    <xdr:clientData fPrintsWithSheet="0"/>
  </xdr:twoCellAnchor>
  <xdr:twoCellAnchor editAs="oneCell">
    <xdr:from>
      <xdr:col>26</xdr:col>
      <xdr:colOff>0</xdr:colOff>
      <xdr:row>7</xdr:row>
      <xdr:rowOff>142500</xdr:rowOff>
    </xdr:from>
    <xdr:to>
      <xdr:col>57</xdr:col>
      <xdr:colOff>361951</xdr:colOff>
      <xdr:row>9</xdr:row>
      <xdr:rowOff>114300</xdr:rowOff>
    </xdr:to>
    <xdr:sp macro="[0]!OpenSettingsView" textlink="">
      <xdr:nvSpPr>
        <xdr:cNvPr id="3" name="Rounded Rectangle 2">
          <a:extLst>
            <a:ext uri="{FF2B5EF4-FFF2-40B4-BE49-F238E27FC236}">
              <a16:creationId xmlns:a16="http://schemas.microsoft.com/office/drawing/2014/main" id="{DEE52BC1-64C4-466D-BE70-F1440F94C2C1}"/>
            </a:ext>
          </a:extLst>
        </xdr:cNvPr>
        <xdr:cNvSpPr>
          <a:spLocks noChangeArrowheads="1"/>
        </xdr:cNvSpPr>
      </xdr:nvSpPr>
      <xdr:spPr bwMode="auto">
        <a:xfrm>
          <a:off x="11039475" y="1609350"/>
          <a:ext cx="1257300" cy="352800"/>
        </a:xfrm>
        <a:prstGeom prst="roundRect">
          <a:avLst>
            <a:gd name="adj" fmla="val 8292"/>
          </a:avLst>
        </a:prstGeom>
        <a:solidFill>
          <a:srgbClr val="FFFFCC"/>
        </a:solidFill>
        <a:ln w="12700">
          <a:solidFill>
            <a:sysClr val="windowText" lastClr="000000"/>
          </a:solidFill>
          <a:round/>
          <a:headEnd/>
          <a:tailEnd/>
        </a:ln>
        <a:effectLst>
          <a:outerShdw blurRad="50800" dist="38100" dir="2700000" algn="tl" rotWithShape="0">
            <a:srgbClr val="000000">
              <a:alpha val="39999"/>
            </a:srgbClr>
          </a:outerShdw>
        </a:effectLst>
      </xdr:spPr>
      <xdr:txBody>
        <a:bodyPr vertOverflow="clip" wrap="square" lIns="91440" tIns="0" rIns="91440" bIns="0" anchor="ctr" upright="1"/>
        <a:lstStyle/>
        <a:p>
          <a:pPr algn="ctr" rtl="0">
            <a:defRPr sz="1000"/>
          </a:pPr>
          <a:r>
            <a:rPr lang="pl-PL" sz="1100" b="1">
              <a:effectLst/>
              <a:latin typeface="+mn-lt"/>
              <a:ea typeface="+mn-ea"/>
              <a:cs typeface="+mn-cs"/>
              <a:sym typeface="Webdings" panose="05030102010509060703" pitchFamily="18" charset="2"/>
            </a:rPr>
            <a:t>Settings</a:t>
          </a:r>
          <a:r>
            <a:rPr lang="en-US" sz="1100" b="0">
              <a:effectLst/>
              <a:latin typeface="+mn-lt"/>
              <a:ea typeface="+mn-ea"/>
              <a:cs typeface="+mn-cs"/>
              <a:sym typeface="Webdings" panose="05030102010509060703" pitchFamily="18" charset="2"/>
            </a:rPr>
            <a:t></a:t>
          </a:r>
          <a:endParaRPr lang="pl-PL" sz="1100" b="0">
            <a:effectLst/>
            <a:latin typeface="+mn-lt"/>
            <a:ea typeface="+mn-ea"/>
            <a:cs typeface="+mn-cs"/>
            <a:sym typeface="Webdings" panose="05030102010509060703" pitchFamily="18" charset="2"/>
          </a:endParaRPr>
        </a:p>
      </xdr:txBody>
    </xdr:sp>
    <xdr:clientData fPrintsWithSheet="0"/>
  </xdr:twoCellAnchor>
  <xdr:twoCellAnchor editAs="oneCell">
    <xdr:from>
      <xdr:col>26</xdr:col>
      <xdr:colOff>0</xdr:colOff>
      <xdr:row>0</xdr:row>
      <xdr:rowOff>209175</xdr:rowOff>
    </xdr:from>
    <xdr:to>
      <xdr:col>57</xdr:col>
      <xdr:colOff>361951</xdr:colOff>
      <xdr:row>2</xdr:row>
      <xdr:rowOff>142875</xdr:rowOff>
    </xdr:to>
    <xdr:sp macro="[0]!PrintMeTwo" textlink="">
      <xdr:nvSpPr>
        <xdr:cNvPr id="4" name="Rounded Rectangle 2">
          <a:extLst>
            <a:ext uri="{FF2B5EF4-FFF2-40B4-BE49-F238E27FC236}">
              <a16:creationId xmlns:a16="http://schemas.microsoft.com/office/drawing/2014/main" id="{7948E7B8-C7CF-48BA-B210-61575A7B57AF}"/>
            </a:ext>
          </a:extLst>
        </xdr:cNvPr>
        <xdr:cNvSpPr>
          <a:spLocks noChangeArrowheads="1"/>
        </xdr:cNvSpPr>
      </xdr:nvSpPr>
      <xdr:spPr bwMode="auto">
        <a:xfrm>
          <a:off x="11039475" y="209175"/>
          <a:ext cx="1257300" cy="352800"/>
        </a:xfrm>
        <a:prstGeom prst="roundRect">
          <a:avLst>
            <a:gd name="adj" fmla="val 8292"/>
          </a:avLst>
        </a:prstGeom>
        <a:solidFill>
          <a:srgbClr val="FFFFCC"/>
        </a:solidFill>
        <a:ln w="12700">
          <a:solidFill>
            <a:sysClr val="windowText" lastClr="000000"/>
          </a:solidFill>
          <a:round/>
          <a:headEnd/>
          <a:tailEnd/>
        </a:ln>
        <a:effectLst>
          <a:outerShdw blurRad="50800" dist="38100" dir="2700000" algn="tl" rotWithShape="0">
            <a:srgbClr val="000000">
              <a:alpha val="39999"/>
            </a:srgbClr>
          </a:outerShdw>
        </a:effectLst>
      </xdr:spPr>
      <xdr:txBody>
        <a:bodyPr vertOverflow="clip" wrap="square" lIns="91440" tIns="0" rIns="91440" bIns="0" anchor="ctr" upright="1"/>
        <a:lstStyle/>
        <a:p>
          <a:pPr algn="ctr" rtl="0">
            <a:defRPr sz="1000"/>
          </a:pPr>
          <a:r>
            <a:rPr lang="pl-PL" sz="1100" b="1">
              <a:effectLst/>
              <a:latin typeface="+mn-lt"/>
              <a:ea typeface="+mn-ea"/>
              <a:cs typeface="+mn-cs"/>
              <a:sym typeface="Webdings" panose="05030102010509060703" pitchFamily="18" charset="2"/>
            </a:rPr>
            <a:t>Print this View</a:t>
          </a:r>
          <a:endParaRPr lang="hu-HU" sz="1100" b="1" i="0" u="none" strike="noStrike" baseline="0">
            <a:solidFill>
              <a:srgbClr val="333333"/>
            </a:solidFill>
            <a:latin typeface="+mn-lt"/>
            <a:ea typeface="Arial"/>
            <a:cs typeface="Arial"/>
          </a:endParaRPr>
        </a:p>
      </xdr:txBody>
    </xdr:sp>
    <xdr:clientData fPrintsWithSheet="0"/>
  </xdr:twoCellAnchor>
  <xdr:twoCellAnchor editAs="oneCell">
    <xdr:from>
      <xdr:col>14</xdr:col>
      <xdr:colOff>447672</xdr:colOff>
      <xdr:row>1</xdr:row>
      <xdr:rowOff>0</xdr:rowOff>
    </xdr:from>
    <xdr:to>
      <xdr:col>17</xdr:col>
      <xdr:colOff>238125</xdr:colOff>
      <xdr:row>2</xdr:row>
      <xdr:rowOff>0</xdr:rowOff>
    </xdr:to>
    <xdr:sp macro="[0]!Message2_Click" textlink="">
      <xdr:nvSpPr>
        <xdr:cNvPr id="5" name="TextBox1">
          <a:extLst>
            <a:ext uri="{FF2B5EF4-FFF2-40B4-BE49-F238E27FC236}">
              <a16:creationId xmlns:a16="http://schemas.microsoft.com/office/drawing/2014/main" id="{A4051EF1-032B-46CE-A822-B56305E2DF56}"/>
            </a:ext>
          </a:extLst>
        </xdr:cNvPr>
        <xdr:cNvSpPr txBox="1"/>
      </xdr:nvSpPr>
      <xdr:spPr>
        <a:xfrm flipH="1">
          <a:off x="6324597" y="209550"/>
          <a:ext cx="23812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Ins="0" rtlCol="0" anchor="t"/>
        <a:lstStyle/>
        <a:p>
          <a:pPr lvl="0" algn="l"/>
          <a:r>
            <a:rPr lang="pl-PL" sz="800">
              <a:solidFill>
                <a:schemeClr val="bg1">
                  <a:lumMod val="50000"/>
                </a:schemeClr>
              </a:solidFill>
            </a:rPr>
            <a:t>(?) </a:t>
          </a:r>
          <a:endParaRPr lang="en-GB" sz="800">
            <a:solidFill>
              <a:schemeClr val="bg1">
                <a:lumMod val="50000"/>
              </a:schemeClr>
            </a:solidFill>
          </a:endParaRPr>
        </a:p>
      </xdr:txBody>
    </xdr:sp>
    <xdr:clientData fPrintsWithSheet="0"/>
  </xdr:twoCellAnchor>
  <xdr:twoCellAnchor editAs="oneCell">
    <xdr:from>
      <xdr:col>15</xdr:col>
      <xdr:colOff>0</xdr:colOff>
      <xdr:row>3</xdr:row>
      <xdr:rowOff>1</xdr:rowOff>
    </xdr:from>
    <xdr:to>
      <xdr:col>17</xdr:col>
      <xdr:colOff>219075</xdr:colOff>
      <xdr:row>4</xdr:row>
      <xdr:rowOff>1</xdr:rowOff>
    </xdr:to>
    <xdr:sp macro="[0]!Message3_Click" textlink="">
      <xdr:nvSpPr>
        <xdr:cNvPr id="6" name="TextBox1">
          <a:extLst>
            <a:ext uri="{FF2B5EF4-FFF2-40B4-BE49-F238E27FC236}">
              <a16:creationId xmlns:a16="http://schemas.microsoft.com/office/drawing/2014/main" id="{596C7C88-E213-476E-90D7-EB1682DD687D}"/>
            </a:ext>
          </a:extLst>
        </xdr:cNvPr>
        <xdr:cNvSpPr txBox="1"/>
      </xdr:nvSpPr>
      <xdr:spPr>
        <a:xfrm>
          <a:off x="6324600" y="628651"/>
          <a:ext cx="21907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Ins="0" rtlCol="0" anchor="t"/>
        <a:lstStyle/>
        <a:p>
          <a:pPr lvl="0" algn="l"/>
          <a:r>
            <a:rPr lang="pl-PL" sz="800">
              <a:solidFill>
                <a:schemeClr val="bg1">
                  <a:lumMod val="50000"/>
                </a:schemeClr>
              </a:solidFill>
            </a:rPr>
            <a:t>(?) </a:t>
          </a:r>
          <a:endParaRPr lang="en-GB" sz="800">
            <a:solidFill>
              <a:schemeClr val="bg1">
                <a:lumMod val="50000"/>
              </a:schemeClr>
            </a:solidFill>
          </a:endParaRPr>
        </a:p>
      </xdr:txBody>
    </xdr:sp>
    <xdr:clientData fPrintsWithSheet="0"/>
  </xdr:twoCellAnchor>
  <xdr:twoCellAnchor editAs="oneCell">
    <xdr:from>
      <xdr:col>56</xdr:col>
      <xdr:colOff>191862</xdr:colOff>
      <xdr:row>10</xdr:row>
      <xdr:rowOff>1</xdr:rowOff>
    </xdr:from>
    <xdr:to>
      <xdr:col>57</xdr:col>
      <xdr:colOff>1</xdr:colOff>
      <xdr:row>11</xdr:row>
      <xdr:rowOff>0</xdr:rowOff>
    </xdr:to>
    <xdr:sp macro="[0]!Message19_Click" textlink="">
      <xdr:nvSpPr>
        <xdr:cNvPr id="7" name="TextBox1">
          <a:extLst>
            <a:ext uri="{FF2B5EF4-FFF2-40B4-BE49-F238E27FC236}">
              <a16:creationId xmlns:a16="http://schemas.microsoft.com/office/drawing/2014/main" id="{49EC42E4-872B-48F3-AE5F-F2C5A787172C}"/>
            </a:ext>
          </a:extLst>
        </xdr:cNvPr>
        <xdr:cNvSpPr txBox="1"/>
      </xdr:nvSpPr>
      <xdr:spPr>
        <a:xfrm>
          <a:off x="10783662" y="2038351"/>
          <a:ext cx="255814"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Ins="0" rtlCol="0" anchor="t"/>
        <a:lstStyle/>
        <a:p>
          <a:pPr lvl="0" algn="l"/>
          <a:r>
            <a:rPr lang="pl-PL" sz="800">
              <a:solidFill>
                <a:schemeClr val="bg1">
                  <a:lumMod val="50000"/>
                </a:schemeClr>
              </a:solidFill>
            </a:rPr>
            <a:t>(?) </a:t>
          </a:r>
          <a:endParaRPr lang="en-GB" sz="800">
            <a:solidFill>
              <a:schemeClr val="bg1">
                <a:lumMod val="50000"/>
              </a:schemeClr>
            </a:solidFill>
          </a:endParaRPr>
        </a:p>
      </xdr:txBody>
    </xdr:sp>
    <xdr:clientData fPrintsWithSheet="0"/>
  </xdr:twoCellAnchor>
  <xdr:twoCellAnchor editAs="oneCell">
    <xdr:from>
      <xdr:col>26</xdr:col>
      <xdr:colOff>0</xdr:colOff>
      <xdr:row>3</xdr:row>
      <xdr:rowOff>47250</xdr:rowOff>
    </xdr:from>
    <xdr:to>
      <xdr:col>57</xdr:col>
      <xdr:colOff>361951</xdr:colOff>
      <xdr:row>4</xdr:row>
      <xdr:rowOff>190500</xdr:rowOff>
    </xdr:to>
    <xdr:sp macro="[0]!OpenDashboard" textlink="">
      <xdr:nvSpPr>
        <xdr:cNvPr id="12" name="Rounded Rectangle 2">
          <a:extLst>
            <a:ext uri="{FF2B5EF4-FFF2-40B4-BE49-F238E27FC236}">
              <a16:creationId xmlns:a16="http://schemas.microsoft.com/office/drawing/2014/main" id="{96BAD7F7-CA2B-42ED-9E30-CF971C47EE7E}"/>
            </a:ext>
          </a:extLst>
        </xdr:cNvPr>
        <xdr:cNvSpPr>
          <a:spLocks noChangeArrowheads="1"/>
        </xdr:cNvSpPr>
      </xdr:nvSpPr>
      <xdr:spPr bwMode="auto">
        <a:xfrm>
          <a:off x="11039475" y="675900"/>
          <a:ext cx="1257300" cy="352800"/>
        </a:xfrm>
        <a:prstGeom prst="roundRect">
          <a:avLst>
            <a:gd name="adj" fmla="val 8292"/>
          </a:avLst>
        </a:prstGeom>
        <a:solidFill>
          <a:srgbClr val="FFFFCC"/>
        </a:solidFill>
        <a:ln w="12700">
          <a:solidFill>
            <a:sysClr val="windowText" lastClr="000000"/>
          </a:solidFill>
          <a:round/>
          <a:headEnd/>
          <a:tailEnd/>
        </a:ln>
        <a:effectLst>
          <a:outerShdw blurRad="50800" dist="38100" dir="2700000" algn="tl" rotWithShape="0">
            <a:srgbClr val="000000">
              <a:alpha val="39999"/>
            </a:srgbClr>
          </a:outerShdw>
        </a:effectLst>
      </xdr:spPr>
      <xdr:txBody>
        <a:bodyPr vertOverflow="clip" wrap="square" lIns="91440" tIns="0" rIns="91440" bIns="0" anchor="ctr" upright="1"/>
        <a:lstStyle/>
        <a:p>
          <a:pPr algn="ctr" rtl="0"/>
          <a:r>
            <a:rPr lang="en-US" sz="1100" b="0">
              <a:effectLst/>
              <a:latin typeface="+mn-lt"/>
              <a:ea typeface="+mn-ea"/>
              <a:cs typeface="+mn-cs"/>
              <a:sym typeface="Webdings" panose="05030102010509060703" pitchFamily="18" charset="2"/>
            </a:rPr>
            <a:t></a:t>
          </a:r>
          <a:r>
            <a:rPr lang="pl-PL" sz="1100" b="1">
              <a:effectLst/>
              <a:latin typeface="+mn-lt"/>
              <a:ea typeface="+mn-ea"/>
              <a:cs typeface="+mn-cs"/>
            </a:rPr>
            <a:t>Dashboard</a:t>
          </a:r>
          <a:endParaRPr lang="en-GB">
            <a:effectLst/>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9</xdr:col>
      <xdr:colOff>0</xdr:colOff>
      <xdr:row>4</xdr:row>
      <xdr:rowOff>0</xdr:rowOff>
    </xdr:from>
    <xdr:to>
      <xdr:col>9</xdr:col>
      <xdr:colOff>219075</xdr:colOff>
      <xdr:row>4</xdr:row>
      <xdr:rowOff>207433</xdr:rowOff>
    </xdr:to>
    <xdr:sp macro="[0]!Message6_Click" textlink="">
      <xdr:nvSpPr>
        <xdr:cNvPr id="6" name="TextBox1">
          <a:extLst>
            <a:ext uri="{FF2B5EF4-FFF2-40B4-BE49-F238E27FC236}">
              <a16:creationId xmlns:a16="http://schemas.microsoft.com/office/drawing/2014/main" id="{0123BD9F-8BC0-4E68-B563-49C7624B5E55}"/>
            </a:ext>
          </a:extLst>
        </xdr:cNvPr>
        <xdr:cNvSpPr txBox="1"/>
      </xdr:nvSpPr>
      <xdr:spPr>
        <a:xfrm>
          <a:off x="8048625" y="838200"/>
          <a:ext cx="219075" cy="207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Ins="0" rtlCol="0" anchor="t"/>
        <a:lstStyle/>
        <a:p>
          <a:r>
            <a:rPr lang="pl-PL" sz="800">
              <a:solidFill>
                <a:schemeClr val="bg1">
                  <a:lumMod val="50000"/>
                </a:schemeClr>
              </a:solidFill>
            </a:rPr>
            <a:t>(?)</a:t>
          </a:r>
          <a:endParaRPr lang="en-GB" sz="800">
            <a:solidFill>
              <a:schemeClr val="bg1">
                <a:lumMod val="50000"/>
              </a:schemeClr>
            </a:solidFill>
          </a:endParaRPr>
        </a:p>
      </xdr:txBody>
    </xdr:sp>
    <xdr:clientData fPrintsWithSheet="0"/>
  </xdr:twoCellAnchor>
  <xdr:twoCellAnchor>
    <xdr:from>
      <xdr:col>12</xdr:col>
      <xdr:colOff>1</xdr:colOff>
      <xdr:row>12</xdr:row>
      <xdr:rowOff>1</xdr:rowOff>
    </xdr:from>
    <xdr:to>
      <xdr:col>13</xdr:col>
      <xdr:colOff>0</xdr:colOff>
      <xdr:row>13</xdr:row>
      <xdr:rowOff>1</xdr:rowOff>
    </xdr:to>
    <xdr:sp macro="[0]!Message18_Click" textlink="">
      <xdr:nvSpPr>
        <xdr:cNvPr id="3" name="TextBox1">
          <a:extLst>
            <a:ext uri="{FF2B5EF4-FFF2-40B4-BE49-F238E27FC236}">
              <a16:creationId xmlns:a16="http://schemas.microsoft.com/office/drawing/2014/main" id="{E9F6F4FB-CC77-4188-B38F-227233905C19}"/>
            </a:ext>
          </a:extLst>
        </xdr:cNvPr>
        <xdr:cNvSpPr txBox="1"/>
      </xdr:nvSpPr>
      <xdr:spPr>
        <a:xfrm>
          <a:off x="8239126" y="2514601"/>
          <a:ext cx="209549"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Ins="0" rtlCol="0" anchor="t"/>
        <a:lstStyle/>
        <a:p>
          <a:r>
            <a:rPr lang="pl-PL" sz="800">
              <a:solidFill>
                <a:schemeClr val="bg1">
                  <a:lumMod val="50000"/>
                </a:schemeClr>
              </a:solidFill>
            </a:rPr>
            <a:t>(?)</a:t>
          </a:r>
          <a:endParaRPr lang="en-GB" sz="800">
            <a:solidFill>
              <a:schemeClr val="bg1">
                <a:lumMod val="50000"/>
              </a:schemeClr>
            </a:solidFill>
          </a:endParaRPr>
        </a:p>
      </xdr:txBody>
    </xdr:sp>
    <xdr:clientData fPrintsWithSheet="0"/>
  </xdr:twoCellAnchor>
  <xdr:twoCellAnchor editAs="oneCell">
    <xdr:from>
      <xdr:col>18</xdr:col>
      <xdr:colOff>0</xdr:colOff>
      <xdr:row>3</xdr:row>
      <xdr:rowOff>47250</xdr:rowOff>
    </xdr:from>
    <xdr:to>
      <xdr:col>30</xdr:col>
      <xdr:colOff>33616</xdr:colOff>
      <xdr:row>4</xdr:row>
      <xdr:rowOff>190500</xdr:rowOff>
    </xdr:to>
    <xdr:sp macro="[0]!OpenOverView" textlink="">
      <xdr:nvSpPr>
        <xdr:cNvPr id="4" name="Rounded Rectangle 2">
          <a:extLst>
            <a:ext uri="{FF2B5EF4-FFF2-40B4-BE49-F238E27FC236}">
              <a16:creationId xmlns:a16="http://schemas.microsoft.com/office/drawing/2014/main" id="{25186610-E2C0-4775-AC8D-8EB4A2DCC6B7}"/>
            </a:ext>
          </a:extLst>
        </xdr:cNvPr>
        <xdr:cNvSpPr>
          <a:spLocks noChangeArrowheads="1"/>
        </xdr:cNvSpPr>
      </xdr:nvSpPr>
      <xdr:spPr bwMode="auto">
        <a:xfrm>
          <a:off x="13906500" y="675900"/>
          <a:ext cx="1252816" cy="352800"/>
        </a:xfrm>
        <a:prstGeom prst="roundRect">
          <a:avLst>
            <a:gd name="adj" fmla="val 8292"/>
          </a:avLst>
        </a:prstGeom>
        <a:solidFill>
          <a:srgbClr val="FFFFCC"/>
        </a:solidFill>
        <a:ln w="12700">
          <a:solidFill>
            <a:sysClr val="windowText" lastClr="000000"/>
          </a:solidFill>
          <a:round/>
          <a:headEnd/>
          <a:tailEnd/>
        </a:ln>
        <a:effectLst>
          <a:outerShdw blurRad="50800" dist="38100" dir="2700000" algn="tl" rotWithShape="0">
            <a:srgbClr val="000000">
              <a:alpha val="39999"/>
            </a:srgbClr>
          </a:outerShdw>
        </a:effectLst>
      </xdr:spPr>
      <xdr:txBody>
        <a:bodyPr vertOverflow="clip" wrap="square" lIns="91440" tIns="0" rIns="91440" bIns="0" anchor="ctr" upright="1"/>
        <a:lstStyle/>
        <a:p>
          <a:pPr algn="ctr" rtl="0"/>
          <a:r>
            <a:rPr lang="en-US" sz="1100" b="0">
              <a:effectLst/>
              <a:latin typeface="+mn-lt"/>
              <a:ea typeface="+mn-ea"/>
              <a:cs typeface="+mn-cs"/>
              <a:sym typeface="Webdings" panose="05030102010509060703" pitchFamily="18" charset="2"/>
            </a:rPr>
            <a:t></a:t>
          </a:r>
          <a:r>
            <a:rPr lang="pl-PL" sz="1100" b="1">
              <a:effectLst/>
              <a:latin typeface="+mn-lt"/>
              <a:ea typeface="+mn-ea"/>
              <a:cs typeface="+mn-cs"/>
            </a:rPr>
            <a:t>Overview</a:t>
          </a:r>
          <a:endParaRPr lang="en-GB">
            <a:effectLst/>
          </a:endParaRPr>
        </a:p>
      </xdr:txBody>
    </xdr:sp>
    <xdr:clientData fPrintsWithSheet="0"/>
  </xdr:twoCellAnchor>
  <xdr:twoCellAnchor editAs="oneCell">
    <xdr:from>
      <xdr:col>18</xdr:col>
      <xdr:colOff>0</xdr:colOff>
      <xdr:row>5</xdr:row>
      <xdr:rowOff>95250</xdr:rowOff>
    </xdr:from>
    <xdr:to>
      <xdr:col>30</xdr:col>
      <xdr:colOff>33616</xdr:colOff>
      <xdr:row>7</xdr:row>
      <xdr:rowOff>28950</xdr:rowOff>
    </xdr:to>
    <xdr:sp macro="[0]!OpenIndividualView" textlink="">
      <xdr:nvSpPr>
        <xdr:cNvPr id="7" name="Rounded Rectangle 2">
          <a:extLst>
            <a:ext uri="{FF2B5EF4-FFF2-40B4-BE49-F238E27FC236}">
              <a16:creationId xmlns:a16="http://schemas.microsoft.com/office/drawing/2014/main" id="{09C87F96-A4B3-4062-BB05-25BD57CF1785}"/>
            </a:ext>
          </a:extLst>
        </xdr:cNvPr>
        <xdr:cNvSpPr>
          <a:spLocks noChangeArrowheads="1"/>
        </xdr:cNvSpPr>
      </xdr:nvSpPr>
      <xdr:spPr bwMode="auto">
        <a:xfrm>
          <a:off x="13906500" y="1143000"/>
          <a:ext cx="1252816" cy="352800"/>
        </a:xfrm>
        <a:prstGeom prst="roundRect">
          <a:avLst>
            <a:gd name="adj" fmla="val 8292"/>
          </a:avLst>
        </a:prstGeom>
        <a:solidFill>
          <a:srgbClr val="FFFFCC"/>
        </a:solidFill>
        <a:ln w="12700">
          <a:solidFill>
            <a:sysClr val="windowText" lastClr="000000"/>
          </a:solidFill>
          <a:round/>
          <a:headEnd/>
          <a:tailEnd/>
        </a:ln>
        <a:effectLst>
          <a:outerShdw blurRad="50800" dist="38100" dir="2700000" algn="tl" rotWithShape="0">
            <a:srgbClr val="000000">
              <a:alpha val="39999"/>
            </a:srgbClr>
          </a:outerShdw>
        </a:effectLst>
      </xdr:spPr>
      <xdr:txBody>
        <a:bodyPr vertOverflow="clip" wrap="square" lIns="91440" tIns="0" rIns="91440" bIns="0" anchor="ctr" upright="1"/>
        <a:lstStyle/>
        <a:p>
          <a:pPr algn="ctr" rtl="0">
            <a:defRPr sz="1000"/>
          </a:pPr>
          <a:r>
            <a:rPr lang="en-US" sz="1000" b="0">
              <a:effectLst/>
              <a:latin typeface="+mn-lt"/>
              <a:ea typeface="+mn-ea"/>
              <a:cs typeface="+mn-cs"/>
              <a:sym typeface="Webdings" panose="05030102010509060703" pitchFamily="18" charset="2"/>
            </a:rPr>
            <a:t></a:t>
          </a:r>
          <a:r>
            <a:rPr lang="pl-PL" sz="1100" b="1">
              <a:effectLst/>
              <a:latin typeface="+mn-lt"/>
              <a:ea typeface="+mn-ea"/>
              <a:cs typeface="+mn-cs"/>
              <a:sym typeface="Webdings" panose="05030102010509060703" pitchFamily="18" charset="2"/>
            </a:rPr>
            <a:t>Individual View</a:t>
          </a:r>
          <a:endParaRPr lang="hu-HU" sz="1100" b="0" i="0" u="none" strike="noStrike" baseline="0">
            <a:solidFill>
              <a:srgbClr val="333333"/>
            </a:solidFill>
            <a:latin typeface="+mn-lt"/>
            <a:ea typeface="Arial"/>
            <a:cs typeface="Arial"/>
          </a:endParaRPr>
        </a:p>
      </xdr:txBody>
    </xdr:sp>
    <xdr:clientData fPrintsWithSheet="0"/>
  </xdr:twoCellAnchor>
  <xdr:twoCellAnchor>
    <xdr:from>
      <xdr:col>17</xdr:col>
      <xdr:colOff>0</xdr:colOff>
      <xdr:row>3</xdr:row>
      <xdr:rowOff>2117</xdr:rowOff>
    </xdr:from>
    <xdr:to>
      <xdr:col>17</xdr:col>
      <xdr:colOff>219075</xdr:colOff>
      <xdr:row>4</xdr:row>
      <xdr:rowOff>0</xdr:rowOff>
    </xdr:to>
    <xdr:sp macro="[0]!Message20_Click" textlink="">
      <xdr:nvSpPr>
        <xdr:cNvPr id="9" name="TextBox1">
          <a:extLst>
            <a:ext uri="{FF2B5EF4-FFF2-40B4-BE49-F238E27FC236}">
              <a16:creationId xmlns:a16="http://schemas.microsoft.com/office/drawing/2014/main" id="{5A2FBBC6-5EB0-4403-BC7A-4FC4C10C0C78}"/>
            </a:ext>
          </a:extLst>
        </xdr:cNvPr>
        <xdr:cNvSpPr txBox="1"/>
      </xdr:nvSpPr>
      <xdr:spPr>
        <a:xfrm>
          <a:off x="13668375" y="630767"/>
          <a:ext cx="219075" cy="207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Ins="0" rtlCol="0" anchor="t"/>
        <a:lstStyle/>
        <a:p>
          <a:r>
            <a:rPr lang="pl-PL" sz="800">
              <a:solidFill>
                <a:schemeClr val="bg1">
                  <a:lumMod val="50000"/>
                </a:schemeClr>
              </a:solidFill>
            </a:rPr>
            <a:t>(?)</a:t>
          </a:r>
          <a:endParaRPr lang="en-GB" sz="800">
            <a:solidFill>
              <a:schemeClr val="bg1">
                <a:lumMod val="50000"/>
              </a:schemeClr>
            </a:solidFill>
          </a:endParaRPr>
        </a:p>
      </xdr:txBody>
    </xdr:sp>
    <xdr:clientData fPrintsWithSheet="0"/>
  </xdr:twoCellAnchor>
  <xdr:twoCellAnchor editAs="oneCell">
    <xdr:from>
      <xdr:col>18</xdr:col>
      <xdr:colOff>0</xdr:colOff>
      <xdr:row>0</xdr:row>
      <xdr:rowOff>209175</xdr:rowOff>
    </xdr:from>
    <xdr:to>
      <xdr:col>30</xdr:col>
      <xdr:colOff>33616</xdr:colOff>
      <xdr:row>2</xdr:row>
      <xdr:rowOff>142875</xdr:rowOff>
    </xdr:to>
    <xdr:sp macro="[0]!OpenDashboard" textlink="">
      <xdr:nvSpPr>
        <xdr:cNvPr id="14" name="Rounded Rectangle 2">
          <a:extLst>
            <a:ext uri="{FF2B5EF4-FFF2-40B4-BE49-F238E27FC236}">
              <a16:creationId xmlns:a16="http://schemas.microsoft.com/office/drawing/2014/main" id="{647BA4FA-4FA5-476B-9B34-5E79BC4EAD4E}"/>
            </a:ext>
          </a:extLst>
        </xdr:cNvPr>
        <xdr:cNvSpPr>
          <a:spLocks noChangeArrowheads="1"/>
        </xdr:cNvSpPr>
      </xdr:nvSpPr>
      <xdr:spPr bwMode="auto">
        <a:xfrm>
          <a:off x="13906500" y="209175"/>
          <a:ext cx="1252816" cy="352800"/>
        </a:xfrm>
        <a:prstGeom prst="roundRect">
          <a:avLst>
            <a:gd name="adj" fmla="val 8292"/>
          </a:avLst>
        </a:prstGeom>
        <a:solidFill>
          <a:srgbClr val="FFFFCC"/>
        </a:solidFill>
        <a:ln w="12700">
          <a:solidFill>
            <a:sysClr val="windowText" lastClr="000000"/>
          </a:solidFill>
          <a:round/>
          <a:headEnd/>
          <a:tailEnd/>
        </a:ln>
        <a:effectLst>
          <a:outerShdw blurRad="50800" dist="38100" dir="2700000" algn="tl" rotWithShape="0">
            <a:srgbClr val="000000">
              <a:alpha val="39999"/>
            </a:srgbClr>
          </a:outerShdw>
        </a:effectLst>
      </xdr:spPr>
      <xdr:txBody>
        <a:bodyPr vertOverflow="clip" wrap="square" lIns="91440" tIns="0" rIns="91440" bIns="0" anchor="ctr" upright="1"/>
        <a:lstStyle/>
        <a:p>
          <a:pPr algn="ctr" rtl="0"/>
          <a:r>
            <a:rPr lang="en-US" sz="1100" b="0">
              <a:effectLst/>
              <a:latin typeface="+mn-lt"/>
              <a:ea typeface="+mn-ea"/>
              <a:cs typeface="+mn-cs"/>
              <a:sym typeface="Webdings" panose="05030102010509060703" pitchFamily="18" charset="2"/>
            </a:rPr>
            <a:t></a:t>
          </a:r>
          <a:r>
            <a:rPr lang="pl-PL" sz="1100" b="1">
              <a:effectLst/>
              <a:latin typeface="+mn-lt"/>
              <a:ea typeface="+mn-ea"/>
              <a:cs typeface="+mn-cs"/>
            </a:rPr>
            <a:t>Dashboard</a:t>
          </a:r>
          <a:endParaRPr lang="en-GB">
            <a:effectLst/>
          </a:endParaRPr>
        </a:p>
      </xdr:txBody>
    </xdr:sp>
    <xdr:clientData fPrintsWithSheet="0"/>
  </xdr:twoCellAnchor>
  <xdr:twoCellAnchor editAs="oneCell">
    <xdr:from>
      <xdr:col>8</xdr:col>
      <xdr:colOff>0</xdr:colOff>
      <xdr:row>1</xdr:row>
      <xdr:rowOff>0</xdr:rowOff>
    </xdr:from>
    <xdr:to>
      <xdr:col>9</xdr:col>
      <xdr:colOff>0</xdr:colOff>
      <xdr:row>2</xdr:row>
      <xdr:rowOff>0</xdr:rowOff>
    </xdr:to>
    <xdr:sp macro="[0]!OpenImportView" textlink="">
      <xdr:nvSpPr>
        <xdr:cNvPr id="2" name="TextBox 1">
          <a:extLst>
            <a:ext uri="{FF2B5EF4-FFF2-40B4-BE49-F238E27FC236}">
              <a16:creationId xmlns:a16="http://schemas.microsoft.com/office/drawing/2014/main" id="{39B291D0-9597-4AAC-B6D6-6FD0F2402338}"/>
            </a:ext>
          </a:extLst>
        </xdr:cNvPr>
        <xdr:cNvSpPr txBox="1"/>
      </xdr:nvSpPr>
      <xdr:spPr>
        <a:xfrm>
          <a:off x="6858000" y="209550"/>
          <a:ext cx="16002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lgn="r"/>
          <a:r>
            <a:rPr lang="pl-PL" sz="1000" b="0" i="0">
              <a:solidFill>
                <a:srgbClr val="0000CC"/>
              </a:solidFill>
            </a:rPr>
            <a:t>import from database</a:t>
          </a:r>
          <a:endParaRPr lang="en-GB" sz="1000" b="0" i="0">
            <a:solidFill>
              <a:srgbClr val="0000CC"/>
            </a:solidFill>
          </a:endParaRPr>
        </a:p>
      </xdr:txBody>
    </xdr:sp>
    <xdr:clientData fPrintsWithSheet="0"/>
  </xdr:twoCellAnchor>
  <xdr:twoCellAnchor>
    <xdr:from>
      <xdr:col>17</xdr:col>
      <xdr:colOff>0</xdr:colOff>
      <xdr:row>12</xdr:row>
      <xdr:rowOff>0</xdr:rowOff>
    </xdr:from>
    <xdr:to>
      <xdr:col>17</xdr:col>
      <xdr:colOff>209549</xdr:colOff>
      <xdr:row>13</xdr:row>
      <xdr:rowOff>0</xdr:rowOff>
    </xdr:to>
    <xdr:sp macro="[0]!Message25_Click" textlink="">
      <xdr:nvSpPr>
        <xdr:cNvPr id="10" name="TextBox1">
          <a:extLst>
            <a:ext uri="{FF2B5EF4-FFF2-40B4-BE49-F238E27FC236}">
              <a16:creationId xmlns:a16="http://schemas.microsoft.com/office/drawing/2014/main" id="{8CC01374-7151-4C61-928B-09F2680F9376}"/>
            </a:ext>
          </a:extLst>
        </xdr:cNvPr>
        <xdr:cNvSpPr txBox="1"/>
      </xdr:nvSpPr>
      <xdr:spPr>
        <a:xfrm>
          <a:off x="10601325" y="2514600"/>
          <a:ext cx="209549"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Ins="0" rtlCol="0" anchor="t"/>
        <a:lstStyle/>
        <a:p>
          <a:r>
            <a:rPr lang="pl-PL" sz="800">
              <a:solidFill>
                <a:schemeClr val="bg1">
                  <a:lumMod val="50000"/>
                </a:schemeClr>
              </a:solidFill>
            </a:rPr>
            <a:t>(?)</a:t>
          </a:r>
          <a:endParaRPr lang="en-GB" sz="800">
            <a:solidFill>
              <a:schemeClr val="bg1">
                <a:lumMod val="50000"/>
              </a:schemeClr>
            </a:solidFill>
          </a:endParaRP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8</xdr:col>
      <xdr:colOff>209550</xdr:colOff>
      <xdr:row>2</xdr:row>
      <xdr:rowOff>0</xdr:rowOff>
    </xdr:from>
    <xdr:to>
      <xdr:col>10</xdr:col>
      <xdr:colOff>243166</xdr:colOff>
      <xdr:row>3</xdr:row>
      <xdr:rowOff>152775</xdr:rowOff>
    </xdr:to>
    <xdr:sp macro="[0]!ImportMacro" textlink="">
      <xdr:nvSpPr>
        <xdr:cNvPr id="2" name="Rounded Rectangle 2">
          <a:extLst>
            <a:ext uri="{FF2B5EF4-FFF2-40B4-BE49-F238E27FC236}">
              <a16:creationId xmlns:a16="http://schemas.microsoft.com/office/drawing/2014/main" id="{F878823E-1DE7-4A28-A28E-A2ED51CED50C}"/>
            </a:ext>
          </a:extLst>
        </xdr:cNvPr>
        <xdr:cNvSpPr>
          <a:spLocks noChangeArrowheads="1"/>
        </xdr:cNvSpPr>
      </xdr:nvSpPr>
      <xdr:spPr bwMode="auto">
        <a:xfrm>
          <a:off x="5534025" y="561975"/>
          <a:ext cx="1252816" cy="352800"/>
        </a:xfrm>
        <a:prstGeom prst="roundRect">
          <a:avLst>
            <a:gd name="adj" fmla="val 8292"/>
          </a:avLst>
        </a:prstGeom>
        <a:solidFill>
          <a:srgbClr val="FFFF99"/>
        </a:solidFill>
        <a:ln w="12700">
          <a:solidFill>
            <a:sysClr val="windowText" lastClr="000000"/>
          </a:solidFill>
          <a:round/>
          <a:headEnd/>
          <a:tailEnd/>
        </a:ln>
        <a:effectLst>
          <a:outerShdw blurRad="50800" dist="38100" dir="2700000" algn="tl" rotWithShape="0">
            <a:srgbClr val="000000">
              <a:alpha val="39999"/>
            </a:srgbClr>
          </a:outerShdw>
        </a:effectLst>
      </xdr:spPr>
      <xdr:txBody>
        <a:bodyPr vertOverflow="clip" wrap="square" lIns="91440" tIns="0" rIns="91440" bIns="0" anchor="ctr" upright="1"/>
        <a:lstStyle/>
        <a:p>
          <a:pPr algn="ctr" rtl="0"/>
          <a:r>
            <a:rPr lang="pl-PL" sz="1100" b="1">
              <a:effectLst/>
              <a:latin typeface="+mn-lt"/>
              <a:ea typeface="+mn-ea"/>
              <a:cs typeface="+mn-cs"/>
              <a:sym typeface="Webdings" panose="05030102010509060703" pitchFamily="18" charset="2"/>
            </a:rPr>
            <a:t>Import details</a:t>
          </a:r>
          <a:endParaRPr lang="en-GB" b="1">
            <a:effectLst/>
          </a:endParaRPr>
        </a:p>
      </xdr:txBody>
    </xdr:sp>
    <xdr:clientData fPrintsWithSheet="0"/>
  </xdr:twoCellAnchor>
  <xdr:twoCellAnchor editAs="oneCell">
    <xdr:from>
      <xdr:col>8</xdr:col>
      <xdr:colOff>209550</xdr:colOff>
      <xdr:row>5</xdr:row>
      <xdr:rowOff>0</xdr:rowOff>
    </xdr:from>
    <xdr:to>
      <xdr:col>10</xdr:col>
      <xdr:colOff>243166</xdr:colOff>
      <xdr:row>6</xdr:row>
      <xdr:rowOff>152775</xdr:rowOff>
    </xdr:to>
    <xdr:sp macro="[0]!OpenSettingsView" textlink="">
      <xdr:nvSpPr>
        <xdr:cNvPr id="3" name="Rounded Rectangle 2">
          <a:extLst>
            <a:ext uri="{FF2B5EF4-FFF2-40B4-BE49-F238E27FC236}">
              <a16:creationId xmlns:a16="http://schemas.microsoft.com/office/drawing/2014/main" id="{128597D6-0E48-4EE3-818F-D07721486C32}"/>
            </a:ext>
          </a:extLst>
        </xdr:cNvPr>
        <xdr:cNvSpPr>
          <a:spLocks noChangeArrowheads="1"/>
        </xdr:cNvSpPr>
      </xdr:nvSpPr>
      <xdr:spPr bwMode="auto">
        <a:xfrm>
          <a:off x="5572125" y="1133475"/>
          <a:ext cx="1252816" cy="352800"/>
        </a:xfrm>
        <a:prstGeom prst="roundRect">
          <a:avLst>
            <a:gd name="adj" fmla="val 8292"/>
          </a:avLst>
        </a:prstGeom>
        <a:solidFill>
          <a:srgbClr val="FFFFCC"/>
        </a:solidFill>
        <a:ln w="12700">
          <a:solidFill>
            <a:sysClr val="windowText" lastClr="000000"/>
          </a:solidFill>
          <a:round/>
          <a:headEnd/>
          <a:tailEnd/>
        </a:ln>
        <a:effectLst>
          <a:outerShdw blurRad="50800" dist="38100" dir="2700000" algn="tl" rotWithShape="0">
            <a:srgbClr val="000000">
              <a:alpha val="39999"/>
            </a:srgbClr>
          </a:outerShdw>
        </a:effectLst>
      </xdr:spPr>
      <xdr:txBody>
        <a:bodyPr vertOverflow="clip" wrap="square" lIns="91440" tIns="0" rIns="91440" bIns="0" anchor="ctr" upright="1"/>
        <a:lstStyle/>
        <a:p>
          <a:pPr algn="ctr" rtl="0"/>
          <a:r>
            <a:rPr lang="pl-PL" sz="1100" b="1">
              <a:effectLst/>
              <a:latin typeface="+mn-lt"/>
              <a:ea typeface="+mn-ea"/>
              <a:cs typeface="+mn-cs"/>
              <a:sym typeface="Webdings" panose="05030102010509060703" pitchFamily="18" charset="2"/>
            </a:rPr>
            <a:t>Cancel import</a:t>
          </a:r>
          <a:endParaRPr lang="en-GB" b="1">
            <a:effectLst/>
          </a:endParaRP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13</xdr:col>
      <xdr:colOff>0</xdr:colOff>
      <xdr:row>6</xdr:row>
      <xdr:rowOff>0</xdr:rowOff>
    </xdr:from>
    <xdr:to>
      <xdr:col>20</xdr:col>
      <xdr:colOff>0</xdr:colOff>
      <xdr:row>21</xdr:row>
      <xdr:rowOff>63990</xdr:rowOff>
    </xdr:to>
    <xdr:pic>
      <xdr:nvPicPr>
        <xdr:cNvPr id="2" name="Picture 1">
          <a:hlinkClick xmlns:r="http://schemas.openxmlformats.org/officeDocument/2006/relationships" r:id="rId1"/>
          <a:extLst>
            <a:ext uri="{FF2B5EF4-FFF2-40B4-BE49-F238E27FC236}">
              <a16:creationId xmlns:a16="http://schemas.microsoft.com/office/drawing/2014/main" id="{D0FCF0BC-A42B-4EE7-9D39-681C5FDD86D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6638925" y="1000125"/>
          <a:ext cx="4267200" cy="2492865"/>
        </a:xfrm>
        <a:prstGeom prst="rect">
          <a:avLst/>
        </a:prstGeom>
      </xdr:spPr>
    </xdr:pic>
    <xdr:clientData/>
  </xdr:twoCellAnchor>
  <xdr:twoCellAnchor editAs="oneCell">
    <xdr:from>
      <xdr:col>13</xdr:col>
      <xdr:colOff>0</xdr:colOff>
      <xdr:row>36</xdr:row>
      <xdr:rowOff>0</xdr:rowOff>
    </xdr:from>
    <xdr:to>
      <xdr:col>20</xdr:col>
      <xdr:colOff>0</xdr:colOff>
      <xdr:row>41</xdr:row>
      <xdr:rowOff>152400</xdr:rowOff>
    </xdr:to>
    <xdr:pic>
      <xdr:nvPicPr>
        <xdr:cNvPr id="3" name="Picture 2">
          <a:extLst>
            <a:ext uri="{FF2B5EF4-FFF2-40B4-BE49-F238E27FC236}">
              <a16:creationId xmlns:a16="http://schemas.microsoft.com/office/drawing/2014/main" id="{128EE371-1B33-4D75-B14A-4E37FFD101D1}"/>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b="23252"/>
        <a:stretch/>
      </xdr:blipFill>
      <xdr:spPr bwMode="auto">
        <a:xfrm>
          <a:off x="6638925" y="5857875"/>
          <a:ext cx="4267200" cy="962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ndama, Ghislain" refreshedDate="44540.435750462966" createdVersion="6" refreshedVersion="6" minRefreshableVersion="3" recordCount="3" xr:uid="{00AE2FDF-007A-43CE-92D5-1355535DC658}">
  <cacheSource type="worksheet">
    <worksheetSource name="TblEmployeeList"/>
  </cacheSource>
  <cacheFields count="7">
    <cacheField name="Name" numFmtId="0">
      <sharedItems/>
    </cacheField>
    <cacheField name="Surname" numFmtId="0">
      <sharedItems/>
    </cacheField>
    <cacheField name="ID" numFmtId="0">
      <sharedItems containsSemiMixedTypes="0" containsString="0" containsNumber="1" containsInteger="1" minValue="2" maxValue="8"/>
    </cacheField>
    <cacheField name="Name and Surname" numFmtId="0">
      <sharedItems/>
    </cacheField>
    <cacheField name="Count if visible" numFmtId="0">
      <sharedItems containsSemiMixedTypes="0" containsString="0" containsNumber="1" containsInteger="1" minValue="1" maxValue="3"/>
    </cacheField>
    <cacheField name="Column1" numFmtId="0">
      <sharedItems/>
    </cacheField>
    <cacheField name="Department" numFmtId="0">
      <sharedItems count="20">
        <s v="Fo phones"/>
        <s v="Revit technicians"/>
        <s v="Architectural"/>
        <s v="Marketing" u="1"/>
        <s v="Handy Man2" u="1"/>
        <s v="Finance" u="1"/>
        <s v="HR" u="1"/>
        <s v="Research" u="1"/>
        <s v="CAD technicans" u="1"/>
        <s v="Advertising" u="1"/>
        <s v="Finance2" u="1"/>
        <s v="M&amp;E" u="1"/>
        <s v="Advertisement" u="1"/>
        <s v="Delivery man" u="1"/>
        <s v="Maintenance" u="1"/>
        <s v="Handy Man" u="1"/>
        <s v="Mechanical" u="1"/>
        <s v="Admin" u="1"/>
        <s v="Electrical" u="1"/>
        <s v="Structural"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ndama, Ghislain" refreshedDate="44540.435751273151" createdVersion="6" refreshedVersion="6" minRefreshableVersion="3" recordCount="1" xr:uid="{DF534697-B5C4-47AB-8229-6A8D0A3B042A}">
  <cacheSource type="worksheet">
    <worksheetSource name="TblDatabase"/>
  </cacheSource>
  <cacheFields count="53">
    <cacheField name="ID" numFmtId="0">
      <sharedItems containsSemiMixedTypes="0" containsString="0" containsNumber="1" containsInteger="1" minValue="8" maxValue="8"/>
    </cacheField>
    <cacheField name="Name and Surname" numFmtId="0">
      <sharedItems count="16">
        <s v="baker makaylin"/>
        <s v="Speece Pete" u="1"/>
        <s v="White Michael" u="1"/>
        <s v="Traverso Madeleine" u="1"/>
        <s v="Joiner Marissa" u="1"/>
        <s v="Repp Valarie" u="1"/>
        <s v="Ruark Nola" u="1"/>
        <s v="Dietrich Cassie" u="1"/>
        <s v="Bartholomew Danette" u="1"/>
        <s v="Shackelford Genaro" u="1"/>
        <s v="Riess Melony" u="1"/>
        <s v="Shick Wyatt" u="1"/>
        <s v="Porcaro Shemeka" u="1"/>
        <s v="Takacs Mui" u="1"/>
        <s v="Tripp Chet" u="1"/>
        <s v="Walkup Yvette" u="1"/>
      </sharedItems>
    </cacheField>
    <cacheField name="Department" numFmtId="0">
      <sharedItems containsMixedTypes="1" containsNumber="1" containsInteger="1" minValue="1" maxValue="10" count="11">
        <s v="Fo phones"/>
        <n v="5" u="1"/>
        <n v="2" u="1"/>
        <n v="6" u="1"/>
        <n v="7" u="1"/>
        <n v="1" u="1"/>
        <n v="3" u="1"/>
        <n v="8" u="1"/>
        <n v="9" u="1"/>
        <n v="10" u="1"/>
        <n v="4" u="1"/>
      </sharedItems>
    </cacheField>
    <cacheField name="Year" numFmtId="1">
      <sharedItems containsSemiMixedTypes="0" containsString="0" containsNumber="1" containsInteger="1" minValue="2015" maxValue="2020" count="6">
        <n v="2018"/>
        <n v="2015" u="1"/>
        <n v="2020" u="1"/>
        <n v="2016" u="1"/>
        <n v="2019" u="1"/>
        <n v="2017" u="1"/>
      </sharedItems>
    </cacheField>
    <cacheField name="Competency1" numFmtId="0">
      <sharedItems containsSemiMixedTypes="0" containsString="0" containsNumber="1" containsInteger="1" minValue="5" maxValue="5"/>
    </cacheField>
    <cacheField name="Competency2" numFmtId="0">
      <sharedItems containsSemiMixedTypes="0" containsString="0" containsNumber="1" containsInteger="1" minValue="8" maxValue="8"/>
    </cacheField>
    <cacheField name="Competency3" numFmtId="0">
      <sharedItems containsSemiMixedTypes="0" containsString="0" containsNumber="1" containsInteger="1" minValue="7" maxValue="7"/>
    </cacheField>
    <cacheField name="Competency4" numFmtId="0">
      <sharedItems containsSemiMixedTypes="0" containsString="0" containsNumber="1" containsInteger="1" minValue="5" maxValue="5"/>
    </cacheField>
    <cacheField name="Competency5" numFmtId="0">
      <sharedItems containsSemiMixedTypes="0" containsString="0" containsNumber="1" containsInteger="1" minValue="9" maxValue="9"/>
    </cacheField>
    <cacheField name="Competency6" numFmtId="0">
      <sharedItems containsSemiMixedTypes="0" containsString="0" containsNumber="1" containsInteger="1" minValue="8" maxValue="8"/>
    </cacheField>
    <cacheField name="Competency7" numFmtId="0">
      <sharedItems containsSemiMixedTypes="0" containsString="0" containsNumber="1" containsInteger="1" minValue="10" maxValue="10"/>
    </cacheField>
    <cacheField name="Competency8" numFmtId="0">
      <sharedItems containsSemiMixedTypes="0" containsString="0" containsNumber="1" containsInteger="1" minValue="9" maxValue="9"/>
    </cacheField>
    <cacheField name="Competency9" numFmtId="0">
      <sharedItems containsNonDate="0" containsString="0" containsBlank="1"/>
    </cacheField>
    <cacheField name="Competency10" numFmtId="0">
      <sharedItems containsNonDate="0" containsString="0" containsBlank="1"/>
    </cacheField>
    <cacheField name="Competency11" numFmtId="0">
      <sharedItems containsNonDate="0" containsString="0" containsBlank="1"/>
    </cacheField>
    <cacheField name="Competency12" numFmtId="0">
      <sharedItems containsNonDate="0" containsString="0" containsBlank="1"/>
    </cacheField>
    <cacheField name="Competency13" numFmtId="0">
      <sharedItems containsNonDate="0" containsString="0" containsBlank="1"/>
    </cacheField>
    <cacheField name="Competency14" numFmtId="0">
      <sharedItems containsNonDate="0" containsString="0" containsBlank="1"/>
    </cacheField>
    <cacheField name="Competency15" numFmtId="0">
      <sharedItems containsNonDate="0" containsString="0" containsBlank="1"/>
    </cacheField>
    <cacheField name="Competency16" numFmtId="0">
      <sharedItems containsNonDate="0" containsString="0" containsBlank="1"/>
    </cacheField>
    <cacheField name="Competency17" numFmtId="0">
      <sharedItems containsNonDate="0" containsString="0" containsBlank="1"/>
    </cacheField>
    <cacheField name="Competency18" numFmtId="0">
      <sharedItems containsNonDate="0" containsString="0" containsBlank="1"/>
    </cacheField>
    <cacheField name="Competency19" numFmtId="0">
      <sharedItems containsNonDate="0" containsString="0" containsBlank="1"/>
    </cacheField>
    <cacheField name="Competency20" numFmtId="0">
      <sharedItems containsNonDate="0" containsString="0" containsBlank="1"/>
    </cacheField>
    <cacheField name="Comment1" numFmtId="0">
      <sharedItems containsNonDate="0" containsString="0" containsBlank="1"/>
    </cacheField>
    <cacheField name="Comment2" numFmtId="0">
      <sharedItems containsNonDate="0" containsString="0" containsBlank="1"/>
    </cacheField>
    <cacheField name="Comment3" numFmtId="0">
      <sharedItems containsNonDate="0" containsString="0" containsBlank="1"/>
    </cacheField>
    <cacheField name="Comment4" numFmtId="0">
      <sharedItems containsNonDate="0" containsString="0" containsBlank="1"/>
    </cacheField>
    <cacheField name="Comment5" numFmtId="0">
      <sharedItems containsNonDate="0" containsString="0" containsBlank="1"/>
    </cacheField>
    <cacheField name="Comment6" numFmtId="0">
      <sharedItems containsNonDate="0" containsString="0" containsBlank="1"/>
    </cacheField>
    <cacheField name="Comment7" numFmtId="0">
      <sharedItems containsNonDate="0" containsString="0" containsBlank="1"/>
    </cacheField>
    <cacheField name="Comment8" numFmtId="0">
      <sharedItems containsNonDate="0" containsString="0" containsBlank="1"/>
    </cacheField>
    <cacheField name="Comment9" numFmtId="0">
      <sharedItems containsNonDate="0" containsString="0" containsBlank="1"/>
    </cacheField>
    <cacheField name="Comment10" numFmtId="0">
      <sharedItems containsNonDate="0" containsString="0" containsBlank="1"/>
    </cacheField>
    <cacheField name="Comment11" numFmtId="0">
      <sharedItems containsNonDate="0" containsString="0" containsBlank="1"/>
    </cacheField>
    <cacheField name="Comment12" numFmtId="0">
      <sharedItems containsNonDate="0" containsString="0" containsBlank="1"/>
    </cacheField>
    <cacheField name="Comment13" numFmtId="0">
      <sharedItems containsNonDate="0" containsString="0" containsBlank="1"/>
    </cacheField>
    <cacheField name="Comment14" numFmtId="0">
      <sharedItems containsNonDate="0" containsString="0" containsBlank="1"/>
    </cacheField>
    <cacheField name="Comment15" numFmtId="0">
      <sharedItems containsNonDate="0" containsString="0" containsBlank="1"/>
    </cacheField>
    <cacheField name="Comment16" numFmtId="0">
      <sharedItems containsNonDate="0" containsString="0" containsBlank="1"/>
    </cacheField>
    <cacheField name="Comment17" numFmtId="0">
      <sharedItems containsNonDate="0" containsString="0" containsBlank="1"/>
    </cacheField>
    <cacheField name="Comment18" numFmtId="0">
      <sharedItems containsNonDate="0" containsString="0" containsBlank="1"/>
    </cacheField>
    <cacheField name="Comment19" numFmtId="0">
      <sharedItems containsNonDate="0" containsString="0" containsBlank="1"/>
    </cacheField>
    <cacheField name="Comment20" numFmtId="0">
      <sharedItems containsNonDate="0" containsString="0" containsBlank="1"/>
    </cacheField>
    <cacheField name="Feedback Does Well" numFmtId="0">
      <sharedItems containsNonDate="0" containsString="0" containsBlank="1"/>
    </cacheField>
    <cacheField name="Feedback To Improve" numFmtId="0">
      <sharedItems containsNonDate="0" containsString="0" containsBlank="1"/>
    </cacheField>
    <cacheField name="Feedback Warnings" numFmtId="0">
      <sharedItems containsNonDate="0" containsString="0" containsBlank="1"/>
    </cacheField>
    <cacheField name="Row No" numFmtId="0">
      <sharedItems containsSemiMixedTypes="0" containsString="0" containsNumber="1" containsInteger="1" minValue="1" maxValue="1"/>
    </cacheField>
    <cacheField name="Company average" numFmtId="2">
      <sharedItems containsSemiMixedTypes="0" containsString="0" containsNumber="1" minValue="7.625" maxValue="7.625"/>
    </cacheField>
    <cacheField name="Averate rating" numFmtId="2">
      <sharedItems containsSemiMixedTypes="0" containsString="0" containsNumber="1" minValue="7.625" maxValue="7.625"/>
    </cacheField>
    <cacheField name="Valid?" numFmtId="0">
      <sharedItems count="2">
        <b v="1"/>
        <b v="0" u="1"/>
      </sharedItems>
    </cacheField>
    <cacheField name="Last 3 years?" numFmtId="0">
      <sharedItems count="2">
        <b v="1"/>
        <b v="0" u="1"/>
      </sharedItems>
    </cacheField>
    <cacheField name="Last year?" numFmtId="0">
      <sharedItems count="2">
        <b v="1"/>
        <b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s v="makaylin"/>
    <s v="baker"/>
    <n v="8"/>
    <s v="baker makaylin"/>
    <n v="1"/>
    <s v="makeylin.baker"/>
    <x v="0"/>
  </r>
  <r>
    <s v="Danette"/>
    <s v="Bartholomew"/>
    <n v="2"/>
    <s v="Bartholomew Danette"/>
    <n v="2"/>
    <s v="E123460"/>
    <x v="1"/>
  </r>
  <r>
    <s v="Nola"/>
    <s v="Ruark"/>
    <n v="7"/>
    <s v="Ruark Nola"/>
    <n v="3"/>
    <s v="E123458"/>
    <x v="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n v="8"/>
    <x v="0"/>
    <x v="0"/>
    <x v="0"/>
    <n v="5"/>
    <n v="8"/>
    <n v="7"/>
    <n v="5"/>
    <n v="9"/>
    <n v="8"/>
    <n v="10"/>
    <n v="9"/>
    <m/>
    <m/>
    <m/>
    <m/>
    <m/>
    <m/>
    <m/>
    <m/>
    <m/>
    <m/>
    <m/>
    <m/>
    <m/>
    <m/>
    <m/>
    <m/>
    <m/>
    <m/>
    <m/>
    <m/>
    <m/>
    <m/>
    <m/>
    <m/>
    <m/>
    <m/>
    <m/>
    <m/>
    <m/>
    <m/>
    <m/>
    <m/>
    <m/>
    <m/>
    <m/>
    <n v="1"/>
    <n v="7.625"/>
    <n v="7.625"/>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29222F4-AB43-4E37-868A-C0C65A9443AC}"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Department">
  <location ref="A3:B7" firstHeaderRow="1" firstDataRow="1" firstDataCol="1"/>
  <pivotFields count="7">
    <pivotField showAll="0"/>
    <pivotField showAll="0"/>
    <pivotField showAll="0"/>
    <pivotField dataField="1" showAll="0"/>
    <pivotField showAll="0"/>
    <pivotField showAll="0"/>
    <pivotField axis="axisRow" showAll="0" sortType="descending">
      <items count="21">
        <item m="1" x="17"/>
        <item x="2"/>
        <item m="1" x="8"/>
        <item m="1" x="6"/>
        <item m="1" x="11"/>
        <item x="1"/>
        <item m="1" x="19"/>
        <item m="1" x="5"/>
        <item m="1" x="3"/>
        <item m="1" x="13"/>
        <item m="1" x="14"/>
        <item m="1" x="12"/>
        <item m="1" x="7"/>
        <item m="1" x="16"/>
        <item m="1" x="18"/>
        <item m="1" x="9"/>
        <item m="1" x="10"/>
        <item m="1" x="15"/>
        <item m="1" x="4"/>
        <item x="0"/>
        <item t="default"/>
      </items>
      <autoSortScope>
        <pivotArea dataOnly="0" outline="0" fieldPosition="0">
          <references count="1">
            <reference field="4294967294" count="1" selected="0">
              <x v="0"/>
            </reference>
          </references>
        </pivotArea>
      </autoSortScope>
    </pivotField>
  </pivotFields>
  <rowFields count="1">
    <field x="6"/>
  </rowFields>
  <rowItems count="4">
    <i>
      <x v="1"/>
    </i>
    <i>
      <x v="19"/>
    </i>
    <i>
      <x v="5"/>
    </i>
    <i t="grand">
      <x/>
    </i>
  </rowItems>
  <colItems count="1">
    <i/>
  </colItems>
  <dataFields count="1">
    <dataField name="Count of Name and Surname" fld="3" subtotal="count" baseField="0" baseItem="0"/>
  </dataFields>
  <chartFormats count="14">
    <chartFormat chart="6" format="9" series="1">
      <pivotArea type="data" outline="0" fieldPosition="0">
        <references count="1">
          <reference field="4294967294" count="1" selected="0">
            <x v="0"/>
          </reference>
        </references>
      </pivotArea>
    </chartFormat>
    <chartFormat chart="6" format="10">
      <pivotArea type="data" outline="0" fieldPosition="0">
        <references count="2">
          <reference field="4294967294" count="1" selected="0">
            <x v="0"/>
          </reference>
          <reference field="6" count="1" selected="0">
            <x v="1"/>
          </reference>
        </references>
      </pivotArea>
    </chartFormat>
    <chartFormat chart="6" format="11">
      <pivotArea type="data" outline="0" fieldPosition="0">
        <references count="2">
          <reference field="4294967294" count="1" selected="0">
            <x v="0"/>
          </reference>
          <reference field="6" count="1" selected="0">
            <x v="5"/>
          </reference>
        </references>
      </pivotArea>
    </chartFormat>
    <chartFormat chart="6" format="12">
      <pivotArea type="data" outline="0" fieldPosition="0">
        <references count="2">
          <reference field="4294967294" count="1" selected="0">
            <x v="0"/>
          </reference>
          <reference field="6" count="1" selected="0">
            <x v="0"/>
          </reference>
        </references>
      </pivotArea>
    </chartFormat>
    <chartFormat chart="6" format="13">
      <pivotArea type="data" outline="0" fieldPosition="0">
        <references count="2">
          <reference field="4294967294" count="1" selected="0">
            <x v="0"/>
          </reference>
          <reference field="6" count="1" selected="0">
            <x v="4"/>
          </reference>
        </references>
      </pivotArea>
    </chartFormat>
    <chartFormat chart="6" format="14">
      <pivotArea type="data" outline="0" fieldPosition="0">
        <references count="2">
          <reference field="4294967294" count="1" selected="0">
            <x v="0"/>
          </reference>
          <reference field="6" count="1" selected="0">
            <x v="6"/>
          </reference>
        </references>
      </pivotArea>
    </chartFormat>
    <chartFormat chart="6" format="15">
      <pivotArea type="data" outline="0" fieldPosition="0">
        <references count="2">
          <reference field="4294967294" count="1" selected="0">
            <x v="0"/>
          </reference>
          <reference field="6" count="1" selected="0">
            <x v="2"/>
          </reference>
        </references>
      </pivotArea>
    </chartFormat>
    <chartFormat chart="6" format="16">
      <pivotArea type="data" outline="0" fieldPosition="0">
        <references count="2">
          <reference field="4294967294" count="1" selected="0">
            <x v="0"/>
          </reference>
          <reference field="6" count="1" selected="0">
            <x v="3"/>
          </reference>
        </references>
      </pivotArea>
    </chartFormat>
    <chartFormat chart="6" format="17">
      <pivotArea type="data" outline="0" fieldPosition="0">
        <references count="2">
          <reference field="4294967294" count="1" selected="0">
            <x v="0"/>
          </reference>
          <reference field="6" count="1" selected="0">
            <x v="10"/>
          </reference>
        </references>
      </pivotArea>
    </chartFormat>
    <chartFormat chart="6" format="18">
      <pivotArea type="data" outline="0" fieldPosition="0">
        <references count="2">
          <reference field="4294967294" count="1" selected="0">
            <x v="0"/>
          </reference>
          <reference field="6" count="1" selected="0">
            <x v="15"/>
          </reference>
        </references>
      </pivotArea>
    </chartFormat>
    <chartFormat chart="6" format="19">
      <pivotArea type="data" outline="0" fieldPosition="0">
        <references count="2">
          <reference field="4294967294" count="1" selected="0">
            <x v="0"/>
          </reference>
          <reference field="6" count="1" selected="0">
            <x v="13"/>
          </reference>
        </references>
      </pivotArea>
    </chartFormat>
    <chartFormat chart="6" format="20">
      <pivotArea type="data" outline="0" fieldPosition="0">
        <references count="2">
          <reference field="4294967294" count="1" selected="0">
            <x v="0"/>
          </reference>
          <reference field="6" count="1" selected="0">
            <x v="7"/>
          </reference>
        </references>
      </pivotArea>
    </chartFormat>
    <chartFormat chart="6" format="21">
      <pivotArea type="data" outline="0" fieldPosition="0">
        <references count="2">
          <reference field="4294967294" count="1" selected="0">
            <x v="0"/>
          </reference>
          <reference field="6" count="1" selected="0">
            <x v="8"/>
          </reference>
        </references>
      </pivotArea>
    </chartFormat>
    <chartFormat chart="6" format="22">
      <pivotArea type="data" outline="0" fieldPosition="0">
        <references count="2">
          <reference field="4294967294" count="1" selected="0">
            <x v="0"/>
          </reference>
          <reference field="6" count="1" selected="0">
            <x v="19"/>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C229DAE-47DC-49EA-B8AF-7BDF7894868B}" name="PVTable1" cacheId="1"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27">
  <location ref="A3:C6" firstHeaderRow="1" firstDataRow="3" firstDataCol="1" rowPageCount="1" colPageCount="1"/>
  <pivotFields count="53">
    <pivotField showAll="0"/>
    <pivotField showAll="0"/>
    <pivotField axis="axisCol" showAll="0" measureFilter="1" sortType="ascending">
      <items count="12">
        <item m="1" x="5"/>
        <item m="1" x="2"/>
        <item m="1" x="6"/>
        <item m="1" x="10"/>
        <item m="1" x="1"/>
        <item m="1" x="3"/>
        <item m="1" x="4"/>
        <item m="1" x="7"/>
        <item m="1" x="8"/>
        <item m="1" x="9"/>
        <item x="0"/>
        <item t="default"/>
      </items>
    </pivotField>
    <pivotField axis="axisRow" showAll="0" measureFilter="1" sortType="ascending">
      <items count="7">
        <item m="1" x="1"/>
        <item m="1" x="3"/>
        <item m="1" x="5"/>
        <item x="0"/>
        <item m="1" x="4"/>
        <item m="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numFmtId="2" showAll="0"/>
    <pivotField axis="axisPage" showAll="0">
      <items count="3">
        <item m="1" x="1"/>
        <item x="0"/>
        <item t="default"/>
      </items>
    </pivotField>
    <pivotField showAll="0"/>
    <pivotField showAll="0"/>
  </pivotFields>
  <rowFields count="1">
    <field x="3"/>
  </rowFields>
  <rowItems count="1">
    <i>
      <x v="3"/>
    </i>
  </rowItems>
  <colFields count="2">
    <field x="2"/>
    <field x="-2"/>
  </colFields>
  <colItems count="2">
    <i>
      <x v="10"/>
      <x/>
    </i>
    <i r="1" i="1">
      <x v="1"/>
    </i>
  </colItems>
  <pageFields count="1">
    <pageField fld="50" item="1" hier="-1"/>
  </pageFields>
  <dataFields count="2">
    <dataField name="Comp." fld="48" subtotal="average" baseField="3" baseItem="0" numFmtId="2"/>
    <dataField name=" " fld="49" subtotal="average" baseField="3" baseItem="0" numFmtId="2"/>
  </dataFields>
  <formats count="4">
    <format dxfId="18">
      <pivotArea outline="0" fieldPosition="0">
        <references count="1">
          <reference field="4294967294" count="1">
            <x v="1"/>
          </reference>
        </references>
      </pivotArea>
    </format>
    <format dxfId="17">
      <pivotArea field="3" grandCol="1" collapsedLevelsAreSubtotals="1" axis="axisRow" fieldPosition="0">
        <references count="1">
          <reference field="3" count="1">
            <x v="2"/>
          </reference>
        </references>
      </pivotArea>
    </format>
    <format dxfId="16">
      <pivotArea collapsedLevelsAreSubtotals="1" fieldPosition="0">
        <references count="2">
          <reference field="2" count="0" selected="0"/>
          <reference field="3" count="1">
            <x v="2"/>
          </reference>
        </references>
      </pivotArea>
    </format>
    <format dxfId="15">
      <pivotArea outline="0" fieldPosition="0">
        <references count="1">
          <reference field="4294967294" count="1">
            <x v="0"/>
          </reference>
        </references>
      </pivotArea>
    </format>
  </formats>
  <chartFormats count="2">
    <chartFormat chart="3" format="89" series="1">
      <pivotArea type="data" outline="0" fieldPosition="0">
        <references count="2">
          <reference field="4294967294" count="1" selected="0">
            <x v="0"/>
          </reference>
          <reference field="2" count="1" selected="0">
            <x v="10"/>
          </reference>
        </references>
      </pivotArea>
    </chartFormat>
    <chartFormat chart="3" format="90" series="1">
      <pivotArea type="data" outline="0" fieldPosition="0">
        <references count="2">
          <reference field="4294967294" count="1" selected="0">
            <x v="1"/>
          </reference>
          <reference field="2" count="1" selected="0">
            <x v="10"/>
          </reference>
        </references>
      </pivotArea>
    </chartFormat>
  </chartFormats>
  <pivotTableStyleInfo name="PivotStyleMedium9" showRowHeaders="1" showColHeaders="1" showRowStripes="0" showColStripes="0" showLastColumn="1"/>
  <filters count="2">
    <filter fld="3" type="valueGreaterThan" evalOrder="-1" id="1" iMeasureFld="1">
      <autoFilter ref="A1">
        <filterColumn colId="0">
          <customFilters>
            <customFilter operator="greaterThan" val="0"/>
          </customFilters>
        </filterColumn>
      </autoFilter>
    </filter>
    <filter fld="2" type="count" evalOrder="-1" id="35" iMeasureFld="1">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C581C2F-16D7-4B3E-992D-A0105218E3E7}" name="PivotTable5"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2">
  <location ref="A4:B6" firstHeaderRow="1" firstDataRow="1" firstDataCol="1" rowPageCount="2" colPageCount="1"/>
  <pivotFields count="53">
    <pivotField showAll="0"/>
    <pivotField showAll="0"/>
    <pivotField axis="axisRow" showAll="0" sortType="descending">
      <items count="12">
        <item m="1" x="5"/>
        <item m="1" x="2"/>
        <item m="1" x="6"/>
        <item m="1" x="10"/>
        <item m="1" x="1"/>
        <item m="1" x="3"/>
        <item m="1" x="4"/>
        <item m="1" x="7"/>
        <item m="1" x="8"/>
        <item m="1" x="9"/>
        <item x="0"/>
        <item t="default"/>
      </items>
      <autoSortScope>
        <pivotArea dataOnly="0" outline="0" fieldPosition="0">
          <references count="1">
            <reference field="4294967294" count="1" selected="0">
              <x v="0"/>
            </reference>
          </references>
        </pivotArea>
      </autoSortScope>
    </pivotField>
    <pivotField showAll="0" sortType="ascending"/>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2" showAll="0"/>
    <pivotField axis="axisPage" showAll="0">
      <items count="3">
        <item m="1" x="1"/>
        <item x="0"/>
        <item t="default"/>
      </items>
    </pivotField>
    <pivotField axis="axisPage" showAll="0">
      <items count="3">
        <item m="1" x="1"/>
        <item x="0"/>
        <item t="default"/>
      </items>
    </pivotField>
    <pivotField showAll="0"/>
  </pivotFields>
  <rowFields count="1">
    <field x="2"/>
  </rowFields>
  <rowItems count="2">
    <i>
      <x v="10"/>
    </i>
    <i t="grand">
      <x/>
    </i>
  </rowItems>
  <colItems count="1">
    <i/>
  </colItems>
  <pageFields count="2">
    <pageField fld="50" item="1" hier="-1"/>
    <pageField fld="51" item="1" hier="-1"/>
  </pageFields>
  <dataFields count="1">
    <dataField name="Average of Averate rating" fld="49" subtotal="average" baseField="3" baseItem="0" numFmtId="2"/>
  </dataFields>
  <chartFormats count="2">
    <chartFormat chart="3" format="25" series="1">
      <pivotArea type="data" outline="0" fieldPosition="0">
        <references count="1">
          <reference field="4294967294" count="1" selected="0">
            <x v="0"/>
          </reference>
        </references>
      </pivotArea>
    </chartFormat>
    <chartFormat chart="3" format="45">
      <pivotArea type="data" outline="0" fieldPosition="0">
        <references count="2">
          <reference field="4294967294" count="1" selected="0">
            <x v="0"/>
          </reference>
          <reference field="2" count="1" selected="0">
            <x v="1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787A25D-A457-4EDD-B7CC-CE2D5A4B32FA}" name="PVTable4" cacheId="1"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chartFormat="19">
  <location ref="A3:E6" firstHeaderRow="1" firstDataRow="3" firstDataCol="1" rowPageCount="1" colPageCount="1"/>
  <pivotFields count="53">
    <pivotField showAll="0"/>
    <pivotField axis="axisCol" showAll="0" measureFilter="1">
      <items count="17">
        <item m="1" x="8"/>
        <item m="1" x="7"/>
        <item m="1" x="4"/>
        <item m="1" x="12"/>
        <item m="1" x="10"/>
        <item m="1" x="6"/>
        <item m="1" x="11"/>
        <item m="1" x="1"/>
        <item m="1" x="3"/>
        <item m="1" x="15"/>
        <item m="1" x="14"/>
        <item m="1" x="2"/>
        <item m="1" x="5"/>
        <item m="1" x="9"/>
        <item m="1" x="13"/>
        <item x="0"/>
        <item t="default"/>
      </items>
    </pivotField>
    <pivotField showAll="0"/>
    <pivotField axis="axisRow" showAll="0" measureFilter="1" sortType="ascending">
      <items count="7">
        <item m="1" x="1"/>
        <item m="1" x="3"/>
        <item m="1" x="5"/>
        <item x="0"/>
        <item m="1" x="4"/>
        <item m="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numFmtId="2" showAll="0"/>
    <pivotField axis="axisPage" showAll="0">
      <items count="3">
        <item m="1" x="1"/>
        <item x="0"/>
        <item t="default"/>
      </items>
    </pivotField>
    <pivotField showAll="0"/>
    <pivotField showAll="0"/>
  </pivotFields>
  <rowFields count="1">
    <field x="3"/>
  </rowFields>
  <rowItems count="1">
    <i>
      <x v="3"/>
    </i>
  </rowItems>
  <colFields count="2">
    <field x="1"/>
    <field x="-2"/>
  </colFields>
  <colItems count="4">
    <i>
      <x v="15"/>
      <x/>
    </i>
    <i r="1" i="1">
      <x v="1"/>
    </i>
    <i t="grand">
      <x/>
    </i>
    <i t="grand" i="1">
      <x/>
    </i>
  </colItems>
  <pageFields count="1">
    <pageField fld="50" item="1" hier="-1"/>
  </pageFields>
  <dataFields count="2">
    <dataField name="Comp." fld="48" subtotal="average" baseField="3" baseItem="0" numFmtId="2"/>
    <dataField name=" " fld="49" subtotal="average" baseField="3" baseItem="0" numFmtId="2"/>
  </dataFields>
  <chartFormats count="37">
    <chartFormat chart="3" format="20" series="1">
      <pivotArea type="data" outline="0" fieldPosition="0">
        <references count="2">
          <reference field="4294967294" count="1" selected="0">
            <x v="1"/>
          </reference>
          <reference field="1" count="1" selected="0">
            <x v="0"/>
          </reference>
        </references>
      </pivotArea>
    </chartFormat>
    <chartFormat chart="3" format="21" series="1">
      <pivotArea type="data" outline="0" fieldPosition="0">
        <references count="2">
          <reference field="4294967294" count="1" selected="0">
            <x v="1"/>
          </reference>
          <reference field="1" count="1" selected="0">
            <x v="1"/>
          </reference>
        </references>
      </pivotArea>
    </chartFormat>
    <chartFormat chart="3" format="22" series="1">
      <pivotArea type="data" outline="0" fieldPosition="0">
        <references count="2">
          <reference field="4294967294" count="1" selected="0">
            <x v="1"/>
          </reference>
          <reference field="1" count="1" selected="0">
            <x v="2"/>
          </reference>
        </references>
      </pivotArea>
    </chartFormat>
    <chartFormat chart="3" format="23" series="1">
      <pivotArea type="data" outline="0" fieldPosition="0">
        <references count="2">
          <reference field="4294967294" count="1" selected="0">
            <x v="1"/>
          </reference>
          <reference field="1" count="1" selected="0">
            <x v="3"/>
          </reference>
        </references>
      </pivotArea>
    </chartFormat>
    <chartFormat chart="3" format="24" series="1">
      <pivotArea type="data" outline="0" fieldPosition="0">
        <references count="2">
          <reference field="4294967294" count="1" selected="0">
            <x v="1"/>
          </reference>
          <reference field="1" count="1" selected="0">
            <x v="4"/>
          </reference>
        </references>
      </pivotArea>
    </chartFormat>
    <chartFormat chart="3" format="25" series="1">
      <pivotArea type="data" outline="0" fieldPosition="0">
        <references count="2">
          <reference field="4294967294" count="1" selected="0">
            <x v="1"/>
          </reference>
          <reference field="1" count="1" selected="0">
            <x v="5"/>
          </reference>
        </references>
      </pivotArea>
    </chartFormat>
    <chartFormat chart="3" format="26" series="1">
      <pivotArea type="data" outline="0" fieldPosition="0">
        <references count="2">
          <reference field="4294967294" count="1" selected="0">
            <x v="1"/>
          </reference>
          <reference field="1" count="1" selected="0">
            <x v="6"/>
          </reference>
        </references>
      </pivotArea>
    </chartFormat>
    <chartFormat chart="3" format="27" series="1">
      <pivotArea type="data" outline="0" fieldPosition="0">
        <references count="2">
          <reference field="4294967294" count="1" selected="0">
            <x v="1"/>
          </reference>
          <reference field="1" count="1" selected="0">
            <x v="7"/>
          </reference>
        </references>
      </pivotArea>
    </chartFormat>
    <chartFormat chart="3" format="28" series="1">
      <pivotArea type="data" outline="0" fieldPosition="0">
        <references count="2">
          <reference field="4294967294" count="1" selected="0">
            <x v="1"/>
          </reference>
          <reference field="1" count="1" selected="0">
            <x v="8"/>
          </reference>
        </references>
      </pivotArea>
    </chartFormat>
    <chartFormat chart="3" format="29" series="1">
      <pivotArea type="data" outline="0" fieldPosition="0">
        <references count="2">
          <reference field="4294967294" count="1" selected="0">
            <x v="1"/>
          </reference>
          <reference field="1" count="1" selected="0">
            <x v="9"/>
          </reference>
        </references>
      </pivotArea>
    </chartFormat>
    <chartFormat chart="3" format="30" series="1">
      <pivotArea type="data" outline="0" fieldPosition="0">
        <references count="2">
          <reference field="4294967294" count="1" selected="0">
            <x v="1"/>
          </reference>
          <reference field="1" count="1" selected="0">
            <x v="12"/>
          </reference>
        </references>
      </pivotArea>
    </chartFormat>
    <chartFormat chart="3" format="31" series="1">
      <pivotArea type="data" outline="0" fieldPosition="0">
        <references count="2">
          <reference field="4294967294" count="1" selected="0">
            <x v="1"/>
          </reference>
          <reference field="1" count="1" selected="0">
            <x v="13"/>
          </reference>
        </references>
      </pivotArea>
    </chartFormat>
    <chartFormat chart="3" format="58" series="1">
      <pivotArea type="data" outline="0" fieldPosition="0">
        <references count="2">
          <reference field="4294967294" count="1" selected="0">
            <x v="0"/>
          </reference>
          <reference field="1" count="1" selected="0">
            <x v="0"/>
          </reference>
        </references>
      </pivotArea>
    </chartFormat>
    <chartFormat chart="3" format="59" series="1">
      <pivotArea type="data" outline="0" fieldPosition="0">
        <references count="2">
          <reference field="4294967294" count="1" selected="0">
            <x v="0"/>
          </reference>
          <reference field="1" count="1" selected="0">
            <x v="1"/>
          </reference>
        </references>
      </pivotArea>
    </chartFormat>
    <chartFormat chart="3" format="60" series="1">
      <pivotArea type="data" outline="0" fieldPosition="0">
        <references count="2">
          <reference field="4294967294" count="1" selected="0">
            <x v="0"/>
          </reference>
          <reference field="1" count="1" selected="0">
            <x v="2"/>
          </reference>
        </references>
      </pivotArea>
    </chartFormat>
    <chartFormat chart="3" format="61" series="1">
      <pivotArea type="data" outline="0" fieldPosition="0">
        <references count="2">
          <reference field="4294967294" count="1" selected="0">
            <x v="0"/>
          </reference>
          <reference field="1" count="1" selected="0">
            <x v="3"/>
          </reference>
        </references>
      </pivotArea>
    </chartFormat>
    <chartFormat chart="3" format="62" series="1">
      <pivotArea type="data" outline="0" fieldPosition="0">
        <references count="2">
          <reference field="4294967294" count="1" selected="0">
            <x v="0"/>
          </reference>
          <reference field="1" count="1" selected="0">
            <x v="6"/>
          </reference>
        </references>
      </pivotArea>
    </chartFormat>
    <chartFormat chart="3" format="63" series="1">
      <pivotArea type="data" outline="0" fieldPosition="0">
        <references count="2">
          <reference field="4294967294" count="1" selected="0">
            <x v="0"/>
          </reference>
          <reference field="1" count="1" selected="0">
            <x v="7"/>
          </reference>
        </references>
      </pivotArea>
    </chartFormat>
    <chartFormat chart="3" format="64" series="1">
      <pivotArea type="data" outline="0" fieldPosition="0">
        <references count="2">
          <reference field="4294967294" count="1" selected="0">
            <x v="0"/>
          </reference>
          <reference field="1" count="1" selected="0">
            <x v="8"/>
          </reference>
        </references>
      </pivotArea>
    </chartFormat>
    <chartFormat chart="3" format="65" series="1">
      <pivotArea type="data" outline="0" fieldPosition="0">
        <references count="2">
          <reference field="4294967294" count="1" selected="0">
            <x v="0"/>
          </reference>
          <reference field="1" count="1" selected="0">
            <x v="9"/>
          </reference>
        </references>
      </pivotArea>
    </chartFormat>
    <chartFormat chart="3" format="66" series="1">
      <pivotArea type="data" outline="0" fieldPosition="0">
        <references count="2">
          <reference field="4294967294" count="1" selected="0">
            <x v="0"/>
          </reference>
          <reference field="1" count="1" selected="0">
            <x v="12"/>
          </reference>
        </references>
      </pivotArea>
    </chartFormat>
    <chartFormat chart="3" format="67" series="1">
      <pivotArea type="data" outline="0" fieldPosition="0">
        <references count="2">
          <reference field="4294967294" count="1" selected="0">
            <x v="0"/>
          </reference>
          <reference field="1" count="1" selected="0">
            <x v="13"/>
          </reference>
        </references>
      </pivotArea>
    </chartFormat>
    <chartFormat chart="3" format="68">
      <pivotArea type="data" outline="0" fieldPosition="0">
        <references count="3">
          <reference field="4294967294" count="1" selected="0">
            <x v="0"/>
          </reference>
          <reference field="1" count="1" selected="0">
            <x v="13"/>
          </reference>
          <reference field="3" count="1" selected="0">
            <x v="0"/>
          </reference>
        </references>
      </pivotArea>
    </chartFormat>
    <chartFormat chart="3" format="69">
      <pivotArea type="data" outline="0" fieldPosition="0">
        <references count="3">
          <reference field="4294967294" count="1" selected="0">
            <x v="0"/>
          </reference>
          <reference field="1" count="1" selected="0">
            <x v="13"/>
          </reference>
          <reference field="3" count="1" selected="0">
            <x v="1"/>
          </reference>
        </references>
      </pivotArea>
    </chartFormat>
    <chartFormat chart="3" format="70">
      <pivotArea type="data" outline="0" fieldPosition="0">
        <references count="3">
          <reference field="4294967294" count="1" selected="0">
            <x v="0"/>
          </reference>
          <reference field="1" count="1" selected="0">
            <x v="13"/>
          </reference>
          <reference field="3" count="1" selected="0">
            <x v="2"/>
          </reference>
        </references>
      </pivotArea>
    </chartFormat>
    <chartFormat chart="3" format="71">
      <pivotArea type="data" outline="0" fieldPosition="0">
        <references count="3">
          <reference field="4294967294" count="1" selected="0">
            <x v="0"/>
          </reference>
          <reference field="1" count="1" selected="0">
            <x v="13"/>
          </reference>
          <reference field="3" count="1" selected="0">
            <x v="3"/>
          </reference>
        </references>
      </pivotArea>
    </chartFormat>
    <chartFormat chart="3" format="72">
      <pivotArea type="data" outline="0" fieldPosition="0">
        <references count="3">
          <reference field="4294967294" count="1" selected="0">
            <x v="0"/>
          </reference>
          <reference field="1" count="1" selected="0">
            <x v="13"/>
          </reference>
          <reference field="3" count="1" selected="0">
            <x v="4"/>
          </reference>
        </references>
      </pivotArea>
    </chartFormat>
    <chartFormat chart="3" format="73" series="1">
      <pivotArea type="data" outline="0" fieldPosition="0">
        <references count="2">
          <reference field="4294967294" count="1" selected="0">
            <x v="0"/>
          </reference>
          <reference field="1" count="1" selected="0">
            <x v="4"/>
          </reference>
        </references>
      </pivotArea>
    </chartFormat>
    <chartFormat chart="3" format="74" series="1">
      <pivotArea type="data" outline="0" fieldPosition="0">
        <references count="2">
          <reference field="4294967294" count="1" selected="0">
            <x v="0"/>
          </reference>
          <reference field="1" count="1" selected="0">
            <x v="5"/>
          </reference>
        </references>
      </pivotArea>
    </chartFormat>
    <chartFormat chart="3" format="75" series="1">
      <pivotArea type="data" outline="0" fieldPosition="0">
        <references count="2">
          <reference field="4294967294" count="1" selected="0">
            <x v="0"/>
          </reference>
          <reference field="1" count="1" selected="0">
            <x v="10"/>
          </reference>
        </references>
      </pivotArea>
    </chartFormat>
    <chartFormat chart="3" format="76" series="1">
      <pivotArea type="data" outline="0" fieldPosition="0">
        <references count="2">
          <reference field="4294967294" count="1" selected="0">
            <x v="1"/>
          </reference>
          <reference field="1" count="1" selected="0">
            <x v="10"/>
          </reference>
        </references>
      </pivotArea>
    </chartFormat>
    <chartFormat chart="3" format="77" series="1">
      <pivotArea type="data" outline="0" fieldPosition="0">
        <references count="2">
          <reference field="4294967294" count="1" selected="0">
            <x v="0"/>
          </reference>
          <reference field="1" count="1" selected="0">
            <x v="11"/>
          </reference>
        </references>
      </pivotArea>
    </chartFormat>
    <chartFormat chart="3" format="78" series="1">
      <pivotArea type="data" outline="0" fieldPosition="0">
        <references count="2">
          <reference field="4294967294" count="1" selected="0">
            <x v="1"/>
          </reference>
          <reference field="1" count="1" selected="0">
            <x v="11"/>
          </reference>
        </references>
      </pivotArea>
    </chartFormat>
    <chartFormat chart="3" format="79" series="1">
      <pivotArea type="data" outline="0" fieldPosition="0">
        <references count="2">
          <reference field="4294967294" count="1" selected="0">
            <x v="0"/>
          </reference>
          <reference field="1" count="1" selected="0">
            <x v="14"/>
          </reference>
        </references>
      </pivotArea>
    </chartFormat>
    <chartFormat chart="3" format="80" series="1">
      <pivotArea type="data" outline="0" fieldPosition="0">
        <references count="2">
          <reference field="4294967294" count="1" selected="0">
            <x v="1"/>
          </reference>
          <reference field="1" count="1" selected="0">
            <x v="14"/>
          </reference>
        </references>
      </pivotArea>
    </chartFormat>
    <chartFormat chart="3" format="81" series="1">
      <pivotArea type="data" outline="0" fieldPosition="0">
        <references count="2">
          <reference field="4294967294" count="1" selected="0">
            <x v="0"/>
          </reference>
          <reference field="1" count="1" selected="0">
            <x v="15"/>
          </reference>
        </references>
      </pivotArea>
    </chartFormat>
    <chartFormat chart="3" format="82" series="1">
      <pivotArea type="data" outline="0" fieldPosition="0">
        <references count="2">
          <reference field="4294967294" count="1" selected="0">
            <x v="1"/>
          </reference>
          <reference field="1" count="1" selected="0">
            <x v="15"/>
          </reference>
        </references>
      </pivotArea>
    </chartFormat>
  </chartFormats>
  <pivotTableStyleInfo name="PivotStyleMedium9" showRowHeaders="1" showColHeaders="1" showRowStripes="0" showColStripes="0" showLastColumn="1"/>
  <filters count="2">
    <filter fld="3" type="valueGreaterThan" evalOrder="-1" id="1" iMeasureFld="1">
      <autoFilter ref="A1">
        <filterColumn colId="0">
          <customFilters>
            <customFilter operator="greaterThan" val="0"/>
          </customFilters>
        </filterColumn>
      </autoFilter>
    </filter>
    <filter fld="1" type="count" evalOrder="-1" id="24" iMeasureFld="1">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617B5F5-F6A8-4305-B926-AD44B7F08B7A}" name="PVTable5" cacheId="1"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outline="1" outlineData="1" compactData="0" multipleFieldFilters="0" chartFormat="34">
  <location ref="A3:B4" firstHeaderRow="1" firstDataRow="1" firstDataCol="1" rowPageCount="1" colPageCount="1"/>
  <pivotFields count="53">
    <pivotField compact="0" showAll="0" defaultSubtotal="0"/>
    <pivotField axis="axisRow" compact="0" showAll="0" measureFilter="1" sortType="ascending" defaultSubtotal="0">
      <items count="16">
        <item m="1" x="8"/>
        <item m="1" x="7"/>
        <item m="1" x="4"/>
        <item m="1" x="12"/>
        <item m="1" x="10"/>
        <item m="1" x="6"/>
        <item m="1" x="11"/>
        <item m="1" x="1"/>
        <item m="1" x="3"/>
        <item m="1" x="15"/>
        <item m="1" x="14"/>
        <item m="1" x="2"/>
        <item m="1" x="5"/>
        <item m="1" x="9"/>
        <item m="1" x="13"/>
        <item x="0"/>
      </items>
      <autoSortScope>
        <pivotArea dataOnly="0" outline="0" fieldPosition="0">
          <references count="1">
            <reference field="4294967294" count="1" selected="0">
              <x v="0"/>
            </reference>
          </references>
        </pivotArea>
      </autoSortScope>
    </pivotField>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ubtotalTop="0" showAll="0" defaultSubtotal="0"/>
    <pivotField dataField="1" compact="0" numFmtId="2" showAll="0" defaultSubtotal="0"/>
    <pivotField axis="axisPage" compact="0" subtotalTop="0" showAll="0" defaultSubtotal="0">
      <items count="2">
        <item m="1" x="1"/>
        <item x="0"/>
      </items>
    </pivotField>
    <pivotField compact="0" subtotalTop="0" showAll="0" defaultSubtotal="0"/>
    <pivotField compact="0" subtotalTop="0" showAll="0" defaultSubtotal="0"/>
  </pivotFields>
  <rowFields count="1">
    <field x="1"/>
  </rowFields>
  <rowItems count="1">
    <i>
      <x v="15"/>
    </i>
  </rowItems>
  <colItems count="1">
    <i/>
  </colItems>
  <pageFields count="1">
    <pageField fld="50" item="1" hier="-1"/>
  </pageFields>
  <dataFields count="1">
    <dataField name="Average of Averate rating" fld="49" subtotal="average" baseField="0" baseItem="0" numFmtId="2"/>
  </dataFields>
  <formats count="2">
    <format dxfId="14">
      <pivotArea collapsedLevelsAreSubtotals="1" fieldPosition="0">
        <references count="1">
          <reference field="1" count="1">
            <x v="0"/>
          </reference>
        </references>
      </pivotArea>
    </format>
    <format dxfId="13">
      <pivotArea outline="0" fieldPosition="0">
        <references count="1">
          <reference field="4294967294" count="1">
            <x v="0"/>
          </reference>
        </references>
      </pivotArea>
    </format>
  </formats>
  <chartFormats count="17">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 count="1" selected="0">
            <x v="5"/>
          </reference>
        </references>
      </pivotArea>
    </chartFormat>
    <chartFormat chart="3" format="4">
      <pivotArea type="data" outline="0" fieldPosition="0">
        <references count="2">
          <reference field="4294967294" count="1" selected="0">
            <x v="0"/>
          </reference>
          <reference field="1" count="1" selected="0">
            <x v="4"/>
          </reference>
        </references>
      </pivotArea>
    </chartFormat>
    <chartFormat chart="3" format="5">
      <pivotArea type="data" outline="0" fieldPosition="0">
        <references count="2">
          <reference field="4294967294" count="1" selected="0">
            <x v="0"/>
          </reference>
          <reference field="1" count="1" selected="0">
            <x v="3"/>
          </reference>
        </references>
      </pivotArea>
    </chartFormat>
    <chartFormat chart="3" format="6">
      <pivotArea type="data" outline="0" fieldPosition="0">
        <references count="2">
          <reference field="4294967294" count="1" selected="0">
            <x v="0"/>
          </reference>
          <reference field="1" count="1" selected="0">
            <x v="0"/>
          </reference>
        </references>
      </pivotArea>
    </chartFormat>
    <chartFormat chart="3" format="7">
      <pivotArea type="data" outline="0" fieldPosition="0">
        <references count="2">
          <reference field="4294967294" count="1" selected="0">
            <x v="0"/>
          </reference>
          <reference field="1" count="1" selected="0">
            <x v="2"/>
          </reference>
        </references>
      </pivotArea>
    </chartFormat>
    <chartFormat chart="3" format="8">
      <pivotArea type="data" outline="0" fieldPosition="0">
        <references count="2">
          <reference field="4294967294" count="1" selected="0">
            <x v="0"/>
          </reference>
          <reference field="1" count="1" selected="0">
            <x v="7"/>
          </reference>
        </references>
      </pivotArea>
    </chartFormat>
    <chartFormat chart="3" format="9">
      <pivotArea type="data" outline="0" fieldPosition="0">
        <references count="2">
          <reference field="4294967294" count="1" selected="0">
            <x v="0"/>
          </reference>
          <reference field="1" count="1" selected="0">
            <x v="1"/>
          </reference>
        </references>
      </pivotArea>
    </chartFormat>
    <chartFormat chart="3" format="10">
      <pivotArea type="data" outline="0" fieldPosition="0">
        <references count="2">
          <reference field="4294967294" count="1" selected="0">
            <x v="0"/>
          </reference>
          <reference field="1" count="1" selected="0">
            <x v="6"/>
          </reference>
        </references>
      </pivotArea>
    </chartFormat>
    <chartFormat chart="3" format="11">
      <pivotArea type="data" outline="0" fieldPosition="0">
        <references count="2">
          <reference field="4294967294" count="1" selected="0">
            <x v="0"/>
          </reference>
          <reference field="1" count="1" selected="0">
            <x v="8"/>
          </reference>
        </references>
      </pivotArea>
    </chartFormat>
    <chartFormat chart="3" format="12">
      <pivotArea type="data" outline="0" fieldPosition="0">
        <references count="2">
          <reference field="4294967294" count="1" selected="0">
            <x v="0"/>
          </reference>
          <reference field="1" count="1" selected="0">
            <x v="9"/>
          </reference>
        </references>
      </pivotArea>
    </chartFormat>
    <chartFormat chart="3" format="13">
      <pivotArea type="data" outline="0" fieldPosition="0">
        <references count="2">
          <reference field="4294967294" count="1" selected="0">
            <x v="0"/>
          </reference>
          <reference field="1" count="1" selected="0">
            <x v="11"/>
          </reference>
        </references>
      </pivotArea>
    </chartFormat>
    <chartFormat chart="3" format="14">
      <pivotArea type="data" outline="0" fieldPosition="0">
        <references count="2">
          <reference field="4294967294" count="1" selected="0">
            <x v="0"/>
          </reference>
          <reference field="1" count="1" selected="0">
            <x v="10"/>
          </reference>
        </references>
      </pivotArea>
    </chartFormat>
    <chartFormat chart="3" format="15">
      <pivotArea type="data" outline="0" fieldPosition="0">
        <references count="2">
          <reference field="4294967294" count="1" selected="0">
            <x v="0"/>
          </reference>
          <reference field="1" count="1" selected="0">
            <x v="13"/>
          </reference>
        </references>
      </pivotArea>
    </chartFormat>
    <chartFormat chart="3" format="16">
      <pivotArea type="data" outline="0" fieldPosition="0">
        <references count="2">
          <reference field="4294967294" count="1" selected="0">
            <x v="0"/>
          </reference>
          <reference field="1" count="1" selected="0">
            <x v="12"/>
          </reference>
        </references>
      </pivotArea>
    </chartFormat>
    <chartFormat chart="3" format="17">
      <pivotArea type="data" outline="0" fieldPosition="0">
        <references count="2">
          <reference field="4294967294" count="1" selected="0">
            <x v="0"/>
          </reference>
          <reference field="1" count="1" selected="0">
            <x v="14"/>
          </reference>
        </references>
      </pivotArea>
    </chartFormat>
    <chartFormat chart="3" format="18">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1" type="count" evalOrder="-1" id="27"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94B1668-B28F-43E7-AA2B-A6604B853DB8}" name="PVTable6" cacheId="1"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outline="1" outlineData="1" compactData="0" multipleFieldFilters="0" chartFormat="33">
  <location ref="A4:B5" firstHeaderRow="1" firstDataRow="1" firstDataCol="1" rowPageCount="2" colPageCount="1"/>
  <pivotFields count="53">
    <pivotField compact="0" showAll="0" defaultSubtotal="0"/>
    <pivotField axis="axisRow" compact="0" showAll="0" measureFilter="1" sortType="ascending" defaultSubtotal="0">
      <items count="16">
        <item m="1" x="8"/>
        <item m="1" x="7"/>
        <item m="1" x="4"/>
        <item m="1" x="12"/>
        <item m="1" x="10"/>
        <item m="1" x="6"/>
        <item m="1" x="11"/>
        <item m="1" x="1"/>
        <item m="1" x="3"/>
        <item m="1" x="15"/>
        <item m="1" x="14"/>
        <item m="1" x="2"/>
        <item m="1" x="5"/>
        <item m="1" x="9"/>
        <item m="1" x="13"/>
        <item x="0"/>
      </items>
      <autoSortScope>
        <pivotArea dataOnly="0" outline="0" fieldPosition="0">
          <references count="1">
            <reference field="4294967294" count="1" selected="0">
              <x v="0"/>
            </reference>
          </references>
        </pivotArea>
      </autoSortScope>
    </pivotField>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ubtotalTop="0" showAll="0" defaultSubtotal="0"/>
    <pivotField dataField="1" compact="0" numFmtId="2" showAll="0" defaultSubtotal="0"/>
    <pivotField axis="axisPage" compact="0" subtotalTop="0" showAll="0" defaultSubtotal="0">
      <items count="2">
        <item m="1" x="1"/>
        <item x="0"/>
      </items>
    </pivotField>
    <pivotField compact="0" subtotalTop="0" showAll="0" defaultSubtotal="0"/>
    <pivotField axis="axisPage" compact="0" subtotalTop="0" showAll="0" defaultSubtotal="0">
      <items count="2">
        <item m="1" x="1"/>
        <item x="0"/>
      </items>
    </pivotField>
  </pivotFields>
  <rowFields count="1">
    <field x="1"/>
  </rowFields>
  <rowItems count="1">
    <i>
      <x v="15"/>
    </i>
  </rowItems>
  <colItems count="1">
    <i/>
  </colItems>
  <pageFields count="2">
    <pageField fld="50" item="1" hier="-1"/>
    <pageField fld="52" item="1" hier="-1"/>
  </pageFields>
  <dataFields count="1">
    <dataField name="Average of Averate rating" fld="49" subtotal="average" baseField="0" baseItem="0" numFmtId="2"/>
  </dataFields>
  <formats count="2">
    <format dxfId="12">
      <pivotArea collapsedLevelsAreSubtotals="1" fieldPosition="0">
        <references count="1">
          <reference field="1" count="1">
            <x v="0"/>
          </reference>
        </references>
      </pivotArea>
    </format>
    <format dxfId="11">
      <pivotArea outline="0" fieldPosition="0">
        <references count="1">
          <reference field="4294967294" count="1">
            <x v="0"/>
          </reference>
        </references>
      </pivotArea>
    </format>
  </formats>
  <chartFormats count="19">
    <chartFormat chart="3" format="2" series="1">
      <pivotArea type="data" outline="0" fieldPosition="0">
        <references count="1">
          <reference field="4294967294" count="1" selected="0">
            <x v="0"/>
          </reference>
        </references>
      </pivotArea>
    </chartFormat>
    <chartFormat chart="25" format="4" series="1">
      <pivotArea type="data" outline="0" fieldPosition="0">
        <references count="1">
          <reference field="4294967294" count="1" selected="0">
            <x v="0"/>
          </reference>
        </references>
      </pivotArea>
    </chartFormat>
    <chartFormat chart="29" format="2" series="1">
      <pivotArea type="data" outline="0" fieldPosition="0">
        <references count="1">
          <reference field="4294967294" count="1" selected="0">
            <x v="0"/>
          </reference>
        </references>
      </pivotArea>
    </chartFormat>
    <chartFormat chart="29" format="3">
      <pivotArea type="data" outline="0" fieldPosition="0">
        <references count="2">
          <reference field="4294967294" count="1" selected="0">
            <x v="0"/>
          </reference>
          <reference field="1" count="1" selected="0">
            <x v="6"/>
          </reference>
        </references>
      </pivotArea>
    </chartFormat>
    <chartFormat chart="29" format="4">
      <pivotArea type="data" outline="0" fieldPosition="0">
        <references count="2">
          <reference field="4294967294" count="1" selected="0">
            <x v="0"/>
          </reference>
          <reference field="1" count="1" selected="0">
            <x v="5"/>
          </reference>
        </references>
      </pivotArea>
    </chartFormat>
    <chartFormat chart="29" format="5">
      <pivotArea type="data" outline="0" fieldPosition="0">
        <references count="2">
          <reference field="4294967294" count="1" selected="0">
            <x v="0"/>
          </reference>
          <reference field="1" count="1" selected="0">
            <x v="0"/>
          </reference>
        </references>
      </pivotArea>
    </chartFormat>
    <chartFormat chart="29" format="6">
      <pivotArea type="data" outline="0" fieldPosition="0">
        <references count="2">
          <reference field="4294967294" count="1" selected="0">
            <x v="0"/>
          </reference>
          <reference field="1" count="1" selected="0">
            <x v="4"/>
          </reference>
        </references>
      </pivotArea>
    </chartFormat>
    <chartFormat chart="29" format="7">
      <pivotArea type="data" outline="0" fieldPosition="0">
        <references count="2">
          <reference field="4294967294" count="1" selected="0">
            <x v="0"/>
          </reference>
          <reference field="1" count="1" selected="0">
            <x v="3"/>
          </reference>
        </references>
      </pivotArea>
    </chartFormat>
    <chartFormat chart="29" format="8">
      <pivotArea type="data" outline="0" fieldPosition="0">
        <references count="2">
          <reference field="4294967294" count="1" selected="0">
            <x v="0"/>
          </reference>
          <reference field="1" count="1" selected="0">
            <x v="2"/>
          </reference>
        </references>
      </pivotArea>
    </chartFormat>
    <chartFormat chart="29" format="9">
      <pivotArea type="data" outline="0" fieldPosition="0">
        <references count="2">
          <reference field="4294967294" count="1" selected="0">
            <x v="0"/>
          </reference>
          <reference field="1" count="1" selected="0">
            <x v="1"/>
          </reference>
        </references>
      </pivotArea>
    </chartFormat>
    <chartFormat chart="29" format="10">
      <pivotArea type="data" outline="0" fieldPosition="0">
        <references count="2">
          <reference field="4294967294" count="1" selected="0">
            <x v="0"/>
          </reference>
          <reference field="1" count="1" selected="0">
            <x v="7"/>
          </reference>
        </references>
      </pivotArea>
    </chartFormat>
    <chartFormat chart="29" format="11">
      <pivotArea type="data" outline="0" fieldPosition="0">
        <references count="2">
          <reference field="4294967294" count="1" selected="0">
            <x v="0"/>
          </reference>
          <reference field="1" count="1" selected="0">
            <x v="9"/>
          </reference>
        </references>
      </pivotArea>
    </chartFormat>
    <chartFormat chart="29" format="12">
      <pivotArea type="data" outline="0" fieldPosition="0">
        <references count="2">
          <reference field="4294967294" count="1" selected="0">
            <x v="0"/>
          </reference>
          <reference field="1" count="1" selected="0">
            <x v="8"/>
          </reference>
        </references>
      </pivotArea>
    </chartFormat>
    <chartFormat chart="29" format="13">
      <pivotArea type="data" outline="0" fieldPosition="0">
        <references count="2">
          <reference field="4294967294" count="1" selected="0">
            <x v="0"/>
          </reference>
          <reference field="1" count="1" selected="0">
            <x v="11"/>
          </reference>
        </references>
      </pivotArea>
    </chartFormat>
    <chartFormat chart="29" format="14">
      <pivotArea type="data" outline="0" fieldPosition="0">
        <references count="2">
          <reference field="4294967294" count="1" selected="0">
            <x v="0"/>
          </reference>
          <reference field="1" count="1" selected="0">
            <x v="10"/>
          </reference>
        </references>
      </pivotArea>
    </chartFormat>
    <chartFormat chart="29" format="15">
      <pivotArea type="data" outline="0" fieldPosition="0">
        <references count="2">
          <reference field="4294967294" count="1" selected="0">
            <x v="0"/>
          </reference>
          <reference field="1" count="1" selected="0">
            <x v="13"/>
          </reference>
        </references>
      </pivotArea>
    </chartFormat>
    <chartFormat chart="29" format="16">
      <pivotArea type="data" outline="0" fieldPosition="0">
        <references count="2">
          <reference field="4294967294" count="1" selected="0">
            <x v="0"/>
          </reference>
          <reference field="1" count="1" selected="0">
            <x v="12"/>
          </reference>
        </references>
      </pivotArea>
    </chartFormat>
    <chartFormat chart="29" format="17">
      <pivotArea type="data" outline="0" fieldPosition="0">
        <references count="2">
          <reference field="4294967294" count="1" selected="0">
            <x v="0"/>
          </reference>
          <reference field="1" count="1" selected="0">
            <x v="14"/>
          </reference>
        </references>
      </pivotArea>
    </chartFormat>
    <chartFormat chart="29" format="18">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1" type="count" evalOrder="-1" id="28"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E73F4D0-BC05-48C7-845A-2C7A756C2204}" name="PVTable2" cacheId="1"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outline="1" outlineData="1" compactData="0" multipleFieldFilters="0" chartFormat="50">
  <location ref="A3:B4" firstHeaderRow="1" firstDataRow="1" firstDataCol="1" rowPageCount="1" colPageCount="1"/>
  <pivotFields count="53">
    <pivotField compact="0" showAll="0" defaultSubtotal="0"/>
    <pivotField compact="0" showAll="0" sortType="ascending" defaultSubtotal="0">
      <autoSortScope>
        <pivotArea dataOnly="0" outline="0" fieldPosition="0">
          <references count="1">
            <reference field="4294967294" count="1" selected="0">
              <x v="0"/>
            </reference>
          </references>
        </pivotArea>
      </autoSortScope>
    </pivotField>
    <pivotField axis="axisRow" compact="0" showAll="0" measureFilter="1" sortType="ascending" defaultSubtotal="0">
      <items count="11">
        <item m="1" x="5"/>
        <item m="1" x="2"/>
        <item m="1" x="6"/>
        <item m="1" x="10"/>
        <item m="1" x="1"/>
        <item m="1" x="3"/>
        <item m="1" x="4"/>
        <item m="1" x="7"/>
        <item m="1" x="8"/>
        <item m="1" x="9"/>
        <item x="0"/>
      </items>
      <autoSortScope>
        <pivotArea dataOnly="0" outline="0" fieldPosition="0">
          <references count="1">
            <reference field="4294967294" count="1" selected="0">
              <x v="0"/>
            </reference>
          </references>
        </pivotArea>
      </autoSortScope>
    </pivotField>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ubtotalTop="0" showAll="0" defaultSubtotal="0"/>
    <pivotField dataField="1" compact="0" numFmtId="2" showAll="0" defaultSubtotal="0"/>
    <pivotField axis="axisPage" compact="0" subtotalTop="0" showAll="0" defaultSubtotal="0">
      <items count="2">
        <item m="1" x="1"/>
        <item x="0"/>
      </items>
    </pivotField>
    <pivotField compact="0" subtotalTop="0" showAll="0" defaultSubtotal="0"/>
    <pivotField compact="0" subtotalTop="0" showAll="0" defaultSubtotal="0"/>
  </pivotFields>
  <rowFields count="1">
    <field x="2"/>
  </rowFields>
  <rowItems count="1">
    <i>
      <x v="10"/>
    </i>
  </rowItems>
  <colItems count="1">
    <i/>
  </colItems>
  <pageFields count="1">
    <pageField fld="50" item="1" hier="-1"/>
  </pageFields>
  <dataFields count="1">
    <dataField name="Average of Averate rating" fld="49" subtotal="average" baseField="0" baseItem="0" numFmtId="2"/>
  </dataFields>
  <formats count="1">
    <format dxfId="10">
      <pivotArea outline="0" fieldPosition="0">
        <references count="1">
          <reference field="4294967294" count="1">
            <x v="0"/>
          </reference>
        </references>
      </pivotArea>
    </format>
  </formats>
  <chartFormats count="3">
    <chartFormat chart="3" format="2" series="1">
      <pivotArea type="data" outline="0" fieldPosition="0">
        <references count="1">
          <reference field="4294967294" count="1" selected="0">
            <x v="0"/>
          </reference>
        </references>
      </pivotArea>
    </chartFormat>
    <chartFormat chart="29" format="2" series="1">
      <pivotArea type="data" outline="0" fieldPosition="0">
        <references count="1">
          <reference field="4294967294" count="1" selected="0">
            <x v="0"/>
          </reference>
        </references>
      </pivotArea>
    </chartFormat>
    <chartFormat chart="29" format="18">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2" type="count" evalOrder="-1" id="3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9572B21-B566-4F30-A725-8C9DF0CAD84B}" name="PVTable3" cacheId="1"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outline="1" outlineData="1" compactData="0" multipleFieldFilters="0" chartFormat="46">
  <location ref="A4:B5" firstHeaderRow="1" firstDataRow="1" firstDataCol="1" rowPageCount="2" colPageCount="1"/>
  <pivotFields count="53">
    <pivotField compact="0" showAll="0" defaultSubtotal="0"/>
    <pivotField compact="0" showAll="0" sortType="ascending" defaultSubtotal="0">
      <autoSortScope>
        <pivotArea dataOnly="0" outline="0" fieldPosition="0">
          <references count="1">
            <reference field="4294967294" count="1" selected="0">
              <x v="0"/>
            </reference>
          </references>
        </pivotArea>
      </autoSortScope>
    </pivotField>
    <pivotField axis="axisRow" compact="0" showAll="0" measureFilter="1" sortType="ascending" defaultSubtotal="0">
      <items count="11">
        <item m="1" x="5"/>
        <item m="1" x="2"/>
        <item m="1" x="6"/>
        <item m="1" x="10"/>
        <item m="1" x="1"/>
        <item m="1" x="3"/>
        <item m="1" x="4"/>
        <item m="1" x="7"/>
        <item m="1" x="8"/>
        <item m="1" x="9"/>
        <item x="0"/>
      </items>
      <autoSortScope>
        <pivotArea dataOnly="0" outline="0" fieldPosition="0">
          <references count="1">
            <reference field="4294967294" count="1" selected="0">
              <x v="0"/>
            </reference>
          </references>
        </pivotArea>
      </autoSortScope>
    </pivotField>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howAll="0" defaultSubtotal="0"/>
    <pivotField compact="0" subtotalTop="0" showAll="0" defaultSubtotal="0"/>
    <pivotField dataField="1" compact="0" numFmtId="2" showAll="0" defaultSubtotal="0"/>
    <pivotField axis="axisPage" compact="0" subtotalTop="0" showAll="0" defaultSubtotal="0">
      <items count="2">
        <item m="1" x="1"/>
        <item x="0"/>
      </items>
    </pivotField>
    <pivotField compact="0" subtotalTop="0" showAll="0" defaultSubtotal="0"/>
    <pivotField axis="axisPage" compact="0" subtotalTop="0" showAll="0" defaultSubtotal="0">
      <items count="2">
        <item m="1" x="1"/>
        <item x="0"/>
      </items>
    </pivotField>
  </pivotFields>
  <rowFields count="1">
    <field x="2"/>
  </rowFields>
  <rowItems count="1">
    <i>
      <x v="10"/>
    </i>
  </rowItems>
  <colItems count="1">
    <i/>
  </colItems>
  <pageFields count="2">
    <pageField fld="50" item="1" hier="-1"/>
    <pageField fld="52" item="1" hier="-1"/>
  </pageFields>
  <dataFields count="1">
    <dataField name="Average of Averate rating" fld="49" subtotal="average" baseField="0" baseItem="0" numFmtId="2"/>
  </dataFields>
  <formats count="1">
    <format dxfId="9">
      <pivotArea outline="0" fieldPosition="0">
        <references count="1">
          <reference field="4294967294" count="1">
            <x v="0"/>
          </reference>
        </references>
      </pivotArea>
    </format>
  </formats>
  <chartFormats count="5">
    <chartFormat chart="3" format="2" series="1">
      <pivotArea type="data" outline="0" fieldPosition="0">
        <references count="1">
          <reference field="4294967294" count="1" selected="0">
            <x v="0"/>
          </reference>
        </references>
      </pivotArea>
    </chartFormat>
    <chartFormat chart="25" format="4" series="1">
      <pivotArea type="data" outline="0" fieldPosition="0">
        <references count="1">
          <reference field="4294967294" count="1" selected="0">
            <x v="0"/>
          </reference>
        </references>
      </pivotArea>
    </chartFormat>
    <chartFormat chart="29" format="2" series="1">
      <pivotArea type="data" outline="0" fieldPosition="0">
        <references count="1">
          <reference field="4294967294" count="1" selected="0">
            <x v="0"/>
          </reference>
        </references>
      </pivotArea>
    </chartFormat>
    <chartFormat chart="33" format="2" series="1">
      <pivotArea type="data" outline="0" fieldPosition="0">
        <references count="1">
          <reference field="4294967294" count="1" selected="0">
            <x v="0"/>
          </reference>
        </references>
      </pivotArea>
    </chartFormat>
    <chartFormat chart="33" format="18">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2" type="count" evalOrder="-1" id="30"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3FAFDA1-441B-42B1-A072-1720BED741BF}" name="PivotTable7" cacheId="1"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1">
  <location ref="A24:U25" firstHeaderRow="0" firstDataRow="1" firstDataCol="1" rowPageCount="1" colPageCount="1"/>
  <pivotFields count="53">
    <pivotField showAll="0" defaultSubtotal="0"/>
    <pivotField showAll="0" defaultSubtotal="0"/>
    <pivotField showAll="0" defaultSubtotal="0"/>
    <pivotField axis="axisRow" showAll="0" sortType="descending" defaultSubtotal="0">
      <items count="6">
        <item m="1" x="2"/>
        <item m="1" x="4"/>
        <item x="0"/>
        <item m="1" x="5"/>
        <item m="1" x="3"/>
        <item m="1" x="1"/>
      </items>
    </pivotField>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ubtotalTop="0" showAll="0" defaultSubtotal="0"/>
    <pivotField numFmtId="2" showAll="0" defaultSubtotal="0"/>
    <pivotField axis="axisPage" subtotalTop="0" showAll="0" defaultSubtotal="0">
      <items count="2">
        <item m="1" x="1"/>
        <item x="0"/>
      </items>
    </pivotField>
    <pivotField subtotalTop="0" showAll="0" defaultSubtotal="0"/>
    <pivotField subtotalTop="0" showAll="0" defaultSubtotal="0"/>
  </pivotFields>
  <rowFields count="1">
    <field x="3"/>
  </rowFields>
  <rowItems count="1">
    <i>
      <x v="2"/>
    </i>
  </rowItems>
  <colFields count="1">
    <field x="-2"/>
  </colFields>
  <colItems count="20">
    <i>
      <x/>
    </i>
    <i i="1">
      <x v="1"/>
    </i>
    <i i="2">
      <x v="2"/>
    </i>
    <i i="3">
      <x v="3"/>
    </i>
    <i i="4">
      <x v="4"/>
    </i>
    <i i="5">
      <x v="5"/>
    </i>
    <i i="6">
      <x v="6"/>
    </i>
    <i i="7">
      <x v="7"/>
    </i>
    <i i="8">
      <x v="8"/>
    </i>
    <i i="9">
      <x v="9"/>
    </i>
    <i i="10">
      <x v="10"/>
    </i>
    <i i="11">
      <x v="11"/>
    </i>
    <i i="12">
      <x v="12"/>
    </i>
    <i i="13">
      <x v="13"/>
    </i>
    <i i="14">
      <x v="14"/>
    </i>
    <i i="15">
      <x v="15"/>
    </i>
    <i i="16">
      <x v="16"/>
    </i>
    <i i="17">
      <x v="17"/>
    </i>
    <i i="18">
      <x v="18"/>
    </i>
    <i i="19">
      <x v="19"/>
    </i>
  </colItems>
  <pageFields count="1">
    <pageField fld="50" item="1" hier="-1"/>
  </pageFields>
  <dataFields count="20">
    <dataField name="Average of Competency1" fld="4" subtotal="average" baseField="0" baseItem="0" numFmtId="2"/>
    <dataField name="Average of Competency2" fld="5" subtotal="average" baseField="0" baseItem="0"/>
    <dataField name="Average of Competency3" fld="6" subtotal="average" baseField="0" baseItem="0" numFmtId="2"/>
    <dataField name="Average of Competency4" fld="7" subtotal="average" baseField="0" baseItem="0"/>
    <dataField name="Average of Competency5" fld="8" subtotal="average" baseField="0" baseItem="0"/>
    <dataField name="Average of Competency6" fld="9" subtotal="average" baseField="0" baseItem="0"/>
    <dataField name="Average of Competency7" fld="10" subtotal="average" baseField="0" baseItem="0"/>
    <dataField name="Average of Competency8" fld="11" subtotal="average" baseField="0" baseItem="0"/>
    <dataField name="Average of Competency9" fld="12" subtotal="average" baseField="0" baseItem="0"/>
    <dataField name="Average of Competency10" fld="13" subtotal="average" baseField="0" baseItem="0"/>
    <dataField name="Average of Competency11" fld="14" subtotal="average" baseField="0" baseItem="0"/>
    <dataField name="Average of Competency12" fld="15" subtotal="average" baseField="0" baseItem="0"/>
    <dataField name="Average of Competency13" fld="16" subtotal="average" baseField="0" baseItem="0"/>
    <dataField name="Average of Competency14" fld="17" subtotal="average" baseField="0" baseItem="0"/>
    <dataField name="Average of Competency15" fld="18" subtotal="average" baseField="0" baseItem="0"/>
    <dataField name="Average of Competency16" fld="19" subtotal="average" baseField="0" baseItem="0"/>
    <dataField name="Average of Competency17" fld="20" subtotal="average" baseField="0" baseItem="0"/>
    <dataField name="Average of Competency18" fld="21" subtotal="average" baseField="0" baseItem="0"/>
    <dataField name="Average of Competency19" fld="22" subtotal="average" baseField="0" baseItem="0"/>
    <dataField name="Average of Competency20" fld="23" subtotal="average" baseField="0" baseItem="0" numFmtId="2"/>
  </dataFields>
  <formats count="1">
    <format dxfId="8">
      <pivotArea collapsedLevelsAreSubtotals="1" fieldPosition="0">
        <references count="2">
          <reference field="4294967294" count="1" selected="0">
            <x v="1"/>
          </reference>
          <reference field="3" count="1">
            <x v="1"/>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041476E-85D7-4EC5-BC86-1FCD3AEB8F25}" name="PivotTable7" cacheId="1" dataOnRows="1"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2">
  <location ref="A24:B45" firstHeaderRow="1" firstDataRow="2" firstDataCol="1" rowPageCount="2" colPageCount="1"/>
  <pivotFields count="53">
    <pivotField showAll="0" defaultSubtotal="0"/>
    <pivotField showAll="0" defaultSubtotal="0"/>
    <pivotField showAll="0" defaultSubtotal="0"/>
    <pivotField axis="axisCol" showAll="0" sortType="ascending" defaultSubtotal="0">
      <items count="6">
        <item m="1" x="1"/>
        <item m="1" x="3"/>
        <item m="1" x="5"/>
        <item x="0"/>
        <item m="1" x="4"/>
        <item m="1" x="2"/>
      </items>
    </pivotField>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ubtotalTop="0" showAll="0" defaultSubtotal="0"/>
    <pivotField numFmtId="2" showAll="0" defaultSubtotal="0"/>
    <pivotField axis="axisPage" subtotalTop="0" showAll="0" defaultSubtotal="0">
      <items count="2">
        <item m="1" x="1"/>
        <item x="0"/>
      </items>
    </pivotField>
    <pivotField axis="axisPage" subtotalTop="0" showAll="0" defaultSubtotal="0">
      <items count="2">
        <item m="1" x="1"/>
        <item x="0"/>
      </items>
    </pivotField>
    <pivotField subtotalTop="0" showAll="0" defaultSubtotal="0"/>
  </pivotFields>
  <rowFields count="1">
    <field x="-2"/>
  </rowFields>
  <rowItems count="20">
    <i>
      <x/>
    </i>
    <i i="1">
      <x v="1"/>
    </i>
    <i i="2">
      <x v="2"/>
    </i>
    <i i="3">
      <x v="3"/>
    </i>
    <i i="4">
      <x v="4"/>
    </i>
    <i i="5">
      <x v="5"/>
    </i>
    <i i="6">
      <x v="6"/>
    </i>
    <i i="7">
      <x v="7"/>
    </i>
    <i i="8">
      <x v="8"/>
    </i>
    <i i="9">
      <x v="9"/>
    </i>
    <i i="10">
      <x v="10"/>
    </i>
    <i i="11">
      <x v="11"/>
    </i>
    <i i="12">
      <x v="12"/>
    </i>
    <i i="13">
      <x v="13"/>
    </i>
    <i i="14">
      <x v="14"/>
    </i>
    <i i="15">
      <x v="15"/>
    </i>
    <i i="16">
      <x v="16"/>
    </i>
    <i i="17">
      <x v="17"/>
    </i>
    <i i="18">
      <x v="18"/>
    </i>
    <i i="19">
      <x v="19"/>
    </i>
  </rowItems>
  <colFields count="1">
    <field x="3"/>
  </colFields>
  <colItems count="1">
    <i>
      <x v="3"/>
    </i>
  </colItems>
  <pageFields count="2">
    <pageField fld="50" item="1" hier="-1"/>
    <pageField fld="51" item="1" hier="-1"/>
  </pageFields>
  <dataFields count="20">
    <dataField name="Average of Competency1" fld="4" subtotal="average" baseField="0" baseItem="0" numFmtId="2"/>
    <dataField name="Average of Competency2" fld="5" subtotal="average" baseField="0" baseItem="0" numFmtId="2"/>
    <dataField name="Average of Competency3" fld="6" subtotal="average" baseField="0" baseItem="0" numFmtId="2"/>
    <dataField name="Average of Competency4" fld="7" subtotal="average" baseField="0" baseItem="0"/>
    <dataField name="Average of Competency5" fld="8" subtotal="average" baseField="0" baseItem="0"/>
    <dataField name="Average of Competency6" fld="9" subtotal="average" baseField="0" baseItem="0"/>
    <dataField name="Average of Competency7" fld="10" subtotal="average" baseField="0" baseItem="0"/>
    <dataField name="Average of Competency8" fld="11" subtotal="average" baseField="0" baseItem="0"/>
    <dataField name="Average of Competency9" fld="12" subtotal="average" baseField="0" baseItem="0"/>
    <dataField name="Average of Competency10" fld="13" subtotal="average" baseField="0" baseItem="0"/>
    <dataField name="Average of Competency11" fld="14" subtotal="average" baseField="0" baseItem="0"/>
    <dataField name="Average of Competency12" fld="15" subtotal="average" baseField="0" baseItem="0"/>
    <dataField name="Average of Competency13" fld="16" subtotal="average" baseField="0" baseItem="0"/>
    <dataField name="Average of Competency14" fld="17" subtotal="average" baseField="0" baseItem="0"/>
    <dataField name="Average of Competency15" fld="18" subtotal="average" baseField="0" baseItem="0"/>
    <dataField name="Average of Competency16" fld="19" subtotal="average" baseField="0" baseItem="0"/>
    <dataField name="Average of Competency17" fld="20" subtotal="average" baseField="0" baseItem="0"/>
    <dataField name="Average of Competency18" fld="21" subtotal="average" baseField="0" baseItem="0"/>
    <dataField name="Average of Competency19" fld="22" subtotal="average" baseField="0" baseItem="0"/>
    <dataField name="Average of Competency20" fld="23" subtotal="average" baseField="0" baseItem="0"/>
  </dataFields>
  <formats count="4">
    <format dxfId="7">
      <pivotArea collapsedLevelsAreSubtotals="1" fieldPosition="0">
        <references count="2">
          <reference field="4294967294" count="1" selected="0">
            <x v="1"/>
          </reference>
          <reference field="3" count="1">
            <x v="4"/>
          </reference>
        </references>
      </pivotArea>
    </format>
    <format dxfId="6">
      <pivotArea outline="0" collapsedLevelsAreSubtotals="1" fieldPosition="0">
        <references count="1">
          <reference field="4294967294" count="2" selected="0">
            <x v="0"/>
            <x v="1"/>
          </reference>
        </references>
      </pivotArea>
    </format>
    <format dxfId="5">
      <pivotArea dataOnly="0" labelOnly="1" outline="0" fieldPosition="0">
        <references count="1">
          <reference field="4294967294" count="2">
            <x v="0"/>
            <x v="1"/>
          </reference>
        </references>
      </pivotArea>
    </format>
    <format dxfId="4">
      <pivotArea outline="0" collapsedLevelsAreSubtotals="1" fieldPosition="0"/>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66B5902-FB08-485B-97F6-47E3E9E73123}" name="PivotTable7" cacheId="1" dataOnRows="1"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2">
  <location ref="A24:B45" firstHeaderRow="1" firstDataRow="2" firstDataCol="1" rowPageCount="2" colPageCount="1"/>
  <pivotFields count="53">
    <pivotField showAll="0" defaultSubtotal="0"/>
    <pivotField showAll="0" defaultSubtotal="0"/>
    <pivotField showAll="0" defaultSubtotal="0"/>
    <pivotField axis="axisCol" showAll="0" sortType="ascending" defaultSubtotal="0">
      <items count="6">
        <item m="1" x="1"/>
        <item m="1" x="3"/>
        <item m="1" x="5"/>
        <item x="0"/>
        <item m="1" x="4"/>
        <item m="1" x="2"/>
      </items>
    </pivotField>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ubtotalTop="0" showAll="0" defaultSubtotal="0"/>
    <pivotField numFmtId="2" showAll="0" defaultSubtotal="0"/>
    <pivotField axis="axisPage" subtotalTop="0" showAll="0" defaultSubtotal="0">
      <items count="2">
        <item m="1" x="1"/>
        <item x="0"/>
      </items>
    </pivotField>
    <pivotField subtotalTop="0" showAll="0" defaultSubtotal="0"/>
    <pivotField axis="axisPage" subtotalTop="0" showAll="0" defaultSubtotal="0">
      <items count="2">
        <item m="1" x="1"/>
        <item x="0"/>
      </items>
    </pivotField>
  </pivotFields>
  <rowFields count="1">
    <field x="-2"/>
  </rowFields>
  <rowItems count="20">
    <i>
      <x/>
    </i>
    <i i="1">
      <x v="1"/>
    </i>
    <i i="2">
      <x v="2"/>
    </i>
    <i i="3">
      <x v="3"/>
    </i>
    <i i="4">
      <x v="4"/>
    </i>
    <i i="5">
      <x v="5"/>
    </i>
    <i i="6">
      <x v="6"/>
    </i>
    <i i="7">
      <x v="7"/>
    </i>
    <i i="8">
      <x v="8"/>
    </i>
    <i i="9">
      <x v="9"/>
    </i>
    <i i="10">
      <x v="10"/>
    </i>
    <i i="11">
      <x v="11"/>
    </i>
    <i i="12">
      <x v="12"/>
    </i>
    <i i="13">
      <x v="13"/>
    </i>
    <i i="14">
      <x v="14"/>
    </i>
    <i i="15">
      <x v="15"/>
    </i>
    <i i="16">
      <x v="16"/>
    </i>
    <i i="17">
      <x v="17"/>
    </i>
    <i i="18">
      <x v="18"/>
    </i>
    <i i="19">
      <x v="19"/>
    </i>
  </rowItems>
  <colFields count="1">
    <field x="3"/>
  </colFields>
  <colItems count="1">
    <i>
      <x v="3"/>
    </i>
  </colItems>
  <pageFields count="2">
    <pageField fld="50" item="1" hier="-1"/>
    <pageField fld="52" item="1" hier="-1"/>
  </pageFields>
  <dataFields count="20">
    <dataField name="Average of Competency1" fld="4" subtotal="average" baseField="0" baseItem="0" numFmtId="2"/>
    <dataField name="Average of Competency2" fld="5" subtotal="average" baseField="0" baseItem="0" numFmtId="2"/>
    <dataField name="Average of Competency3" fld="6" subtotal="average" baseField="0" baseItem="0" numFmtId="2"/>
    <dataField name="Average of Competency4" fld="7" subtotal="average" baseField="0" baseItem="0"/>
    <dataField name="Average of Competency5" fld="8" subtotal="average" baseField="0" baseItem="0"/>
    <dataField name="Average of Competency6" fld="9" subtotal="average" baseField="0" baseItem="0"/>
    <dataField name="Average of Competency7" fld="10" subtotal="average" baseField="0" baseItem="0"/>
    <dataField name="Average of Competency8" fld="11" subtotal="average" baseField="0" baseItem="0"/>
    <dataField name="Average of Competency9" fld="12" subtotal="average" baseField="0" baseItem="0"/>
    <dataField name="Average of Competency10" fld="13" subtotal="average" baseField="0" baseItem="0"/>
    <dataField name="Average of Competency11" fld="14" subtotal="average" baseField="0" baseItem="0"/>
    <dataField name="Average of Competency12" fld="15" subtotal="average" baseField="0" baseItem="0"/>
    <dataField name="Average of Competency13" fld="16" subtotal="average" baseField="0" baseItem="0"/>
    <dataField name="Average of Competency14" fld="17" subtotal="average" baseField="0" baseItem="0"/>
    <dataField name="Average of Competency15" fld="18" subtotal="average" baseField="0" baseItem="0"/>
    <dataField name="Average of Competency16" fld="19" subtotal="average" baseField="0" baseItem="0"/>
    <dataField name="Average of Competency17" fld="20" subtotal="average" baseField="0" baseItem="0"/>
    <dataField name="Average of Competency18" fld="21" subtotal="average" baseField="0" baseItem="0"/>
    <dataField name="Average of Competency19" fld="22" subtotal="average" baseField="0" baseItem="0"/>
    <dataField name="Average of Competency20" fld="23" subtotal="average" baseField="0" baseItem="0"/>
  </dataFields>
  <formats count="4">
    <format dxfId="3">
      <pivotArea collapsedLevelsAreSubtotals="1" fieldPosition="0">
        <references count="2">
          <reference field="4294967294" count="1" selected="0">
            <x v="1"/>
          </reference>
          <reference field="3" count="1">
            <x v="4"/>
          </reference>
        </references>
      </pivotArea>
    </format>
    <format dxfId="2">
      <pivotArea outline="0" collapsedLevelsAreSubtotals="1" fieldPosition="0">
        <references count="1">
          <reference field="4294967294" count="2" selected="0">
            <x v="0"/>
            <x v="1"/>
          </reference>
        </references>
      </pivotArea>
    </format>
    <format dxfId="1">
      <pivotArea dataOnly="0" labelOnly="1" outline="0" fieldPosition="0">
        <references count="1">
          <reference field="4294967294" count="2">
            <x v="0"/>
            <x v="1"/>
          </reference>
        </references>
      </pivotArea>
    </format>
    <format dxfId="0">
      <pivotArea outline="0" collapsedLevelsAreSubtotals="1" fieldPosition="0"/>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8CE261-811F-482C-8CAA-3762CE3BB223}" name="TblDatabase" displayName="TblDatabase" ref="B2:BB3" headerRowDxfId="147" dataDxfId="146">
  <autoFilter ref="B2:BB3" xr:uid="{592D8527-5845-456C-9096-B08FB3E6BC2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autoFilter>
  <tableColumns count="53">
    <tableColumn id="1" xr3:uid="{0851C6FD-A81F-4B19-8F26-DDAFBBB6DA09}" name="ID" totalsRowLabel="Total" dataDxfId="145" totalsRowDxfId="144"/>
    <tableColumn id="2" xr3:uid="{E5FB8F1B-F357-4ACC-A58F-E5C303A1798B}" name="Name and Surname" dataDxfId="143" totalsRowDxfId="142">
      <calculatedColumnFormula>INDEX(TblEmployeeList[#All],MATCH(TblDatabase[[#This Row],[ID]],TblEmployeeList[[#All],[ID]],0),4)</calculatedColumnFormula>
    </tableColumn>
    <tableColumn id="5" xr3:uid="{F46C634F-D4F9-4C1B-9FFF-3C49286A7AC9}" name="Department" dataDxfId="141" totalsRowDxfId="140">
      <calculatedColumnFormula>INDEX(TblEmployeeList[#All],MATCH(TblDatabase[[#This Row],[ID]],TblEmployeeList[[#All],[ID]],0),7)</calculatedColumnFormula>
    </tableColumn>
    <tableColumn id="3" xr3:uid="{4BF74E62-8F22-4F41-8C53-5C20E44CDCAE}" name="Year" dataDxfId="139" totalsRowDxfId="138"/>
    <tableColumn id="4" xr3:uid="{30F3298F-FC94-4258-BD08-776C94352794}" name="Competency1" dataDxfId="137" totalsRowDxfId="136"/>
    <tableColumn id="10" xr3:uid="{09CAE1E5-D786-4FAF-B621-0D18043A9CD1}" name="Competency2" dataDxfId="135" totalsRowDxfId="134"/>
    <tableColumn id="11" xr3:uid="{A1A222B1-0863-460A-8AFA-9123A52AAFE5}" name="Competency3" dataDxfId="133" totalsRowDxfId="132"/>
    <tableColumn id="12" xr3:uid="{0E56D444-54F4-4B99-9E2D-3B957D104280}" name="Competency4" dataDxfId="131" totalsRowDxfId="130"/>
    <tableColumn id="13" xr3:uid="{D80669C5-4163-450C-9763-E859DA4C1035}" name="Competency5" dataDxfId="129" totalsRowDxfId="128"/>
    <tableColumn id="15" xr3:uid="{772D305C-E19F-4489-BA25-0833C4E4FC5D}" name="Competency6" dataDxfId="127" totalsRowDxfId="126"/>
    <tableColumn id="16" xr3:uid="{3E0B2A62-0798-405F-921F-3BE663AB5749}" name="Competency7" dataDxfId="125" totalsRowDxfId="124"/>
    <tableColumn id="17" xr3:uid="{0A279DF9-42AC-4C62-AF99-137FF06E2139}" name="Competency8" totalsRowDxfId="123"/>
    <tableColumn id="18" xr3:uid="{C6F5189F-EFD3-42CF-A173-4F22DC5F7F72}" name="Competency9" totalsRowDxfId="122"/>
    <tableColumn id="19" xr3:uid="{089D6413-D7CC-492A-B3A9-75EA52935DC9}" name="Competency10" totalsRowDxfId="121"/>
    <tableColumn id="20" xr3:uid="{89A18212-B3EF-4381-8F55-B1C10EC13642}" name="Competency11" totalsRowDxfId="120"/>
    <tableColumn id="21" xr3:uid="{94C7DCAC-36A1-4785-9FB7-9441AEE5E809}" name="Competency12" totalsRowDxfId="119"/>
    <tableColumn id="22" xr3:uid="{948B678B-F21E-40BB-9EB4-1ADC3558FE4E}" name="Competency13" totalsRowDxfId="118"/>
    <tableColumn id="23" xr3:uid="{8B9B7417-7183-4EB6-9737-CD7BFB10961E}" name="Competency14" totalsRowDxfId="117"/>
    <tableColumn id="24" xr3:uid="{C4D6EC93-7405-4385-86E6-CE00CF308864}" name="Competency15" totalsRowDxfId="116"/>
    <tableColumn id="25" xr3:uid="{0A900DA7-D1A5-4D7B-9AF8-A28C382B2F24}" name="Competency16" totalsRowDxfId="115"/>
    <tableColumn id="26" xr3:uid="{0D4A4798-89F7-401D-BDAF-05E0FC54D407}" name="Competency17" totalsRowDxfId="114"/>
    <tableColumn id="27" xr3:uid="{0E388172-8B0F-4F30-A3F8-3708B1C177B0}" name="Competency18" totalsRowDxfId="113"/>
    <tableColumn id="28" xr3:uid="{4A433232-2E35-4096-A055-54C80BD98C92}" name="Competency19" totalsRowDxfId="112"/>
    <tableColumn id="29" xr3:uid="{202F993F-8386-4864-BCE8-C96D41F73453}" name="Competency20" totalsRowDxfId="111"/>
    <tableColumn id="30" xr3:uid="{F1CBB068-5B10-4434-8031-19216B171B3F}" name="Comment1" dataDxfId="110" totalsRowDxfId="109"/>
    <tableColumn id="31" xr3:uid="{3C12D961-599B-48FE-B551-BB0F055CBEB5}" name="Comment2" dataDxfId="108" totalsRowDxfId="107"/>
    <tableColumn id="32" xr3:uid="{4C9FD9CD-8928-40ED-B04A-A8D01A714343}" name="Comment3" dataDxfId="106" totalsRowDxfId="105"/>
    <tableColumn id="33" xr3:uid="{A2E5F550-AFD2-4E05-BCE6-718FFF3F9E04}" name="Comment4" dataDxfId="104" totalsRowDxfId="103"/>
    <tableColumn id="34" xr3:uid="{44EC438F-2094-4D06-9550-B149B6D4DC67}" name="Comment5" dataDxfId="102" totalsRowDxfId="101"/>
    <tableColumn id="35" xr3:uid="{10B2B754-DC63-447A-93E5-021E95A1988A}" name="Comment6" dataDxfId="100" totalsRowDxfId="99"/>
    <tableColumn id="36" xr3:uid="{DF3AE95A-3D3D-4E48-9393-C9F1C9595C1D}" name="Comment7" dataDxfId="98" totalsRowDxfId="97"/>
    <tableColumn id="37" xr3:uid="{4CDAC17B-392D-4785-9C7B-BA0F7D6A31C6}" name="Comment8" totalsRowDxfId="96"/>
    <tableColumn id="38" xr3:uid="{86044D1A-9E92-4905-B09A-294AC3BCCB99}" name="Comment9" totalsRowDxfId="95"/>
    <tableColumn id="39" xr3:uid="{3CBF7C05-512B-41D4-ADAE-E07382CD50C2}" name="Comment10" totalsRowDxfId="94"/>
    <tableColumn id="40" xr3:uid="{3AF5F117-078A-4CCC-8E43-34EE1E897099}" name="Comment11" totalsRowDxfId="93"/>
    <tableColumn id="41" xr3:uid="{ABBB6A2E-AE5A-4DFC-BD1E-75CF149B4AE8}" name="Comment12" totalsRowDxfId="92"/>
    <tableColumn id="42" xr3:uid="{22BA14BD-D6C6-4496-8829-9D70EFCB69F7}" name="Comment13" totalsRowDxfId="91"/>
    <tableColumn id="43" xr3:uid="{DC4D0133-2AF6-4AC5-A901-A6CFE88150DB}" name="Comment14" totalsRowDxfId="90"/>
    <tableColumn id="44" xr3:uid="{0E19AE87-3697-4FA2-9277-2064DEF63BF0}" name="Comment15" totalsRowDxfId="89"/>
    <tableColumn id="45" xr3:uid="{50C23475-3134-420F-AE50-B3532C3D0443}" name="Comment16" totalsRowDxfId="88"/>
    <tableColumn id="46" xr3:uid="{4DE4C78F-10C4-44A0-A9D4-8F4FE22B8246}" name="Comment17" totalsRowDxfId="87"/>
    <tableColumn id="47" xr3:uid="{FB5F4AD7-1F54-467A-A079-E6171AD267F5}" name="Comment18" totalsRowDxfId="86"/>
    <tableColumn id="48" xr3:uid="{428AE441-7BAF-45C1-AA43-61890D2406AE}" name="Comment19" totalsRowDxfId="85"/>
    <tableColumn id="49" xr3:uid="{253F76E6-3D95-447A-AFAD-D47E3BE52DD4}" name="Comment20" totalsRowDxfId="84"/>
    <tableColumn id="50" xr3:uid="{A772A38A-6EE5-4E2B-85B6-2824B131F600}" name="Feedback Does Well" dataDxfId="83" totalsRowDxfId="82"/>
    <tableColumn id="14" xr3:uid="{67BB9D00-384C-4F9C-96E0-3675A98170A0}" name="Feedback To Improve" dataDxfId="81" totalsRowDxfId="80"/>
    <tableColumn id="7" xr3:uid="{38649E43-E1DC-4078-A9CD-5625EDF702FB}" name="Feedback Warnings" dataDxfId="79" totalsRowDxfId="78"/>
    <tableColumn id="9" xr3:uid="{AD1DA3FB-0BA1-477F-8FBA-EF8A2E5E6F54}" name="Row No" totalsRowFunction="sum" dataDxfId="77" totalsRowDxfId="76">
      <calculatedColumnFormula>ROW()-2</calculatedColumnFormula>
    </tableColumn>
    <tableColumn id="8" xr3:uid="{22CC10D0-A322-4A0A-ACB6-E4DFE370F919}" name="Company average" dataDxfId="75" totalsRowDxfId="74">
      <calculatedColumnFormula>IF(TblDatabase[[#This Row],[Valid?]],AVERAGEIFS(TblDatabase[Averate rating],TblDatabase[Year],"="&amp;TblDatabase[[#This Row],[Year]]),"")</calculatedColumnFormula>
    </tableColumn>
    <tableColumn id="6" xr3:uid="{E57672DF-54B2-48DC-83E6-D09DC87CC94A}" name="Averate rating" dataDxfId="73" totalsRowDxfId="72">
      <calculatedColumnFormula>IF(COUNTIF(TblDatabase[[#This Row],[Competency1]:[Competency20]],"&gt;0")=NumberOfCompetencies,SUM(TblDatabase[[#This Row],[Competency1]:[Competency20]])/NumberOfCompetencies,0)</calculatedColumnFormula>
    </tableColumn>
    <tableColumn id="51" xr3:uid="{7C7A948E-92D7-4B43-820D-F0AE7EE9253D}" name="Valid?" dataDxfId="71" totalsRowDxfId="70">
      <calculatedColumnFormula>TblDatabase[[#This Row],[Averate rating]]&gt;0</calculatedColumnFormula>
    </tableColumn>
    <tableColumn id="52" xr3:uid="{D29EDD83-8E49-4AAA-B326-92334626399F}" name="Last 3 years?" dataDxfId="69" totalsRowDxfId="68">
      <calculatedColumnFormula>TblDatabase[[#This Row],[Year]]&gt;MAX(TblDatabase[Year])-3</calculatedColumnFormula>
    </tableColumn>
    <tableColumn id="53" xr3:uid="{2CD11DBE-1F29-472C-A8AF-27FE36A61D60}" name="Last year?" dataDxfId="67" totalsRowDxfId="66">
      <calculatedColumnFormula>TblDatabase[[#This Row],[Year]]=MAX(TblDatabase[Year])</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FF8627A-D5D3-4C18-9684-36DD6384D9CA}" name="TblCompetencies" displayName="TblCompetencies" ref="K14:L33" headerRowCount="0" headerRowDxfId="64" dataDxfId="63" totalsRowDxfId="62" headerRowCellStyle="Normal" dataCellStyle="Normal">
  <tableColumns count="2">
    <tableColumn id="1" xr3:uid="{8F186AFD-4482-4522-91FE-8E35122D4FD4}" name="Type" totalsRowLabel="Total" headerRowDxfId="61" dataDxfId="60" dataCellStyle="Normal"/>
    <tableColumn id="5" xr3:uid="{9516EFE0-04EE-48EA-B65F-35C1A908F079}" name="ID" headerRowDxfId="59" dataDxfId="58" totalsRowDxfId="57">
      <calculatedColumnFormula>TblCompetencies[[#This Row],[Type]]</calculatedColumnFormula>
    </tableColumn>
  </tableColumns>
  <tableStyleInfo name="YourSpreadsheetsTableStyle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D489F13-169A-4AEB-8E7E-1893905DF5E2}" name="TblShowNamesAs" displayName="TblShowNamesAs" ref="U2:U5" totalsRowShown="0" headerRowDxfId="56" dataDxfId="55" headerRowCellStyle="Normal" dataCellStyle="Normal">
  <autoFilter ref="U2:U5" xr:uid="{380883E0-4C70-43CE-BD1A-C05A89363F77}">
    <filterColumn colId="0" hiddenButton="1"/>
  </autoFilter>
  <tableColumns count="1">
    <tableColumn id="1" xr3:uid="{6130537B-1603-4BE6-9036-D04A3A9D73AE}" name="Show names as" dataDxfId="54" dataCellStyle="Normal"/>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F4F1FF6-E8FE-436B-B1BA-E45DA41A787F}" name="TblSortBy" displayName="TblSortBy" ref="V2:V8" totalsRowShown="0" headerRowDxfId="53" dataDxfId="52" headerRowCellStyle="Normal" dataCellStyle="Normal">
  <autoFilter ref="V2:V8" xr:uid="{0DBEF7A8-6C23-4C77-A471-B2D063FD4982}">
    <filterColumn colId="0" hiddenButton="1"/>
  </autoFilter>
  <tableColumns count="1">
    <tableColumn id="1" xr3:uid="{7099EBE8-461E-4E82-BEBA-2D1DBF8B2900}" name="Sort names by" dataDxfId="51" dataCellStyle="Normal"/>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A00627C-0525-4B1B-A52C-432FB367C269}" name="TblPeople" displayName="TblPeople" ref="W2:W7" totalsRowShown="0" headerRowDxfId="50" dataDxfId="49" headerRowCellStyle="Normal" dataCellStyle="Normal">
  <autoFilter ref="W2:W7" xr:uid="{98E3573E-65D8-45FE-9A4C-C7AAE8426DBD}">
    <filterColumn colId="0" hiddenButton="1"/>
  </autoFilter>
  <tableColumns count="1">
    <tableColumn id="1" xr3:uid="{1B782B43-720F-48B5-93D0-E505B85C3DB6}" name="People" dataDxfId="48" dataCellStyle="Normal"/>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F3B56AD-ADEC-40F5-9F54-C718E73F2999}" name="TblGroup" displayName="TblGroup" ref="X2:X5" totalsRowShown="0" headerRowDxfId="47" dataDxfId="46" headerRowCellStyle="Normal" dataCellStyle="Normal">
  <autoFilter ref="X2:X5" xr:uid="{0E612648-E31F-405A-9A02-E67A4191147D}">
    <filterColumn colId="0" hiddenButton="1"/>
  </autoFilter>
  <tableColumns count="1">
    <tableColumn id="1" xr3:uid="{60187A7E-9DCF-485D-BFB2-1B97A44980A1}" name="Group" dataDxfId="45" dataCellStyle="Normal"/>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F450230-79AD-482B-81ED-2C2F9D205B21}" name="TblEmployeeList" displayName="TblEmployeeList" ref="C6:I8" headerRowCount="0" totalsRowShown="0" headerRowDxfId="44" dataDxfId="43" tableBorderDxfId="42" headerRowCellStyle="Normal" dataCellStyle="Normal">
  <sortState xmlns:xlrd2="http://schemas.microsoft.com/office/spreadsheetml/2017/richdata2" ref="C6:I8">
    <sortCondition ref="D6"/>
    <sortCondition ref="C6"/>
    <sortCondition ref="I6"/>
    <sortCondition ref="H6"/>
  </sortState>
  <tableColumns count="7">
    <tableColumn id="1" xr3:uid="{85554603-8A20-4BC4-A1B6-C317F6E82F5C}" name="Name" headerRowDxfId="41" dataDxfId="40" dataCellStyle="Normal"/>
    <tableColumn id="4" xr3:uid="{E9936B6E-0B8E-4647-BB54-752D78B54F12}" name="Surname" headerRowDxfId="39" dataDxfId="38" dataCellStyle="Normal"/>
    <tableColumn id="2" xr3:uid="{5B30BFC8-7F17-4A21-9924-3F0C732C1D51}" name="ID" headerRowDxfId="37" dataDxfId="36" dataCellStyle="Normal 2"/>
    <tableColumn id="16" xr3:uid="{8091A9F8-8160-48B9-AB12-D2DBC659DB9B}" name="Name and Surname" headerRowDxfId="35" dataDxfId="34" dataCellStyle="Normal">
      <calculatedColumnFormula>CHOOSE(MATCH($M$9,$U$3:$U$5,0),TblEmployeeList[[#This Row],[Name]]&amp;" "&amp;TblEmployeeList[[#This Row],[Surname]],TblEmployeeList[[#This Row],[Surname]]&amp;" "&amp;TblEmployeeList[[#This Row],[Name]],TblEmployeeList[[#This Row],[Surname]]&amp;", "&amp;TblEmployeeList[[#This Row],[Name]])</calculatedColumnFormula>
    </tableColumn>
    <tableColumn id="3" xr3:uid="{A0D1D949-D6C9-46CC-AF78-C5AC74D39FB6}" name="Count if visible" headerRowDxfId="33" dataDxfId="32">
      <calculatedColumnFormula>IF(OR(GroupSelection=$AA$5,GroupSelection=TblEmployeeList[[#This Row],[Department]]),G5+1,G5)</calculatedColumnFormula>
    </tableColumn>
    <tableColumn id="5" xr3:uid="{C25470C1-9D58-461F-928D-AB0C0D7D7622}" name="Column1" headerRowDxfId="31" dataDxfId="30"/>
    <tableColumn id="7" xr3:uid="{26D44228-B5F1-4AC9-9F57-DC38CC9055FC}" name="Department" headerRowDxfId="29" dataDxfId="28" dataCellStyle="Normal"/>
  </tableColumns>
  <tableStyleInfo name="YourSpreadsheetsTableStyle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2B48F99-C9F8-46C0-B0D8-BE21EFE46AA1}" name="TblScoring" displayName="TblScoring" ref="Y2:Y5" totalsRowShown="0" headerRowDxfId="27" dataDxfId="26" headerRowCellStyle="Normal" dataCellStyle="Normal">
  <autoFilter ref="Y2:Y5" xr:uid="{9DA16AB5-312C-43FE-98AB-6E4F320EA973}">
    <filterColumn colId="0" hiddenButton="1"/>
  </autoFilter>
  <tableColumns count="1">
    <tableColumn id="1" xr3:uid="{8C0E9C3B-AA77-496F-B3D9-53158E828138}" name="Scoring" dataDxfId="25" dataCellStyle="Normal"/>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185CA-EA34-4C0B-B43B-3424D5E13CB4}" name="TblYesNo" displayName="TblYesNo" ref="Z2:Z4" totalsRowShown="0" headerRowDxfId="24" dataDxfId="23">
  <autoFilter ref="Z2:Z4" xr:uid="{70FCD23B-EE56-40D5-921E-F71CDE3AE227}">
    <filterColumn colId="0" hiddenButton="1"/>
  </autoFilter>
  <tableColumns count="1">
    <tableColumn id="1" xr3:uid="{206F6ADA-4449-4C94-86C0-41A468AFF202}" name="YesNo" dataDxfId="2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62A5AA2-46E1-423D-B1CC-48B3CC7AAEB1}" name="TblFormatting" displayName="TblFormatting" ref="T2:T4" totalsRowShown="0" headerRowDxfId="21" dataDxfId="20">
  <autoFilter ref="T2:T4" xr:uid="{262BAF27-CE2E-49CC-882C-6DA686BB749A}">
    <filterColumn colId="0" hiddenButton="1"/>
  </autoFilter>
  <tableColumns count="1">
    <tableColumn id="1" xr3:uid="{98F32DA1-DEA4-4C39-B9FA-FA7E15412D75}" name="Formatting" dataDxfId="19"/>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yourspreadsheets.co.uk/"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yourspreadsheets.co.uk/"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www.yourspreadsheets.co.uk/" TargetMode="Externa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info@yourspreadsheets.co.uk" TargetMode="External"/><Relationship Id="rId1" Type="http://schemas.openxmlformats.org/officeDocument/2006/relationships/hyperlink" Target="http://www.yourspreadsheets.co.uk/" TargetMode="External"/><Relationship Id="rId4"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D871B-E8AE-4374-8940-F4AFCA74370B}">
  <sheetPr codeName="Sheet3">
    <pageSetUpPr fitToPage="1"/>
  </sheetPr>
  <dimension ref="B1:BT37"/>
  <sheetViews>
    <sheetView showGridLines="0" showRowColHeaders="0" zoomScaleNormal="100" workbookViewId="0">
      <selection activeCell="H2" sqref="H2:Q3"/>
    </sheetView>
  </sheetViews>
  <sheetFormatPr defaultColWidth="4" defaultRowHeight="18" customHeight="1"/>
  <cols>
    <col min="1" max="1" width="4.28515625" style="170" customWidth="1"/>
    <col min="2" max="11" width="4" style="170"/>
    <col min="12" max="12" width="4" style="170" customWidth="1"/>
    <col min="13" max="17" width="4" style="170"/>
    <col min="18" max="18" width="1.140625" style="170" customWidth="1"/>
    <col min="19" max="24" width="4" style="170"/>
    <col min="25" max="25" width="1.140625" style="170" customWidth="1"/>
    <col min="26" max="26" width="4" style="170" customWidth="1"/>
    <col min="27" max="28" width="4" style="170"/>
    <col min="29" max="29" width="1.140625" style="170" customWidth="1"/>
    <col min="30" max="38" width="4" style="170"/>
    <col min="39" max="39" width="1.140625" style="170" customWidth="1"/>
    <col min="40" max="49" width="4" style="170"/>
    <col min="50" max="50" width="1.140625" style="170" customWidth="1"/>
    <col min="51" max="60" width="4" style="170"/>
    <col min="61" max="61" width="1.140625" style="170" customWidth="1"/>
    <col min="62" max="71" width="4" style="170"/>
    <col min="72" max="72" width="4.28515625" style="170" customWidth="1"/>
    <col min="73" max="73" width="4" style="170"/>
    <col min="74" max="74" width="8.42578125" style="170" bestFit="1" customWidth="1"/>
    <col min="75" max="16384" width="4" style="170"/>
  </cols>
  <sheetData>
    <row r="1" spans="2:72" ht="9.9499999999999993" customHeight="1"/>
    <row r="2" spans="2:72" ht="18" customHeight="1">
      <c r="H2" s="239" t="str">
        <f>Settings!$M$3</f>
        <v>Accenture</v>
      </c>
      <c r="I2" s="240"/>
      <c r="J2" s="240"/>
      <c r="K2" s="240"/>
      <c r="L2" s="240"/>
      <c r="M2" s="240"/>
      <c r="N2" s="240"/>
      <c r="O2" s="240"/>
      <c r="P2" s="240"/>
      <c r="Q2" s="241"/>
      <c r="S2" s="265" t="str">
        <f>Settings!$M$6&amp;"s per "&amp;LOWER(Settings!$M$7)&amp;":"</f>
        <v>Employees per department:</v>
      </c>
      <c r="T2" s="266"/>
      <c r="U2" s="266"/>
      <c r="V2" s="266"/>
      <c r="W2" s="266"/>
      <c r="X2" s="266"/>
      <c r="Y2" s="266"/>
      <c r="Z2" s="266"/>
      <c r="AA2" s="266"/>
      <c r="AB2" s="268"/>
      <c r="AD2" s="265" t="s">
        <v>8</v>
      </c>
      <c r="AE2" s="266"/>
      <c r="AF2" s="266"/>
      <c r="AG2" s="266"/>
      <c r="AH2" s="266"/>
      <c r="AI2" s="266"/>
      <c r="AJ2" s="266"/>
      <c r="AK2" s="266"/>
      <c r="AL2" s="268"/>
      <c r="AN2" s="265" t="str">
        <f>"3-year average per "&amp;LOWER(Settings!$M$7)&amp;":"</f>
        <v>3-year average per department:</v>
      </c>
      <c r="AO2" s="266"/>
      <c r="AP2" s="266"/>
      <c r="AQ2" s="266"/>
      <c r="AR2" s="266"/>
      <c r="AS2" s="266"/>
      <c r="AT2" s="266"/>
      <c r="AU2" s="266"/>
      <c r="AV2" s="266"/>
      <c r="AW2" s="268"/>
      <c r="AY2" s="236" t="str">
        <f>"Top 10 "&amp;LOWER(Settings!$M$6)&amp;"s in "&amp;MAX(TblDatabase[Year])&amp;":"</f>
        <v>Top 10 employees in 2018:</v>
      </c>
      <c r="AZ2" s="237"/>
      <c r="BA2" s="237"/>
      <c r="BB2" s="237"/>
      <c r="BC2" s="237"/>
      <c r="BD2" s="237"/>
      <c r="BE2" s="237"/>
      <c r="BF2" s="237"/>
      <c r="BG2" s="237"/>
      <c r="BH2" s="238"/>
      <c r="BJ2" s="236" t="str">
        <f>"Top 10 "&amp;LOWER(Settings!$M$6)&amp;"s of all times:"</f>
        <v>Top 10 employees of all times:</v>
      </c>
      <c r="BK2" s="237"/>
      <c r="BL2" s="237"/>
      <c r="BM2" s="237"/>
      <c r="BN2" s="237"/>
      <c r="BO2" s="237"/>
      <c r="BP2" s="237"/>
      <c r="BQ2" s="237"/>
      <c r="BR2" s="237"/>
      <c r="BS2" s="238"/>
      <c r="BT2" s="232">
        <v>0</v>
      </c>
    </row>
    <row r="3" spans="2:72" ht="18" customHeight="1">
      <c r="H3" s="242"/>
      <c r="I3" s="243"/>
      <c r="J3" s="243"/>
      <c r="K3" s="243"/>
      <c r="L3" s="243"/>
      <c r="M3" s="243"/>
      <c r="N3" s="243"/>
      <c r="O3" s="243"/>
      <c r="P3" s="243"/>
      <c r="Q3" s="244"/>
      <c r="S3" s="214"/>
      <c r="T3" s="215"/>
      <c r="U3" s="215"/>
      <c r="V3" s="215"/>
      <c r="W3" s="215"/>
      <c r="X3" s="215"/>
      <c r="Y3" s="215"/>
      <c r="Z3" s="215"/>
      <c r="AA3" s="215"/>
      <c r="AB3" s="216"/>
      <c r="AD3" s="217"/>
      <c r="AE3" s="218"/>
      <c r="AF3" s="218"/>
      <c r="AG3" s="218"/>
      <c r="AH3" s="218"/>
      <c r="AI3" s="218"/>
      <c r="AJ3" s="218"/>
      <c r="AK3" s="218"/>
      <c r="AL3" s="219"/>
      <c r="AN3" s="214"/>
      <c r="AO3" s="215"/>
      <c r="AP3" s="215"/>
      <c r="AQ3" s="215"/>
      <c r="AR3" s="215"/>
      <c r="AS3" s="215"/>
      <c r="AT3" s="215"/>
      <c r="AU3" s="215"/>
      <c r="AV3" s="215"/>
      <c r="AW3" s="216"/>
      <c r="AY3" s="217"/>
      <c r="AZ3" s="218"/>
      <c r="BA3" s="218"/>
      <c r="BB3" s="218"/>
      <c r="BC3" s="218"/>
      <c r="BD3" s="218"/>
      <c r="BE3" s="218"/>
      <c r="BF3" s="218"/>
      <c r="BG3" s="218"/>
      <c r="BH3" s="219"/>
      <c r="BJ3" s="217"/>
      <c r="BK3" s="218"/>
      <c r="BL3" s="218"/>
      <c r="BM3" s="218"/>
      <c r="BN3" s="218"/>
      <c r="BO3" s="218"/>
      <c r="BP3" s="218"/>
      <c r="BQ3" s="218"/>
      <c r="BR3" s="218"/>
      <c r="BS3" s="219"/>
    </row>
    <row r="4" spans="2:72" ht="6.95" customHeight="1">
      <c r="S4" s="214"/>
      <c r="T4" s="215"/>
      <c r="U4" s="215"/>
      <c r="V4" s="215"/>
      <c r="W4" s="215"/>
      <c r="X4" s="215"/>
      <c r="Y4" s="215"/>
      <c r="Z4" s="215"/>
      <c r="AA4" s="215"/>
      <c r="AB4" s="216"/>
      <c r="AD4" s="173"/>
      <c r="AE4" s="220"/>
      <c r="AF4" s="220"/>
      <c r="AG4" s="220"/>
      <c r="AH4" s="220"/>
      <c r="AI4" s="220"/>
      <c r="AJ4" s="220"/>
      <c r="AK4" s="220"/>
      <c r="AL4" s="174"/>
      <c r="AN4" s="173"/>
      <c r="AO4" s="220"/>
      <c r="AP4" s="220"/>
      <c r="AQ4" s="220"/>
      <c r="AR4" s="220"/>
      <c r="AS4" s="220"/>
      <c r="AT4" s="220"/>
      <c r="AU4" s="220"/>
      <c r="AV4" s="220"/>
      <c r="AW4" s="174"/>
      <c r="AY4" s="173"/>
      <c r="AZ4" s="220"/>
      <c r="BA4" s="220"/>
      <c r="BB4" s="220"/>
      <c r="BC4" s="220"/>
      <c r="BD4" s="220"/>
      <c r="BE4" s="220"/>
      <c r="BF4" s="220"/>
      <c r="BG4" s="220"/>
      <c r="BH4" s="174"/>
      <c r="BJ4" s="173"/>
      <c r="BK4" s="220"/>
      <c r="BL4" s="220"/>
      <c r="BM4" s="220"/>
      <c r="BN4" s="220"/>
      <c r="BO4" s="220"/>
      <c r="BP4" s="220"/>
      <c r="BQ4" s="220"/>
      <c r="BR4" s="220"/>
      <c r="BS4" s="174"/>
    </row>
    <row r="5" spans="2:72" ht="18" customHeight="1">
      <c r="H5" s="255" t="str">
        <f>IF(OR(Settings!$M$6=Settings!$W$6,Settings!$M$6=Settings!$W$7),"Organization's","Company's")&amp;" average rating:"</f>
        <v>Company's average rating:</v>
      </c>
      <c r="I5" s="256"/>
      <c r="J5" s="256"/>
      <c r="K5" s="256"/>
      <c r="L5" s="256"/>
      <c r="M5" s="256"/>
      <c r="N5" s="257"/>
      <c r="O5" s="258">
        <f>IFERROR(AVERAGEIF(TblDatabase[Averate rating],"&gt;0"),"N/A")</f>
        <v>7.625</v>
      </c>
      <c r="P5" s="258"/>
      <c r="Q5" s="259"/>
      <c r="S5" s="214"/>
      <c r="T5" s="215"/>
      <c r="U5" s="215"/>
      <c r="V5" s="215"/>
      <c r="W5" s="215"/>
      <c r="X5" s="215"/>
      <c r="Y5" s="215"/>
      <c r="Z5" s="215"/>
      <c r="AA5" s="215"/>
      <c r="AB5" s="216"/>
      <c r="AD5" s="173"/>
      <c r="AE5" s="220"/>
      <c r="AF5" s="220"/>
      <c r="AG5" s="220"/>
      <c r="AH5" s="220"/>
      <c r="AI5" s="220"/>
      <c r="AJ5" s="220"/>
      <c r="AK5" s="220"/>
      <c r="AL5" s="174"/>
      <c r="AN5" s="173"/>
      <c r="AO5" s="220"/>
      <c r="AP5" s="220"/>
      <c r="AQ5" s="220"/>
      <c r="AR5" s="220"/>
      <c r="AS5" s="220"/>
      <c r="AT5" s="220"/>
      <c r="AU5" s="220"/>
      <c r="AV5" s="220"/>
      <c r="AW5" s="174"/>
      <c r="AY5" s="173"/>
      <c r="AZ5" s="220"/>
      <c r="BA5" s="220"/>
      <c r="BB5" s="220"/>
      <c r="BC5" s="220"/>
      <c r="BD5" s="220"/>
      <c r="BE5" s="220"/>
      <c r="BF5" s="220"/>
      <c r="BG5" s="220"/>
      <c r="BH5" s="174"/>
      <c r="BJ5" s="173"/>
      <c r="BK5" s="220"/>
      <c r="BL5" s="220"/>
      <c r="BM5" s="220"/>
      <c r="BN5" s="220"/>
      <c r="BO5" s="220"/>
      <c r="BP5" s="220"/>
      <c r="BQ5" s="220"/>
      <c r="BR5" s="220"/>
      <c r="BS5" s="174"/>
    </row>
    <row r="6" spans="2:72" ht="18" customHeight="1">
      <c r="H6" s="262" t="str">
        <f>"(based on all rated "&amp;LOWER(Settings!$M$6)&amp;"s)"</f>
        <v>(based on all rated employees)</v>
      </c>
      <c r="I6" s="263"/>
      <c r="J6" s="263"/>
      <c r="K6" s="263"/>
      <c r="L6" s="263"/>
      <c r="M6" s="263"/>
      <c r="N6" s="264"/>
      <c r="O6" s="260"/>
      <c r="P6" s="260"/>
      <c r="Q6" s="261"/>
      <c r="S6" s="214"/>
      <c r="T6" s="215"/>
      <c r="U6" s="215"/>
      <c r="V6" s="215"/>
      <c r="W6" s="215"/>
      <c r="X6" s="215"/>
      <c r="Y6" s="215"/>
      <c r="Z6" s="215"/>
      <c r="AA6" s="215"/>
      <c r="AB6" s="216"/>
      <c r="AD6" s="173"/>
      <c r="AE6" s="220"/>
      <c r="AF6" s="220"/>
      <c r="AG6" s="220"/>
      <c r="AH6" s="220"/>
      <c r="AI6" s="220"/>
      <c r="AJ6" s="220"/>
      <c r="AK6" s="220"/>
      <c r="AL6" s="174"/>
      <c r="AN6" s="173"/>
      <c r="AO6" s="220"/>
      <c r="AP6" s="220"/>
      <c r="AQ6" s="220"/>
      <c r="AR6" s="220"/>
      <c r="AS6" s="220"/>
      <c r="AT6" s="220"/>
      <c r="AU6" s="220"/>
      <c r="AV6" s="220"/>
      <c r="AW6" s="174"/>
      <c r="AY6" s="173"/>
      <c r="AZ6" s="220"/>
      <c r="BA6" s="220"/>
      <c r="BB6" s="220"/>
      <c r="BC6" s="220"/>
      <c r="BD6" s="220"/>
      <c r="BE6" s="220"/>
      <c r="BF6" s="220"/>
      <c r="BG6" s="220"/>
      <c r="BH6" s="174"/>
      <c r="BJ6" s="173"/>
      <c r="BK6" s="220"/>
      <c r="BL6" s="220"/>
      <c r="BM6" s="220"/>
      <c r="BN6" s="220"/>
      <c r="BO6" s="220"/>
      <c r="BP6" s="220"/>
      <c r="BQ6" s="220"/>
      <c r="BR6" s="220"/>
      <c r="BS6" s="174"/>
    </row>
    <row r="7" spans="2:72" ht="6.95" customHeight="1">
      <c r="S7" s="214"/>
      <c r="T7" s="215"/>
      <c r="U7" s="215"/>
      <c r="V7" s="215"/>
      <c r="W7" s="215"/>
      <c r="X7" s="215"/>
      <c r="Y7" s="215"/>
      <c r="Z7" s="215"/>
      <c r="AA7" s="215"/>
      <c r="AB7" s="216"/>
      <c r="AD7" s="173"/>
      <c r="AE7" s="220"/>
      <c r="AF7" s="220"/>
      <c r="AG7" s="220"/>
      <c r="AH7" s="220"/>
      <c r="AI7" s="220"/>
      <c r="AJ7" s="220"/>
      <c r="AK7" s="220"/>
      <c r="AL7" s="174"/>
      <c r="AN7" s="173"/>
      <c r="AO7" s="220"/>
      <c r="AP7" s="220"/>
      <c r="AQ7" s="220"/>
      <c r="AR7" s="220"/>
      <c r="AS7" s="220"/>
      <c r="AT7" s="220"/>
      <c r="AU7" s="220"/>
      <c r="AV7" s="220"/>
      <c r="AW7" s="174"/>
      <c r="AY7" s="173"/>
      <c r="AZ7" s="220"/>
      <c r="BA7" s="220"/>
      <c r="BB7" s="220"/>
      <c r="BC7" s="220"/>
      <c r="BD7" s="220"/>
      <c r="BE7" s="220"/>
      <c r="BF7" s="220"/>
      <c r="BG7" s="220"/>
      <c r="BH7" s="174"/>
      <c r="BJ7" s="173"/>
      <c r="BK7" s="220"/>
      <c r="BL7" s="220"/>
      <c r="BM7" s="220"/>
      <c r="BN7" s="220"/>
      <c r="BO7" s="220"/>
      <c r="BP7" s="220"/>
      <c r="BQ7" s="220"/>
      <c r="BR7" s="220"/>
      <c r="BS7" s="174"/>
    </row>
    <row r="8" spans="2:72" ht="18" customHeight="1">
      <c r="H8" s="245" t="str">
        <f>"Number of "&amp;LOWER(Settings!$M$6)&amp;"s:"</f>
        <v>Number of employees:</v>
      </c>
      <c r="I8" s="246"/>
      <c r="J8" s="246"/>
      <c r="K8" s="246"/>
      <c r="L8" s="246"/>
      <c r="M8" s="246"/>
      <c r="N8" s="247"/>
      <c r="O8" s="251">
        <f>COUNTA(TblEmployeeList[Name])</f>
        <v>3</v>
      </c>
      <c r="P8" s="251"/>
      <c r="Q8" s="252"/>
      <c r="S8" s="214"/>
      <c r="T8" s="215"/>
      <c r="U8" s="215"/>
      <c r="V8" s="215"/>
      <c r="W8" s="215"/>
      <c r="X8" s="215"/>
      <c r="Y8" s="215"/>
      <c r="Z8" s="215"/>
      <c r="AA8" s="215"/>
      <c r="AB8" s="216"/>
      <c r="AD8" s="173"/>
      <c r="AE8" s="220"/>
      <c r="AF8" s="220"/>
      <c r="AG8" s="220"/>
      <c r="AH8" s="220"/>
      <c r="AI8" s="220"/>
      <c r="AJ8" s="220"/>
      <c r="AK8" s="220"/>
      <c r="AL8" s="174"/>
      <c r="AN8" s="173"/>
      <c r="AO8" s="220"/>
      <c r="AP8" s="220"/>
      <c r="AQ8" s="220"/>
      <c r="AR8" s="220"/>
      <c r="AS8" s="220"/>
      <c r="AT8" s="220"/>
      <c r="AU8" s="220"/>
      <c r="AV8" s="220"/>
      <c r="AW8" s="174"/>
      <c r="AY8" s="173"/>
      <c r="AZ8" s="220"/>
      <c r="BA8" s="220"/>
      <c r="BB8" s="220"/>
      <c r="BC8" s="220"/>
      <c r="BD8" s="220"/>
      <c r="BE8" s="220"/>
      <c r="BF8" s="220"/>
      <c r="BG8" s="220"/>
      <c r="BH8" s="174"/>
      <c r="BJ8" s="173"/>
      <c r="BK8" s="220"/>
      <c r="BL8" s="220"/>
      <c r="BM8" s="220"/>
      <c r="BN8" s="220"/>
      <c r="BO8" s="220"/>
      <c r="BP8" s="220"/>
      <c r="BQ8" s="220"/>
      <c r="BR8" s="220"/>
      <c r="BS8" s="174"/>
    </row>
    <row r="9" spans="2:72" ht="18" customHeight="1">
      <c r="H9" s="248"/>
      <c r="I9" s="249"/>
      <c r="J9" s="249"/>
      <c r="K9" s="249"/>
      <c r="L9" s="249"/>
      <c r="M9" s="249"/>
      <c r="N9" s="250"/>
      <c r="O9" s="253"/>
      <c r="P9" s="253"/>
      <c r="Q9" s="254"/>
      <c r="S9" s="214"/>
      <c r="T9" s="215"/>
      <c r="U9" s="215"/>
      <c r="V9" s="215"/>
      <c r="W9" s="215"/>
      <c r="X9" s="215"/>
      <c r="Y9" s="215"/>
      <c r="Z9" s="215"/>
      <c r="AA9" s="215"/>
      <c r="AB9" s="216"/>
      <c r="AD9" s="173"/>
      <c r="AE9" s="220"/>
      <c r="AF9" s="220"/>
      <c r="AG9" s="220"/>
      <c r="AH9" s="220"/>
      <c r="AI9" s="220"/>
      <c r="AJ9" s="220"/>
      <c r="AK9" s="220"/>
      <c r="AL9" s="174"/>
      <c r="AN9" s="173"/>
      <c r="AO9" s="220"/>
      <c r="AP9" s="220"/>
      <c r="AQ9" s="220"/>
      <c r="AR9" s="220"/>
      <c r="AS9" s="220"/>
      <c r="AT9" s="220"/>
      <c r="AU9" s="220"/>
      <c r="AV9" s="220"/>
      <c r="AW9" s="174"/>
      <c r="AY9" s="173"/>
      <c r="AZ9" s="220"/>
      <c r="BA9" s="220"/>
      <c r="BB9" s="220"/>
      <c r="BC9" s="220"/>
      <c r="BD9" s="220"/>
      <c r="BE9" s="220"/>
      <c r="BF9" s="220"/>
      <c r="BG9" s="220"/>
      <c r="BH9" s="174"/>
      <c r="BJ9" s="173"/>
      <c r="BK9" s="220"/>
      <c r="BL9" s="220"/>
      <c r="BM9" s="220"/>
      <c r="BN9" s="220"/>
      <c r="BO9" s="220"/>
      <c r="BP9" s="220"/>
      <c r="BQ9" s="220"/>
      <c r="BR9" s="220"/>
      <c r="BS9" s="174"/>
    </row>
    <row r="10" spans="2:72" ht="6.95" customHeight="1">
      <c r="S10" s="214"/>
      <c r="T10" s="215"/>
      <c r="U10" s="215"/>
      <c r="V10" s="215"/>
      <c r="W10" s="215"/>
      <c r="X10" s="215"/>
      <c r="Y10" s="215"/>
      <c r="Z10" s="215"/>
      <c r="AA10" s="215"/>
      <c r="AB10" s="216"/>
      <c r="AD10" s="173"/>
      <c r="AE10" s="220"/>
      <c r="AF10" s="220"/>
      <c r="AG10" s="220"/>
      <c r="AH10" s="220"/>
      <c r="AI10" s="220"/>
      <c r="AJ10" s="220"/>
      <c r="AK10" s="220"/>
      <c r="AL10" s="174"/>
      <c r="AN10" s="173"/>
      <c r="AO10" s="220"/>
      <c r="AP10" s="220"/>
      <c r="AQ10" s="220"/>
      <c r="AR10" s="220"/>
      <c r="AS10" s="220"/>
      <c r="AT10" s="220"/>
      <c r="AU10" s="220"/>
      <c r="AV10" s="220"/>
      <c r="AW10" s="174"/>
      <c r="AY10" s="173"/>
      <c r="AZ10" s="220"/>
      <c r="BA10" s="220"/>
      <c r="BB10" s="220"/>
      <c r="BC10" s="220"/>
      <c r="BD10" s="220"/>
      <c r="BE10" s="220"/>
      <c r="BF10" s="220"/>
      <c r="BG10" s="220"/>
      <c r="BH10" s="174"/>
      <c r="BJ10" s="173"/>
      <c r="BK10" s="220"/>
      <c r="BL10" s="220"/>
      <c r="BM10" s="220"/>
      <c r="BN10" s="220"/>
      <c r="BO10" s="220"/>
      <c r="BP10" s="220"/>
      <c r="BQ10" s="220"/>
      <c r="BR10" s="220"/>
      <c r="BS10" s="174"/>
    </row>
    <row r="11" spans="2:72" ht="18" customHeight="1">
      <c r="H11" s="245" t="str">
        <f>"Number of "&amp;LOWER(Settings!$M$7)&amp;"s:"</f>
        <v>Number of departments:</v>
      </c>
      <c r="I11" s="246"/>
      <c r="J11" s="246"/>
      <c r="K11" s="246"/>
      <c r="L11" s="246"/>
      <c r="M11" s="246"/>
      <c r="N11" s="247"/>
      <c r="O11" s="251">
        <f>Settings!$U$17</f>
        <v>3</v>
      </c>
      <c r="P11" s="251"/>
      <c r="Q11" s="252"/>
      <c r="S11" s="214"/>
      <c r="T11" s="215"/>
      <c r="U11" s="215"/>
      <c r="V11" s="215"/>
      <c r="W11" s="215"/>
      <c r="X11" s="215"/>
      <c r="Y11" s="215"/>
      <c r="Z11" s="215"/>
      <c r="AA11" s="215"/>
      <c r="AB11" s="216"/>
      <c r="AD11" s="173"/>
      <c r="AE11" s="220"/>
      <c r="AF11" s="220"/>
      <c r="AG11" s="220"/>
      <c r="AH11" s="220"/>
      <c r="AI11" s="220"/>
      <c r="AJ11" s="220"/>
      <c r="AK11" s="220"/>
      <c r="AL11" s="174"/>
      <c r="AN11" s="173"/>
      <c r="AO11" s="220"/>
      <c r="AP11" s="220"/>
      <c r="AQ11" s="220"/>
      <c r="AR11" s="220"/>
      <c r="AS11" s="220"/>
      <c r="AT11" s="220"/>
      <c r="AU11" s="220"/>
      <c r="AV11" s="220"/>
      <c r="AW11" s="174"/>
      <c r="AY11" s="173"/>
      <c r="AZ11" s="220"/>
      <c r="BA11" s="220"/>
      <c r="BB11" s="220"/>
      <c r="BC11" s="220"/>
      <c r="BD11" s="220"/>
      <c r="BE11" s="220"/>
      <c r="BF11" s="220"/>
      <c r="BG11" s="220"/>
      <c r="BH11" s="174"/>
      <c r="BJ11" s="173"/>
      <c r="BK11" s="220"/>
      <c r="BL11" s="220"/>
      <c r="BM11" s="220"/>
      <c r="BN11" s="220"/>
      <c r="BO11" s="220"/>
      <c r="BP11" s="220"/>
      <c r="BQ11" s="220"/>
      <c r="BR11" s="220"/>
      <c r="BS11" s="174"/>
    </row>
    <row r="12" spans="2:72" ht="18" customHeight="1">
      <c r="H12" s="248"/>
      <c r="I12" s="249"/>
      <c r="J12" s="249"/>
      <c r="K12" s="249"/>
      <c r="L12" s="249"/>
      <c r="M12" s="249"/>
      <c r="N12" s="250"/>
      <c r="O12" s="253"/>
      <c r="P12" s="253"/>
      <c r="Q12" s="254"/>
      <c r="S12" s="214"/>
      <c r="T12" s="215"/>
      <c r="U12" s="215"/>
      <c r="V12" s="215"/>
      <c r="W12" s="215"/>
      <c r="X12" s="215"/>
      <c r="Y12" s="215"/>
      <c r="Z12" s="215"/>
      <c r="AA12" s="215"/>
      <c r="AB12" s="216"/>
      <c r="AD12" s="173"/>
      <c r="AE12" s="220"/>
      <c r="AF12" s="220"/>
      <c r="AG12" s="220"/>
      <c r="AH12" s="220"/>
      <c r="AI12" s="220"/>
      <c r="AJ12" s="220"/>
      <c r="AK12" s="220"/>
      <c r="AL12" s="174"/>
      <c r="AN12" s="173"/>
      <c r="AO12" s="220"/>
      <c r="AP12" s="220"/>
      <c r="AQ12" s="220"/>
      <c r="AR12" s="220"/>
      <c r="AS12" s="220"/>
      <c r="AT12" s="220"/>
      <c r="AU12" s="220"/>
      <c r="AV12" s="220"/>
      <c r="AW12" s="174"/>
      <c r="AY12" s="173"/>
      <c r="AZ12" s="220"/>
      <c r="BA12" s="220"/>
      <c r="BB12" s="220"/>
      <c r="BC12" s="220"/>
      <c r="BD12" s="220"/>
      <c r="BE12" s="220"/>
      <c r="BF12" s="220"/>
      <c r="BG12" s="220"/>
      <c r="BH12" s="174"/>
      <c r="BJ12" s="173"/>
      <c r="BK12" s="220"/>
      <c r="BL12" s="220"/>
      <c r="BM12" s="220"/>
      <c r="BN12" s="220"/>
      <c r="BO12" s="220"/>
      <c r="BP12" s="220"/>
      <c r="BQ12" s="220"/>
      <c r="BR12" s="220"/>
      <c r="BS12" s="174"/>
    </row>
    <row r="13" spans="2:72" ht="18" customHeight="1">
      <c r="H13" s="267" t="s">
        <v>211</v>
      </c>
      <c r="I13" s="267"/>
      <c r="J13" s="267"/>
      <c r="K13" s="267"/>
      <c r="L13" s="267"/>
      <c r="M13" s="267"/>
      <c r="N13" s="267"/>
      <c r="O13" s="267"/>
      <c r="P13" s="267"/>
      <c r="Q13" s="267"/>
      <c r="S13" s="221"/>
      <c r="T13" s="222"/>
      <c r="U13" s="222"/>
      <c r="V13" s="222"/>
      <c r="W13" s="222"/>
      <c r="X13" s="222"/>
      <c r="Y13" s="222"/>
      <c r="Z13" s="222"/>
      <c r="AA13" s="222"/>
      <c r="AB13" s="223"/>
      <c r="AD13" s="175"/>
      <c r="AE13" s="224"/>
      <c r="AF13" s="224"/>
      <c r="AG13" s="224"/>
      <c r="AH13" s="224"/>
      <c r="AI13" s="224"/>
      <c r="AJ13" s="224"/>
      <c r="AK13" s="224"/>
      <c r="AL13" s="176"/>
      <c r="AN13" s="175"/>
      <c r="AO13" s="229"/>
      <c r="AP13" s="224"/>
      <c r="AQ13" s="224"/>
      <c r="AR13" s="224"/>
      <c r="AS13" s="224"/>
      <c r="AT13" s="224"/>
      <c r="AU13" s="224"/>
      <c r="AV13" s="224"/>
      <c r="AW13" s="176"/>
      <c r="AY13" s="173"/>
      <c r="AZ13" s="220"/>
      <c r="BA13" s="220"/>
      <c r="BB13" s="220"/>
      <c r="BC13" s="220"/>
      <c r="BD13" s="220"/>
      <c r="BE13" s="220"/>
      <c r="BF13" s="220"/>
      <c r="BG13" s="220"/>
      <c r="BH13" s="174"/>
      <c r="BJ13" s="173"/>
      <c r="BK13" s="220"/>
      <c r="BL13" s="220"/>
      <c r="BM13" s="220"/>
      <c r="BN13" s="220"/>
      <c r="BO13" s="220"/>
      <c r="BP13" s="220"/>
      <c r="BQ13" s="220"/>
      <c r="BR13" s="220"/>
      <c r="BS13" s="174"/>
    </row>
    <row r="14" spans="2:72" ht="6.95" customHeight="1">
      <c r="AY14" s="173"/>
      <c r="AZ14" s="220"/>
      <c r="BA14" s="220"/>
      <c r="BB14" s="220"/>
      <c r="BC14" s="220"/>
      <c r="BD14" s="220"/>
      <c r="BE14" s="220"/>
      <c r="BF14" s="220"/>
      <c r="BG14" s="220"/>
      <c r="BH14" s="174"/>
      <c r="BJ14" s="173"/>
      <c r="BK14" s="220"/>
      <c r="BL14" s="220"/>
      <c r="BM14" s="220"/>
      <c r="BN14" s="220"/>
      <c r="BO14" s="220"/>
      <c r="BP14" s="220"/>
      <c r="BQ14" s="220"/>
      <c r="BR14" s="220"/>
      <c r="BS14" s="174"/>
    </row>
    <row r="15" spans="2:72" ht="18" customHeight="1">
      <c r="B15" s="265" t="str">
        <f>"Average rating of top 10 "&amp;LOWER(Settings!$M$7)&amp;"s:"</f>
        <v>Average rating of top 10 departments:</v>
      </c>
      <c r="C15" s="266"/>
      <c r="D15" s="266"/>
      <c r="E15" s="266"/>
      <c r="F15" s="266"/>
      <c r="G15" s="266"/>
      <c r="H15" s="266"/>
      <c r="I15" s="266"/>
      <c r="J15" s="266"/>
      <c r="K15" s="266"/>
      <c r="L15" s="266"/>
      <c r="M15" s="266"/>
      <c r="N15" s="266"/>
      <c r="O15" s="266"/>
      <c r="P15" s="266"/>
      <c r="Q15" s="266"/>
      <c r="R15" s="266"/>
      <c r="S15" s="266"/>
      <c r="T15" s="266"/>
      <c r="U15" s="266"/>
      <c r="V15" s="266"/>
      <c r="W15" s="266"/>
      <c r="X15" s="268"/>
      <c r="Z15" s="265" t="str">
        <f>"Average rating of top 10 "&amp;LOWER(Settings!$M$6)&amp;"s:"</f>
        <v>Average rating of top 10 employees:</v>
      </c>
      <c r="AA15" s="266"/>
      <c r="AB15" s="266"/>
      <c r="AC15" s="266"/>
      <c r="AD15" s="266"/>
      <c r="AE15" s="266"/>
      <c r="AF15" s="266"/>
      <c r="AG15" s="266"/>
      <c r="AH15" s="266"/>
      <c r="AI15" s="266"/>
      <c r="AJ15" s="266"/>
      <c r="AK15" s="266"/>
      <c r="AL15" s="266"/>
      <c r="AM15" s="266"/>
      <c r="AN15" s="266"/>
      <c r="AO15" s="266"/>
      <c r="AP15" s="266"/>
      <c r="AQ15" s="266"/>
      <c r="AR15" s="266"/>
      <c r="AS15" s="266"/>
      <c r="AT15" s="266"/>
      <c r="AU15" s="266"/>
      <c r="AV15" s="266"/>
      <c r="AW15" s="268"/>
      <c r="AY15" s="173"/>
      <c r="AZ15" s="220"/>
      <c r="BA15" s="220"/>
      <c r="BB15" s="220"/>
      <c r="BC15" s="220"/>
      <c r="BD15" s="220"/>
      <c r="BE15" s="220"/>
      <c r="BF15" s="220"/>
      <c r="BG15" s="220"/>
      <c r="BH15" s="174"/>
      <c r="BJ15" s="173"/>
      <c r="BK15" s="220"/>
      <c r="BL15" s="220"/>
      <c r="BM15" s="220"/>
      <c r="BN15" s="220"/>
      <c r="BO15" s="220"/>
      <c r="BP15" s="220"/>
      <c r="BQ15" s="220"/>
      <c r="BR15" s="220"/>
      <c r="BS15" s="174"/>
    </row>
    <row r="16" spans="2:72" ht="18" customHeight="1">
      <c r="B16" s="225"/>
      <c r="C16" s="226"/>
      <c r="D16" s="226"/>
      <c r="E16" s="226"/>
      <c r="F16" s="226"/>
      <c r="G16" s="226"/>
      <c r="H16" s="226"/>
      <c r="I16" s="226"/>
      <c r="J16" s="226"/>
      <c r="K16" s="226"/>
      <c r="L16" s="226"/>
      <c r="M16" s="226"/>
      <c r="N16" s="226"/>
      <c r="O16" s="218"/>
      <c r="P16" s="218"/>
      <c r="Q16" s="218"/>
      <c r="R16" s="218"/>
      <c r="S16" s="218"/>
      <c r="T16" s="218"/>
      <c r="U16" s="218"/>
      <c r="V16" s="218"/>
      <c r="W16" s="218"/>
      <c r="X16" s="219"/>
      <c r="Z16" s="217"/>
      <c r="AA16" s="218"/>
      <c r="AB16" s="218"/>
      <c r="AC16" s="218"/>
      <c r="AD16" s="218"/>
      <c r="AE16" s="218"/>
      <c r="AF16" s="218"/>
      <c r="AG16" s="218"/>
      <c r="AH16" s="218"/>
      <c r="AI16" s="218"/>
      <c r="AJ16" s="218"/>
      <c r="AK16" s="218"/>
      <c r="AL16" s="218"/>
      <c r="AM16" s="218"/>
      <c r="AN16" s="218"/>
      <c r="AO16" s="218"/>
      <c r="AP16" s="218"/>
      <c r="AQ16" s="218"/>
      <c r="AR16" s="218"/>
      <c r="AS16" s="218"/>
      <c r="AT16" s="218"/>
      <c r="AU16" s="218"/>
      <c r="AV16" s="218"/>
      <c r="AW16" s="219"/>
      <c r="AY16" s="173"/>
      <c r="AZ16" s="220"/>
      <c r="BA16" s="220"/>
      <c r="BB16" s="220"/>
      <c r="BC16" s="220"/>
      <c r="BD16" s="220"/>
      <c r="BE16" s="220"/>
      <c r="BF16" s="220"/>
      <c r="BG16" s="220"/>
      <c r="BH16" s="174"/>
      <c r="BJ16" s="173"/>
      <c r="BK16" s="220"/>
      <c r="BL16" s="220"/>
      <c r="BM16" s="220"/>
      <c r="BN16" s="220"/>
      <c r="BO16" s="220"/>
      <c r="BP16" s="220"/>
      <c r="BQ16" s="220"/>
      <c r="BR16" s="220"/>
      <c r="BS16" s="174"/>
    </row>
    <row r="17" spans="2:71" ht="18" customHeight="1">
      <c r="B17" s="214"/>
      <c r="C17" s="215"/>
      <c r="D17" s="215"/>
      <c r="E17" s="215"/>
      <c r="F17" s="215"/>
      <c r="G17" s="215"/>
      <c r="H17" s="215"/>
      <c r="I17" s="215"/>
      <c r="J17" s="215"/>
      <c r="K17" s="215"/>
      <c r="L17" s="215"/>
      <c r="M17" s="215"/>
      <c r="N17" s="215"/>
      <c r="O17" s="220"/>
      <c r="P17" s="220"/>
      <c r="Q17" s="220"/>
      <c r="R17" s="220"/>
      <c r="S17" s="220"/>
      <c r="T17" s="220"/>
      <c r="U17" s="220"/>
      <c r="V17" s="220"/>
      <c r="W17" s="220"/>
      <c r="X17" s="174"/>
      <c r="Z17" s="173"/>
      <c r="AA17" s="220"/>
      <c r="AB17" s="220"/>
      <c r="AC17" s="220"/>
      <c r="AD17" s="220"/>
      <c r="AE17" s="220"/>
      <c r="AF17" s="220"/>
      <c r="AG17" s="220"/>
      <c r="AH17" s="220"/>
      <c r="AI17" s="220"/>
      <c r="AJ17" s="220"/>
      <c r="AK17" s="220"/>
      <c r="AL17" s="220"/>
      <c r="AM17" s="220"/>
      <c r="AN17" s="220"/>
      <c r="AO17" s="220"/>
      <c r="AP17" s="220"/>
      <c r="AQ17" s="220"/>
      <c r="AR17" s="220"/>
      <c r="AS17" s="220"/>
      <c r="AT17" s="220"/>
      <c r="AU17" s="220"/>
      <c r="AV17" s="220"/>
      <c r="AW17" s="174"/>
      <c r="AY17" s="173"/>
      <c r="AZ17" s="220"/>
      <c r="BA17" s="220"/>
      <c r="BB17" s="220"/>
      <c r="BC17" s="220"/>
      <c r="BD17" s="220"/>
      <c r="BE17" s="220"/>
      <c r="BF17" s="220"/>
      <c r="BG17" s="220"/>
      <c r="BH17" s="174"/>
      <c r="BJ17" s="173"/>
      <c r="BK17" s="220"/>
      <c r="BL17" s="220"/>
      <c r="BM17" s="220"/>
      <c r="BN17" s="220"/>
      <c r="BO17" s="220"/>
      <c r="BP17" s="220"/>
      <c r="BQ17" s="220"/>
      <c r="BR17" s="220"/>
      <c r="BS17" s="174"/>
    </row>
    <row r="18" spans="2:71" ht="18" customHeight="1">
      <c r="B18" s="214"/>
      <c r="C18" s="215"/>
      <c r="D18" s="215"/>
      <c r="E18" s="215"/>
      <c r="F18" s="215"/>
      <c r="G18" s="215"/>
      <c r="H18" s="215"/>
      <c r="I18" s="215"/>
      <c r="J18" s="215"/>
      <c r="K18" s="215"/>
      <c r="L18" s="215"/>
      <c r="M18" s="215"/>
      <c r="N18" s="215"/>
      <c r="O18" s="220"/>
      <c r="P18" s="220"/>
      <c r="Q18" s="220"/>
      <c r="R18" s="220"/>
      <c r="S18" s="220"/>
      <c r="T18" s="220"/>
      <c r="U18" s="220"/>
      <c r="V18" s="220"/>
      <c r="W18" s="220"/>
      <c r="X18" s="174"/>
      <c r="Z18" s="173"/>
      <c r="AA18" s="220"/>
      <c r="AB18" s="220"/>
      <c r="AC18" s="220"/>
      <c r="AD18" s="220"/>
      <c r="AE18" s="220"/>
      <c r="AF18" s="220"/>
      <c r="AG18" s="220"/>
      <c r="AH18" s="220"/>
      <c r="AI18" s="220"/>
      <c r="AJ18" s="220"/>
      <c r="AK18" s="220"/>
      <c r="AL18" s="220"/>
      <c r="AM18" s="220"/>
      <c r="AN18" s="220"/>
      <c r="AO18" s="220"/>
      <c r="AP18" s="220"/>
      <c r="AQ18" s="220"/>
      <c r="AR18" s="220"/>
      <c r="AS18" s="220"/>
      <c r="AT18" s="220"/>
      <c r="AU18" s="220"/>
      <c r="AV18" s="220"/>
      <c r="AW18" s="174"/>
      <c r="AY18" s="173"/>
      <c r="AZ18" s="220"/>
      <c r="BA18" s="220"/>
      <c r="BB18" s="220"/>
      <c r="BC18" s="220"/>
      <c r="BD18" s="220"/>
      <c r="BE18" s="220"/>
      <c r="BF18" s="220"/>
      <c r="BG18" s="220"/>
      <c r="BH18" s="174"/>
      <c r="BJ18" s="173"/>
      <c r="BK18" s="220"/>
      <c r="BL18" s="220"/>
      <c r="BM18" s="220"/>
      <c r="BN18" s="220"/>
      <c r="BO18" s="220"/>
      <c r="BP18" s="220"/>
      <c r="BQ18" s="220"/>
      <c r="BR18" s="220"/>
      <c r="BS18" s="174"/>
    </row>
    <row r="19" spans="2:71" ht="18" customHeight="1">
      <c r="B19" s="214"/>
      <c r="C19" s="215"/>
      <c r="D19" s="215"/>
      <c r="E19" s="215"/>
      <c r="F19" s="215"/>
      <c r="G19" s="215"/>
      <c r="H19" s="215"/>
      <c r="I19" s="215"/>
      <c r="J19" s="215"/>
      <c r="K19" s="215"/>
      <c r="L19" s="215"/>
      <c r="M19" s="215"/>
      <c r="N19" s="215"/>
      <c r="O19" s="220"/>
      <c r="P19" s="220"/>
      <c r="Q19" s="220"/>
      <c r="R19" s="220"/>
      <c r="S19" s="220"/>
      <c r="T19" s="220"/>
      <c r="U19" s="220"/>
      <c r="V19" s="220"/>
      <c r="W19" s="220"/>
      <c r="X19" s="174"/>
      <c r="Z19" s="173"/>
      <c r="AA19" s="220"/>
      <c r="AB19" s="220"/>
      <c r="AC19" s="220"/>
      <c r="AD19" s="220"/>
      <c r="AE19" s="220"/>
      <c r="AF19" s="220"/>
      <c r="AG19" s="220"/>
      <c r="AH19" s="220"/>
      <c r="AI19" s="220"/>
      <c r="AJ19" s="220"/>
      <c r="AK19" s="220"/>
      <c r="AL19" s="220"/>
      <c r="AM19" s="220"/>
      <c r="AN19" s="220"/>
      <c r="AO19" s="220"/>
      <c r="AP19" s="220"/>
      <c r="AQ19" s="220"/>
      <c r="AR19" s="220"/>
      <c r="AS19" s="220"/>
      <c r="AT19" s="220"/>
      <c r="AU19" s="220"/>
      <c r="AV19" s="220"/>
      <c r="AW19" s="174"/>
      <c r="AY19" s="173"/>
      <c r="AZ19" s="220"/>
      <c r="BA19" s="220"/>
      <c r="BB19" s="220"/>
      <c r="BC19" s="220"/>
      <c r="BD19" s="220"/>
      <c r="BE19" s="220"/>
      <c r="BF19" s="220"/>
      <c r="BG19" s="220"/>
      <c r="BH19" s="174"/>
      <c r="BJ19" s="173"/>
      <c r="BK19" s="220"/>
      <c r="BL19" s="220"/>
      <c r="BM19" s="220"/>
      <c r="BN19" s="220"/>
      <c r="BO19" s="220"/>
      <c r="BP19" s="220"/>
      <c r="BQ19" s="220"/>
      <c r="BR19" s="220"/>
      <c r="BS19" s="174"/>
    </row>
    <row r="20" spans="2:71" ht="18" customHeight="1">
      <c r="B20" s="173"/>
      <c r="C20" s="220"/>
      <c r="D20" s="220"/>
      <c r="E20" s="220"/>
      <c r="F20" s="220"/>
      <c r="G20" s="220"/>
      <c r="H20" s="220"/>
      <c r="I20" s="220"/>
      <c r="J20" s="220"/>
      <c r="K20" s="220"/>
      <c r="L20" s="220"/>
      <c r="M20" s="220"/>
      <c r="N20" s="220"/>
      <c r="O20" s="220"/>
      <c r="P20" s="220"/>
      <c r="Q20" s="220"/>
      <c r="R20" s="220"/>
      <c r="S20" s="220"/>
      <c r="T20" s="220"/>
      <c r="U20" s="220"/>
      <c r="V20" s="220"/>
      <c r="W20" s="220"/>
      <c r="X20" s="174"/>
      <c r="Z20" s="173"/>
      <c r="AA20" s="220"/>
      <c r="AB20" s="220"/>
      <c r="AC20" s="220"/>
      <c r="AD20" s="220"/>
      <c r="AE20" s="220"/>
      <c r="AF20" s="220"/>
      <c r="AG20" s="220"/>
      <c r="AH20" s="220"/>
      <c r="AI20" s="220"/>
      <c r="AJ20" s="220"/>
      <c r="AK20" s="220"/>
      <c r="AL20" s="220"/>
      <c r="AM20" s="220"/>
      <c r="AN20" s="220"/>
      <c r="AO20" s="220"/>
      <c r="AP20" s="220"/>
      <c r="AQ20" s="220"/>
      <c r="AR20" s="220"/>
      <c r="AS20" s="220"/>
      <c r="AT20" s="220"/>
      <c r="AU20" s="220"/>
      <c r="AV20" s="220"/>
      <c r="AW20" s="174"/>
      <c r="AY20" s="175"/>
      <c r="AZ20" s="224"/>
      <c r="BA20" s="224"/>
      <c r="BB20" s="224"/>
      <c r="BC20" s="224"/>
      <c r="BD20" s="224"/>
      <c r="BE20" s="224"/>
      <c r="BF20" s="224"/>
      <c r="BG20" s="224"/>
      <c r="BH20" s="176"/>
      <c r="BJ20" s="175"/>
      <c r="BK20" s="224"/>
      <c r="BL20" s="224"/>
      <c r="BM20" s="224"/>
      <c r="BN20" s="224"/>
      <c r="BO20" s="224"/>
      <c r="BP20" s="224"/>
      <c r="BQ20" s="224"/>
      <c r="BR20" s="224"/>
      <c r="BS20" s="176"/>
    </row>
    <row r="21" spans="2:71" ht="6.95" customHeight="1">
      <c r="B21" s="173"/>
      <c r="C21" s="220"/>
      <c r="D21" s="220"/>
      <c r="E21" s="220"/>
      <c r="F21" s="220"/>
      <c r="G21" s="220"/>
      <c r="H21" s="220"/>
      <c r="I21" s="220"/>
      <c r="J21" s="220"/>
      <c r="K21" s="220"/>
      <c r="L21" s="220"/>
      <c r="M21" s="220"/>
      <c r="N21" s="220"/>
      <c r="O21" s="220"/>
      <c r="P21" s="220"/>
      <c r="Q21" s="220"/>
      <c r="R21" s="220"/>
      <c r="S21" s="220"/>
      <c r="T21" s="220"/>
      <c r="U21" s="220"/>
      <c r="V21" s="220"/>
      <c r="W21" s="220"/>
      <c r="X21" s="174"/>
      <c r="Z21" s="173"/>
      <c r="AA21" s="220"/>
      <c r="AB21" s="220"/>
      <c r="AC21" s="220"/>
      <c r="AD21" s="220"/>
      <c r="AE21" s="220"/>
      <c r="AF21" s="220"/>
      <c r="AG21" s="220"/>
      <c r="AH21" s="220"/>
      <c r="AI21" s="220"/>
      <c r="AJ21" s="220"/>
      <c r="AK21" s="220"/>
      <c r="AL21" s="220"/>
      <c r="AM21" s="220"/>
      <c r="AN21" s="220"/>
      <c r="AO21" s="220"/>
      <c r="AP21" s="220"/>
      <c r="AQ21" s="220"/>
      <c r="AR21" s="220"/>
      <c r="AS21" s="220"/>
      <c r="AT21" s="220"/>
      <c r="AU21" s="220"/>
      <c r="AV21" s="220"/>
      <c r="AW21" s="174"/>
    </row>
    <row r="22" spans="2:71" ht="18" customHeight="1">
      <c r="B22" s="173"/>
      <c r="C22" s="220"/>
      <c r="D22" s="220"/>
      <c r="E22" s="220"/>
      <c r="F22" s="220"/>
      <c r="G22" s="220"/>
      <c r="H22" s="220"/>
      <c r="I22" s="220"/>
      <c r="J22" s="220"/>
      <c r="K22" s="220"/>
      <c r="L22" s="220"/>
      <c r="M22" s="220"/>
      <c r="N22" s="220"/>
      <c r="O22" s="220"/>
      <c r="P22" s="220"/>
      <c r="Q22" s="220"/>
      <c r="R22" s="220"/>
      <c r="S22" s="220"/>
      <c r="T22" s="220"/>
      <c r="U22" s="220"/>
      <c r="V22" s="220"/>
      <c r="W22" s="220"/>
      <c r="X22" s="174"/>
      <c r="Z22" s="173"/>
      <c r="AA22" s="220"/>
      <c r="AB22" s="220"/>
      <c r="AC22" s="220"/>
      <c r="AD22" s="220"/>
      <c r="AE22" s="220"/>
      <c r="AF22" s="220"/>
      <c r="AG22" s="220"/>
      <c r="AH22" s="220"/>
      <c r="AI22" s="220"/>
      <c r="AJ22" s="220"/>
      <c r="AK22" s="220"/>
      <c r="AL22" s="220"/>
      <c r="AM22" s="220"/>
      <c r="AN22" s="220"/>
      <c r="AO22" s="220"/>
      <c r="AP22" s="220"/>
      <c r="AQ22" s="220"/>
      <c r="AR22" s="220"/>
      <c r="AS22" s="220"/>
      <c r="AT22" s="220"/>
      <c r="AU22" s="220"/>
      <c r="AV22" s="220"/>
      <c r="AW22" s="174"/>
      <c r="AY22" s="236" t="str">
        <f>"Top 10 "&amp;LOWER(Settings!$M$7)&amp;"s in "&amp;MAX(TblDatabase[Year])&amp;":"</f>
        <v>Top 10 departments in 2018:</v>
      </c>
      <c r="AZ22" s="237"/>
      <c r="BA22" s="237"/>
      <c r="BB22" s="237"/>
      <c r="BC22" s="237"/>
      <c r="BD22" s="237"/>
      <c r="BE22" s="237"/>
      <c r="BF22" s="237"/>
      <c r="BG22" s="237"/>
      <c r="BH22" s="238"/>
      <c r="BJ22" s="236" t="str">
        <f>"Top 10 "&amp;LOWER(Settings!$M$7)&amp;"s of all times:"</f>
        <v>Top 10 departments of all times:</v>
      </c>
      <c r="BK22" s="237"/>
      <c r="BL22" s="237"/>
      <c r="BM22" s="237"/>
      <c r="BN22" s="237"/>
      <c r="BO22" s="237"/>
      <c r="BP22" s="237"/>
      <c r="BQ22" s="237"/>
      <c r="BR22" s="237"/>
      <c r="BS22" s="238"/>
    </row>
    <row r="23" spans="2:71" ht="18" customHeight="1">
      <c r="B23" s="173"/>
      <c r="C23" s="220"/>
      <c r="D23" s="220"/>
      <c r="E23" s="220"/>
      <c r="F23" s="220"/>
      <c r="G23" s="220"/>
      <c r="H23" s="220"/>
      <c r="I23" s="220"/>
      <c r="J23" s="220"/>
      <c r="K23" s="220"/>
      <c r="L23" s="220"/>
      <c r="M23" s="220"/>
      <c r="N23" s="220"/>
      <c r="O23" s="220"/>
      <c r="P23" s="220"/>
      <c r="Q23" s="220"/>
      <c r="R23" s="220"/>
      <c r="S23" s="220"/>
      <c r="T23" s="220"/>
      <c r="U23" s="220"/>
      <c r="V23" s="220"/>
      <c r="W23" s="220"/>
      <c r="X23" s="174"/>
      <c r="Z23" s="173"/>
      <c r="AA23" s="220"/>
      <c r="AB23" s="220"/>
      <c r="AC23" s="220"/>
      <c r="AD23" s="220"/>
      <c r="AE23" s="220"/>
      <c r="AF23" s="220"/>
      <c r="AG23" s="220"/>
      <c r="AH23" s="220"/>
      <c r="AI23" s="220"/>
      <c r="AJ23" s="220"/>
      <c r="AK23" s="220"/>
      <c r="AL23" s="220"/>
      <c r="AM23" s="220"/>
      <c r="AN23" s="220"/>
      <c r="AO23" s="220"/>
      <c r="AP23" s="220"/>
      <c r="AQ23" s="220"/>
      <c r="AR23" s="220"/>
      <c r="AS23" s="220"/>
      <c r="AT23" s="220"/>
      <c r="AU23" s="220"/>
      <c r="AV23" s="220"/>
      <c r="AW23" s="174"/>
      <c r="AY23" s="217"/>
      <c r="AZ23" s="218"/>
      <c r="BA23" s="218"/>
      <c r="BB23" s="218"/>
      <c r="BC23" s="218"/>
      <c r="BD23" s="218"/>
      <c r="BE23" s="218"/>
      <c r="BF23" s="218"/>
      <c r="BG23" s="218"/>
      <c r="BH23" s="219"/>
      <c r="BJ23" s="217"/>
      <c r="BK23" s="218"/>
      <c r="BL23" s="218"/>
      <c r="BM23" s="218"/>
      <c r="BN23" s="218"/>
      <c r="BO23" s="218"/>
      <c r="BP23" s="218"/>
      <c r="BQ23" s="218"/>
      <c r="BR23" s="218"/>
      <c r="BS23" s="219"/>
    </row>
    <row r="24" spans="2:71" ht="18" customHeight="1">
      <c r="B24" s="173"/>
      <c r="C24" s="220"/>
      <c r="D24" s="220"/>
      <c r="E24" s="220"/>
      <c r="F24" s="220"/>
      <c r="G24" s="220"/>
      <c r="H24" s="220"/>
      <c r="I24" s="220"/>
      <c r="J24" s="220"/>
      <c r="K24" s="220"/>
      <c r="L24" s="220"/>
      <c r="M24" s="220"/>
      <c r="N24" s="220"/>
      <c r="O24" s="220"/>
      <c r="P24" s="220"/>
      <c r="Q24" s="220"/>
      <c r="R24" s="220"/>
      <c r="S24" s="220"/>
      <c r="T24" s="220"/>
      <c r="U24" s="220"/>
      <c r="V24" s="220"/>
      <c r="W24" s="220"/>
      <c r="X24" s="174"/>
      <c r="Z24" s="173"/>
      <c r="AA24" s="220"/>
      <c r="AB24" s="220"/>
      <c r="AC24" s="220"/>
      <c r="AD24" s="220"/>
      <c r="AE24" s="220"/>
      <c r="AF24" s="220"/>
      <c r="AG24" s="220"/>
      <c r="AH24" s="220"/>
      <c r="AI24" s="220"/>
      <c r="AJ24" s="220"/>
      <c r="AK24" s="220"/>
      <c r="AL24" s="220"/>
      <c r="AM24" s="220"/>
      <c r="AN24" s="220"/>
      <c r="AO24" s="220"/>
      <c r="AP24" s="220"/>
      <c r="AQ24" s="220"/>
      <c r="AR24" s="220"/>
      <c r="AS24" s="220"/>
      <c r="AT24" s="220"/>
      <c r="AU24" s="220"/>
      <c r="AV24" s="220"/>
      <c r="AW24" s="174"/>
      <c r="AY24" s="173"/>
      <c r="AZ24" s="220"/>
      <c r="BA24" s="220"/>
      <c r="BB24" s="220"/>
      <c r="BC24" s="220"/>
      <c r="BD24" s="220"/>
      <c r="BE24" s="220"/>
      <c r="BF24" s="220"/>
      <c r="BG24" s="220"/>
      <c r="BH24" s="174"/>
      <c r="BJ24" s="173"/>
      <c r="BK24" s="220"/>
      <c r="BL24" s="220"/>
      <c r="BM24" s="220"/>
      <c r="BN24" s="220"/>
      <c r="BO24" s="220"/>
      <c r="BP24" s="220"/>
      <c r="BQ24" s="220"/>
      <c r="BR24" s="220"/>
      <c r="BS24" s="174"/>
    </row>
    <row r="25" spans="2:71" ht="18" customHeight="1">
      <c r="B25" s="175"/>
      <c r="C25" s="224"/>
      <c r="D25" s="224"/>
      <c r="E25" s="224"/>
      <c r="F25" s="224"/>
      <c r="G25" s="224"/>
      <c r="H25" s="224"/>
      <c r="I25" s="224"/>
      <c r="J25" s="224"/>
      <c r="K25" s="224"/>
      <c r="L25" s="224"/>
      <c r="M25" s="224"/>
      <c r="N25" s="224"/>
      <c r="O25" s="224"/>
      <c r="P25" s="224"/>
      <c r="Q25" s="224"/>
      <c r="R25" s="224"/>
      <c r="S25" s="224"/>
      <c r="T25" s="224"/>
      <c r="U25" s="224"/>
      <c r="V25" s="224"/>
      <c r="W25" s="224"/>
      <c r="X25" s="176"/>
      <c r="Z25" s="175"/>
      <c r="AA25" s="224"/>
      <c r="AB25" s="224"/>
      <c r="AC25" s="224"/>
      <c r="AD25" s="224"/>
      <c r="AE25" s="224"/>
      <c r="AF25" s="224"/>
      <c r="AG25" s="224"/>
      <c r="AH25" s="224"/>
      <c r="AI25" s="224"/>
      <c r="AJ25" s="224"/>
      <c r="AK25" s="224"/>
      <c r="AL25" s="224"/>
      <c r="AM25" s="224"/>
      <c r="AN25" s="224"/>
      <c r="AO25" s="229"/>
      <c r="AP25" s="224"/>
      <c r="AQ25" s="224"/>
      <c r="AR25" s="224"/>
      <c r="AS25" s="224"/>
      <c r="AT25" s="224"/>
      <c r="AU25" s="224"/>
      <c r="AV25" s="224"/>
      <c r="AW25" s="176"/>
      <c r="AY25" s="173"/>
      <c r="AZ25" s="220"/>
      <c r="BA25" s="220"/>
      <c r="BB25" s="220"/>
      <c r="BC25" s="220"/>
      <c r="BD25" s="220"/>
      <c r="BE25" s="220"/>
      <c r="BF25" s="220"/>
      <c r="BG25" s="220"/>
      <c r="BH25" s="174"/>
      <c r="BJ25" s="173"/>
      <c r="BK25" s="220"/>
      <c r="BL25" s="220"/>
      <c r="BM25" s="220"/>
      <c r="BN25" s="220"/>
      <c r="BO25" s="220"/>
      <c r="BP25" s="220"/>
      <c r="BQ25" s="220"/>
      <c r="BR25" s="220"/>
      <c r="BS25" s="174"/>
    </row>
    <row r="26" spans="2:71" ht="6.95" customHeight="1">
      <c r="AY26" s="173"/>
      <c r="AZ26" s="220"/>
      <c r="BA26" s="220"/>
      <c r="BB26" s="220"/>
      <c r="BC26" s="220"/>
      <c r="BD26" s="220"/>
      <c r="BE26" s="220"/>
      <c r="BF26" s="220"/>
      <c r="BG26" s="220"/>
      <c r="BH26" s="174"/>
      <c r="BJ26" s="173"/>
      <c r="BK26" s="220"/>
      <c r="BL26" s="220"/>
      <c r="BM26" s="220"/>
      <c r="BN26" s="220"/>
      <c r="BO26" s="220"/>
      <c r="BP26" s="220"/>
      <c r="BQ26" s="220"/>
      <c r="BR26" s="220"/>
      <c r="BS26" s="174"/>
    </row>
    <row r="27" spans="2:71" ht="18" customHeight="1">
      <c r="B27" s="265" t="s">
        <v>210</v>
      </c>
      <c r="C27" s="266"/>
      <c r="D27" s="266"/>
      <c r="E27" s="266"/>
      <c r="F27" s="266"/>
      <c r="G27" s="266"/>
      <c r="H27" s="266"/>
      <c r="I27" s="266"/>
      <c r="J27" s="266"/>
      <c r="K27" s="266"/>
      <c r="L27" s="266"/>
      <c r="M27" s="266"/>
      <c r="N27" s="266"/>
      <c r="O27" s="266"/>
      <c r="P27" s="266"/>
      <c r="Q27" s="266"/>
      <c r="R27" s="266"/>
      <c r="S27" s="266"/>
      <c r="T27" s="266"/>
      <c r="U27" s="266"/>
      <c r="V27" s="266"/>
      <c r="W27" s="266"/>
      <c r="X27" s="268"/>
      <c r="Z27" s="265" t="str">
        <f>MAX(TblDatabase[Year])&amp;" performance of:"</f>
        <v>2018 performance of:</v>
      </c>
      <c r="AA27" s="266"/>
      <c r="AB27" s="266"/>
      <c r="AC27" s="266"/>
      <c r="AD27" s="266"/>
      <c r="AE27" s="266"/>
      <c r="AF27" s="269" t="s">
        <v>176</v>
      </c>
      <c r="AG27" s="269"/>
      <c r="AH27" s="269"/>
      <c r="AI27" s="269"/>
      <c r="AJ27" s="269"/>
      <c r="AK27" s="227"/>
      <c r="AL27" s="227"/>
      <c r="AM27" s="227"/>
      <c r="AN27" s="227"/>
      <c r="AO27" s="227"/>
      <c r="AP27" s="227"/>
      <c r="AQ27" s="227"/>
      <c r="AR27" s="227"/>
      <c r="AS27" s="227"/>
      <c r="AT27" s="227"/>
      <c r="AU27" s="227"/>
      <c r="AV27" s="227"/>
      <c r="AW27" s="228"/>
      <c r="AY27" s="173"/>
      <c r="AZ27" s="220"/>
      <c r="BA27" s="220"/>
      <c r="BB27" s="220"/>
      <c r="BC27" s="220"/>
      <c r="BD27" s="220"/>
      <c r="BE27" s="220"/>
      <c r="BF27" s="220"/>
      <c r="BG27" s="220"/>
      <c r="BH27" s="174"/>
      <c r="BJ27" s="173"/>
      <c r="BK27" s="220"/>
      <c r="BL27" s="220"/>
      <c r="BM27" s="220"/>
      <c r="BN27" s="220"/>
      <c r="BO27" s="220"/>
      <c r="BP27" s="220"/>
      <c r="BQ27" s="220"/>
      <c r="BR27" s="220"/>
      <c r="BS27" s="174"/>
    </row>
    <row r="28" spans="2:71" ht="18" customHeight="1">
      <c r="B28" s="217"/>
      <c r="C28" s="218"/>
      <c r="D28" s="218"/>
      <c r="E28" s="218"/>
      <c r="F28" s="218"/>
      <c r="G28" s="218"/>
      <c r="H28" s="218"/>
      <c r="I28" s="218"/>
      <c r="J28" s="218"/>
      <c r="K28" s="218"/>
      <c r="L28" s="218"/>
      <c r="M28" s="218"/>
      <c r="N28" s="218"/>
      <c r="O28" s="218"/>
      <c r="P28" s="218"/>
      <c r="Q28" s="218"/>
      <c r="R28" s="218"/>
      <c r="S28" s="218"/>
      <c r="T28" s="218"/>
      <c r="U28" s="218"/>
      <c r="V28" s="218"/>
      <c r="W28" s="218"/>
      <c r="X28" s="219"/>
      <c r="Z28" s="217"/>
      <c r="AA28" s="218"/>
      <c r="AB28" s="218"/>
      <c r="AC28" s="218"/>
      <c r="AD28" s="218"/>
      <c r="AE28" s="218"/>
      <c r="AF28" s="218"/>
      <c r="AG28" s="218"/>
      <c r="AH28" s="218"/>
      <c r="AI28" s="218"/>
      <c r="AJ28" s="218"/>
      <c r="AK28" s="218"/>
      <c r="AL28" s="218"/>
      <c r="AM28" s="218"/>
      <c r="AN28" s="218"/>
      <c r="AO28" s="218"/>
      <c r="AP28" s="218"/>
      <c r="AQ28" s="218"/>
      <c r="AR28" s="218"/>
      <c r="AS28" s="218"/>
      <c r="AT28" s="218"/>
      <c r="AU28" s="218"/>
      <c r="AV28" s="218"/>
      <c r="AW28" s="219"/>
      <c r="AY28" s="173"/>
      <c r="AZ28" s="220"/>
      <c r="BA28" s="220"/>
      <c r="BB28" s="220"/>
      <c r="BC28" s="220"/>
      <c r="BD28" s="220"/>
      <c r="BE28" s="220"/>
      <c r="BF28" s="220"/>
      <c r="BG28" s="220"/>
      <c r="BH28" s="174"/>
      <c r="BJ28" s="173"/>
      <c r="BK28" s="220"/>
      <c r="BL28" s="220"/>
      <c r="BM28" s="220"/>
      <c r="BN28" s="220"/>
      <c r="BO28" s="220"/>
      <c r="BP28" s="220"/>
      <c r="BQ28" s="220"/>
      <c r="BR28" s="220"/>
      <c r="BS28" s="174"/>
    </row>
    <row r="29" spans="2:71" ht="18" customHeight="1">
      <c r="B29" s="173"/>
      <c r="C29" s="220"/>
      <c r="D29" s="220"/>
      <c r="E29" s="220"/>
      <c r="F29" s="220"/>
      <c r="G29" s="220"/>
      <c r="H29" s="220"/>
      <c r="I29" s="220"/>
      <c r="J29" s="220"/>
      <c r="K29" s="220"/>
      <c r="L29" s="220"/>
      <c r="M29" s="220"/>
      <c r="N29" s="220"/>
      <c r="O29" s="220"/>
      <c r="P29" s="220"/>
      <c r="Q29" s="220"/>
      <c r="R29" s="220"/>
      <c r="S29" s="220"/>
      <c r="T29" s="220"/>
      <c r="U29" s="220"/>
      <c r="V29" s="220"/>
      <c r="W29" s="220"/>
      <c r="X29" s="174"/>
      <c r="Z29" s="173"/>
      <c r="AA29" s="220"/>
      <c r="AB29" s="220"/>
      <c r="AC29" s="220"/>
      <c r="AD29" s="220"/>
      <c r="AE29" s="220"/>
      <c r="AF29" s="220"/>
      <c r="AG29" s="220"/>
      <c r="AH29" s="220"/>
      <c r="AI29" s="220"/>
      <c r="AJ29" s="220"/>
      <c r="AK29" s="220"/>
      <c r="AL29" s="220"/>
      <c r="AM29" s="220"/>
      <c r="AN29" s="220"/>
      <c r="AO29" s="220"/>
      <c r="AP29" s="220"/>
      <c r="AQ29" s="220"/>
      <c r="AR29" s="220"/>
      <c r="AS29" s="220"/>
      <c r="AT29" s="220"/>
      <c r="AU29" s="220"/>
      <c r="AV29" s="220"/>
      <c r="AW29" s="174"/>
      <c r="AY29" s="173"/>
      <c r="AZ29" s="220"/>
      <c r="BA29" s="220"/>
      <c r="BB29" s="220"/>
      <c r="BC29" s="220"/>
      <c r="BD29" s="220"/>
      <c r="BE29" s="220"/>
      <c r="BF29" s="220"/>
      <c r="BG29" s="220"/>
      <c r="BH29" s="174"/>
      <c r="BJ29" s="173"/>
      <c r="BK29" s="220"/>
      <c r="BL29" s="220"/>
      <c r="BM29" s="220"/>
      <c r="BN29" s="220"/>
      <c r="BO29" s="220"/>
      <c r="BP29" s="220"/>
      <c r="BQ29" s="220"/>
      <c r="BR29" s="220"/>
      <c r="BS29" s="174"/>
    </row>
    <row r="30" spans="2:71" ht="18" customHeight="1">
      <c r="B30" s="173"/>
      <c r="C30" s="220"/>
      <c r="D30" s="220"/>
      <c r="E30" s="220"/>
      <c r="F30" s="220"/>
      <c r="G30" s="220"/>
      <c r="H30" s="220"/>
      <c r="I30" s="220"/>
      <c r="J30" s="220"/>
      <c r="K30" s="220"/>
      <c r="L30" s="220"/>
      <c r="M30" s="220"/>
      <c r="N30" s="220"/>
      <c r="O30" s="220"/>
      <c r="P30" s="220"/>
      <c r="Q30" s="220"/>
      <c r="R30" s="220"/>
      <c r="S30" s="220"/>
      <c r="T30" s="220"/>
      <c r="U30" s="220"/>
      <c r="V30" s="220"/>
      <c r="W30" s="220"/>
      <c r="X30" s="174"/>
      <c r="Z30" s="173"/>
      <c r="AA30" s="220"/>
      <c r="AB30" s="220"/>
      <c r="AC30" s="220"/>
      <c r="AD30" s="220"/>
      <c r="AE30" s="220"/>
      <c r="AF30" s="220"/>
      <c r="AG30" s="220"/>
      <c r="AH30" s="220"/>
      <c r="AI30" s="220"/>
      <c r="AJ30" s="220"/>
      <c r="AK30" s="220"/>
      <c r="AL30" s="220"/>
      <c r="AM30" s="220"/>
      <c r="AN30" s="220"/>
      <c r="AO30" s="220"/>
      <c r="AP30" s="220"/>
      <c r="AQ30" s="220"/>
      <c r="AR30" s="220"/>
      <c r="AS30" s="220"/>
      <c r="AT30" s="220"/>
      <c r="AU30" s="220"/>
      <c r="AV30" s="220"/>
      <c r="AW30" s="174"/>
      <c r="AY30" s="173"/>
      <c r="AZ30" s="220"/>
      <c r="BA30" s="220"/>
      <c r="BB30" s="220"/>
      <c r="BC30" s="220"/>
      <c r="BD30" s="220"/>
      <c r="BE30" s="220"/>
      <c r="BF30" s="220"/>
      <c r="BG30" s="220"/>
      <c r="BH30" s="174"/>
      <c r="BJ30" s="173"/>
      <c r="BK30" s="220"/>
      <c r="BL30" s="220"/>
      <c r="BM30" s="220"/>
      <c r="BN30" s="220"/>
      <c r="BO30" s="220"/>
      <c r="BP30" s="220"/>
      <c r="BQ30" s="220"/>
      <c r="BR30" s="220"/>
      <c r="BS30" s="174"/>
    </row>
    <row r="31" spans="2:71" ht="18" customHeight="1">
      <c r="B31" s="173"/>
      <c r="C31" s="220"/>
      <c r="D31" s="220"/>
      <c r="E31" s="220"/>
      <c r="F31" s="220"/>
      <c r="G31" s="220"/>
      <c r="H31" s="220"/>
      <c r="I31" s="220"/>
      <c r="J31" s="220"/>
      <c r="K31" s="220"/>
      <c r="L31" s="220"/>
      <c r="M31" s="220"/>
      <c r="N31" s="220"/>
      <c r="O31" s="220"/>
      <c r="P31" s="220"/>
      <c r="Q31" s="220"/>
      <c r="R31" s="220"/>
      <c r="S31" s="220"/>
      <c r="T31" s="220"/>
      <c r="U31" s="220"/>
      <c r="V31" s="220"/>
      <c r="W31" s="220"/>
      <c r="X31" s="174"/>
      <c r="Z31" s="173"/>
      <c r="AA31" s="220"/>
      <c r="AB31" s="220"/>
      <c r="AC31" s="220"/>
      <c r="AD31" s="220"/>
      <c r="AE31" s="220"/>
      <c r="AF31" s="220"/>
      <c r="AG31" s="220"/>
      <c r="AH31" s="220"/>
      <c r="AI31" s="220"/>
      <c r="AJ31" s="220"/>
      <c r="AK31" s="220"/>
      <c r="AL31" s="220"/>
      <c r="AM31" s="220"/>
      <c r="AN31" s="220"/>
      <c r="AO31" s="220"/>
      <c r="AP31" s="220"/>
      <c r="AQ31" s="220"/>
      <c r="AR31" s="220"/>
      <c r="AS31" s="220"/>
      <c r="AT31" s="220"/>
      <c r="AU31" s="220"/>
      <c r="AV31" s="220"/>
      <c r="AW31" s="174"/>
      <c r="AY31" s="173"/>
      <c r="AZ31" s="220"/>
      <c r="BA31" s="220"/>
      <c r="BB31" s="220"/>
      <c r="BC31" s="220"/>
      <c r="BD31" s="220"/>
      <c r="BE31" s="220"/>
      <c r="BF31" s="220"/>
      <c r="BG31" s="220"/>
      <c r="BH31" s="174"/>
      <c r="BJ31" s="173"/>
      <c r="BK31" s="220"/>
      <c r="BL31" s="220"/>
      <c r="BM31" s="220"/>
      <c r="BN31" s="220"/>
      <c r="BO31" s="220"/>
      <c r="BP31" s="220"/>
      <c r="BQ31" s="220"/>
      <c r="BR31" s="220"/>
      <c r="BS31" s="174"/>
    </row>
    <row r="32" spans="2:71" ht="18" customHeight="1">
      <c r="B32" s="173"/>
      <c r="C32" s="220"/>
      <c r="D32" s="220"/>
      <c r="E32" s="220"/>
      <c r="F32" s="220"/>
      <c r="G32" s="220"/>
      <c r="H32" s="220"/>
      <c r="I32" s="220"/>
      <c r="J32" s="220"/>
      <c r="K32" s="220"/>
      <c r="L32" s="220"/>
      <c r="M32" s="220"/>
      <c r="N32" s="220"/>
      <c r="O32" s="220"/>
      <c r="P32" s="220"/>
      <c r="Q32" s="220"/>
      <c r="R32" s="220"/>
      <c r="S32" s="220"/>
      <c r="T32" s="220"/>
      <c r="U32" s="220"/>
      <c r="V32" s="220"/>
      <c r="W32" s="220"/>
      <c r="X32" s="174"/>
      <c r="Z32" s="173"/>
      <c r="AA32" s="220"/>
      <c r="AB32" s="220"/>
      <c r="AC32" s="220"/>
      <c r="AD32" s="220"/>
      <c r="AE32" s="220"/>
      <c r="AF32" s="220"/>
      <c r="AG32" s="220"/>
      <c r="AH32" s="220"/>
      <c r="AI32" s="220"/>
      <c r="AJ32" s="220"/>
      <c r="AK32" s="220"/>
      <c r="AL32" s="220"/>
      <c r="AM32" s="220"/>
      <c r="AN32" s="220"/>
      <c r="AO32" s="220"/>
      <c r="AP32" s="220"/>
      <c r="AQ32" s="220"/>
      <c r="AR32" s="220"/>
      <c r="AS32" s="220"/>
      <c r="AT32" s="220"/>
      <c r="AU32" s="220"/>
      <c r="AV32" s="220"/>
      <c r="AW32" s="174"/>
      <c r="AY32" s="173"/>
      <c r="AZ32" s="220"/>
      <c r="BA32" s="220"/>
      <c r="BB32" s="220"/>
      <c r="BC32" s="220"/>
      <c r="BD32" s="220"/>
      <c r="BE32" s="220"/>
      <c r="BF32" s="220"/>
      <c r="BG32" s="220"/>
      <c r="BH32" s="174"/>
      <c r="BJ32" s="173"/>
      <c r="BK32" s="220"/>
      <c r="BL32" s="220"/>
      <c r="BM32" s="220"/>
      <c r="BN32" s="220"/>
      <c r="BO32" s="220"/>
      <c r="BP32" s="220"/>
      <c r="BQ32" s="220"/>
      <c r="BR32" s="220"/>
      <c r="BS32" s="174"/>
    </row>
    <row r="33" spans="2:71" ht="18" customHeight="1">
      <c r="B33" s="173"/>
      <c r="C33" s="220"/>
      <c r="D33" s="220"/>
      <c r="E33" s="220"/>
      <c r="F33" s="220"/>
      <c r="G33" s="220"/>
      <c r="H33" s="220"/>
      <c r="I33" s="220"/>
      <c r="J33" s="220"/>
      <c r="K33" s="220"/>
      <c r="L33" s="220"/>
      <c r="M33" s="220"/>
      <c r="N33" s="220"/>
      <c r="O33" s="220"/>
      <c r="P33" s="220"/>
      <c r="Q33" s="220"/>
      <c r="R33" s="220"/>
      <c r="S33" s="220"/>
      <c r="T33" s="220"/>
      <c r="U33" s="220"/>
      <c r="V33" s="220"/>
      <c r="W33" s="220"/>
      <c r="X33" s="174"/>
      <c r="Z33" s="173"/>
      <c r="AA33" s="220"/>
      <c r="AB33" s="220"/>
      <c r="AC33" s="220"/>
      <c r="AD33" s="220"/>
      <c r="AE33" s="220"/>
      <c r="AF33" s="220"/>
      <c r="AG33" s="220"/>
      <c r="AH33" s="220"/>
      <c r="AI33" s="220"/>
      <c r="AJ33" s="220"/>
      <c r="AK33" s="220"/>
      <c r="AL33" s="220"/>
      <c r="AM33" s="220"/>
      <c r="AN33" s="220"/>
      <c r="AO33" s="220"/>
      <c r="AP33" s="220"/>
      <c r="AQ33" s="220"/>
      <c r="AR33" s="220"/>
      <c r="AS33" s="220"/>
      <c r="AT33" s="220"/>
      <c r="AU33" s="220"/>
      <c r="AV33" s="220"/>
      <c r="AW33" s="174"/>
      <c r="AY33" s="173"/>
      <c r="AZ33" s="220"/>
      <c r="BA33" s="220"/>
      <c r="BB33" s="220"/>
      <c r="BC33" s="220"/>
      <c r="BD33" s="220"/>
      <c r="BE33" s="220"/>
      <c r="BF33" s="220"/>
      <c r="BG33" s="220"/>
      <c r="BH33" s="174"/>
      <c r="BJ33" s="173"/>
      <c r="BK33" s="220"/>
      <c r="BL33" s="220"/>
      <c r="BM33" s="220"/>
      <c r="BN33" s="220"/>
      <c r="BO33" s="220"/>
      <c r="BP33" s="220"/>
      <c r="BQ33" s="220"/>
      <c r="BR33" s="220"/>
      <c r="BS33" s="174"/>
    </row>
    <row r="34" spans="2:71" ht="18" customHeight="1">
      <c r="B34" s="173"/>
      <c r="C34" s="220"/>
      <c r="D34" s="220"/>
      <c r="E34" s="220"/>
      <c r="F34" s="220"/>
      <c r="G34" s="220"/>
      <c r="H34" s="220"/>
      <c r="I34" s="220"/>
      <c r="J34" s="220"/>
      <c r="K34" s="220"/>
      <c r="L34" s="220"/>
      <c r="M34" s="220"/>
      <c r="N34" s="220"/>
      <c r="O34" s="220"/>
      <c r="P34" s="220"/>
      <c r="Q34" s="220"/>
      <c r="R34" s="220"/>
      <c r="S34" s="220"/>
      <c r="T34" s="220"/>
      <c r="U34" s="220"/>
      <c r="V34" s="220"/>
      <c r="W34" s="220"/>
      <c r="X34" s="174"/>
      <c r="Z34" s="173"/>
      <c r="AA34" s="220"/>
      <c r="AB34" s="220"/>
      <c r="AC34" s="220"/>
      <c r="AD34" s="220"/>
      <c r="AE34" s="220"/>
      <c r="AF34" s="220"/>
      <c r="AG34" s="220"/>
      <c r="AH34" s="220"/>
      <c r="AI34" s="220"/>
      <c r="AJ34" s="220"/>
      <c r="AK34" s="220"/>
      <c r="AL34" s="220"/>
      <c r="AM34" s="220"/>
      <c r="AN34" s="220"/>
      <c r="AO34" s="220"/>
      <c r="AP34" s="220"/>
      <c r="AQ34" s="220"/>
      <c r="AR34" s="220"/>
      <c r="AS34" s="220"/>
      <c r="AT34" s="220"/>
      <c r="AU34" s="220"/>
      <c r="AV34" s="220"/>
      <c r="AW34" s="174"/>
      <c r="AY34" s="173"/>
      <c r="AZ34" s="220"/>
      <c r="BA34" s="220"/>
      <c r="BB34" s="220"/>
      <c r="BC34" s="220"/>
      <c r="BD34" s="220"/>
      <c r="BE34" s="220"/>
      <c r="BF34" s="220"/>
      <c r="BG34" s="220"/>
      <c r="BH34" s="174"/>
      <c r="BJ34" s="173"/>
      <c r="BK34" s="220"/>
      <c r="BL34" s="220"/>
      <c r="BM34" s="220"/>
      <c r="BN34" s="220"/>
      <c r="BO34" s="220"/>
      <c r="BP34" s="220"/>
      <c r="BQ34" s="220"/>
      <c r="BR34" s="220"/>
      <c r="BS34" s="174"/>
    </row>
    <row r="35" spans="2:71" ht="18" customHeight="1">
      <c r="B35" s="173"/>
      <c r="C35" s="220"/>
      <c r="D35" s="220"/>
      <c r="E35" s="220"/>
      <c r="F35" s="220"/>
      <c r="G35" s="220"/>
      <c r="H35" s="220"/>
      <c r="I35" s="220"/>
      <c r="J35" s="220"/>
      <c r="K35" s="220"/>
      <c r="L35" s="220"/>
      <c r="M35" s="220"/>
      <c r="N35" s="220"/>
      <c r="O35" s="220"/>
      <c r="P35" s="220"/>
      <c r="Q35" s="220"/>
      <c r="R35" s="220"/>
      <c r="S35" s="220"/>
      <c r="T35" s="220"/>
      <c r="U35" s="220"/>
      <c r="V35" s="220"/>
      <c r="W35" s="220"/>
      <c r="X35" s="174"/>
      <c r="Z35" s="173"/>
      <c r="AA35" s="220"/>
      <c r="AB35" s="220"/>
      <c r="AC35" s="220"/>
      <c r="AD35" s="220"/>
      <c r="AE35" s="220"/>
      <c r="AF35" s="220"/>
      <c r="AG35" s="220"/>
      <c r="AH35" s="220"/>
      <c r="AI35" s="220"/>
      <c r="AJ35" s="220"/>
      <c r="AK35" s="220"/>
      <c r="AL35" s="220"/>
      <c r="AM35" s="220"/>
      <c r="AN35" s="220"/>
      <c r="AO35" s="220"/>
      <c r="AP35" s="220"/>
      <c r="AQ35" s="220"/>
      <c r="AR35" s="220"/>
      <c r="AS35" s="220"/>
      <c r="AT35" s="220"/>
      <c r="AU35" s="220"/>
      <c r="AV35" s="220"/>
      <c r="AW35" s="174"/>
      <c r="AY35" s="173"/>
      <c r="AZ35" s="220"/>
      <c r="BA35" s="220"/>
      <c r="BB35" s="220"/>
      <c r="BC35" s="220"/>
      <c r="BD35" s="220"/>
      <c r="BE35" s="220"/>
      <c r="BF35" s="220"/>
      <c r="BG35" s="220"/>
      <c r="BH35" s="174"/>
      <c r="BJ35" s="173"/>
      <c r="BK35" s="220"/>
      <c r="BL35" s="220"/>
      <c r="BM35" s="220"/>
      <c r="BN35" s="220"/>
      <c r="BO35" s="220"/>
      <c r="BP35" s="220"/>
      <c r="BQ35" s="220"/>
      <c r="BR35" s="220"/>
      <c r="BS35" s="174"/>
    </row>
    <row r="36" spans="2:71" ht="18" customHeight="1">
      <c r="B36" s="175"/>
      <c r="C36" s="224"/>
      <c r="D36" s="224"/>
      <c r="E36" s="224"/>
      <c r="F36" s="224"/>
      <c r="G36" s="224"/>
      <c r="H36" s="224"/>
      <c r="I36" s="224"/>
      <c r="J36" s="224"/>
      <c r="K36" s="224"/>
      <c r="L36" s="224"/>
      <c r="M36" s="224"/>
      <c r="N36" s="224"/>
      <c r="O36" s="224"/>
      <c r="P36" s="224"/>
      <c r="Q36" s="224"/>
      <c r="R36" s="224"/>
      <c r="S36" s="224"/>
      <c r="T36" s="224"/>
      <c r="U36" s="224"/>
      <c r="V36" s="224"/>
      <c r="W36" s="224"/>
      <c r="X36" s="176"/>
      <c r="Z36" s="175"/>
      <c r="AA36" s="229"/>
      <c r="AB36" s="229"/>
      <c r="AC36" s="229"/>
      <c r="AD36" s="229"/>
      <c r="AE36" s="229"/>
      <c r="AF36" s="229"/>
      <c r="AG36" s="229"/>
      <c r="AH36" s="229"/>
      <c r="AI36" s="229"/>
      <c r="AJ36" s="229"/>
      <c r="AK36" s="229"/>
      <c r="AL36" s="229"/>
      <c r="AM36" s="229"/>
      <c r="AN36" s="229"/>
      <c r="AO36" s="229"/>
      <c r="AP36" s="229"/>
      <c r="AQ36" s="229"/>
      <c r="AR36" s="229"/>
      <c r="AS36" s="229"/>
      <c r="AT36" s="229"/>
      <c r="AU36" s="229"/>
      <c r="AV36" s="229"/>
      <c r="AW36" s="230"/>
      <c r="AY36" s="175"/>
      <c r="AZ36" s="224"/>
      <c r="BA36" s="224"/>
      <c r="BB36" s="224"/>
      <c r="BC36" s="224"/>
      <c r="BD36" s="224"/>
      <c r="BE36" s="224"/>
      <c r="BF36" s="224"/>
      <c r="BG36" s="224"/>
      <c r="BH36" s="176"/>
      <c r="BJ36" s="175"/>
      <c r="BK36" s="224"/>
      <c r="BL36" s="224"/>
      <c r="BM36" s="224"/>
      <c r="BN36" s="224"/>
      <c r="BO36" s="224"/>
      <c r="BP36" s="224"/>
      <c r="BQ36" s="224"/>
      <c r="BR36" s="224"/>
      <c r="BS36" s="176"/>
    </row>
    <row r="37" spans="2:71" ht="14.1" customHeight="1"/>
  </sheetData>
  <sheetProtection algorithmName="SHA-512" hashValue="QkTpKO3hi8WLtNMQLA15Jv3eBuBEQlKjuZgPhXakvhEex4erjmpNfcEHvvf4yA2wZwgU+iL83w6mnjUlY2BMBA==" saltValue="6Np5VNcN9mYY12i8S4qiRg==" spinCount="100000" sheet="1" objects="1" scenarios="1"/>
  <mergeCells count="21">
    <mergeCell ref="Z27:AE27"/>
    <mergeCell ref="AY22:BH22"/>
    <mergeCell ref="H13:Q13"/>
    <mergeCell ref="S2:AB2"/>
    <mergeCell ref="AD2:AL2"/>
    <mergeCell ref="AN2:AW2"/>
    <mergeCell ref="B27:X27"/>
    <mergeCell ref="B15:X15"/>
    <mergeCell ref="Z15:AW15"/>
    <mergeCell ref="AF27:AJ27"/>
    <mergeCell ref="BJ2:BS2"/>
    <mergeCell ref="AY2:BH2"/>
    <mergeCell ref="BJ22:BS22"/>
    <mergeCell ref="H2:Q3"/>
    <mergeCell ref="H8:N9"/>
    <mergeCell ref="H11:N12"/>
    <mergeCell ref="O8:Q9"/>
    <mergeCell ref="O11:Q12"/>
    <mergeCell ref="H5:N5"/>
    <mergeCell ref="O5:Q6"/>
    <mergeCell ref="H6:N6"/>
  </mergeCells>
  <dataValidations count="1">
    <dataValidation type="list" allowBlank="1" showInputMessage="1" showErrorMessage="1" sqref="AF27" xr:uid="{0A11A253-3C11-4144-AA16-BD6134953635}">
      <formula1>ListEmployeeNames</formula1>
    </dataValidation>
  </dataValidations>
  <hyperlinks>
    <hyperlink ref="H13" r:id="rId1" display="Spreadsheet provided by: www.YourSpreadsheets.co.uk" xr:uid="{625CFF07-E3CC-4CCC-AED3-99D9E7179A03}"/>
  </hyperlinks>
  <pageMargins left="0.7" right="0.7" top="0.75" bottom="0.75" header="0.3" footer="0.3"/>
  <pageSetup paperSize="9" scale="49" orientation="landscape" r:id="rId2"/>
  <colBreaks count="1" manualBreakCount="1">
    <brk id="71" max="36" man="1"/>
  </colBreak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autoPageBreaks="0"/>
  </sheetPr>
  <dimension ref="A1:BF39"/>
  <sheetViews>
    <sheetView showGridLines="0" showRowColHeaders="0" zoomScaleNormal="100" workbookViewId="0">
      <pane ySplit="11" topLeftCell="A12" activePane="bottomLeft" state="frozenSplit"/>
      <selection pane="bottomLeft" activeCell="C19" sqref="C19:J19"/>
    </sheetView>
  </sheetViews>
  <sheetFormatPr defaultColWidth="6.7109375" defaultRowHeight="15"/>
  <cols>
    <col min="1" max="1" width="4.5703125" style="79" customWidth="1"/>
    <col min="2" max="2" width="14.7109375" style="79" customWidth="1"/>
    <col min="3" max="3" width="6.7109375" style="22" customWidth="1"/>
    <col min="4" max="5" width="6.7109375" style="22"/>
    <col min="6" max="6" width="3" style="22" customWidth="1"/>
    <col min="7" max="9" width="6.7109375" style="22" customWidth="1"/>
    <col min="10" max="10" width="3" style="22" customWidth="1"/>
    <col min="11" max="18" width="6.7109375" style="22" customWidth="1"/>
    <col min="19" max="30" width="6.7109375" style="22" hidden="1" customWidth="1"/>
    <col min="31" max="31" width="6.7109375" style="22"/>
    <col min="32" max="32" width="6.7109375" style="22" customWidth="1"/>
    <col min="33" max="33" width="3.5703125" style="22" customWidth="1"/>
    <col min="34" max="36" width="6.28515625" style="22" customWidth="1"/>
    <col min="37" max="41" width="6.7109375" style="22"/>
    <col min="42" max="49" width="6.7109375" style="18"/>
    <col min="50" max="16384" width="6.7109375" style="22"/>
  </cols>
  <sheetData>
    <row r="1" spans="1:58" ht="17.100000000000001" customHeight="1">
      <c r="A1" s="66"/>
      <c r="B1" s="66"/>
      <c r="C1" s="1"/>
      <c r="D1" s="1"/>
      <c r="E1" s="1"/>
      <c r="F1" s="1"/>
      <c r="G1" s="1"/>
      <c r="H1" s="1"/>
      <c r="I1" s="1"/>
      <c r="J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2"/>
      <c r="AW1" s="20"/>
    </row>
    <row r="2" spans="1:58" ht="17.100000000000001" customHeight="1">
      <c r="A2" s="66"/>
      <c r="B2" s="66"/>
      <c r="C2" s="305" t="s">
        <v>15</v>
      </c>
      <c r="D2" s="306"/>
      <c r="E2" s="306"/>
      <c r="F2" s="306"/>
      <c r="G2" s="306"/>
      <c r="H2" s="306"/>
      <c r="I2" s="307"/>
      <c r="J2" s="1"/>
      <c r="K2" s="305" t="str">
        <f>IF(OR(Settings!$M$6=Settings!$W$6,Settings!$M$6=Settings!$W$7),"Organization:","Company:")</f>
        <v>Company:</v>
      </c>
      <c r="L2" s="306"/>
      <c r="M2" s="306"/>
      <c r="N2" s="314" t="str">
        <f>Settings!$M$3</f>
        <v>Accenture</v>
      </c>
      <c r="O2" s="315"/>
      <c r="P2" s="315"/>
      <c r="Q2" s="315"/>
      <c r="R2" s="315"/>
      <c r="S2" s="315"/>
      <c r="T2" s="315"/>
      <c r="U2" s="315"/>
      <c r="V2" s="315"/>
      <c r="W2" s="315"/>
      <c r="X2" s="315"/>
      <c r="Y2" s="315"/>
      <c r="Z2" s="315"/>
      <c r="AA2" s="315"/>
      <c r="AB2" s="315"/>
      <c r="AC2" s="315"/>
      <c r="AD2" s="315"/>
      <c r="AE2" s="315"/>
      <c r="AF2" s="316"/>
      <c r="AG2" s="1"/>
      <c r="AH2" s="1"/>
      <c r="AI2" s="1"/>
      <c r="AJ2" s="1"/>
      <c r="AK2" s="1"/>
      <c r="AL2" s="1"/>
      <c r="AM2" s="1"/>
      <c r="AN2" s="1"/>
      <c r="AO2" s="1"/>
      <c r="AP2" s="1"/>
      <c r="AQ2" s="1"/>
      <c r="AR2" s="1"/>
      <c r="AS2" s="23"/>
      <c r="AT2" s="19"/>
      <c r="AU2" s="19"/>
      <c r="AV2" s="19"/>
      <c r="AW2" s="20"/>
    </row>
    <row r="3" spans="1:58" ht="17.100000000000001" customHeight="1">
      <c r="A3" s="66"/>
      <c r="B3" s="66"/>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23"/>
      <c r="AT3" s="19"/>
      <c r="AU3" s="19"/>
      <c r="AV3" s="19"/>
      <c r="AW3" s="20"/>
    </row>
    <row r="4" spans="1:58" ht="17.100000000000001" customHeight="1">
      <c r="A4" s="66"/>
      <c r="B4" s="66"/>
      <c r="C4" s="320" t="s">
        <v>13</v>
      </c>
      <c r="D4" s="321"/>
      <c r="E4" s="321"/>
      <c r="F4" s="321"/>
      <c r="G4" s="321"/>
      <c r="H4" s="321"/>
      <c r="I4" s="322"/>
      <c r="J4" s="1"/>
      <c r="K4" s="305" t="s">
        <v>8</v>
      </c>
      <c r="L4" s="306"/>
      <c r="M4" s="306"/>
      <c r="N4" s="306"/>
      <c r="O4" s="306"/>
      <c r="P4" s="306"/>
      <c r="Q4" s="306"/>
      <c r="R4" s="306"/>
      <c r="S4" s="306"/>
      <c r="T4" s="306"/>
      <c r="U4" s="306"/>
      <c r="V4" s="306"/>
      <c r="W4" s="306"/>
      <c r="X4" s="306"/>
      <c r="Y4" s="306"/>
      <c r="Z4" s="306"/>
      <c r="AA4" s="306"/>
      <c r="AB4" s="306"/>
      <c r="AC4" s="306"/>
      <c r="AD4" s="307"/>
      <c r="AE4" s="305" t="s">
        <v>19</v>
      </c>
      <c r="AF4" s="307"/>
      <c r="AG4" s="1"/>
      <c r="AH4" s="1"/>
      <c r="AI4" s="1"/>
      <c r="AJ4" s="1"/>
      <c r="AK4" s="1"/>
      <c r="AL4" s="1"/>
      <c r="AM4" s="1"/>
      <c r="AN4" s="1"/>
      <c r="AO4" s="1"/>
      <c r="AP4" s="1"/>
      <c r="AQ4" s="1"/>
      <c r="AR4" s="1"/>
      <c r="AS4" s="23"/>
      <c r="AT4" s="19"/>
      <c r="AU4" s="24"/>
      <c r="AV4" s="24"/>
      <c r="AW4" s="20"/>
    </row>
    <row r="5" spans="1:58" ht="17.100000000000001" customHeight="1">
      <c r="A5" s="66"/>
      <c r="B5" s="66"/>
      <c r="C5" s="327" t="str">
        <f>Settings!$M$7&amp;":"</f>
        <v>Department:</v>
      </c>
      <c r="D5" s="328"/>
      <c r="E5" s="328"/>
      <c r="F5" s="328"/>
      <c r="G5" s="331" t="s">
        <v>135</v>
      </c>
      <c r="H5" s="331"/>
      <c r="I5" s="332"/>
      <c r="J5" s="1"/>
      <c r="K5" s="308" t="str">
        <f>IF(Settings!K14&lt;&gt;"",Settings!K14,"")</f>
        <v>Quality of Work</v>
      </c>
      <c r="L5" s="278" t="str">
        <f>IF(Settings!K15&lt;&gt;"",Settings!K15,"")</f>
        <v>CaLL flow</v>
      </c>
      <c r="M5" s="278" t="str">
        <f>IF(Settings!K16&lt;&gt;"",Settings!K16,"")</f>
        <v>Job Knowledge</v>
      </c>
      <c r="N5" s="278" t="str">
        <f>IF(Settings!K17&lt;&gt;"",Settings!K17,"")</f>
        <v>Client Service</v>
      </c>
      <c r="O5" s="278" t="str">
        <f>IF(Settings!K18&lt;&gt;"",Settings!K18,"")</f>
        <v>Teamwork</v>
      </c>
      <c r="P5" s="278" t="str">
        <f>IF(Settings!K19&lt;&gt;"",Settings!K19,"")</f>
        <v>Safety</v>
      </c>
      <c r="Q5" s="278" t="str">
        <f>IF(Settings!K20&lt;&gt;"",Settings!K20,"")</f>
        <v>Reliability</v>
      </c>
      <c r="R5" s="278" t="str">
        <f>IF(Settings!K21&lt;&gt;"",Settings!K21,"")</f>
        <v>Initiative/Adaptability</v>
      </c>
      <c r="S5" s="278" t="str">
        <f>IF(Settings!K22&lt;&gt;"",Settings!K22,"")</f>
        <v/>
      </c>
      <c r="T5" s="278" t="str">
        <f>IF(Settings!K23&lt;&gt;"",Settings!K23,"")</f>
        <v/>
      </c>
      <c r="U5" s="278" t="str">
        <f>IF(Settings!K24&lt;&gt;"",Settings!K24,"")</f>
        <v/>
      </c>
      <c r="V5" s="278" t="str">
        <f>IF(Settings!K25&lt;&gt;"",Settings!K25,"")</f>
        <v/>
      </c>
      <c r="W5" s="278" t="str">
        <f>IF(Settings!K26&lt;&gt;"",Settings!K26,"")</f>
        <v/>
      </c>
      <c r="X5" s="278" t="str">
        <f>IF(Settings!K27&lt;&gt;"",Settings!K27,"")</f>
        <v/>
      </c>
      <c r="Y5" s="278" t="str">
        <f>IF(Settings!K28&lt;&gt;"",Settings!K28,"")</f>
        <v/>
      </c>
      <c r="Z5" s="278" t="str">
        <f>IF(Settings!K29&lt;&gt;"",Settings!K29,"")</f>
        <v/>
      </c>
      <c r="AA5" s="278" t="str">
        <f>IF(Settings!K30&lt;&gt;"",Settings!K30,"")</f>
        <v/>
      </c>
      <c r="AB5" s="278" t="str">
        <f>IF(Settings!K31&lt;&gt;"",Settings!K31,"")</f>
        <v/>
      </c>
      <c r="AC5" s="278" t="str">
        <f>IF(Settings!K32&lt;&gt;"",Settings!K32,"")</f>
        <v/>
      </c>
      <c r="AD5" s="311" t="str">
        <f>IF(Settings!K33&lt;&gt;"",Settings!K33,"")</f>
        <v/>
      </c>
      <c r="AE5" s="317" t="s">
        <v>16</v>
      </c>
      <c r="AF5" s="282" t="s">
        <v>18</v>
      </c>
      <c r="AG5" s="1"/>
      <c r="AH5" s="1"/>
      <c r="AI5" s="1"/>
      <c r="AJ5" s="1"/>
      <c r="AK5" s="1"/>
      <c r="AL5" s="1"/>
      <c r="AM5" s="1"/>
      <c r="AN5" s="1"/>
      <c r="AO5" s="1"/>
      <c r="AP5" s="1"/>
      <c r="AQ5" s="1"/>
      <c r="AR5" s="1"/>
      <c r="AS5" s="1"/>
      <c r="AT5" s="1"/>
      <c r="AU5" s="1"/>
      <c r="AV5" s="1"/>
      <c r="AW5" s="1"/>
      <c r="AX5" s="1"/>
      <c r="AY5" s="1"/>
      <c r="AZ5" s="1"/>
      <c r="BA5" s="1"/>
      <c r="BB5" s="1"/>
      <c r="BC5" s="1"/>
      <c r="BD5" s="1"/>
      <c r="BE5" s="1"/>
      <c r="BF5" s="1"/>
    </row>
    <row r="6" spans="1:58" ht="17.100000000000001" customHeight="1">
      <c r="A6" s="66"/>
      <c r="B6" s="66"/>
      <c r="C6" s="325" t="s">
        <v>14</v>
      </c>
      <c r="D6" s="326"/>
      <c r="E6" s="326"/>
      <c r="F6" s="326"/>
      <c r="G6" s="329">
        <v>2019</v>
      </c>
      <c r="H6" s="329"/>
      <c r="I6" s="330"/>
      <c r="J6" s="1"/>
      <c r="K6" s="309" t="s">
        <v>104</v>
      </c>
      <c r="L6" s="279" t="s">
        <v>105</v>
      </c>
      <c r="M6" s="279" t="s">
        <v>106</v>
      </c>
      <c r="N6" s="279" t="s">
        <v>107</v>
      </c>
      <c r="O6" s="279" t="s">
        <v>108</v>
      </c>
      <c r="P6" s="279" t="s">
        <v>109</v>
      </c>
      <c r="Q6" s="279" t="s">
        <v>110</v>
      </c>
      <c r="R6" s="279" t="s">
        <v>111</v>
      </c>
      <c r="S6" s="279" t="s">
        <v>112</v>
      </c>
      <c r="T6" s="279" t="s">
        <v>113</v>
      </c>
      <c r="U6" s="279" t="s">
        <v>114</v>
      </c>
      <c r="V6" s="279" t="s">
        <v>115</v>
      </c>
      <c r="W6" s="279" t="s">
        <v>116</v>
      </c>
      <c r="X6" s="279" t="s">
        <v>117</v>
      </c>
      <c r="Y6" s="279" t="s">
        <v>118</v>
      </c>
      <c r="Z6" s="279" t="s">
        <v>119</v>
      </c>
      <c r="AA6" s="279" t="s">
        <v>120</v>
      </c>
      <c r="AB6" s="279" t="s">
        <v>121</v>
      </c>
      <c r="AC6" s="279" t="s">
        <v>122</v>
      </c>
      <c r="AD6" s="312" t="s">
        <v>123</v>
      </c>
      <c r="AE6" s="318"/>
      <c r="AF6" s="283"/>
      <c r="AG6" s="1"/>
      <c r="AH6" s="1"/>
      <c r="AI6" s="1"/>
      <c r="AJ6" s="1"/>
      <c r="AK6" s="1"/>
      <c r="AL6" s="1"/>
      <c r="AM6" s="1"/>
      <c r="AN6" s="1"/>
      <c r="AO6" s="1"/>
      <c r="AP6" s="1"/>
      <c r="AQ6" s="1"/>
      <c r="AR6" s="1"/>
      <c r="AS6" s="23"/>
      <c r="AT6" s="19"/>
      <c r="AU6" s="24"/>
      <c r="AV6" s="24"/>
      <c r="AW6" s="19"/>
    </row>
    <row r="7" spans="1:58" ht="17.100000000000001" customHeight="1">
      <c r="A7" s="66"/>
      <c r="B7" s="66"/>
      <c r="J7" s="1"/>
      <c r="K7" s="309" t="s">
        <v>104</v>
      </c>
      <c r="L7" s="279" t="s">
        <v>105</v>
      </c>
      <c r="M7" s="279" t="s">
        <v>106</v>
      </c>
      <c r="N7" s="279" t="s">
        <v>107</v>
      </c>
      <c r="O7" s="279" t="s">
        <v>108</v>
      </c>
      <c r="P7" s="279" t="s">
        <v>109</v>
      </c>
      <c r="Q7" s="279" t="s">
        <v>110</v>
      </c>
      <c r="R7" s="279" t="s">
        <v>111</v>
      </c>
      <c r="S7" s="279" t="s">
        <v>112</v>
      </c>
      <c r="T7" s="279" t="s">
        <v>113</v>
      </c>
      <c r="U7" s="279" t="s">
        <v>114</v>
      </c>
      <c r="V7" s="279" t="s">
        <v>115</v>
      </c>
      <c r="W7" s="279" t="s">
        <v>116</v>
      </c>
      <c r="X7" s="279" t="s">
        <v>117</v>
      </c>
      <c r="Y7" s="279" t="s">
        <v>118</v>
      </c>
      <c r="Z7" s="279" t="s">
        <v>119</v>
      </c>
      <c r="AA7" s="279" t="s">
        <v>120</v>
      </c>
      <c r="AB7" s="279" t="s">
        <v>121</v>
      </c>
      <c r="AC7" s="279" t="s">
        <v>122</v>
      </c>
      <c r="AD7" s="312" t="s">
        <v>123</v>
      </c>
      <c r="AE7" s="318"/>
      <c r="AF7" s="283"/>
      <c r="AG7" s="1"/>
      <c r="AH7" s="1"/>
      <c r="AI7" s="1"/>
      <c r="AJ7" s="1"/>
      <c r="AK7" s="1"/>
      <c r="AL7" s="1"/>
      <c r="AM7" s="1"/>
      <c r="AN7" s="1"/>
      <c r="AO7" s="1"/>
      <c r="AP7" s="1"/>
      <c r="AQ7" s="1"/>
      <c r="AR7" s="1"/>
      <c r="AS7" s="23"/>
      <c r="AT7" s="19"/>
      <c r="AU7" s="24"/>
      <c r="AV7" s="24"/>
      <c r="AW7" s="19"/>
    </row>
    <row r="8" spans="1:58" ht="17.100000000000001" customHeight="1">
      <c r="A8" s="66"/>
      <c r="B8" s="66"/>
      <c r="C8" s="323" t="s">
        <v>17</v>
      </c>
      <c r="D8" s="324"/>
      <c r="E8" s="324"/>
      <c r="F8" s="324"/>
      <c r="G8" s="301">
        <f ca="1">TODAY()</f>
        <v>44542</v>
      </c>
      <c r="H8" s="302"/>
      <c r="I8" s="303"/>
      <c r="J8" s="1"/>
      <c r="K8" s="309" t="s">
        <v>104</v>
      </c>
      <c r="L8" s="279" t="s">
        <v>105</v>
      </c>
      <c r="M8" s="279" t="s">
        <v>106</v>
      </c>
      <c r="N8" s="279" t="s">
        <v>107</v>
      </c>
      <c r="O8" s="279" t="s">
        <v>108</v>
      </c>
      <c r="P8" s="279" t="s">
        <v>109</v>
      </c>
      <c r="Q8" s="279" t="s">
        <v>110</v>
      </c>
      <c r="R8" s="279" t="s">
        <v>111</v>
      </c>
      <c r="S8" s="279" t="s">
        <v>112</v>
      </c>
      <c r="T8" s="279" t="s">
        <v>113</v>
      </c>
      <c r="U8" s="279" t="s">
        <v>114</v>
      </c>
      <c r="V8" s="279" t="s">
        <v>115</v>
      </c>
      <c r="W8" s="279" t="s">
        <v>116</v>
      </c>
      <c r="X8" s="279" t="s">
        <v>117</v>
      </c>
      <c r="Y8" s="279" t="s">
        <v>118</v>
      </c>
      <c r="Z8" s="279" t="s">
        <v>119</v>
      </c>
      <c r="AA8" s="279" t="s">
        <v>120</v>
      </c>
      <c r="AB8" s="279" t="s">
        <v>121</v>
      </c>
      <c r="AC8" s="279" t="s">
        <v>122</v>
      </c>
      <c r="AD8" s="312" t="s">
        <v>123</v>
      </c>
      <c r="AE8" s="318"/>
      <c r="AF8" s="283"/>
      <c r="AG8" s="1"/>
      <c r="AH8" s="1"/>
      <c r="AI8" s="1"/>
      <c r="AJ8" s="1"/>
      <c r="AK8" s="1"/>
      <c r="AL8" s="1"/>
      <c r="AM8" s="1"/>
      <c r="AN8" s="1"/>
      <c r="AO8" s="1"/>
      <c r="AP8" s="1"/>
      <c r="AQ8" s="1"/>
      <c r="AR8" s="1"/>
      <c r="AS8" s="23"/>
      <c r="AT8" s="19"/>
      <c r="AU8" s="24"/>
      <c r="AV8" s="24"/>
      <c r="AW8" s="19"/>
    </row>
    <row r="9" spans="1:58" ht="17.100000000000001" customHeight="1">
      <c r="A9" s="66"/>
      <c r="B9" s="66"/>
      <c r="C9" s="1"/>
      <c r="D9" s="1"/>
      <c r="E9" s="1"/>
      <c r="F9" s="1"/>
      <c r="G9" s="1"/>
      <c r="H9" s="1"/>
      <c r="I9" s="1"/>
      <c r="J9" s="1"/>
      <c r="K9" s="309" t="s">
        <v>104</v>
      </c>
      <c r="L9" s="279" t="s">
        <v>105</v>
      </c>
      <c r="M9" s="279" t="s">
        <v>106</v>
      </c>
      <c r="N9" s="279" t="s">
        <v>107</v>
      </c>
      <c r="O9" s="279" t="s">
        <v>108</v>
      </c>
      <c r="P9" s="279" t="s">
        <v>109</v>
      </c>
      <c r="Q9" s="279" t="s">
        <v>110</v>
      </c>
      <c r="R9" s="279" t="s">
        <v>111</v>
      </c>
      <c r="S9" s="279" t="s">
        <v>112</v>
      </c>
      <c r="T9" s="279" t="s">
        <v>113</v>
      </c>
      <c r="U9" s="279" t="s">
        <v>114</v>
      </c>
      <c r="V9" s="279" t="s">
        <v>115</v>
      </c>
      <c r="W9" s="279" t="s">
        <v>116</v>
      </c>
      <c r="X9" s="279" t="s">
        <v>117</v>
      </c>
      <c r="Y9" s="279" t="s">
        <v>118</v>
      </c>
      <c r="Z9" s="279" t="s">
        <v>119</v>
      </c>
      <c r="AA9" s="279" t="s">
        <v>120</v>
      </c>
      <c r="AB9" s="279" t="s">
        <v>121</v>
      </c>
      <c r="AC9" s="279" t="s">
        <v>122</v>
      </c>
      <c r="AD9" s="312" t="s">
        <v>123</v>
      </c>
      <c r="AE9" s="318"/>
      <c r="AF9" s="283"/>
      <c r="AG9" s="1"/>
      <c r="AH9" s="1"/>
      <c r="AI9" s="1"/>
      <c r="AJ9" s="1"/>
      <c r="AK9" s="1"/>
      <c r="AL9" s="1"/>
      <c r="AM9" s="1"/>
      <c r="AN9" s="1"/>
      <c r="AO9" s="1"/>
      <c r="AP9" s="1"/>
      <c r="AQ9" s="1"/>
      <c r="AR9" s="1"/>
      <c r="AS9" s="23"/>
      <c r="AT9" s="19"/>
      <c r="AU9" s="24"/>
      <c r="AV9" s="24"/>
      <c r="AW9" s="19"/>
    </row>
    <row r="10" spans="1:58" ht="17.100000000000001" customHeight="1">
      <c r="A10" s="66"/>
      <c r="B10" s="276" t="str">
        <f>Settings!$M$6&amp;" ID:"</f>
        <v>Employee ID:</v>
      </c>
      <c r="C10" s="285" t="str">
        <f>Settings!$M$6&amp;" name:"</f>
        <v>Employee name:</v>
      </c>
      <c r="D10" s="286"/>
      <c r="E10" s="286"/>
      <c r="F10" s="287"/>
      <c r="G10" s="285" t="str">
        <f>Settings!$M$7&amp;":"</f>
        <v>Department:</v>
      </c>
      <c r="H10" s="286"/>
      <c r="I10" s="286"/>
      <c r="J10" s="287"/>
      <c r="K10" s="309" t="s">
        <v>104</v>
      </c>
      <c r="L10" s="279" t="s">
        <v>105</v>
      </c>
      <c r="M10" s="279" t="s">
        <v>106</v>
      </c>
      <c r="N10" s="279" t="s">
        <v>107</v>
      </c>
      <c r="O10" s="279" t="s">
        <v>108</v>
      </c>
      <c r="P10" s="279" t="s">
        <v>109</v>
      </c>
      <c r="Q10" s="279" t="s">
        <v>110</v>
      </c>
      <c r="R10" s="279" t="s">
        <v>111</v>
      </c>
      <c r="S10" s="279" t="s">
        <v>112</v>
      </c>
      <c r="T10" s="279" t="s">
        <v>113</v>
      </c>
      <c r="U10" s="279" t="s">
        <v>114</v>
      </c>
      <c r="V10" s="279" t="s">
        <v>115</v>
      </c>
      <c r="W10" s="279" t="s">
        <v>116</v>
      </c>
      <c r="X10" s="279" t="s">
        <v>117</v>
      </c>
      <c r="Y10" s="279" t="s">
        <v>118</v>
      </c>
      <c r="Z10" s="279" t="s">
        <v>119</v>
      </c>
      <c r="AA10" s="279" t="s">
        <v>120</v>
      </c>
      <c r="AB10" s="279" t="s">
        <v>121</v>
      </c>
      <c r="AC10" s="279" t="s">
        <v>122</v>
      </c>
      <c r="AD10" s="312" t="s">
        <v>123</v>
      </c>
      <c r="AE10" s="318"/>
      <c r="AF10" s="283"/>
      <c r="AG10" s="1"/>
      <c r="AH10" s="1"/>
      <c r="AI10" s="1"/>
      <c r="AJ10" s="1"/>
      <c r="AK10" s="1"/>
      <c r="AL10" s="1"/>
      <c r="AM10" s="1"/>
      <c r="AN10" s="1"/>
      <c r="AO10" s="1"/>
      <c r="AP10" s="1"/>
      <c r="AQ10" s="1"/>
      <c r="AR10" s="1"/>
      <c r="AS10" s="23"/>
      <c r="AT10" s="19"/>
      <c r="AU10" s="24"/>
      <c r="AV10" s="24"/>
      <c r="AW10" s="19"/>
    </row>
    <row r="11" spans="1:58" ht="17.100000000000001" customHeight="1">
      <c r="A11" s="66"/>
      <c r="B11" s="277"/>
      <c r="C11" s="288"/>
      <c r="D11" s="289"/>
      <c r="E11" s="289"/>
      <c r="F11" s="290"/>
      <c r="G11" s="288"/>
      <c r="H11" s="289"/>
      <c r="I11" s="289"/>
      <c r="J11" s="290"/>
      <c r="K11" s="310" t="s">
        <v>104</v>
      </c>
      <c r="L11" s="280" t="s">
        <v>105</v>
      </c>
      <c r="M11" s="280" t="s">
        <v>106</v>
      </c>
      <c r="N11" s="280" t="s">
        <v>107</v>
      </c>
      <c r="O11" s="280" t="s">
        <v>108</v>
      </c>
      <c r="P11" s="280" t="s">
        <v>109</v>
      </c>
      <c r="Q11" s="280" t="s">
        <v>110</v>
      </c>
      <c r="R11" s="280" t="s">
        <v>111</v>
      </c>
      <c r="S11" s="280" t="s">
        <v>112</v>
      </c>
      <c r="T11" s="280" t="s">
        <v>113</v>
      </c>
      <c r="U11" s="280" t="s">
        <v>114</v>
      </c>
      <c r="V11" s="280" t="s">
        <v>115</v>
      </c>
      <c r="W11" s="280" t="s">
        <v>116</v>
      </c>
      <c r="X11" s="280" t="s">
        <v>117</v>
      </c>
      <c r="Y11" s="280" t="s">
        <v>118</v>
      </c>
      <c r="Z11" s="280" t="s">
        <v>119</v>
      </c>
      <c r="AA11" s="280" t="s">
        <v>120</v>
      </c>
      <c r="AB11" s="280" t="s">
        <v>121</v>
      </c>
      <c r="AC11" s="280" t="s">
        <v>122</v>
      </c>
      <c r="AD11" s="313" t="s">
        <v>123</v>
      </c>
      <c r="AE11" s="319"/>
      <c r="AF11" s="284"/>
      <c r="AG11" s="1"/>
      <c r="AH11" s="304" t="str">
        <f ca="1">IF(SUM(K12:AD15)&lt;&gt;SUM(AE12:AE15),"NOTE: incomplete review detected and excluded from statistics.","")</f>
        <v/>
      </c>
      <c r="AI11" s="304"/>
      <c r="AJ11" s="304"/>
      <c r="AK11" s="304"/>
      <c r="AL11" s="304"/>
      <c r="AM11" s="1"/>
      <c r="AN11" s="1"/>
      <c r="AO11" s="1"/>
      <c r="AP11" s="1"/>
      <c r="AQ11" s="1"/>
      <c r="AR11" s="1"/>
      <c r="AS11" s="23"/>
      <c r="AT11" s="19"/>
      <c r="AU11" s="24"/>
      <c r="AV11" s="24"/>
      <c r="AW11" s="19"/>
    </row>
    <row r="12" spans="1:58" ht="17.100000000000001" customHeight="1">
      <c r="A12" s="66"/>
      <c r="B12" s="109" t="str">
        <f>IF(Settings!H6="","",Settings!H6)</f>
        <v>makeylin.baker</v>
      </c>
      <c r="C12" s="273" t="str">
        <f>IF(Settings!E6="","",Settings!F6)</f>
        <v>baker makaylin</v>
      </c>
      <c r="D12" s="274"/>
      <c r="E12" s="274"/>
      <c r="F12" s="275"/>
      <c r="G12" s="270" t="str">
        <f>IF(Settings!I6="","",Settings!I6)</f>
        <v>Fo phones</v>
      </c>
      <c r="H12" s="271"/>
      <c r="I12" s="271"/>
      <c r="J12" s="272"/>
      <c r="K12" s="76">
        <f>IF(C12="","",SUMIFS(TblDatabase[Competency1],ListEmployeeNamesInDatabase,Overview!$C12,TblDatabase[Year],Overview!$G$6))</f>
        <v>0</v>
      </c>
      <c r="L12" s="72">
        <f>IF(C12="","",SUMIFS(TblDatabase[Competency2],ListEmployeeNamesInDatabase,Overview!$C12,TblDatabase[Year],Overview!$G$6))</f>
        <v>0</v>
      </c>
      <c r="M12" s="72">
        <f>IF(C12="","",SUMIFS(TblDatabase[Competency3],ListEmployeeNamesInDatabase,Overview!$C12,TblDatabase[Year],Overview!$G$6))</f>
        <v>0</v>
      </c>
      <c r="N12" s="72">
        <f>IF(C12="","",SUMIFS(TblDatabase[Competency4],ListEmployeeNamesInDatabase,Overview!$C12,TblDatabase[Year],Overview!$G$6))</f>
        <v>0</v>
      </c>
      <c r="O12" s="72">
        <f>IF(C12="","",SUMIFS(TblDatabase[Competency5],ListEmployeeNamesInDatabase,Overview!$C12,TblDatabase[Year],Overview!$G$6))</f>
        <v>0</v>
      </c>
      <c r="P12" s="72">
        <f>IF(C12="","",SUMIFS(TblDatabase[Competency6],ListEmployeeNamesInDatabase,Overview!$C12,TblDatabase[Year],Overview!$G$6))</f>
        <v>0</v>
      </c>
      <c r="Q12" s="72">
        <f>IF(C12="","",SUMIFS(TblDatabase[Competency7],ListEmployeeNamesInDatabase,Overview!$C12,TblDatabase[Year],Overview!$G$6))</f>
        <v>0</v>
      </c>
      <c r="R12" s="73">
        <f>IF(C12="","",SUMIFS(TblDatabase[Competency8],ListEmployeeNamesInDatabase,Overview!$C12,TblDatabase[Year],Overview!$G$6))</f>
        <v>0</v>
      </c>
      <c r="S12" s="73">
        <f>IF(C12="","",SUMIFS(TblDatabase[Competency9],ListEmployeeNamesInDatabase,Overview!$C12,TblDatabase[Year],Overview!$G$6))</f>
        <v>0</v>
      </c>
      <c r="T12" s="73">
        <f>IF(C12="","",SUMIFS(TblDatabase[Competency10],ListEmployeeNamesInDatabase,Overview!$C12,TblDatabase[Year],Overview!$G$6))</f>
        <v>0</v>
      </c>
      <c r="U12" s="73">
        <f>IF(C12="","",SUMIFS(TblDatabase[Competency11],ListEmployeeNamesInDatabase,Overview!$C12,TblDatabase[Year],Overview!$G$6))</f>
        <v>0</v>
      </c>
      <c r="V12" s="73">
        <f>IF(C12="","",SUMIFS(TblDatabase[Competency12],ListEmployeeNamesInDatabase,Overview!$C12,TblDatabase[Year],Overview!$G$6))</f>
        <v>0</v>
      </c>
      <c r="W12" s="73">
        <f>IF(C12="","",SUMIFS(TblDatabase[Competency13],ListEmployeeNamesInDatabase,Overview!$C12,TblDatabase[Year],Overview!$G$6))</f>
        <v>0</v>
      </c>
      <c r="X12" s="73">
        <f>IF(C12="","",SUMIFS(TblDatabase[Competency14],ListEmployeeNamesInDatabase,Overview!$C12,TblDatabase[Year],Overview!$G$6))</f>
        <v>0</v>
      </c>
      <c r="Y12" s="73">
        <f>IF(C12="","",SUMIFS(TblDatabase[Competency15],ListEmployeeNamesInDatabase,Overview!$C12,TblDatabase[Year],Overview!$G$6))</f>
        <v>0</v>
      </c>
      <c r="Z12" s="73">
        <f>IF(C12="","",SUMIFS(TblDatabase[Competency16],ListEmployeeNamesInDatabase,Overview!$C12,TblDatabase[Year],Overview!$G$6))</f>
        <v>0</v>
      </c>
      <c r="AA12" s="73">
        <f>IF(C12="","",SUMIFS(TblDatabase[Competency17],ListEmployeeNamesInDatabase,Overview!$C12,TblDatabase[Year],Overview!$G$6))</f>
        <v>0</v>
      </c>
      <c r="AB12" s="73">
        <f>IF(C12="","",SUMIFS(TblDatabase[Competency18],ListEmployeeNamesInDatabase,Overview!$C12,TblDatabase[Year],Overview!$G$6))</f>
        <v>0</v>
      </c>
      <c r="AC12" s="73">
        <f>IF(C12="","",SUMIFS(TblDatabase[Competency19],ListEmployeeNamesInDatabase,Overview!$C12,TblDatabase[Year],Overview!$G$6))</f>
        <v>0</v>
      </c>
      <c r="AD12" s="74">
        <f>IF(C12="","",SUMIFS(TblDatabase[Competency20],ListEmployeeNamesInDatabase,Overview!$C12,TblDatabase[Year],Overview!$G$6))</f>
        <v>0</v>
      </c>
      <c r="AE12" s="71">
        <f t="shared" ref="AE12" ca="1" si="0">IF(C12="","",IF(COUNTIF(K12:AD12,"&gt;0")&lt;NumberOfCompetencies,0,SUM(OFFSET(K12,0,0,1,NumberOfCompetencies))))</f>
        <v>0</v>
      </c>
      <c r="AF12" s="75">
        <f t="shared" ref="AF12" ca="1" si="1">IF(C12="","",AE12/NumberOfCompetencies)</f>
        <v>0</v>
      </c>
      <c r="AG12" s="1"/>
      <c r="AH12" s="304"/>
      <c r="AI12" s="304"/>
      <c r="AJ12" s="304"/>
      <c r="AK12" s="304"/>
      <c r="AL12" s="304"/>
      <c r="AM12" s="1"/>
      <c r="AN12" s="1"/>
      <c r="AO12" s="1"/>
      <c r="AP12" s="1"/>
      <c r="AQ12" s="1"/>
      <c r="AR12" s="1"/>
      <c r="AS12" s="23"/>
      <c r="AT12" s="19"/>
      <c r="AU12" s="24"/>
      <c r="AV12" s="24"/>
      <c r="AW12" s="19"/>
    </row>
    <row r="13" spans="1:58" ht="17.100000000000001" customHeight="1">
      <c r="A13" s="66"/>
      <c r="B13" s="109" t="str">
        <f>IF(Settings!H7="","",Settings!H7)</f>
        <v>E123460</v>
      </c>
      <c r="C13" s="273" t="str">
        <f>IF(Settings!E7="","",Settings!F7)</f>
        <v>Bartholomew Danette</v>
      </c>
      <c r="D13" s="274"/>
      <c r="E13" s="274"/>
      <c r="F13" s="275"/>
      <c r="G13" s="270" t="str">
        <f>IF(Settings!I7="","",Settings!I7)</f>
        <v>Revit technicians</v>
      </c>
      <c r="H13" s="271"/>
      <c r="I13" s="271"/>
      <c r="J13" s="272"/>
      <c r="K13" s="76">
        <f>IF(C13="","",SUMIFS(TblDatabase[Competency1],ListEmployeeNamesInDatabase,Overview!$C13,TblDatabase[Year],Overview!$G$6))</f>
        <v>0</v>
      </c>
      <c r="L13" s="72">
        <f>IF(C13="","",SUMIFS(TblDatabase[Competency2],ListEmployeeNamesInDatabase,Overview!$C13,TblDatabase[Year],Overview!$G$6))</f>
        <v>0</v>
      </c>
      <c r="M13" s="72">
        <f>IF(C13="","",SUMIFS(TblDatabase[Competency3],ListEmployeeNamesInDatabase,Overview!$C13,TblDatabase[Year],Overview!$G$6))</f>
        <v>0</v>
      </c>
      <c r="N13" s="72">
        <f>IF(C13="","",SUMIFS(TblDatabase[Competency4],ListEmployeeNamesInDatabase,Overview!$C13,TblDatabase[Year],Overview!$G$6))</f>
        <v>0</v>
      </c>
      <c r="O13" s="72">
        <f>IF(C13="","",SUMIFS(TblDatabase[Competency5],ListEmployeeNamesInDatabase,Overview!$C13,TblDatabase[Year],Overview!$G$6))</f>
        <v>0</v>
      </c>
      <c r="P13" s="72">
        <f>IF(C13="","",SUMIFS(TblDatabase[Competency6],ListEmployeeNamesInDatabase,Overview!$C13,TblDatabase[Year],Overview!$G$6))</f>
        <v>0</v>
      </c>
      <c r="Q13" s="72">
        <f>IF(C13="","",SUMIFS(TblDatabase[Competency7],ListEmployeeNamesInDatabase,Overview!$C13,TblDatabase[Year],Overview!$G$6))</f>
        <v>0</v>
      </c>
      <c r="R13" s="73">
        <f>IF(C13="","",SUMIFS(TblDatabase[Competency8],ListEmployeeNamesInDatabase,Overview!$C13,TblDatabase[Year],Overview!$G$6))</f>
        <v>0</v>
      </c>
      <c r="S13" s="73">
        <f>IF(C13="","",SUMIFS(TblDatabase[Competency9],ListEmployeeNamesInDatabase,Overview!$C13,TblDatabase[Year],Overview!$G$6))</f>
        <v>0</v>
      </c>
      <c r="T13" s="73">
        <f>IF(C13="","",SUMIFS(TblDatabase[Competency10],ListEmployeeNamesInDatabase,Overview!$C13,TblDatabase[Year],Overview!$G$6))</f>
        <v>0</v>
      </c>
      <c r="U13" s="73">
        <f>IF(C13="","",SUMIFS(TblDatabase[Competency11],ListEmployeeNamesInDatabase,Overview!$C13,TblDatabase[Year],Overview!$G$6))</f>
        <v>0</v>
      </c>
      <c r="V13" s="73">
        <f>IF(C13="","",SUMIFS(TblDatabase[Competency12],ListEmployeeNamesInDatabase,Overview!$C13,TblDatabase[Year],Overview!$G$6))</f>
        <v>0</v>
      </c>
      <c r="W13" s="73">
        <f>IF(C13="","",SUMIFS(TblDatabase[Competency13],ListEmployeeNamesInDatabase,Overview!$C13,TblDatabase[Year],Overview!$G$6))</f>
        <v>0</v>
      </c>
      <c r="X13" s="73">
        <f>IF(C13="","",SUMIFS(TblDatabase[Competency14],ListEmployeeNamesInDatabase,Overview!$C13,TblDatabase[Year],Overview!$G$6))</f>
        <v>0</v>
      </c>
      <c r="Y13" s="73">
        <f>IF(C13="","",SUMIFS(TblDatabase[Competency15],ListEmployeeNamesInDatabase,Overview!$C13,TblDatabase[Year],Overview!$G$6))</f>
        <v>0</v>
      </c>
      <c r="Z13" s="73">
        <f>IF(C13="","",SUMIFS(TblDatabase[Competency16],ListEmployeeNamesInDatabase,Overview!$C13,TblDatabase[Year],Overview!$G$6))</f>
        <v>0</v>
      </c>
      <c r="AA13" s="73">
        <f>IF(C13="","",SUMIFS(TblDatabase[Competency17],ListEmployeeNamesInDatabase,Overview!$C13,TblDatabase[Year],Overview!$G$6))</f>
        <v>0</v>
      </c>
      <c r="AB13" s="73">
        <f>IF(C13="","",SUMIFS(TblDatabase[Competency18],ListEmployeeNamesInDatabase,Overview!$C13,TblDatabase[Year],Overview!$G$6))</f>
        <v>0</v>
      </c>
      <c r="AC13" s="73">
        <f>IF(C13="","",SUMIFS(TblDatabase[Competency19],ListEmployeeNamesInDatabase,Overview!$C13,TblDatabase[Year],Overview!$G$6))</f>
        <v>0</v>
      </c>
      <c r="AD13" s="74">
        <f>IF(C13="","",SUMIFS(TblDatabase[Competency20],ListEmployeeNamesInDatabase,Overview!$C13,TblDatabase[Year],Overview!$G$6))</f>
        <v>0</v>
      </c>
      <c r="AE13" s="71">
        <f t="shared" ref="AE13:AE15" ca="1" si="2">IF(C13="","",IF(COUNTIF(K13:AD13,"&gt;0")&lt;NumberOfCompetencies,0,SUM(OFFSET(K13,0,0,1,NumberOfCompetencies))))</f>
        <v>0</v>
      </c>
      <c r="AF13" s="75">
        <f t="shared" ref="AF13:AF15" ca="1" si="3">IF(C13="","",AE13/NumberOfCompetencies)</f>
        <v>0</v>
      </c>
      <c r="AG13" s="1"/>
      <c r="AH13" s="1"/>
      <c r="AI13" s="1"/>
      <c r="AJ13" s="1"/>
      <c r="AK13" s="1"/>
      <c r="AL13" s="1"/>
      <c r="AM13" s="1"/>
      <c r="AN13" s="1"/>
      <c r="AO13" s="1"/>
      <c r="AP13" s="1"/>
      <c r="AQ13" s="1"/>
      <c r="AR13" s="1"/>
      <c r="AS13" s="23"/>
      <c r="AT13" s="19"/>
      <c r="AU13" s="24"/>
      <c r="AV13" s="24"/>
      <c r="AW13" s="19"/>
    </row>
    <row r="14" spans="1:58" ht="17.100000000000001" customHeight="1">
      <c r="A14" s="66"/>
      <c r="B14" s="109" t="str">
        <f>IF(Settings!H8="","",Settings!H8)</f>
        <v>E123458</v>
      </c>
      <c r="C14" s="273" t="str">
        <f>IF(Settings!E8="","",Settings!F8)</f>
        <v>Ruark Nola</v>
      </c>
      <c r="D14" s="274"/>
      <c r="E14" s="274"/>
      <c r="F14" s="275"/>
      <c r="G14" s="270" t="str">
        <f>IF(Settings!I8="","",Settings!I8)</f>
        <v>Architectural</v>
      </c>
      <c r="H14" s="271"/>
      <c r="I14" s="271"/>
      <c r="J14" s="272"/>
      <c r="K14" s="76">
        <f>IF(C14="","",SUMIFS(TblDatabase[Competency1],ListEmployeeNamesInDatabase,Overview!$C14,TblDatabase[Year],Overview!$G$6))</f>
        <v>0</v>
      </c>
      <c r="L14" s="72">
        <f>IF(C14="","",SUMIFS(TblDatabase[Competency2],ListEmployeeNamesInDatabase,Overview!$C14,TblDatabase[Year],Overview!$G$6))</f>
        <v>0</v>
      </c>
      <c r="M14" s="72">
        <f>IF(C14="","",SUMIFS(TblDatabase[Competency3],ListEmployeeNamesInDatabase,Overview!$C14,TblDatabase[Year],Overview!$G$6))</f>
        <v>0</v>
      </c>
      <c r="N14" s="72">
        <f>IF(C14="","",SUMIFS(TblDatabase[Competency4],ListEmployeeNamesInDatabase,Overview!$C14,TblDatabase[Year],Overview!$G$6))</f>
        <v>0</v>
      </c>
      <c r="O14" s="72">
        <f>IF(C14="","",SUMIFS(TblDatabase[Competency5],ListEmployeeNamesInDatabase,Overview!$C14,TblDatabase[Year],Overview!$G$6))</f>
        <v>0</v>
      </c>
      <c r="P14" s="72">
        <f>IF(C14="","",SUMIFS(TblDatabase[Competency6],ListEmployeeNamesInDatabase,Overview!$C14,TblDatabase[Year],Overview!$G$6))</f>
        <v>0</v>
      </c>
      <c r="Q14" s="72">
        <f>IF(C14="","",SUMIFS(TblDatabase[Competency7],ListEmployeeNamesInDatabase,Overview!$C14,TblDatabase[Year],Overview!$G$6))</f>
        <v>0</v>
      </c>
      <c r="R14" s="73">
        <f>IF(C14="","",SUMIFS(TblDatabase[Competency8],ListEmployeeNamesInDatabase,Overview!$C14,TblDatabase[Year],Overview!$G$6))</f>
        <v>0</v>
      </c>
      <c r="S14" s="73">
        <f>IF(C14="","",SUMIFS(TblDatabase[Competency9],ListEmployeeNamesInDatabase,Overview!$C14,TblDatabase[Year],Overview!$G$6))</f>
        <v>0</v>
      </c>
      <c r="T14" s="73">
        <f>IF(C14="","",SUMIFS(TblDatabase[Competency10],ListEmployeeNamesInDatabase,Overview!$C14,TblDatabase[Year],Overview!$G$6))</f>
        <v>0</v>
      </c>
      <c r="U14" s="73">
        <f>IF(C14="","",SUMIFS(TblDatabase[Competency11],ListEmployeeNamesInDatabase,Overview!$C14,TblDatabase[Year],Overview!$G$6))</f>
        <v>0</v>
      </c>
      <c r="V14" s="73">
        <f>IF(C14="","",SUMIFS(TblDatabase[Competency12],ListEmployeeNamesInDatabase,Overview!$C14,TblDatabase[Year],Overview!$G$6))</f>
        <v>0</v>
      </c>
      <c r="W14" s="73">
        <f>IF(C14="","",SUMIFS(TblDatabase[Competency13],ListEmployeeNamesInDatabase,Overview!$C14,TblDatabase[Year],Overview!$G$6))</f>
        <v>0</v>
      </c>
      <c r="X14" s="73">
        <f>IF(C14="","",SUMIFS(TblDatabase[Competency14],ListEmployeeNamesInDatabase,Overview!$C14,TblDatabase[Year],Overview!$G$6))</f>
        <v>0</v>
      </c>
      <c r="Y14" s="73">
        <f>IF(C14="","",SUMIFS(TblDatabase[Competency15],ListEmployeeNamesInDatabase,Overview!$C14,TblDatabase[Year],Overview!$G$6))</f>
        <v>0</v>
      </c>
      <c r="Z14" s="73">
        <f>IF(C14="","",SUMIFS(TblDatabase[Competency16],ListEmployeeNamesInDatabase,Overview!$C14,TblDatabase[Year],Overview!$G$6))</f>
        <v>0</v>
      </c>
      <c r="AA14" s="73">
        <f>IF(C14="","",SUMIFS(TblDatabase[Competency17],ListEmployeeNamesInDatabase,Overview!$C14,TblDatabase[Year],Overview!$G$6))</f>
        <v>0</v>
      </c>
      <c r="AB14" s="73">
        <f>IF(C14="","",SUMIFS(TblDatabase[Competency18],ListEmployeeNamesInDatabase,Overview!$C14,TblDatabase[Year],Overview!$G$6))</f>
        <v>0</v>
      </c>
      <c r="AC14" s="73">
        <f>IF(C14="","",SUMIFS(TblDatabase[Competency19],ListEmployeeNamesInDatabase,Overview!$C14,TblDatabase[Year],Overview!$G$6))</f>
        <v>0</v>
      </c>
      <c r="AD14" s="74">
        <f>IF(C14="","",SUMIFS(TblDatabase[Competency20],ListEmployeeNamesInDatabase,Overview!$C14,TblDatabase[Year],Overview!$G$6))</f>
        <v>0</v>
      </c>
      <c r="AE14" s="71">
        <f t="shared" ca="1" si="2"/>
        <v>0</v>
      </c>
      <c r="AF14" s="75">
        <f t="shared" ca="1" si="3"/>
        <v>0</v>
      </c>
      <c r="AG14" s="1"/>
      <c r="AH14" s="1"/>
      <c r="AI14" s="1"/>
      <c r="AJ14" s="1"/>
      <c r="AK14" s="1"/>
      <c r="AL14" s="1"/>
      <c r="AM14" s="1"/>
      <c r="AN14" s="1"/>
      <c r="AO14" s="1"/>
      <c r="AP14" s="1"/>
      <c r="AQ14" s="1"/>
      <c r="AR14" s="1"/>
      <c r="AS14" s="23"/>
      <c r="AT14" s="19"/>
      <c r="AU14" s="24"/>
      <c r="AV14" s="24"/>
      <c r="AW14" s="19"/>
    </row>
    <row r="15" spans="1:58" ht="17.100000000000001" customHeight="1">
      <c r="A15" s="66"/>
      <c r="B15" s="109" t="str">
        <f>IF(Settings!H9="","",Settings!H9)</f>
        <v/>
      </c>
      <c r="C15" s="273" t="str">
        <f>IF(Settings!E9="","",Settings!F9)</f>
        <v/>
      </c>
      <c r="D15" s="274"/>
      <c r="E15" s="274"/>
      <c r="F15" s="275"/>
      <c r="G15" s="270" t="str">
        <f>IF(Settings!I9="","",Settings!I9)</f>
        <v/>
      </c>
      <c r="H15" s="271"/>
      <c r="I15" s="271"/>
      <c r="J15" s="272"/>
      <c r="K15" s="76" t="str">
        <f>IF(C15="","",SUMIFS(TblDatabase[Competency1],ListEmployeeNamesInDatabase,Overview!$C15,TblDatabase[Year],Overview!$G$6))</f>
        <v/>
      </c>
      <c r="L15" s="72" t="str">
        <f>IF(C15="","",SUMIFS(TblDatabase[Competency2],ListEmployeeNamesInDatabase,Overview!$C15,TblDatabase[Year],Overview!$G$6))</f>
        <v/>
      </c>
      <c r="M15" s="72" t="str">
        <f>IF(C15="","",SUMIFS(TblDatabase[Competency3],ListEmployeeNamesInDatabase,Overview!$C15,TblDatabase[Year],Overview!$G$6))</f>
        <v/>
      </c>
      <c r="N15" s="72" t="str">
        <f>IF(C15="","",SUMIFS(TblDatabase[Competency4],ListEmployeeNamesInDatabase,Overview!$C15,TblDatabase[Year],Overview!$G$6))</f>
        <v/>
      </c>
      <c r="O15" s="72" t="str">
        <f>IF(C15="","",SUMIFS(TblDatabase[Competency5],ListEmployeeNamesInDatabase,Overview!$C15,TblDatabase[Year],Overview!$G$6))</f>
        <v/>
      </c>
      <c r="P15" s="72" t="str">
        <f>IF(C15="","",SUMIFS(TblDatabase[Competency6],ListEmployeeNamesInDatabase,Overview!$C15,TblDatabase[Year],Overview!$G$6))</f>
        <v/>
      </c>
      <c r="Q15" s="72" t="str">
        <f>IF(C15="","",SUMIFS(TblDatabase[Competency7],ListEmployeeNamesInDatabase,Overview!$C15,TblDatabase[Year],Overview!$G$6))</f>
        <v/>
      </c>
      <c r="R15" s="73" t="str">
        <f>IF(C15="","",SUMIFS(TblDatabase[Competency8],ListEmployeeNamesInDatabase,Overview!$C15,TblDatabase[Year],Overview!$G$6))</f>
        <v/>
      </c>
      <c r="S15" s="73" t="str">
        <f>IF(C15="","",SUMIFS(TblDatabase[Competency9],ListEmployeeNamesInDatabase,Overview!$C15,TblDatabase[Year],Overview!$G$6))</f>
        <v/>
      </c>
      <c r="T15" s="73" t="str">
        <f>IF(C15="","",SUMIFS(TblDatabase[Competency10],ListEmployeeNamesInDatabase,Overview!$C15,TblDatabase[Year],Overview!$G$6))</f>
        <v/>
      </c>
      <c r="U15" s="73" t="str">
        <f>IF(C15="","",SUMIFS(TblDatabase[Competency11],ListEmployeeNamesInDatabase,Overview!$C15,TblDatabase[Year],Overview!$G$6))</f>
        <v/>
      </c>
      <c r="V15" s="73" t="str">
        <f>IF(C15="","",SUMIFS(TblDatabase[Competency12],ListEmployeeNamesInDatabase,Overview!$C15,TblDatabase[Year],Overview!$G$6))</f>
        <v/>
      </c>
      <c r="W15" s="73" t="str">
        <f>IF(C15="","",SUMIFS(TblDatabase[Competency13],ListEmployeeNamesInDatabase,Overview!$C15,TblDatabase[Year],Overview!$G$6))</f>
        <v/>
      </c>
      <c r="X15" s="73" t="str">
        <f>IF(C15="","",SUMIFS(TblDatabase[Competency14],ListEmployeeNamesInDatabase,Overview!$C15,TblDatabase[Year],Overview!$G$6))</f>
        <v/>
      </c>
      <c r="Y15" s="73" t="str">
        <f>IF(C15="","",SUMIFS(TblDatabase[Competency15],ListEmployeeNamesInDatabase,Overview!$C15,TblDatabase[Year],Overview!$G$6))</f>
        <v/>
      </c>
      <c r="Z15" s="73" t="str">
        <f>IF(C15="","",SUMIFS(TblDatabase[Competency16],ListEmployeeNamesInDatabase,Overview!$C15,TblDatabase[Year],Overview!$G$6))</f>
        <v/>
      </c>
      <c r="AA15" s="73" t="str">
        <f>IF(C15="","",SUMIFS(TblDatabase[Competency17],ListEmployeeNamesInDatabase,Overview!$C15,TblDatabase[Year],Overview!$G$6))</f>
        <v/>
      </c>
      <c r="AB15" s="73" t="str">
        <f>IF(C15="","",SUMIFS(TblDatabase[Competency18],ListEmployeeNamesInDatabase,Overview!$C15,TblDatabase[Year],Overview!$G$6))</f>
        <v/>
      </c>
      <c r="AC15" s="73" t="str">
        <f>IF(C15="","",SUMIFS(TblDatabase[Competency19],ListEmployeeNamesInDatabase,Overview!$C15,TblDatabase[Year],Overview!$G$6))</f>
        <v/>
      </c>
      <c r="AD15" s="74" t="str">
        <f>IF(C15="","",SUMIFS(TblDatabase[Competency20],ListEmployeeNamesInDatabase,Overview!$C15,TblDatabase[Year],Overview!$G$6))</f>
        <v/>
      </c>
      <c r="AE15" s="71" t="str">
        <f t="shared" ca="1" si="2"/>
        <v/>
      </c>
      <c r="AF15" s="75" t="str">
        <f t="shared" si="3"/>
        <v/>
      </c>
      <c r="AG15" s="1"/>
      <c r="AH15" s="1"/>
      <c r="AI15" s="1"/>
      <c r="AJ15" s="1"/>
      <c r="AK15" s="1"/>
      <c r="AL15" s="1"/>
      <c r="AM15" s="1"/>
      <c r="AN15" s="1"/>
      <c r="AO15" s="1"/>
      <c r="AP15" s="1"/>
      <c r="AQ15" s="1"/>
      <c r="AR15" s="1"/>
      <c r="AS15" s="1"/>
      <c r="AT15" s="1"/>
      <c r="AU15" s="1"/>
      <c r="AV15" s="1"/>
      <c r="AW15" s="1"/>
      <c r="AX15" s="1"/>
      <c r="AY15" s="1"/>
      <c r="AZ15" s="1"/>
      <c r="BA15" s="1"/>
      <c r="BB15" s="1"/>
      <c r="BC15" s="1"/>
    </row>
    <row r="16" spans="1:58" ht="17.100000000000001" customHeight="1">
      <c r="A16" s="66"/>
      <c r="B16" s="169"/>
      <c r="C16" s="295" t="str">
        <f>IF(Settings!$M$4=Settings!$Y$3,"Legend: "&amp;Settings!N19&amp;" - "&amp;Settings!O19&amp;"; "&amp;Settings!N20&amp;" - "&amp;Settings!O20&amp;"; "&amp;Settings!N21&amp;" - "&amp;Settings!O21,IF(Settings!$M$4=Settings!$Y$4,"Legend: 10-point rating system. 10 being the best","Legend: 10-point rating system. 1 being the best"))</f>
        <v>Legend: 10-point rating system. 10 being the best</v>
      </c>
      <c r="D16" s="296"/>
      <c r="E16" s="296"/>
      <c r="F16" s="296"/>
      <c r="G16" s="296"/>
      <c r="H16" s="296"/>
      <c r="I16" s="296"/>
      <c r="J16" s="296"/>
      <c r="K16" s="296"/>
      <c r="L16" s="296"/>
      <c r="M16" s="296"/>
      <c r="N16" s="296"/>
      <c r="O16" s="296"/>
      <c r="P16" s="296"/>
      <c r="Q16" s="296"/>
      <c r="R16" s="296"/>
      <c r="S16" s="296"/>
      <c r="T16" s="296"/>
      <c r="U16" s="296"/>
      <c r="V16" s="296"/>
      <c r="W16" s="296"/>
      <c r="X16" s="296"/>
      <c r="Y16" s="296"/>
      <c r="Z16" s="296"/>
      <c r="AA16" s="296"/>
      <c r="AB16" s="296"/>
      <c r="AC16" s="296"/>
      <c r="AD16" s="296"/>
      <c r="AE16" s="296"/>
      <c r="AF16" s="297"/>
      <c r="AG16" s="1"/>
      <c r="AH16" s="1"/>
      <c r="AI16" s="1"/>
      <c r="AJ16" s="1"/>
      <c r="AK16" s="1"/>
      <c r="AL16" s="1"/>
      <c r="AM16" s="1"/>
      <c r="AN16" s="1"/>
      <c r="AO16" s="1"/>
      <c r="AP16" s="1"/>
      <c r="AQ16" s="1"/>
      <c r="AR16" s="1"/>
      <c r="AS16" s="23"/>
      <c r="AT16" s="19"/>
      <c r="AU16" s="19"/>
      <c r="AV16" s="19"/>
    </row>
    <row r="17" spans="1:49" ht="17.100000000000001" customHeight="1">
      <c r="A17" s="66"/>
      <c r="B17" s="66"/>
      <c r="C17" s="298" t="str">
        <f>IF(GroupSelection&lt;&gt;Settings!$AA$5,Settings!$M$7&amp;" total:",IF(OR(Settings!$M$6=Settings!$W$6,Settings!$M$6=Settings!$W$7),"Organization","Company")&amp;" total:")</f>
        <v>Company total:</v>
      </c>
      <c r="D17" s="299"/>
      <c r="E17" s="299"/>
      <c r="F17" s="299"/>
      <c r="G17" s="299"/>
      <c r="H17" s="299"/>
      <c r="I17" s="299"/>
      <c r="J17" s="300"/>
      <c r="K17" s="32">
        <f>IF(K5&lt;&gt;"",IF(GroupSelection&lt;&gt;Settings!$AA$5,SUMIFS(K12:K15,$G12:$G15,GroupSelection,K12:K15,"&lt;&gt;0"),SUMIF(K12:K15,"&lt;&gt;0")),"")</f>
        <v>0</v>
      </c>
      <c r="L17" s="33">
        <f>IF(L5&lt;&gt;"",IF(GroupSelection&lt;&gt;Settings!$AA$5,SUMIFS(L12:L15,$G12:$G15,GroupSelection,L12:L15,"&lt;&gt;0"),SUMIF(L12:L15,"&lt;&gt;0")),"")</f>
        <v>0</v>
      </c>
      <c r="M17" s="33">
        <f>IF(M5&lt;&gt;"",IF(GroupSelection&lt;&gt;Settings!$AA$5,SUMIFS(M12:M15,$G12:$G15,GroupSelection,M12:M15,"&lt;&gt;0"),SUMIF(M12:M15,"&lt;&gt;0")),"")</f>
        <v>0</v>
      </c>
      <c r="N17" s="33">
        <f>IF(N5&lt;&gt;"",IF(GroupSelection&lt;&gt;Settings!$AA$5,SUMIFS(N12:N15,$G12:$G15,GroupSelection,N12:N15,"&lt;&gt;0"),SUMIF(N12:N15,"&lt;&gt;0")),"")</f>
        <v>0</v>
      </c>
      <c r="O17" s="33">
        <f>IF(O5&lt;&gt;"",IF(GroupSelection&lt;&gt;Settings!$AA$5,SUMIFS(O12:O15,$G12:$G15,GroupSelection,O12:O15,"&lt;&gt;0"),SUMIF(O12:O15,"&lt;&gt;0")),"")</f>
        <v>0</v>
      </c>
      <c r="P17" s="33">
        <f>IF(P5&lt;&gt;"",IF(GroupSelection&lt;&gt;Settings!$AA$5,SUMIFS(P12:P15,$G12:$G15,GroupSelection,P12:P15,"&lt;&gt;0"),SUMIF(P12:P15,"&lt;&gt;0")),"")</f>
        <v>0</v>
      </c>
      <c r="Q17" s="33">
        <f>IF(Q5&lt;&gt;"",IF(GroupSelection&lt;&gt;Settings!$AA$5,SUMIFS(Q12:Q15,$G12:$G15,GroupSelection,Q12:Q15,"&lt;&gt;0"),SUMIF(Q12:Q15,"&lt;&gt;0")),"")</f>
        <v>0</v>
      </c>
      <c r="R17" s="48">
        <f>IF(R5&lt;&gt;"",IF(GroupSelection&lt;&gt;Settings!$AA$5,SUMIFS(R12:R15,$G12:$G15,GroupSelection,R12:R15,"&lt;&gt;0"),SUMIF(R12:R15,"&lt;&gt;0")),"")</f>
        <v>0</v>
      </c>
      <c r="S17" s="48" t="str">
        <f>IF(S5&lt;&gt;"",IF(GroupSelection&lt;&gt;Settings!$AA$5,SUMIFS(S12:S15,$G12:$G15,GroupSelection,S12:S15,"&lt;&gt;0"),SUMIF(S12:S15,"&lt;&gt;0")),"")</f>
        <v/>
      </c>
      <c r="T17" s="48" t="str">
        <f>IF(T5&lt;&gt;"",IF(GroupSelection&lt;&gt;Settings!$AA$5,SUMIFS(T12:T15,$G12:$G15,GroupSelection,T12:T15,"&lt;&gt;0"),SUMIF(T12:T15,"&lt;&gt;0")),"")</f>
        <v/>
      </c>
      <c r="U17" s="48" t="str">
        <f>IF(U5&lt;&gt;"",IF(GroupSelection&lt;&gt;Settings!$AA$5,SUMIFS(U12:U15,$G12:$G15,GroupSelection,U12:U15,"&lt;&gt;0"),SUMIF(U12:U15,"&lt;&gt;0")),"")</f>
        <v/>
      </c>
      <c r="V17" s="48" t="str">
        <f>IF(V5&lt;&gt;"",IF(GroupSelection&lt;&gt;Settings!$AA$5,SUMIFS(V12:V15,$G12:$G15,GroupSelection,V12:V15,"&lt;&gt;0"),SUMIF(V12:V15,"&lt;&gt;0")),"")</f>
        <v/>
      </c>
      <c r="W17" s="48" t="str">
        <f>IF(W5&lt;&gt;"",IF(GroupSelection&lt;&gt;Settings!$AA$5,SUMIFS(W12:W15,$G12:$G15,GroupSelection,W12:W15,"&lt;&gt;0"),SUMIF(W12:W15,"&lt;&gt;0")),"")</f>
        <v/>
      </c>
      <c r="X17" s="48" t="str">
        <f>IF(X5&lt;&gt;"",IF(GroupSelection&lt;&gt;Settings!$AA$5,SUMIFS(X12:X15,$G12:$G15,GroupSelection,X12:X15,"&lt;&gt;0"),SUMIF(X12:X15,"&lt;&gt;0")),"")</f>
        <v/>
      </c>
      <c r="Y17" s="48" t="str">
        <f>IF(Y5&lt;&gt;"",IF(GroupSelection&lt;&gt;Settings!$AA$5,SUMIFS(Y12:Y15,$G12:$G15,GroupSelection,Y12:Y15,"&lt;&gt;0"),SUMIF(Y12:Y15,"&lt;&gt;0")),"")</f>
        <v/>
      </c>
      <c r="Z17" s="48" t="str">
        <f>IF(Z5&lt;&gt;"",IF(GroupSelection&lt;&gt;Settings!$AA$5,SUMIFS(Z12:Z15,$G12:$G15,GroupSelection,Z12:Z15,"&lt;&gt;0"),SUMIF(Z12:Z15,"&lt;&gt;0")),"")</f>
        <v/>
      </c>
      <c r="AA17" s="48" t="str">
        <f>IF(AA5&lt;&gt;"",IF(GroupSelection&lt;&gt;Settings!$AA$5,SUMIFS(AA12:AA15,$G12:$G15,GroupSelection,AA12:AA15,"&lt;&gt;0"),SUMIF(AA12:AA15,"&lt;&gt;0")),"")</f>
        <v/>
      </c>
      <c r="AB17" s="48" t="str">
        <f>IF(AB5&lt;&gt;"",IF(GroupSelection&lt;&gt;Settings!$AA$5,SUMIFS(AB12:AB15,$G12:$G15,GroupSelection,AB12:AB15,"&lt;&gt;0"),SUMIF(AB12:AB15,"&lt;&gt;0")),"")</f>
        <v/>
      </c>
      <c r="AC17" s="48" t="str">
        <f>IF(AC5&lt;&gt;"",IF(GroupSelection&lt;&gt;Settings!$AA$5,SUMIFS(AC12:AC15,$G12:$G15,GroupSelection,AC12:AC15,"&lt;&gt;0"),SUMIF(AC12:AC15,"&lt;&gt;0")),"")</f>
        <v/>
      </c>
      <c r="AD17" s="34" t="str">
        <f>IF(AD5&lt;&gt;"",IF(GroupSelection&lt;&gt;Settings!$AA$5,SUMIFS(AD12:AD15,$G12:$G15,GroupSelection,AD12:AD15,"&lt;&gt;0"),SUMIF(AD12:AD15,"&lt;&gt;0")),"")</f>
        <v/>
      </c>
      <c r="AE17" s="50">
        <f ca="1">IF(GroupSelection&lt;&gt;Settings!$AA$5,SUMIFS(AE12:AE15,$G12:$G15,GroupSelection,AE12:AE15,"&lt;&gt;0"),SUM(AE12:AE15))</f>
        <v>0</v>
      </c>
      <c r="AF17" s="35" t="s">
        <v>20</v>
      </c>
      <c r="AG17" s="1"/>
      <c r="AH17" s="1"/>
      <c r="AI17" s="1"/>
      <c r="AJ17" s="1"/>
      <c r="AK17" s="1"/>
      <c r="AL17" s="1"/>
      <c r="AM17" s="1"/>
      <c r="AN17" s="1"/>
      <c r="AO17" s="1"/>
      <c r="AP17" s="1"/>
      <c r="AQ17" s="1"/>
      <c r="AR17" s="1"/>
      <c r="AS17" s="23"/>
      <c r="AT17" s="19"/>
      <c r="AU17" s="19"/>
      <c r="AV17" s="19"/>
    </row>
    <row r="18" spans="1:49" ht="17.100000000000001" customHeight="1">
      <c r="A18" s="66"/>
      <c r="B18" s="66"/>
      <c r="C18" s="292" t="str">
        <f>IF(GroupSelection&lt;&gt;Settings!$AA$5,Settings!$M$7&amp;" average:",IF(OR(Settings!$M$6=Settings!$W$6,Settings!$M$6=Settings!$W$7),"Organization","Company")&amp;" average:")</f>
        <v>Company average:</v>
      </c>
      <c r="D18" s="293"/>
      <c r="E18" s="293"/>
      <c r="F18" s="293"/>
      <c r="G18" s="293"/>
      <c r="H18" s="293"/>
      <c r="I18" s="293"/>
      <c r="J18" s="294"/>
      <c r="K18" s="28" t="str">
        <f>IFERROR(IF(K5&lt;&gt;"",IF(GroupSelection&lt;&gt;Settings!$AA$5,AVERAGEIFS(K12:K15,$G12:$G15,GroupSelection,K12:K15,"&lt;&gt;0"),AVERAGEIF(K12:K15,"&lt;&gt;0")),""),"")</f>
        <v/>
      </c>
      <c r="L18" s="29" t="str">
        <f>IFERROR(IF(L5&lt;&gt;"",IF(GroupSelection&lt;&gt;Settings!$AA$5,AVERAGEIFS(L12:L15,$G12:$G15,GroupSelection,L12:L15,"&lt;&gt;0"),AVERAGEIF(L12:L15,"&lt;&gt;0")),""),"")</f>
        <v/>
      </c>
      <c r="M18" s="29" t="str">
        <f>IFERROR(IF(M5&lt;&gt;"",IF(GroupSelection&lt;&gt;Settings!$AA$5,AVERAGEIFS(M12:M15,$G12:$G15,GroupSelection,M12:M15,"&lt;&gt;0"),AVERAGEIF(M12:M15,"&lt;&gt;0")),""),"")</f>
        <v/>
      </c>
      <c r="N18" s="29" t="str">
        <f>IFERROR(IF(N5&lt;&gt;"",IF(GroupSelection&lt;&gt;Settings!$AA$5,AVERAGEIFS(N12:N15,$G12:$G15,GroupSelection,N12:N15,"&lt;&gt;0"),AVERAGEIF(N12:N15,"&lt;&gt;0")),""),"")</f>
        <v/>
      </c>
      <c r="O18" s="29" t="str">
        <f>IFERROR(IF(O5&lt;&gt;"",IF(GroupSelection&lt;&gt;Settings!$AA$5,AVERAGEIFS(O12:O15,$G12:$G15,GroupSelection,O12:O15,"&lt;&gt;0"),AVERAGEIF(O12:O15,"&lt;&gt;0")),""),"")</f>
        <v/>
      </c>
      <c r="P18" s="29" t="str">
        <f>IFERROR(IF(P5&lt;&gt;"",IF(GroupSelection&lt;&gt;Settings!$AA$5,AVERAGEIFS(P12:P15,$G12:$G15,GroupSelection,P12:P15,"&lt;&gt;0"),AVERAGEIF(P12:P15,"&lt;&gt;0")),""),"")</f>
        <v/>
      </c>
      <c r="Q18" s="29" t="str">
        <f>IFERROR(IF(Q5&lt;&gt;"",IF(GroupSelection&lt;&gt;Settings!$AA$5,AVERAGEIFS(Q12:Q15,$G12:$G15,GroupSelection,Q12:Q15,"&lt;&gt;0"),AVERAGEIF(Q12:Q15,"&lt;&gt;0")),""),"")</f>
        <v/>
      </c>
      <c r="R18" s="49" t="str">
        <f>IFERROR(IF(R5&lt;&gt;"",IF(GroupSelection&lt;&gt;Settings!$AA$5,AVERAGEIFS(R12:R15,$G12:$G15,GroupSelection,R12:R15,"&lt;&gt;0"),AVERAGEIF(R12:R15,"&lt;&gt;0")),""),"")</f>
        <v/>
      </c>
      <c r="S18" s="49" t="str">
        <f>IFERROR(IF(S5&lt;&gt;"",IF(GroupSelection&lt;&gt;Settings!$AA$5,AVERAGEIFS(S12:S15,$G12:$G15,GroupSelection,S12:S15,"&lt;&gt;0"),AVERAGEIF(S12:S15,"&lt;&gt;0")),""),"")</f>
        <v/>
      </c>
      <c r="T18" s="49" t="str">
        <f>IFERROR(IF(T5&lt;&gt;"",IF(GroupSelection&lt;&gt;Settings!$AA$5,AVERAGEIFS(T12:T15,$G12:$G15,GroupSelection,T12:T15,"&lt;&gt;0"),AVERAGEIF(T12:T15,"&lt;&gt;0")),""),"")</f>
        <v/>
      </c>
      <c r="U18" s="49" t="str">
        <f>IFERROR(IF(U5&lt;&gt;"",IF(GroupSelection&lt;&gt;Settings!$AA$5,AVERAGEIFS(U12:U15,$G12:$G15,GroupSelection,U12:U15,"&lt;&gt;0"),AVERAGEIF(U12:U15,"&lt;&gt;0")),""),"")</f>
        <v/>
      </c>
      <c r="V18" s="49" t="str">
        <f>IFERROR(IF(V5&lt;&gt;"",IF(GroupSelection&lt;&gt;Settings!$AA$5,AVERAGEIFS(V12:V15,$G12:$G15,GroupSelection,V12:V15,"&lt;&gt;0"),AVERAGEIF(V12:V15,"&lt;&gt;0")),""),"")</f>
        <v/>
      </c>
      <c r="W18" s="49" t="str">
        <f>IFERROR(IF(W5&lt;&gt;"",IF(GroupSelection&lt;&gt;Settings!$AA$5,AVERAGEIFS(W12:W15,$G12:$G15,GroupSelection,W12:W15,"&lt;&gt;0"),AVERAGEIF(W12:W15,"&lt;&gt;0")),""),"")</f>
        <v/>
      </c>
      <c r="X18" s="49" t="str">
        <f>IFERROR(IF(X5&lt;&gt;"",IF(GroupSelection&lt;&gt;Settings!$AA$5,AVERAGEIFS(X12:X15,$G12:$G15,GroupSelection,X12:X15,"&lt;&gt;0"),AVERAGEIF(X12:X15,"&lt;&gt;0")),""),"")</f>
        <v/>
      </c>
      <c r="Y18" s="49" t="str">
        <f>IFERROR(IF(Y5&lt;&gt;"",IF(GroupSelection&lt;&gt;Settings!$AA$5,AVERAGEIFS(Y12:Y15,$G12:$G15,GroupSelection,Y12:Y15,"&lt;&gt;0"),AVERAGEIF(Y12:Y15,"&lt;&gt;0")),""),"")</f>
        <v/>
      </c>
      <c r="Z18" s="49" t="str">
        <f>IFERROR(IF(Z5&lt;&gt;"",IF(GroupSelection&lt;&gt;Settings!$AA$5,AVERAGEIFS(Z12:Z15,$G12:$G15,GroupSelection,Z12:Z15,"&lt;&gt;0"),AVERAGEIF(Z12:Z15,"&lt;&gt;0")),""),"")</f>
        <v/>
      </c>
      <c r="AA18" s="49" t="str">
        <f>IFERROR(IF(AA5&lt;&gt;"",IF(GroupSelection&lt;&gt;Settings!$AA$5,AVERAGEIFS(AA12:AA15,$G12:$G15,GroupSelection,AA12:AA15,"&lt;&gt;0"),AVERAGEIF(AA12:AA15,"&lt;&gt;0")),""),"")</f>
        <v/>
      </c>
      <c r="AB18" s="49" t="str">
        <f>IFERROR(IF(AB5&lt;&gt;"",IF(GroupSelection&lt;&gt;Settings!$AA$5,AVERAGEIFS(AB12:AB15,$G12:$G15,GroupSelection,AB12:AB15,"&lt;&gt;0"),AVERAGEIF(AB12:AB15,"&lt;&gt;0")),""),"")</f>
        <v/>
      </c>
      <c r="AC18" s="49" t="str">
        <f>IFERROR(IF(AC5&lt;&gt;"",IF(GroupSelection&lt;&gt;Settings!$AA$5,AVERAGEIFS(AC12:AC15,$G12:$G15,GroupSelection,AC12:AC15,"&lt;&gt;0"),AVERAGEIF(AC12:AC15,"&lt;&gt;0")),""),"")</f>
        <v/>
      </c>
      <c r="AD18" s="30" t="str">
        <f>IFERROR(IF(AD5&lt;&gt;"",IF(GroupSelection&lt;&gt;Settings!$AA$5,AVERAGEIFS(AD12:AD15,$G12:$G15,GroupSelection,AD12:AD15,"&lt;&gt;0"),AVERAGEIF(AD12:AD15,"&lt;&gt;0")),""),"")</f>
        <v/>
      </c>
      <c r="AE18" s="51" t="s">
        <v>20</v>
      </c>
      <c r="AF18" s="31">
        <f ca="1">IFERROR(IF(GroupSelection&lt;&gt;Settings!$AA$5,AVERAGEIFS(AF12:AF15,$G12:$G15,GroupSelection,AF12:AF15,"&lt;&gt;0"),AVERAGEIF(AF12:AF15,"&lt;&gt;0")),0)</f>
        <v>0</v>
      </c>
      <c r="AG18" s="1"/>
      <c r="AH18" s="1"/>
      <c r="AI18" s="1"/>
      <c r="AJ18" s="1"/>
      <c r="AK18" s="1"/>
      <c r="AL18" s="1"/>
      <c r="AM18" s="1"/>
      <c r="AN18" s="1"/>
      <c r="AO18" s="1"/>
      <c r="AP18" s="1"/>
      <c r="AQ18" s="1"/>
      <c r="AR18" s="1"/>
      <c r="AS18" s="23"/>
      <c r="AT18" s="19"/>
      <c r="AU18" s="19"/>
      <c r="AV18" s="19"/>
    </row>
    <row r="19" spans="1:49" ht="17.100000000000001" customHeight="1">
      <c r="A19" s="66">
        <f>ROW()</f>
        <v>19</v>
      </c>
      <c r="B19" s="66"/>
      <c r="C19" s="291" t="s">
        <v>125</v>
      </c>
      <c r="D19" s="291"/>
      <c r="E19" s="291"/>
      <c r="F19" s="291"/>
      <c r="G19" s="291"/>
      <c r="H19" s="291"/>
      <c r="I19" s="291"/>
      <c r="J19" s="291"/>
      <c r="AG19" s="1"/>
      <c r="AH19" s="1"/>
      <c r="AI19" s="1"/>
      <c r="AJ19" s="1"/>
      <c r="AK19" s="1"/>
      <c r="AL19" s="1"/>
      <c r="AM19" s="1"/>
      <c r="AN19" s="1"/>
      <c r="AO19" s="1"/>
      <c r="AP19" s="1"/>
      <c r="AQ19" s="1"/>
      <c r="AR19" s="1"/>
      <c r="AS19" s="23"/>
      <c r="AT19" s="19"/>
      <c r="AU19" s="19"/>
      <c r="AV19" s="19"/>
    </row>
    <row r="20" spans="1:49" ht="17.100000000000001" customHeight="1">
      <c r="A20" s="66"/>
      <c r="B20" s="66"/>
      <c r="AG20" s="1"/>
      <c r="AH20" s="1"/>
      <c r="AI20" s="1"/>
      <c r="AJ20" s="1"/>
      <c r="AK20" s="1"/>
      <c r="AL20" s="1"/>
      <c r="AM20" s="1"/>
      <c r="AN20" s="1"/>
      <c r="AO20" s="1"/>
      <c r="AP20" s="1"/>
      <c r="AQ20" s="1"/>
      <c r="AR20" s="1"/>
      <c r="AS20" s="25"/>
      <c r="AT20" s="19"/>
      <c r="AU20" s="19"/>
      <c r="AV20" s="19"/>
      <c r="AW20" s="19"/>
    </row>
    <row r="21" spans="1:49" ht="17.100000000000001" customHeight="1">
      <c r="A21" s="66"/>
      <c r="B21" s="66"/>
      <c r="AG21" s="1"/>
      <c r="AH21" s="1"/>
      <c r="AI21" s="1"/>
      <c r="AJ21" s="1"/>
      <c r="AK21" s="1"/>
      <c r="AL21" s="1"/>
      <c r="AM21" s="1"/>
      <c r="AN21" s="1"/>
      <c r="AO21" s="1"/>
      <c r="AP21" s="1"/>
      <c r="AQ21" s="1"/>
      <c r="AR21" s="1"/>
      <c r="AS21" s="25"/>
      <c r="AT21" s="77"/>
      <c r="AU21" s="77"/>
      <c r="AV21" s="77"/>
      <c r="AW21" s="77"/>
    </row>
    <row r="22" spans="1:49" ht="17.100000000000001" customHeight="1">
      <c r="A22" s="66"/>
      <c r="B22" s="66"/>
      <c r="C22" s="1"/>
      <c r="AG22" s="1"/>
      <c r="AH22" s="1"/>
      <c r="AI22" s="1"/>
      <c r="AJ22" s="1"/>
      <c r="AK22" s="1"/>
      <c r="AL22" s="1"/>
      <c r="AM22" s="1"/>
      <c r="AN22" s="1"/>
      <c r="AO22" s="1"/>
      <c r="AP22" s="1"/>
      <c r="AQ22" s="1"/>
      <c r="AR22" s="1"/>
      <c r="AS22" s="25"/>
      <c r="AT22" s="77"/>
      <c r="AU22" s="77"/>
      <c r="AV22" s="77"/>
      <c r="AW22" s="77"/>
    </row>
    <row r="23" spans="1:49" ht="17.100000000000001" customHeight="1">
      <c r="A23" s="66"/>
      <c r="B23" s="66"/>
      <c r="C23" s="1"/>
      <c r="D23" s="1"/>
      <c r="E23" s="1"/>
      <c r="F23" s="1"/>
      <c r="G23" s="1"/>
      <c r="H23" s="1"/>
      <c r="I23" s="1"/>
      <c r="J23" s="1"/>
      <c r="K23" s="184"/>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25"/>
      <c r="AT23" s="77"/>
      <c r="AU23" s="77"/>
      <c r="AV23" s="77"/>
      <c r="AW23" s="77"/>
    </row>
    <row r="24" spans="1:49" ht="17.100000000000001" customHeight="1">
      <c r="A24" s="66"/>
      <c r="B24" s="66"/>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25"/>
      <c r="AT24" s="77"/>
      <c r="AU24" s="77"/>
      <c r="AV24" s="77"/>
      <c r="AW24" s="77"/>
    </row>
    <row r="25" spans="1:49" ht="17.100000000000001" customHeight="1">
      <c r="A25" s="66"/>
      <c r="B25" s="66"/>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25"/>
      <c r="AT25" s="77"/>
      <c r="AU25" s="77"/>
      <c r="AV25" s="77"/>
      <c r="AW25" s="77"/>
    </row>
    <row r="26" spans="1:49" ht="17.100000000000001" customHeight="1">
      <c r="A26" s="66"/>
      <c r="B26" s="66"/>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25"/>
      <c r="AT26" s="77"/>
      <c r="AU26" s="77"/>
      <c r="AV26" s="77"/>
      <c r="AW26" s="77"/>
    </row>
    <row r="27" spans="1:49" ht="17.100000000000001" customHeight="1">
      <c r="A27" s="66"/>
      <c r="B27" s="66"/>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25"/>
      <c r="AT27" s="77"/>
      <c r="AU27" s="77"/>
      <c r="AV27" s="77"/>
      <c r="AW27" s="77"/>
    </row>
    <row r="28" spans="1:49" ht="17.100000000000001" customHeight="1">
      <c r="A28" s="66"/>
      <c r="B28" s="66"/>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25"/>
      <c r="AT28" s="77"/>
      <c r="AU28" s="77"/>
      <c r="AV28" s="77"/>
      <c r="AW28" s="77"/>
    </row>
    <row r="29" spans="1:49" ht="17.100000000000001" customHeight="1">
      <c r="A29" s="66"/>
      <c r="B29" s="66"/>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25"/>
      <c r="AT29" s="77"/>
      <c r="AU29" s="77"/>
      <c r="AV29" s="77"/>
      <c r="AW29" s="77"/>
    </row>
    <row r="30" spans="1:49" ht="17.100000000000001" customHeight="1">
      <c r="A30" s="66"/>
      <c r="B30" s="66"/>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25"/>
      <c r="AT30" s="77"/>
      <c r="AU30" s="77"/>
      <c r="AV30" s="77"/>
      <c r="AW30" s="77"/>
    </row>
    <row r="31" spans="1:49" ht="17.100000000000001" customHeight="1">
      <c r="A31" s="66"/>
      <c r="B31" s="66"/>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25"/>
      <c r="AT31" s="77"/>
      <c r="AU31" s="77"/>
      <c r="AV31" s="77"/>
    </row>
    <row r="32" spans="1:49" ht="17.100000000000001" customHeight="1">
      <c r="A32" s="66"/>
      <c r="B32" s="66"/>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2"/>
      <c r="AT32" s="77"/>
      <c r="AU32" s="77"/>
      <c r="AV32" s="77"/>
      <c r="AW32" s="77"/>
    </row>
    <row r="33" spans="1:49" ht="17.100000000000001" customHeight="1">
      <c r="A33" s="66"/>
      <c r="B33" s="66"/>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2"/>
      <c r="AT33" s="77"/>
      <c r="AU33" s="77"/>
      <c r="AV33" s="77"/>
      <c r="AW33" s="77"/>
    </row>
    <row r="34" spans="1:49" ht="17.100000000000001" customHeight="1">
      <c r="A34" s="66"/>
      <c r="B34" s="66"/>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2"/>
      <c r="AT34" s="77"/>
      <c r="AU34" s="77"/>
      <c r="AV34" s="77"/>
      <c r="AW34" s="77"/>
    </row>
    <row r="35" spans="1:49" ht="17.100000000000001" customHeight="1">
      <c r="A35" s="66"/>
      <c r="B35" s="66"/>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2"/>
      <c r="AT35" s="77"/>
      <c r="AU35" s="77"/>
      <c r="AV35" s="77"/>
      <c r="AW35" s="77"/>
    </row>
    <row r="36" spans="1:49" ht="17.100000000000001" customHeight="1">
      <c r="A36" s="66"/>
      <c r="B36" s="66"/>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2"/>
      <c r="AT36" s="77"/>
      <c r="AU36" s="77"/>
      <c r="AV36" s="77"/>
      <c r="AW36" s="77"/>
    </row>
    <row r="37" spans="1:49" ht="17.100000000000001" customHeight="1">
      <c r="A37" s="66"/>
      <c r="B37" s="66"/>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2"/>
      <c r="AT37" s="77"/>
      <c r="AU37" s="77"/>
      <c r="AV37" s="77"/>
      <c r="AW37" s="77"/>
    </row>
    <row r="38" spans="1:49" ht="17.100000000000001" customHeight="1">
      <c r="C38" s="78"/>
      <c r="D38" s="78"/>
      <c r="E38" s="78"/>
      <c r="F38" s="78"/>
      <c r="G38" s="78"/>
      <c r="H38" s="78"/>
      <c r="I38" s="78"/>
      <c r="J38" s="78"/>
      <c r="K38" s="78"/>
      <c r="L38" s="78"/>
      <c r="M38" s="78"/>
      <c r="N38" s="78"/>
      <c r="O38" s="78"/>
      <c r="P38" s="78"/>
      <c r="Q38" s="78"/>
      <c r="R38" s="78"/>
      <c r="S38" s="78"/>
      <c r="T38" s="78"/>
      <c r="U38" s="78"/>
      <c r="V38" s="78"/>
      <c r="W38" s="78"/>
      <c r="X38" s="78"/>
      <c r="Y38" s="78"/>
      <c r="Z38" s="78"/>
      <c r="AA38" s="78"/>
      <c r="AB38" s="78"/>
      <c r="AC38" s="78"/>
      <c r="AD38" s="78"/>
      <c r="AE38" s="78"/>
      <c r="AF38" s="281"/>
      <c r="AG38" s="281"/>
      <c r="AH38" s="281"/>
      <c r="AI38" s="281"/>
      <c r="AJ38" s="281"/>
      <c r="AK38" s="281"/>
      <c r="AL38" s="281"/>
      <c r="AM38" s="281"/>
      <c r="AN38" s="281"/>
      <c r="AO38" s="281"/>
      <c r="AP38" s="281"/>
      <c r="AQ38" s="281"/>
      <c r="AR38" s="281"/>
      <c r="AT38" s="77"/>
      <c r="AU38" s="77"/>
      <c r="AV38" s="77"/>
      <c r="AW38" s="77"/>
    </row>
    <row r="39" spans="1:49" ht="17.100000000000001" customHeight="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row>
  </sheetData>
  <sheetProtection algorithmName="SHA-512" hashValue="xzGN1smpa8nm0+if4VZC0GecLfEpjf/VhwM5o7a/cYhXiG2VKdK5qkBYkX2KxgRWkR3168r92AmTwjL4Gqbcdw==" saltValue="Dm7qTdLT/yMZR1pFoHPyDQ==" spinCount="100000" sheet="1" objects="1" scenarios="1"/>
  <mergeCells count="51">
    <mergeCell ref="M5:M11"/>
    <mergeCell ref="G5:I5"/>
    <mergeCell ref="AB5:AB11"/>
    <mergeCell ref="X5:X11"/>
    <mergeCell ref="O5:O11"/>
    <mergeCell ref="N5:N11"/>
    <mergeCell ref="S5:S11"/>
    <mergeCell ref="C2:I2"/>
    <mergeCell ref="C4:I4"/>
    <mergeCell ref="C8:F8"/>
    <mergeCell ref="C6:F6"/>
    <mergeCell ref="C5:F5"/>
    <mergeCell ref="G6:I6"/>
    <mergeCell ref="K2:M2"/>
    <mergeCell ref="K4:AD4"/>
    <mergeCell ref="K5:K11"/>
    <mergeCell ref="AD5:AD11"/>
    <mergeCell ref="Q5:Q11"/>
    <mergeCell ref="P5:P11"/>
    <mergeCell ref="N2:AF2"/>
    <mergeCell ref="R5:R11"/>
    <mergeCell ref="AE4:AF4"/>
    <mergeCell ref="AE5:AE11"/>
    <mergeCell ref="Z5:Z11"/>
    <mergeCell ref="V5:V11"/>
    <mergeCell ref="T5:T11"/>
    <mergeCell ref="U5:U11"/>
    <mergeCell ref="Y5:Y11"/>
    <mergeCell ref="L5:L11"/>
    <mergeCell ref="B10:B11"/>
    <mergeCell ref="W5:W11"/>
    <mergeCell ref="AF38:AR38"/>
    <mergeCell ref="AF5:AF11"/>
    <mergeCell ref="C10:F11"/>
    <mergeCell ref="G10:J11"/>
    <mergeCell ref="C19:J19"/>
    <mergeCell ref="C18:J18"/>
    <mergeCell ref="C16:AF16"/>
    <mergeCell ref="C17:J17"/>
    <mergeCell ref="C12:F12"/>
    <mergeCell ref="G8:I8"/>
    <mergeCell ref="AH11:AL12"/>
    <mergeCell ref="G12:J12"/>
    <mergeCell ref="AC5:AC11"/>
    <mergeCell ref="AA5:AA11"/>
    <mergeCell ref="G13:J13"/>
    <mergeCell ref="G14:J14"/>
    <mergeCell ref="G15:J15"/>
    <mergeCell ref="C13:F13"/>
    <mergeCell ref="C14:F14"/>
    <mergeCell ref="C15:F15"/>
  </mergeCells>
  <conditionalFormatting sqref="AH11:AL12">
    <cfRule type="notContainsBlanks" dxfId="244" priority="5700">
      <formula>LEN(TRIM(AH11))&gt;0</formula>
    </cfRule>
  </conditionalFormatting>
  <conditionalFormatting sqref="B12:AF15">
    <cfRule type="expression" dxfId="243" priority="3">
      <formula>AND($A16&gt;1,ISEVEN(MAX(ListCountIfVisible)))</formula>
    </cfRule>
    <cfRule type="expression" dxfId="242" priority="1">
      <formula>$A12=1</formula>
    </cfRule>
  </conditionalFormatting>
  <dataValidations count="1">
    <dataValidation type="list" allowBlank="1" showInputMessage="1" showErrorMessage="1" sqref="G5:I5" xr:uid="{AF88DD09-EA42-4D42-B524-A0AB9994BF81}">
      <formula1>ListOfUniqueDepartments</formula1>
    </dataValidation>
  </dataValidations>
  <hyperlinks>
    <hyperlink ref="C19:J19" r:id="rId1" display="Spreadsheet provided by: www.YourSpreadsheets.co.uk" xr:uid="{0B8C58DF-D67B-44C2-B7D9-F9EE6EAA5ABB}"/>
  </hyperlinks>
  <pageMargins left="0.48" right="0.18" top="0.48" bottom="0.43307086614173229" header="0" footer="0"/>
  <pageSetup paperSize="9" scale="76" orientation="landscape" r:id="rId2"/>
  <headerFooter scaleWithDoc="0"/>
  <drawing r:id="rId3"/>
  <extLst>
    <ext xmlns:x14="http://schemas.microsoft.com/office/spreadsheetml/2009/9/main" uri="{78C0D931-6437-407d-A8EE-F0AAD7539E65}">
      <x14:conditionalFormattings>
        <x14:conditionalFormatting xmlns:xm="http://schemas.microsoft.com/office/excel/2006/main">
          <x14:cfRule type="expression" priority="2" id="{70961DBE-F135-42F9-9F0C-BA781AADFF81}">
            <xm:f>ISODD(Settings!$G6)</xm:f>
            <x14:dxf>
              <fill>
                <patternFill>
                  <fgColor indexed="64"/>
                  <bgColor theme="0" tint="-4.9989318521683403E-2"/>
                </patternFill>
              </fill>
            </x14:dxf>
          </x14:cfRule>
          <xm:sqref>B12:AF15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A77C2-78A2-4ED2-A618-BF61657AF98E}">
  <sheetPr codeName="Sheet5">
    <pageSetUpPr autoPageBreaks="0"/>
  </sheetPr>
  <dimension ref="A1:BD1276"/>
  <sheetViews>
    <sheetView showGridLines="0" showRowColHeaders="0" zoomScaleNormal="100" workbookViewId="0">
      <selection activeCell="B44" sqref="B44:I44"/>
    </sheetView>
  </sheetViews>
  <sheetFormatPr defaultColWidth="6.7109375" defaultRowHeight="15"/>
  <cols>
    <col min="1" max="1" width="4.5703125" style="22" customWidth="1"/>
    <col min="2" max="4" width="6.7109375" style="22"/>
    <col min="5" max="5" width="3" style="22" customWidth="1"/>
    <col min="6" max="6" width="6.7109375" style="22" customWidth="1"/>
    <col min="7" max="14" width="6.7109375" style="22"/>
    <col min="15" max="15" width="6.7109375" style="22" customWidth="1"/>
    <col min="16" max="17" width="6.7109375" style="22" hidden="1" customWidth="1"/>
    <col min="18" max="24" width="6.7109375" style="22"/>
    <col min="25" max="25" width="6.7109375" style="18"/>
    <col min="26" max="26" width="3.5703125" style="18" customWidth="1"/>
    <col min="27" max="32" width="6.7109375" style="18" hidden="1" customWidth="1"/>
    <col min="33" max="35" width="6.28515625" style="22" hidden="1" customWidth="1"/>
    <col min="36" max="55" width="6.7109375" style="22" hidden="1" customWidth="1"/>
    <col min="56" max="16384" width="6.7109375" style="22"/>
  </cols>
  <sheetData>
    <row r="1" spans="1:56" ht="17.100000000000001" customHeight="1">
      <c r="A1" s="1"/>
      <c r="P1" s="1"/>
      <c r="Q1" s="1"/>
      <c r="R1" s="1"/>
      <c r="S1" s="1"/>
      <c r="T1" s="1"/>
      <c r="U1" s="1"/>
      <c r="V1" s="1"/>
      <c r="W1" s="1"/>
      <c r="X1" s="1"/>
      <c r="Y1" s="1"/>
      <c r="Z1" s="1"/>
      <c r="AA1" s="1"/>
      <c r="AB1" s="23"/>
      <c r="AC1" s="19"/>
      <c r="AD1" s="19"/>
      <c r="AE1" s="19"/>
    </row>
    <row r="2" spans="1:56" ht="17.100000000000001" customHeight="1">
      <c r="A2" s="1"/>
      <c r="B2" s="305" t="s">
        <v>129</v>
      </c>
      <c r="C2" s="306"/>
      <c r="D2" s="307"/>
      <c r="F2" s="305" t="str">
        <f>IF(OR(Settings!$M$6=Settings!$W$6,Settings!$M$6=Settings!$W$7),"Organization:","Company:")</f>
        <v>Company:</v>
      </c>
      <c r="G2" s="306"/>
      <c r="H2" s="306"/>
      <c r="I2" s="314" t="str">
        <f>Settings!$M$3</f>
        <v>Accenture</v>
      </c>
      <c r="J2" s="315"/>
      <c r="K2" s="315"/>
      <c r="L2" s="315"/>
      <c r="M2" s="315"/>
      <c r="N2" s="315"/>
      <c r="O2" s="316"/>
      <c r="P2" s="1"/>
      <c r="Q2" s="1"/>
      <c r="R2" s="1"/>
      <c r="S2" s="1"/>
      <c r="T2" s="1"/>
      <c r="U2" s="1"/>
      <c r="V2" s="1"/>
      <c r="W2" s="1"/>
      <c r="X2" s="1"/>
      <c r="Y2" s="1"/>
      <c r="Z2" s="1"/>
      <c r="AA2" s="54" t="s">
        <v>127</v>
      </c>
      <c r="AB2" s="25"/>
      <c r="AC2" s="19"/>
      <c r="AD2" s="19"/>
      <c r="AE2" s="19"/>
      <c r="AF2" s="19"/>
    </row>
    <row r="3" spans="1:56" ht="17.100000000000001" customHeight="1">
      <c r="A3" s="1"/>
      <c r="P3" s="1"/>
      <c r="Q3" s="1"/>
      <c r="R3" s="1"/>
      <c r="S3" s="1"/>
      <c r="T3" s="1"/>
      <c r="U3" s="1"/>
      <c r="V3" s="1"/>
      <c r="W3" s="1"/>
      <c r="X3" s="1"/>
      <c r="Y3" s="1"/>
      <c r="Z3" s="1"/>
      <c r="AA3" s="60">
        <f>COUNTIFS(ListEmployeeNamesInDatabase,$L$4,TblDatabase[Year],"&lt;"&amp;$C$4)</f>
        <v>0</v>
      </c>
      <c r="AB3" s="25"/>
      <c r="AC3" s="21"/>
      <c r="AD3" s="21"/>
      <c r="AE3" s="21"/>
      <c r="AF3" s="21"/>
    </row>
    <row r="4" spans="1:56" ht="17.100000000000001" customHeight="1">
      <c r="A4" s="1"/>
      <c r="B4" s="27" t="s">
        <v>14</v>
      </c>
      <c r="C4" s="302">
        <v>2021</v>
      </c>
      <c r="D4" s="303"/>
      <c r="F4" s="305" t="s">
        <v>165</v>
      </c>
      <c r="G4" s="306"/>
      <c r="H4" s="306"/>
      <c r="I4" s="306"/>
      <c r="J4" s="306"/>
      <c r="K4" s="307"/>
      <c r="L4" s="405" t="s">
        <v>226</v>
      </c>
      <c r="M4" s="406"/>
      <c r="N4" s="406"/>
      <c r="O4" s="407"/>
      <c r="P4" s="1"/>
      <c r="Q4" s="1"/>
      <c r="R4" s="1"/>
      <c r="S4" s="1"/>
      <c r="T4" s="1"/>
      <c r="U4" s="1"/>
      <c r="V4" s="1"/>
      <c r="W4" s="1"/>
      <c r="X4" s="1"/>
      <c r="Y4" s="1"/>
      <c r="Z4" s="1"/>
      <c r="AA4" s="61" t="s">
        <v>128</v>
      </c>
      <c r="AB4" s="25"/>
      <c r="AC4" s="21"/>
      <c r="AD4" s="21"/>
      <c r="AE4" s="21"/>
      <c r="AF4" s="21"/>
    </row>
    <row r="5" spans="1:56" ht="17.100000000000001" customHeight="1">
      <c r="A5" s="1"/>
      <c r="B5" s="1"/>
      <c r="C5" s="1"/>
      <c r="D5" s="1"/>
      <c r="E5" s="1"/>
      <c r="F5" s="1"/>
      <c r="G5" s="1"/>
      <c r="H5" s="1"/>
      <c r="I5" s="1"/>
      <c r="J5" s="1"/>
      <c r="K5" s="1"/>
      <c r="L5" s="147" t="e">
        <f>IF(Settings!$M$10=Settings!$Z$3,LOWER(Settings!$M$6)&amp;" ID: "&amp;INDEX(TblEmployeeList[Column1],MATCH($L$4,TblEmployeeList[Name and Surname],0)),"")</f>
        <v>#N/A</v>
      </c>
      <c r="M5" s="1"/>
      <c r="N5" s="1"/>
      <c r="O5" s="1"/>
      <c r="P5" s="1"/>
      <c r="Q5" s="1"/>
      <c r="R5" s="1"/>
      <c r="S5" s="1"/>
      <c r="T5" s="1"/>
      <c r="U5" s="1"/>
      <c r="V5" s="1"/>
      <c r="W5" s="1"/>
      <c r="X5" s="1"/>
      <c r="Y5" s="1"/>
      <c r="Z5" s="1"/>
      <c r="AA5" s="60">
        <f>SUMIFS(TblDatabase[Row No],ListEmployeeNamesInDatabase,$L$4,TblDatabase[Year],$C$4)</f>
        <v>0</v>
      </c>
      <c r="AB5" s="25"/>
      <c r="AC5" s="21"/>
      <c r="AD5" s="21"/>
      <c r="AE5" s="19" t="s">
        <v>132</v>
      </c>
    </row>
    <row r="6" spans="1:56" ht="17.100000000000001" customHeight="1">
      <c r="B6" s="338" t="str">
        <f>Settings!$N$14</f>
        <v>Employee's comments</v>
      </c>
      <c r="C6" s="339"/>
      <c r="D6" s="339"/>
      <c r="E6" s="339"/>
      <c r="F6" s="339"/>
      <c r="G6" s="339"/>
      <c r="H6" s="339"/>
      <c r="I6" s="339"/>
      <c r="J6" s="339"/>
      <c r="K6" s="339"/>
      <c r="L6" s="339"/>
      <c r="M6" s="339"/>
      <c r="N6" s="339"/>
      <c r="O6" s="339"/>
      <c r="P6" s="339"/>
      <c r="Q6" s="339"/>
      <c r="R6" s="339"/>
      <c r="S6" s="339"/>
      <c r="T6" s="339"/>
      <c r="U6" s="339"/>
      <c r="V6" s="339"/>
      <c r="W6" s="339"/>
      <c r="X6" s="339"/>
      <c r="Y6" s="340"/>
      <c r="Z6" s="22"/>
      <c r="AA6" s="22"/>
      <c r="AC6" s="21"/>
      <c r="AD6" s="21"/>
      <c r="AE6" s="63" t="s">
        <v>14</v>
      </c>
      <c r="AF6" s="55">
        <v>2019</v>
      </c>
    </row>
    <row r="7" spans="1:56" ht="17.100000000000001" customHeight="1">
      <c r="B7" s="391"/>
      <c r="C7" s="392"/>
      <c r="D7" s="392"/>
      <c r="E7" s="392"/>
      <c r="F7" s="392"/>
      <c r="G7" s="392"/>
      <c r="H7" s="392"/>
      <c r="I7" s="392"/>
      <c r="J7" s="392"/>
      <c r="K7" s="392"/>
      <c r="L7" s="392"/>
      <c r="M7" s="392"/>
      <c r="N7" s="392"/>
      <c r="O7" s="392"/>
      <c r="P7" s="392"/>
      <c r="Q7" s="392"/>
      <c r="R7" s="392"/>
      <c r="S7" s="392"/>
      <c r="T7" s="392"/>
      <c r="U7" s="392"/>
      <c r="V7" s="392"/>
      <c r="W7" s="392"/>
      <c r="X7" s="392"/>
      <c r="Y7" s="393"/>
      <c r="Z7" s="22"/>
      <c r="AA7" s="22"/>
      <c r="AE7" s="63" t="s">
        <v>133</v>
      </c>
      <c r="AF7" s="21" t="s">
        <v>226</v>
      </c>
    </row>
    <row r="8" spans="1:56">
      <c r="B8" s="394"/>
      <c r="C8" s="395"/>
      <c r="D8" s="395"/>
      <c r="E8" s="395"/>
      <c r="F8" s="395"/>
      <c r="G8" s="395"/>
      <c r="H8" s="395"/>
      <c r="I8" s="395"/>
      <c r="J8" s="395"/>
      <c r="K8" s="395"/>
      <c r="L8" s="395"/>
      <c r="M8" s="395"/>
      <c r="N8" s="395"/>
      <c r="O8" s="395"/>
      <c r="P8" s="395"/>
      <c r="Q8" s="395"/>
      <c r="R8" s="395"/>
      <c r="S8" s="395"/>
      <c r="T8" s="395"/>
      <c r="U8" s="395"/>
      <c r="V8" s="395"/>
      <c r="W8" s="395"/>
      <c r="X8" s="395"/>
      <c r="Y8" s="396"/>
      <c r="Z8" s="22"/>
      <c r="AA8" s="22"/>
      <c r="AE8" s="64" t="s">
        <v>134</v>
      </c>
      <c r="AF8" s="65">
        <f>SUMIFS(TblDatabase[Row No],ListEmployeeNamesInDatabase,$AF$7,TblDatabase[Year],$AF$6)</f>
        <v>0</v>
      </c>
    </row>
    <row r="9" spans="1:56">
      <c r="B9" s="397"/>
      <c r="C9" s="398"/>
      <c r="D9" s="398"/>
      <c r="E9" s="398"/>
      <c r="F9" s="398"/>
      <c r="G9" s="398"/>
      <c r="H9" s="398"/>
      <c r="I9" s="398"/>
      <c r="J9" s="398"/>
      <c r="K9" s="398"/>
      <c r="L9" s="398"/>
      <c r="M9" s="398"/>
      <c r="N9" s="398"/>
      <c r="O9" s="398"/>
      <c r="P9" s="398"/>
      <c r="Q9" s="398"/>
      <c r="R9" s="398"/>
      <c r="S9" s="398"/>
      <c r="T9" s="398"/>
      <c r="U9" s="398"/>
      <c r="V9" s="398"/>
      <c r="W9" s="398"/>
      <c r="X9" s="398"/>
      <c r="Y9" s="399"/>
    </row>
    <row r="10" spans="1:56">
      <c r="B10" s="37"/>
      <c r="C10" s="37"/>
      <c r="D10" s="37"/>
      <c r="E10" s="36"/>
      <c r="F10" s="36"/>
      <c r="G10" s="36"/>
      <c r="H10" s="36"/>
      <c r="I10" s="36"/>
      <c r="J10" s="36"/>
      <c r="K10" s="36"/>
      <c r="L10" s="36"/>
      <c r="M10" s="36"/>
      <c r="N10" s="36"/>
      <c r="O10" s="36"/>
      <c r="P10" s="36"/>
      <c r="Q10" s="36"/>
      <c r="R10" s="36"/>
      <c r="S10" s="36"/>
      <c r="T10" s="36"/>
      <c r="U10" s="36"/>
      <c r="V10" s="36"/>
      <c r="W10" s="36"/>
      <c r="X10" s="36"/>
      <c r="Y10" s="36"/>
      <c r="AF10" s="142"/>
      <c r="AG10" s="18"/>
      <c r="AS10" s="143"/>
    </row>
    <row r="11" spans="1:56" ht="17.100000000000001" customHeight="1">
      <c r="A11" s="1"/>
      <c r="B11" s="320" t="s">
        <v>8</v>
      </c>
      <c r="C11" s="321"/>
      <c r="D11" s="321"/>
      <c r="E11" s="321"/>
      <c r="F11" s="112">
        <v>1</v>
      </c>
      <c r="G11" s="113">
        <v>2</v>
      </c>
      <c r="H11" s="113">
        <v>3</v>
      </c>
      <c r="I11" s="113">
        <v>4</v>
      </c>
      <c r="J11" s="113">
        <v>5</v>
      </c>
      <c r="K11" s="113">
        <v>6</v>
      </c>
      <c r="L11" s="113">
        <v>7</v>
      </c>
      <c r="M11" s="113">
        <v>8</v>
      </c>
      <c r="N11" s="113">
        <v>9</v>
      </c>
      <c r="O11" s="114">
        <v>10</v>
      </c>
      <c r="R11" s="333" t="s">
        <v>24</v>
      </c>
      <c r="S11" s="333"/>
      <c r="T11" s="333"/>
      <c r="U11" s="333"/>
      <c r="V11" s="333"/>
      <c r="W11" s="333"/>
      <c r="X11" s="333"/>
      <c r="Y11" s="334"/>
      <c r="Z11" s="1"/>
      <c r="AA11" s="54" t="s">
        <v>131</v>
      </c>
      <c r="AB11" s="57" t="s">
        <v>130</v>
      </c>
      <c r="AC11" s="21"/>
      <c r="AD11" s="21"/>
      <c r="AE11" s="141" t="s">
        <v>161</v>
      </c>
      <c r="AF11" s="408">
        <f>IF(Settings!$M$4=Settings!$Y$3,Settings!$O$19,1)</f>
        <v>1</v>
      </c>
      <c r="AG11" s="409">
        <v>2</v>
      </c>
      <c r="AH11" s="409">
        <v>3</v>
      </c>
      <c r="AI11" s="409">
        <v>4</v>
      </c>
      <c r="AJ11" s="409">
        <f>IF(Settings!$M$4=Settings!$Y$3,Settings!$O$20,5)</f>
        <v>5</v>
      </c>
      <c r="AK11" s="409">
        <v>6</v>
      </c>
      <c r="AL11" s="409">
        <v>7</v>
      </c>
      <c r="AM11" s="409">
        <v>8</v>
      </c>
      <c r="AN11" s="409">
        <f>IF(Settings!$M$4=Settings!$Y$3,Settings!$O$21,9)</f>
        <v>9</v>
      </c>
      <c r="AO11" s="409">
        <v>10</v>
      </c>
      <c r="AP11" s="409"/>
      <c r="AQ11" s="410"/>
      <c r="AR11" s="144"/>
      <c r="BD11" s="111" t="s">
        <v>145</v>
      </c>
    </row>
    <row r="12" spans="1:56" ht="20.100000000000001" customHeight="1">
      <c r="A12" s="1"/>
      <c r="B12" s="335" t="str">
        <f>IF(Settings!K14&lt;&gt;"",Settings!K14,"")</f>
        <v>Quality of Work</v>
      </c>
      <c r="C12" s="336"/>
      <c r="D12" s="336"/>
      <c r="E12" s="337"/>
      <c r="F12" s="86"/>
      <c r="G12" s="87"/>
      <c r="H12" s="87"/>
      <c r="I12" s="87"/>
      <c r="J12" s="87"/>
      <c r="K12" s="87"/>
      <c r="L12" s="87"/>
      <c r="M12" s="87"/>
      <c r="N12" s="87"/>
      <c r="O12" s="88"/>
      <c r="R12" s="411"/>
      <c r="S12" s="411"/>
      <c r="T12" s="411"/>
      <c r="U12" s="411"/>
      <c r="V12" s="411"/>
      <c r="W12" s="411"/>
      <c r="X12" s="411"/>
      <c r="Y12" s="412"/>
      <c r="Z12" s="1"/>
      <c r="AA12" s="60">
        <f>IF(Settings!$M$4=Settings!$Y$3,IF($AF12="P",1,IF($AJ12="P",2,IF($AN12="P",3,0))),IFERROR(AE12,0))</f>
        <v>0</v>
      </c>
      <c r="AB12" s="58">
        <f>SUMIFS(TblDatabase[Competency1],ListEmployeeNamesInDatabase,$L$4,TblDatabase[Year],C4)</f>
        <v>0</v>
      </c>
      <c r="AC12" s="59" t="e">
        <f>IF(INDEX(TblDatabase[Comment1],MATCH(1,INDEX(($L$4=ListEmployeeNamesInDatabase)*(C4=TblDatabase[Year]),0,1),0))="",0,INDEX(TblDatabase[Comment1],MATCH(1,INDEX(($L$4=ListEmployeeNamesInDatabase)*(C4=TblDatabase[Year]),0,1),0)))</f>
        <v>#N/A</v>
      </c>
      <c r="AD12" s="62" t="e">
        <f>IF(INDEX(TblDatabase[Feedback Does Well],MATCH(1,INDEX(($L$4=ListEmployeeNamesInDatabase)*(C4=TblDatabase[Year]),0,1),0))="",0,INDEX(TblDatabase[Feedback Does Well],MATCH(1,INDEX(($L$4=ListEmployeeNamesInDatabase)*(C4=TblDatabase[Year]),0,1),0)))</f>
        <v>#N/A</v>
      </c>
      <c r="AE12" s="55" t="e">
        <f t="array" ref="AE12">MATCH(FALSE,ISBLANK($F12:$O12),0)</f>
        <v>#N/A</v>
      </c>
      <c r="AF12" s="400"/>
      <c r="AG12" s="401"/>
      <c r="AH12" s="401"/>
      <c r="AI12" s="402"/>
      <c r="AJ12" s="403"/>
      <c r="AK12" s="403"/>
      <c r="AL12" s="403"/>
      <c r="AM12" s="403"/>
      <c r="AN12" s="403"/>
      <c r="AO12" s="403"/>
      <c r="AP12" s="403"/>
      <c r="AQ12" s="404"/>
      <c r="BD12" s="110" t="s">
        <v>146</v>
      </c>
    </row>
    <row r="13" spans="1:56" ht="20.100000000000001" customHeight="1">
      <c r="A13" s="1"/>
      <c r="B13" s="355" t="str">
        <f>IF(Settings!K15&lt;&gt;"",Settings!K15,"")</f>
        <v>CaLL flow</v>
      </c>
      <c r="C13" s="356"/>
      <c r="D13" s="356"/>
      <c r="E13" s="357"/>
      <c r="F13" s="80"/>
      <c r="G13" s="81"/>
      <c r="H13" s="81"/>
      <c r="I13" s="81"/>
      <c r="J13" s="81"/>
      <c r="K13" s="81"/>
      <c r="L13" s="81"/>
      <c r="M13" s="81"/>
      <c r="N13" s="81"/>
      <c r="O13" s="82"/>
      <c r="R13" s="381"/>
      <c r="S13" s="381"/>
      <c r="T13" s="381"/>
      <c r="U13" s="381"/>
      <c r="V13" s="381"/>
      <c r="W13" s="381"/>
      <c r="X13" s="381"/>
      <c r="Y13" s="382"/>
      <c r="Z13" s="1"/>
      <c r="AA13" s="60">
        <f>IF(Settings!$M$4=Settings!$Y$3,IF($AF13="P",1,IF($AJ13="P",2,IF($AN13="P",3,0))),IFERROR(AE13,0))</f>
        <v>0</v>
      </c>
      <c r="AB13" s="58">
        <f>SUMIFS(TblDatabase[Competency2],ListEmployeeNamesInDatabase,$L$4,TblDatabase[Year],C4)</f>
        <v>0</v>
      </c>
      <c r="AC13" s="59" t="e">
        <f>IF(INDEX(TblDatabase[Comment2],MATCH(1,INDEX(($L$4=ListEmployeeNamesInDatabase)*(C4=TblDatabase[Year]),0,1),0))="",0,INDEX(TblDatabase[Comment2],MATCH(1,INDEX(($L$4=ListEmployeeNamesInDatabase)*(C4=TblDatabase[Year]),0,1),0)))</f>
        <v>#N/A</v>
      </c>
      <c r="AD13" s="62" t="e">
        <f>IF(INDEX(TblDatabase[Feedback To Improve],MATCH(1,INDEX(($L$4=ListEmployeeNamesInDatabase)*(C4=TblDatabase[Year]),0,1),0))="",0,INDEX(TblDatabase[Feedback To Improve],MATCH(1,INDEX(($L$4=ListEmployeeNamesInDatabase)*(C4=TblDatabase[Year]),0,1),0)))</f>
        <v>#N/A</v>
      </c>
      <c r="AE13" s="55" t="e">
        <f t="array" ref="AE13">MATCH(FALSE,ISBLANK($F13:$O13),0)</f>
        <v>#N/A</v>
      </c>
      <c r="AF13" s="378"/>
      <c r="AG13" s="379"/>
      <c r="AH13" s="379"/>
      <c r="AI13" s="379"/>
      <c r="AJ13" s="379"/>
      <c r="AK13" s="379"/>
      <c r="AL13" s="379"/>
      <c r="AM13" s="379"/>
      <c r="AN13" s="379"/>
      <c r="AO13" s="379"/>
      <c r="AP13" s="379"/>
      <c r="AQ13" s="380"/>
      <c r="BD13" s="110" t="s">
        <v>147</v>
      </c>
    </row>
    <row r="14" spans="1:56" ht="20.100000000000001" customHeight="1">
      <c r="A14" s="1"/>
      <c r="B14" s="350" t="str">
        <f>IF(Settings!K16&lt;&gt;"",Settings!K16,"")</f>
        <v>Job Knowledge</v>
      </c>
      <c r="C14" s="351"/>
      <c r="D14" s="351"/>
      <c r="E14" s="352"/>
      <c r="F14" s="83"/>
      <c r="G14" s="84"/>
      <c r="H14" s="84"/>
      <c r="I14" s="84"/>
      <c r="J14" s="84"/>
      <c r="K14" s="84"/>
      <c r="L14" s="84"/>
      <c r="M14" s="84"/>
      <c r="N14" s="84"/>
      <c r="O14" s="85"/>
      <c r="R14" s="376"/>
      <c r="S14" s="376"/>
      <c r="T14" s="376"/>
      <c r="U14" s="376"/>
      <c r="V14" s="376"/>
      <c r="W14" s="376"/>
      <c r="X14" s="376"/>
      <c r="Y14" s="377"/>
      <c r="Z14" s="1"/>
      <c r="AA14" s="60">
        <f>IF(Settings!$M$4=Settings!$Y$3,IF($AF14="P",1,IF($AJ14="P",2,IF($AN14="P",3,0))),IFERROR(AE14,0))</f>
        <v>0</v>
      </c>
      <c r="AB14" s="58">
        <f>SUMIFS(TblDatabase[Competency3],ListEmployeeNamesInDatabase,$L$4,TblDatabase[Year],C4)</f>
        <v>0</v>
      </c>
      <c r="AC14" s="59" t="e">
        <f>IF(INDEX(TblDatabase[Comment3],MATCH(1,INDEX(($L$4=ListEmployeeNamesInDatabase)*(C4=TblDatabase[Year]),0,1),0))="",0,INDEX(TblDatabase[Comment3],MATCH(1,INDEX(($L$4=ListEmployeeNamesInDatabase)*(C4=TblDatabase[Year]),0,1),0)))</f>
        <v>#N/A</v>
      </c>
      <c r="AD14" s="62" t="e">
        <f>IF(INDEX(TblDatabase[Feedback Warnings],MATCH(1,INDEX(($L$4=ListEmployeeNamesInDatabase)*(C4=TblDatabase[Year]),0,1),0))="",0,INDEX(TblDatabase[Feedback Warnings],MATCH(1,INDEX(($L$4=ListEmployeeNamesInDatabase)*(C4=TblDatabase[Year]),0,1),0)))</f>
        <v>#N/A</v>
      </c>
      <c r="AE14" s="55" t="e">
        <f t="array" ref="AE14">MATCH(FALSE,ISBLANK($F14:$O14),0)</f>
        <v>#N/A</v>
      </c>
      <c r="AF14" s="383"/>
      <c r="AG14" s="384"/>
      <c r="AH14" s="384"/>
      <c r="AI14" s="384"/>
      <c r="AJ14" s="384"/>
      <c r="AK14" s="384"/>
      <c r="AL14" s="384"/>
      <c r="AM14" s="384"/>
      <c r="AN14" s="384"/>
      <c r="AO14" s="384"/>
      <c r="AP14" s="384"/>
      <c r="AQ14" s="385"/>
      <c r="BD14" s="110" t="s">
        <v>148</v>
      </c>
    </row>
    <row r="15" spans="1:56" ht="20.100000000000001" customHeight="1">
      <c r="A15" s="1"/>
      <c r="B15" s="355" t="str">
        <f>IF(Settings!K17&lt;&gt;"",Settings!K17,"")</f>
        <v>Client Service</v>
      </c>
      <c r="C15" s="356"/>
      <c r="D15" s="356"/>
      <c r="E15" s="357"/>
      <c r="F15" s="80"/>
      <c r="G15" s="81"/>
      <c r="H15" s="81"/>
      <c r="I15" s="81"/>
      <c r="J15" s="81"/>
      <c r="K15" s="81"/>
      <c r="L15" s="81"/>
      <c r="M15" s="81"/>
      <c r="N15" s="81"/>
      <c r="O15" s="82"/>
      <c r="R15" s="381"/>
      <c r="S15" s="381"/>
      <c r="T15" s="381"/>
      <c r="U15" s="381"/>
      <c r="V15" s="381"/>
      <c r="W15" s="381"/>
      <c r="X15" s="381"/>
      <c r="Y15" s="382"/>
      <c r="Z15" s="1"/>
      <c r="AA15" s="60">
        <f>IF(Settings!$M$4=Settings!$Y$3,IF($AF15="P",1,IF($AJ15="P",2,IF($AN15="P",3,0))),IFERROR(AE15,0))</f>
        <v>0</v>
      </c>
      <c r="AB15" s="58">
        <f>SUMIFS(TblDatabase[Competency4],ListEmployeeNamesInDatabase,$L$4,TblDatabase[Year],C4)</f>
        <v>0</v>
      </c>
      <c r="AC15" s="59" t="e">
        <f>IF(INDEX(TblDatabase[Comment4],MATCH(1,INDEX(($L$4=ListEmployeeNamesInDatabase)*(C4=TblDatabase[Year]),0,1),0))="",0,INDEX(TblDatabase[Comment4],MATCH(1,INDEX(($L$4=ListEmployeeNamesInDatabase)*(C4=TblDatabase[Year]),0,1),0)))</f>
        <v>#N/A</v>
      </c>
      <c r="AD15" s="21"/>
      <c r="AE15" s="55" t="e">
        <f t="array" ref="AE15">MATCH(FALSE,ISBLANK($F15:$O15),0)</f>
        <v>#N/A</v>
      </c>
      <c r="AF15" s="378"/>
      <c r="AG15" s="379"/>
      <c r="AH15" s="379"/>
      <c r="AI15" s="379"/>
      <c r="AJ15" s="379"/>
      <c r="AK15" s="379"/>
      <c r="AL15" s="379"/>
      <c r="AM15" s="379"/>
      <c r="AN15" s="379"/>
      <c r="AO15" s="379"/>
      <c r="AP15" s="379"/>
      <c r="AQ15" s="380"/>
      <c r="BD15" s="110" t="s">
        <v>149</v>
      </c>
    </row>
    <row r="16" spans="1:56" ht="20.100000000000001" customHeight="1">
      <c r="A16" s="1"/>
      <c r="B16" s="350" t="str">
        <f>IF(Settings!K18&lt;&gt;"",Settings!K18,"")</f>
        <v>Teamwork</v>
      </c>
      <c r="C16" s="351"/>
      <c r="D16" s="351"/>
      <c r="E16" s="352"/>
      <c r="F16" s="83"/>
      <c r="G16" s="84"/>
      <c r="H16" s="84"/>
      <c r="I16" s="84"/>
      <c r="J16" s="84"/>
      <c r="K16" s="84"/>
      <c r="L16" s="84"/>
      <c r="M16" s="84"/>
      <c r="N16" s="84"/>
      <c r="O16" s="85"/>
      <c r="R16" s="376"/>
      <c r="S16" s="376"/>
      <c r="T16" s="376"/>
      <c r="U16" s="376"/>
      <c r="V16" s="376"/>
      <c r="W16" s="376"/>
      <c r="X16" s="376"/>
      <c r="Y16" s="377"/>
      <c r="Z16" s="1"/>
      <c r="AA16" s="60">
        <f>IF(Settings!$M$4=Settings!$Y$3,IF($AF16="P",1,IF($AJ16="P",2,IF($AN16="P",3,0))),IFERROR(AE16,0))</f>
        <v>0</v>
      </c>
      <c r="AB16" s="58">
        <f>SUMIFS(TblDatabase[Competency5],ListEmployeeNamesInDatabase,$L$4,TblDatabase[Year],C4)</f>
        <v>0</v>
      </c>
      <c r="AC16" s="59" t="e">
        <f>IF(INDEX(TblDatabase[Comment5],MATCH(1,INDEX(($L$4=ListEmployeeNamesInDatabase)*(C4=TblDatabase[Year]),0,1),0))="",0,INDEX(TblDatabase[Comment5],MATCH(1,INDEX(($L$4=ListEmployeeNamesInDatabase)*(C4=TblDatabase[Year]),0,1),0)))</f>
        <v>#N/A</v>
      </c>
      <c r="AD16" s="21"/>
      <c r="AE16" s="55" t="e">
        <f t="array" ref="AE16">MATCH(FALSE,ISBLANK($F16:$O16),0)</f>
        <v>#N/A</v>
      </c>
      <c r="AF16" s="383"/>
      <c r="AG16" s="384"/>
      <c r="AH16" s="384"/>
      <c r="AI16" s="384"/>
      <c r="AJ16" s="384"/>
      <c r="AK16" s="384"/>
      <c r="AL16" s="384"/>
      <c r="AM16" s="384"/>
      <c r="AN16" s="384"/>
      <c r="AO16" s="384"/>
      <c r="AP16" s="384"/>
      <c r="AQ16" s="385"/>
      <c r="BD16" s="110"/>
    </row>
    <row r="17" spans="1:56" ht="20.100000000000001" customHeight="1">
      <c r="A17" s="1"/>
      <c r="B17" s="355" t="str">
        <f>IF(Settings!K19&lt;&gt;"",Settings!K19,"")</f>
        <v>Safety</v>
      </c>
      <c r="C17" s="356"/>
      <c r="D17" s="356"/>
      <c r="E17" s="357"/>
      <c r="F17" s="80"/>
      <c r="G17" s="81"/>
      <c r="H17" s="81"/>
      <c r="I17" s="81"/>
      <c r="J17" s="81"/>
      <c r="K17" s="81"/>
      <c r="L17" s="81"/>
      <c r="M17" s="81"/>
      <c r="N17" s="81"/>
      <c r="O17" s="82"/>
      <c r="R17" s="381"/>
      <c r="S17" s="381"/>
      <c r="T17" s="381"/>
      <c r="U17" s="381"/>
      <c r="V17" s="381"/>
      <c r="W17" s="381"/>
      <c r="X17" s="381"/>
      <c r="Y17" s="382"/>
      <c r="Z17" s="1"/>
      <c r="AA17" s="60">
        <f>IF(Settings!$M$4=Settings!$Y$3,IF($AF17="P",1,IF($AJ17="P",2,IF($AN17="P",3,0))),IFERROR(AE17,0))</f>
        <v>0</v>
      </c>
      <c r="AB17" s="58">
        <f>SUMIFS(TblDatabase[Competency6],ListEmployeeNamesInDatabase,$L$4,TblDatabase[Year],C4)</f>
        <v>0</v>
      </c>
      <c r="AC17" s="59" t="e">
        <f>IF(INDEX(TblDatabase[Comment6],MATCH(1,INDEX(($L$4=ListEmployeeNamesInDatabase)*(C4=TblDatabase[Year]),0,1),0))="",0,INDEX(TblDatabase[Comment6],MATCH(1,INDEX(($L$4=ListEmployeeNamesInDatabase)*(C4=TblDatabase[Year]),0,1),0)))</f>
        <v>#N/A</v>
      </c>
      <c r="AD17" s="21"/>
      <c r="AE17" s="55" t="e">
        <f t="array" ref="AE17">MATCH(FALSE,ISBLANK($F17:$O17),0)</f>
        <v>#N/A</v>
      </c>
      <c r="AF17" s="378"/>
      <c r="AG17" s="379"/>
      <c r="AH17" s="379"/>
      <c r="AI17" s="379"/>
      <c r="AJ17" s="379"/>
      <c r="AK17" s="379"/>
      <c r="AL17" s="379"/>
      <c r="AM17" s="379"/>
      <c r="AN17" s="379"/>
      <c r="AO17" s="379"/>
      <c r="AP17" s="379"/>
      <c r="AQ17" s="380"/>
      <c r="BD17" s="110" t="s">
        <v>150</v>
      </c>
    </row>
    <row r="18" spans="1:56" ht="20.100000000000001" customHeight="1">
      <c r="A18" s="1"/>
      <c r="B18" s="350" t="str">
        <f>IF(Settings!K20&lt;&gt;"",Settings!K20,"")</f>
        <v>Reliability</v>
      </c>
      <c r="C18" s="351"/>
      <c r="D18" s="351"/>
      <c r="E18" s="352"/>
      <c r="F18" s="83"/>
      <c r="G18" s="84"/>
      <c r="H18" s="84"/>
      <c r="I18" s="84"/>
      <c r="J18" s="84"/>
      <c r="K18" s="84"/>
      <c r="L18" s="84"/>
      <c r="M18" s="84"/>
      <c r="N18" s="84"/>
      <c r="O18" s="85"/>
      <c r="R18" s="376"/>
      <c r="S18" s="376"/>
      <c r="T18" s="376"/>
      <c r="U18" s="376"/>
      <c r="V18" s="376"/>
      <c r="W18" s="376"/>
      <c r="X18" s="376"/>
      <c r="Y18" s="377"/>
      <c r="Z18" s="1"/>
      <c r="AA18" s="60">
        <f>IF(Settings!$M$4=Settings!$Y$3,IF($AF18="P",1,IF($AJ18="P",2,IF($AN18="P",3,0))),IFERROR(AE18,0))</f>
        <v>0</v>
      </c>
      <c r="AB18" s="58">
        <f>SUMIFS(TblDatabase[Competency7],ListEmployeeNamesInDatabase,$L$4,TblDatabase[Year],C4)</f>
        <v>0</v>
      </c>
      <c r="AC18" s="59" t="e">
        <f>IF(INDEX(TblDatabase[Comment7],MATCH(1,INDEX(($L$4=ListEmployeeNamesInDatabase)*(C4=TblDatabase[Year]),0,1),0))="",0,INDEX(TblDatabase[Comment7],MATCH(1,INDEX(($L$4=ListEmployeeNamesInDatabase)*(C4=TblDatabase[Year]),0,1),0)))</f>
        <v>#N/A</v>
      </c>
      <c r="AD18" s="21"/>
      <c r="AE18" s="55" t="e">
        <f t="array" ref="AE18">MATCH(FALSE,ISBLANK($F18:$O18),0)</f>
        <v>#N/A</v>
      </c>
      <c r="AF18" s="383"/>
      <c r="AG18" s="384"/>
      <c r="AH18" s="384"/>
      <c r="AI18" s="384"/>
      <c r="AJ18" s="384"/>
      <c r="AK18" s="384"/>
      <c r="AL18" s="384"/>
      <c r="AM18" s="384"/>
      <c r="AN18" s="384"/>
      <c r="AO18" s="384"/>
      <c r="AP18" s="384"/>
      <c r="AQ18" s="385"/>
      <c r="BD18" s="110" t="s">
        <v>151</v>
      </c>
    </row>
    <row r="19" spans="1:56" ht="20.100000000000001" customHeight="1">
      <c r="A19" s="1"/>
      <c r="B19" s="355" t="str">
        <f>IF(Settings!K21&lt;&gt;"",Settings!K21,"")</f>
        <v>Initiative/Adaptability</v>
      </c>
      <c r="C19" s="356"/>
      <c r="D19" s="356"/>
      <c r="E19" s="357"/>
      <c r="F19" s="80"/>
      <c r="G19" s="81"/>
      <c r="H19" s="81"/>
      <c r="I19" s="81"/>
      <c r="J19" s="81"/>
      <c r="K19" s="81"/>
      <c r="L19" s="81"/>
      <c r="M19" s="81"/>
      <c r="N19" s="81"/>
      <c r="O19" s="82"/>
      <c r="R19" s="381"/>
      <c r="S19" s="381"/>
      <c r="T19" s="381"/>
      <c r="U19" s="381"/>
      <c r="V19" s="381"/>
      <c r="W19" s="381"/>
      <c r="X19" s="381"/>
      <c r="Y19" s="382"/>
      <c r="Z19" s="1"/>
      <c r="AA19" s="60">
        <f>IF(Settings!$M$4=Settings!$Y$3,IF($AF19="P",1,IF($AJ19="P",2,IF($AN19="P",3,0))),IFERROR(AE19,0))</f>
        <v>0</v>
      </c>
      <c r="AB19" s="58">
        <f>SUMIFS(TblDatabase[Competency8],ListEmployeeNamesInDatabase,$L$4,TblDatabase[Year],C4)</f>
        <v>0</v>
      </c>
      <c r="AC19" s="59" t="e">
        <f>IF(INDEX(TblDatabase[Comment8],MATCH(1,INDEX(($L$4=ListEmployeeNamesInDatabase)*(C4=TblDatabase[Year]),0,1),0))="",0,INDEX(TblDatabase[Comment8],MATCH(1,INDEX(($L$4=ListEmployeeNamesInDatabase)*(C4=TblDatabase[Year]),0,1),0)))</f>
        <v>#N/A</v>
      </c>
      <c r="AD19" s="40"/>
      <c r="AE19" s="55" t="e">
        <f t="array" ref="AE19">MATCH(FALSE,ISBLANK($F19:$O19),0)</f>
        <v>#N/A</v>
      </c>
      <c r="AF19" s="378"/>
      <c r="AG19" s="379"/>
      <c r="AH19" s="379"/>
      <c r="AI19" s="379"/>
      <c r="AJ19" s="379"/>
      <c r="AK19" s="379"/>
      <c r="AL19" s="379"/>
      <c r="AM19" s="379"/>
      <c r="AN19" s="379"/>
      <c r="AO19" s="379"/>
      <c r="AP19" s="379"/>
      <c r="AQ19" s="380"/>
      <c r="BD19" s="110"/>
    </row>
    <row r="20" spans="1:56" ht="20.100000000000001" hidden="1" customHeight="1">
      <c r="A20" s="1"/>
      <c r="B20" s="350" t="str">
        <f>IF(Settings!K22&lt;&gt;"",Settings!K22,"")</f>
        <v/>
      </c>
      <c r="C20" s="351"/>
      <c r="D20" s="351"/>
      <c r="E20" s="352"/>
      <c r="F20" s="83"/>
      <c r="G20" s="84"/>
      <c r="H20" s="84"/>
      <c r="I20" s="84"/>
      <c r="J20" s="84"/>
      <c r="K20" s="84"/>
      <c r="L20" s="84"/>
      <c r="M20" s="84"/>
      <c r="N20" s="84"/>
      <c r="O20" s="85"/>
      <c r="R20" s="376"/>
      <c r="S20" s="376"/>
      <c r="T20" s="376"/>
      <c r="U20" s="376"/>
      <c r="V20" s="376"/>
      <c r="W20" s="376"/>
      <c r="X20" s="376"/>
      <c r="Y20" s="377"/>
      <c r="Z20" s="1"/>
      <c r="AA20" s="60">
        <f>IF(Settings!$M$4=Settings!$Y$3,IF($AF20="P",1,IF($AJ20="P",2,IF($AN20="P",3,0))),IFERROR(AE20,0))</f>
        <v>0</v>
      </c>
      <c r="AB20" s="58">
        <f>SUMIFS(TblDatabase[Competency9],ListEmployeeNamesInDatabase,$L$4,TblDatabase[Year],C4)</f>
        <v>0</v>
      </c>
      <c r="AC20" s="59" t="e">
        <f>IF(INDEX(TblDatabase[Comment9],MATCH(1,INDEX(($L$4=ListEmployeeNamesInDatabase)*(C4=TblDatabase[Year]),0,1),0))="",0,INDEX(TblDatabase[Comment9],MATCH(1,INDEX(($L$4=ListEmployeeNamesInDatabase)*(C4=TblDatabase[Year]),0,1),0)))</f>
        <v>#N/A</v>
      </c>
      <c r="AD20" s="40"/>
      <c r="AE20" s="55" t="e">
        <f t="array" ref="AE20">MATCH(FALSE,ISBLANK($F20:$O20),0)</f>
        <v>#N/A</v>
      </c>
      <c r="AF20" s="383"/>
      <c r="AG20" s="384"/>
      <c r="AH20" s="384"/>
      <c r="AI20" s="384"/>
      <c r="AJ20" s="384"/>
      <c r="AK20" s="384"/>
      <c r="AL20" s="384"/>
      <c r="AM20" s="384"/>
      <c r="AN20" s="384"/>
      <c r="AO20" s="384"/>
      <c r="AP20" s="384"/>
      <c r="AQ20" s="385"/>
      <c r="BD20" s="110" t="s">
        <v>152</v>
      </c>
    </row>
    <row r="21" spans="1:56" ht="20.100000000000001" hidden="1" customHeight="1">
      <c r="A21" s="1"/>
      <c r="B21" s="355" t="str">
        <f>IF(Settings!K23&lt;&gt;"",Settings!K23,"")</f>
        <v/>
      </c>
      <c r="C21" s="356"/>
      <c r="D21" s="356"/>
      <c r="E21" s="357"/>
      <c r="F21" s="80"/>
      <c r="G21" s="81"/>
      <c r="H21" s="81"/>
      <c r="I21" s="81"/>
      <c r="J21" s="81"/>
      <c r="K21" s="81"/>
      <c r="L21" s="81"/>
      <c r="M21" s="81"/>
      <c r="N21" s="81"/>
      <c r="O21" s="82"/>
      <c r="R21" s="381"/>
      <c r="S21" s="381"/>
      <c r="T21" s="381"/>
      <c r="U21" s="381"/>
      <c r="V21" s="381"/>
      <c r="W21" s="381"/>
      <c r="X21" s="381"/>
      <c r="Y21" s="382"/>
      <c r="Z21" s="1"/>
      <c r="AA21" s="60">
        <f>IF(Settings!$M$4=Settings!$Y$3,IF($AF21="P",1,IF($AJ21="P",2,IF($AN21="P",3,0))),IFERROR(AE21,0))</f>
        <v>0</v>
      </c>
      <c r="AB21" s="58">
        <f>SUMIFS(TblDatabase[Competency10],ListEmployeeNamesInDatabase,$L$4,TblDatabase[Year],C4)</f>
        <v>0</v>
      </c>
      <c r="AC21" s="59" t="e">
        <f>IF(INDEX(TblDatabase[Comment10],MATCH(1,INDEX(($L$4=ListEmployeeNamesInDatabase)*(C4=TblDatabase[Year]),0,1),0))="",0,INDEX(TblDatabase[Comment10],MATCH(1,INDEX(($L$4=ListEmployeeNamesInDatabase)*(C4=TblDatabase[Year]),0,1),0)))</f>
        <v>#N/A</v>
      </c>
      <c r="AD21" s="40"/>
      <c r="AE21" s="55" t="e">
        <f t="array" ref="AE21">MATCH(FALSE,ISBLANK($F21:$O21),0)</f>
        <v>#N/A</v>
      </c>
      <c r="AF21" s="378"/>
      <c r="AG21" s="379"/>
      <c r="AH21" s="379"/>
      <c r="AI21" s="379"/>
      <c r="AJ21" s="379"/>
      <c r="AK21" s="379"/>
      <c r="AL21" s="379"/>
      <c r="AM21" s="379"/>
      <c r="AN21" s="379"/>
      <c r="AO21" s="379"/>
      <c r="AP21" s="379"/>
      <c r="AQ21" s="380"/>
      <c r="BD21" s="146"/>
    </row>
    <row r="22" spans="1:56" ht="20.100000000000001" hidden="1" customHeight="1">
      <c r="A22" s="1"/>
      <c r="B22" s="350" t="str">
        <f>IF(Settings!K24&lt;&gt;"",Settings!K24,"")</f>
        <v/>
      </c>
      <c r="C22" s="351"/>
      <c r="D22" s="351"/>
      <c r="E22" s="352"/>
      <c r="F22" s="83"/>
      <c r="G22" s="84"/>
      <c r="H22" s="84"/>
      <c r="I22" s="84"/>
      <c r="J22" s="84"/>
      <c r="K22" s="84"/>
      <c r="L22" s="84"/>
      <c r="M22" s="84"/>
      <c r="N22" s="84"/>
      <c r="O22" s="85"/>
      <c r="R22" s="376"/>
      <c r="S22" s="376"/>
      <c r="T22" s="376"/>
      <c r="U22" s="376"/>
      <c r="V22" s="376"/>
      <c r="W22" s="376"/>
      <c r="X22" s="376"/>
      <c r="Y22" s="377"/>
      <c r="Z22" s="1"/>
      <c r="AA22" s="60">
        <f>IF(Settings!$M$4=Settings!$Y$3,IF($AF22="P",1,IF($AJ22="P",2,IF($AN22="P",3,0))),IFERROR(AE22,0))</f>
        <v>0</v>
      </c>
      <c r="AB22" s="58">
        <f>SUMIFS(TblDatabase[Competency11],ListEmployeeNamesInDatabase,$L$4,TblDatabase[Year],C4)</f>
        <v>0</v>
      </c>
      <c r="AC22" s="59" t="e">
        <f>IF(INDEX(TblDatabase[Comment11],MATCH(1,INDEX(($L$4=ListEmployeeNamesInDatabase)*(C4=TblDatabase[Year]),0,1),0))="",0,INDEX(TblDatabase[Comment11],MATCH(1,INDEX(($L$4=ListEmployeeNamesInDatabase)*(C4=TblDatabase[Year]),0,1),0)))</f>
        <v>#N/A</v>
      </c>
      <c r="AD22" s="40"/>
      <c r="AE22" s="55" t="e">
        <f t="array" ref="AE22">MATCH(FALSE,ISBLANK($F22:$O22),0)</f>
        <v>#N/A</v>
      </c>
      <c r="AF22" s="383"/>
      <c r="AG22" s="384"/>
      <c r="AH22" s="384"/>
      <c r="AI22" s="384"/>
      <c r="AJ22" s="384"/>
      <c r="AK22" s="384"/>
      <c r="AL22" s="384"/>
      <c r="AM22" s="384"/>
      <c r="AN22" s="384"/>
      <c r="AO22" s="384"/>
      <c r="AP22" s="384"/>
      <c r="AQ22" s="385"/>
      <c r="BD22" s="146"/>
    </row>
    <row r="23" spans="1:56" ht="20.100000000000001" hidden="1" customHeight="1">
      <c r="A23" s="1"/>
      <c r="B23" s="355" t="str">
        <f>IF(Settings!K25&lt;&gt;"",Settings!K25,"")</f>
        <v/>
      </c>
      <c r="C23" s="356"/>
      <c r="D23" s="356"/>
      <c r="E23" s="357"/>
      <c r="F23" s="80"/>
      <c r="G23" s="81"/>
      <c r="H23" s="81"/>
      <c r="I23" s="81"/>
      <c r="J23" s="81"/>
      <c r="K23" s="81"/>
      <c r="L23" s="81"/>
      <c r="M23" s="81"/>
      <c r="N23" s="81"/>
      <c r="O23" s="82"/>
      <c r="R23" s="381"/>
      <c r="S23" s="381"/>
      <c r="T23" s="381"/>
      <c r="U23" s="381"/>
      <c r="V23" s="381"/>
      <c r="W23" s="381"/>
      <c r="X23" s="381"/>
      <c r="Y23" s="382"/>
      <c r="Z23" s="1"/>
      <c r="AA23" s="60">
        <f>IF(Settings!$M$4=Settings!$Y$3,IF($AF23="P",1,IF($AJ23="P",2,IF($AN23="P",3,0))),IFERROR(AE23,0))</f>
        <v>0</v>
      </c>
      <c r="AB23" s="58">
        <f>SUMIFS(TblDatabase[Competency12],ListEmployeeNamesInDatabase,$L$4,TblDatabase[Year],C4)</f>
        <v>0</v>
      </c>
      <c r="AC23" s="59" t="e">
        <f>IF(INDEX(TblDatabase[Comment12],MATCH(1,INDEX(($L$4=ListEmployeeNamesInDatabase)*(C4=TblDatabase[Year]),0,1),0))="",0,INDEX(TblDatabase[Comment12],MATCH(1,INDEX(($L$4=ListEmployeeNamesInDatabase)*(C4=TblDatabase[Year]),0,1),0)))</f>
        <v>#N/A</v>
      </c>
      <c r="AD23" s="40"/>
      <c r="AE23" s="55" t="e">
        <f t="array" ref="AE23">MATCH(FALSE,ISBLANK($F23:$O23),0)</f>
        <v>#N/A</v>
      </c>
      <c r="AF23" s="378"/>
      <c r="AG23" s="379"/>
      <c r="AH23" s="379"/>
      <c r="AI23" s="379"/>
      <c r="AJ23" s="379"/>
      <c r="AK23" s="379"/>
      <c r="AL23" s="379"/>
      <c r="AM23" s="379"/>
      <c r="AN23" s="379"/>
      <c r="AO23" s="379"/>
      <c r="AP23" s="379"/>
      <c r="AQ23" s="380"/>
      <c r="BD23" s="146"/>
    </row>
    <row r="24" spans="1:56" ht="20.100000000000001" hidden="1" customHeight="1">
      <c r="A24" s="1"/>
      <c r="B24" s="350" t="str">
        <f>IF(Settings!K26&lt;&gt;"",Settings!K26,"")</f>
        <v/>
      </c>
      <c r="C24" s="351"/>
      <c r="D24" s="351"/>
      <c r="E24" s="352"/>
      <c r="F24" s="83"/>
      <c r="G24" s="84"/>
      <c r="H24" s="84"/>
      <c r="I24" s="84"/>
      <c r="J24" s="84"/>
      <c r="K24" s="84"/>
      <c r="L24" s="84"/>
      <c r="M24" s="84"/>
      <c r="N24" s="84"/>
      <c r="O24" s="85"/>
      <c r="R24" s="376"/>
      <c r="S24" s="376"/>
      <c r="T24" s="376"/>
      <c r="U24" s="376"/>
      <c r="V24" s="376"/>
      <c r="W24" s="376"/>
      <c r="X24" s="376"/>
      <c r="Y24" s="377"/>
      <c r="Z24" s="1"/>
      <c r="AA24" s="60">
        <f>IF(Settings!$M$4=Settings!$Y$3,IF($AF24="P",1,IF($AJ24="P",2,IF($AN24="P",3,0))),IFERROR(AE24,0))</f>
        <v>0</v>
      </c>
      <c r="AB24" s="58">
        <f>SUMIFS(TblDatabase[Competency13],ListEmployeeNamesInDatabase,$L$4,TblDatabase[Year],C4)</f>
        <v>0</v>
      </c>
      <c r="AC24" s="59" t="e">
        <f>IF(INDEX(TblDatabase[Comment13],MATCH(1,INDEX(($L$4=ListEmployeeNamesInDatabase)*(C4=TblDatabase[Year]),0,1),0))="",0,INDEX(TblDatabase[Comment13],MATCH(1,INDEX(($L$4=ListEmployeeNamesInDatabase)*(C4=TblDatabase[Year]),0,1),0)))</f>
        <v>#N/A</v>
      </c>
      <c r="AD24" s="40"/>
      <c r="AE24" s="55" t="e">
        <f t="array" ref="AE24">MATCH(FALSE,ISBLANK($F24:$O24),0)</f>
        <v>#N/A</v>
      </c>
      <c r="AF24" s="383"/>
      <c r="AG24" s="384"/>
      <c r="AH24" s="384"/>
      <c r="AI24" s="384"/>
      <c r="AJ24" s="384"/>
      <c r="AK24" s="384"/>
      <c r="AL24" s="384"/>
      <c r="AM24" s="384"/>
      <c r="AN24" s="384"/>
      <c r="AO24" s="384"/>
      <c r="AP24" s="384"/>
      <c r="AQ24" s="385"/>
      <c r="BD24" s="146"/>
    </row>
    <row r="25" spans="1:56" ht="20.100000000000001" hidden="1" customHeight="1">
      <c r="A25" s="1"/>
      <c r="B25" s="355" t="str">
        <f>IF(Settings!K27&lt;&gt;"",Settings!K27,"")</f>
        <v/>
      </c>
      <c r="C25" s="356"/>
      <c r="D25" s="356"/>
      <c r="E25" s="357"/>
      <c r="F25" s="80"/>
      <c r="G25" s="81"/>
      <c r="H25" s="81"/>
      <c r="I25" s="81"/>
      <c r="J25" s="81"/>
      <c r="K25" s="81"/>
      <c r="L25" s="81"/>
      <c r="M25" s="81"/>
      <c r="N25" s="81"/>
      <c r="O25" s="82"/>
      <c r="R25" s="381"/>
      <c r="S25" s="381"/>
      <c r="T25" s="381"/>
      <c r="U25" s="381"/>
      <c r="V25" s="381"/>
      <c r="W25" s="381"/>
      <c r="X25" s="381"/>
      <c r="Y25" s="382"/>
      <c r="Z25" s="1"/>
      <c r="AA25" s="60">
        <f>IF(Settings!$M$4=Settings!$Y$3,IF($AF25="P",1,IF($AJ25="P",2,IF($AN25="P",3,0))),IFERROR(AE25,0))</f>
        <v>0</v>
      </c>
      <c r="AB25" s="58">
        <f>SUMIFS(TblDatabase[Competency14],ListEmployeeNamesInDatabase,$L$4,TblDatabase[Year],C4)</f>
        <v>0</v>
      </c>
      <c r="AC25" s="59" t="e">
        <f>IF(INDEX(TblDatabase[Comment14],MATCH(1,INDEX(($L$4=ListEmployeeNamesInDatabase)*(C4=TblDatabase[Year]),0,1),0))="",0,INDEX(TblDatabase[Comment14],MATCH(1,INDEX(($L$4=ListEmployeeNamesInDatabase)*(C4=TblDatabase[Year]),0,1),0)))</f>
        <v>#N/A</v>
      </c>
      <c r="AD25" s="40"/>
      <c r="AE25" s="55" t="e">
        <f t="array" ref="AE25">MATCH(FALSE,ISBLANK($F25:$O25),0)</f>
        <v>#N/A</v>
      </c>
      <c r="AF25" s="378"/>
      <c r="AG25" s="379"/>
      <c r="AH25" s="379"/>
      <c r="AI25" s="379"/>
      <c r="AJ25" s="379"/>
      <c r="AK25" s="379"/>
      <c r="AL25" s="379"/>
      <c r="AM25" s="379"/>
      <c r="AN25" s="379"/>
      <c r="AO25" s="379"/>
      <c r="AP25" s="379"/>
      <c r="AQ25" s="380"/>
      <c r="BD25" s="146"/>
    </row>
    <row r="26" spans="1:56" ht="20.100000000000001" hidden="1" customHeight="1">
      <c r="A26" s="1"/>
      <c r="B26" s="350" t="str">
        <f>IF(Settings!K28&lt;&gt;"",Settings!K28,"")</f>
        <v/>
      </c>
      <c r="C26" s="351"/>
      <c r="D26" s="351"/>
      <c r="E26" s="352"/>
      <c r="F26" s="83"/>
      <c r="G26" s="84"/>
      <c r="H26" s="84"/>
      <c r="I26" s="84"/>
      <c r="J26" s="84"/>
      <c r="K26" s="84"/>
      <c r="L26" s="84"/>
      <c r="M26" s="84"/>
      <c r="N26" s="84"/>
      <c r="O26" s="85"/>
      <c r="R26" s="376"/>
      <c r="S26" s="376"/>
      <c r="T26" s="376"/>
      <c r="U26" s="376"/>
      <c r="V26" s="376"/>
      <c r="W26" s="376"/>
      <c r="X26" s="376"/>
      <c r="Y26" s="377"/>
      <c r="Z26" s="1"/>
      <c r="AA26" s="60">
        <f>IF(Settings!$M$4=Settings!$Y$3,IF($AF26="P",1,IF($AJ26="P",2,IF($AN26="P",3,0))),IFERROR(AE26,0))</f>
        <v>0</v>
      </c>
      <c r="AB26" s="58">
        <f>SUMIFS(TblDatabase[Competency15],ListEmployeeNamesInDatabase,$L$4,TblDatabase[Year],C4)</f>
        <v>0</v>
      </c>
      <c r="AC26" s="59" t="e">
        <f>IF(INDEX(TblDatabase[Comment15],MATCH(1,INDEX(($L$4=ListEmployeeNamesInDatabase)*(C4=TblDatabase[Year]),0,1),0))="",0,INDEX(TblDatabase[Comment15],MATCH(1,INDEX(($L$4=ListEmployeeNamesInDatabase)*(C4=TblDatabase[Year]),0,1),0)))</f>
        <v>#N/A</v>
      </c>
      <c r="AD26" s="40"/>
      <c r="AE26" s="55" t="e">
        <f t="array" ref="AE26">MATCH(FALSE,ISBLANK($F26:$O26),0)</f>
        <v>#N/A</v>
      </c>
      <c r="AF26" s="383"/>
      <c r="AG26" s="384"/>
      <c r="AH26" s="384"/>
      <c r="AI26" s="384"/>
      <c r="AJ26" s="384"/>
      <c r="AK26" s="384"/>
      <c r="AL26" s="384"/>
      <c r="AM26" s="384"/>
      <c r="AN26" s="384"/>
      <c r="AO26" s="384"/>
      <c r="AP26" s="384"/>
      <c r="AQ26" s="385"/>
      <c r="BD26" s="146"/>
    </row>
    <row r="27" spans="1:56" ht="20.100000000000001" hidden="1" customHeight="1">
      <c r="A27" s="1"/>
      <c r="B27" s="355" t="str">
        <f>IF(Settings!K29&lt;&gt;"",Settings!K29,"")</f>
        <v/>
      </c>
      <c r="C27" s="356"/>
      <c r="D27" s="356"/>
      <c r="E27" s="357"/>
      <c r="F27" s="80"/>
      <c r="G27" s="81"/>
      <c r="H27" s="81"/>
      <c r="I27" s="81"/>
      <c r="J27" s="81"/>
      <c r="K27" s="81"/>
      <c r="L27" s="81"/>
      <c r="M27" s="81"/>
      <c r="N27" s="81"/>
      <c r="O27" s="82"/>
      <c r="R27" s="381"/>
      <c r="S27" s="381"/>
      <c r="T27" s="381"/>
      <c r="U27" s="381"/>
      <c r="V27" s="381"/>
      <c r="W27" s="381"/>
      <c r="X27" s="381"/>
      <c r="Y27" s="382"/>
      <c r="Z27" s="1"/>
      <c r="AA27" s="60">
        <f>IF(Settings!$M$4=Settings!$Y$3,IF($AF27="P",1,IF($AJ27="P",2,IF($AN27="P",3,0))),IFERROR(AE27,0))</f>
        <v>0</v>
      </c>
      <c r="AB27" s="58">
        <f>SUMIFS(TblDatabase[Competency16],ListEmployeeNamesInDatabase,$L$4,TblDatabase[Year],C4)</f>
        <v>0</v>
      </c>
      <c r="AC27" s="59" t="e">
        <f>IF(INDEX(TblDatabase[Comment16],MATCH(1,INDEX(($L$4=ListEmployeeNamesInDatabase)*(C4=TblDatabase[Year]),0,1),0))="",0,INDEX(TblDatabase[Comment16],MATCH(1,INDEX(($L$4=ListEmployeeNamesInDatabase)*(C4=TblDatabase[Year]),0,1),0)))</f>
        <v>#N/A</v>
      </c>
      <c r="AD27" s="40"/>
      <c r="AE27" s="55" t="e">
        <f t="array" ref="AE27">MATCH(FALSE,ISBLANK($F27:$O27),0)</f>
        <v>#N/A</v>
      </c>
      <c r="AF27" s="378"/>
      <c r="AG27" s="379"/>
      <c r="AH27" s="379"/>
      <c r="AI27" s="379"/>
      <c r="AJ27" s="379"/>
      <c r="AK27" s="379"/>
      <c r="AL27" s="379"/>
      <c r="AM27" s="379"/>
      <c r="AN27" s="379"/>
      <c r="AO27" s="379"/>
      <c r="AP27" s="379"/>
      <c r="AQ27" s="380"/>
      <c r="BD27" s="146"/>
    </row>
    <row r="28" spans="1:56" ht="20.100000000000001" hidden="1" customHeight="1">
      <c r="A28" s="1"/>
      <c r="B28" s="350" t="str">
        <f>IF(Settings!K30&lt;&gt;"",Settings!K30,"")</f>
        <v/>
      </c>
      <c r="C28" s="351"/>
      <c r="D28" s="351"/>
      <c r="E28" s="352"/>
      <c r="F28" s="83"/>
      <c r="G28" s="84"/>
      <c r="H28" s="84"/>
      <c r="I28" s="84"/>
      <c r="J28" s="84"/>
      <c r="K28" s="84"/>
      <c r="L28" s="84"/>
      <c r="M28" s="84"/>
      <c r="N28" s="84"/>
      <c r="O28" s="85"/>
      <c r="R28" s="376"/>
      <c r="S28" s="376"/>
      <c r="T28" s="376"/>
      <c r="U28" s="376"/>
      <c r="V28" s="376"/>
      <c r="W28" s="376"/>
      <c r="X28" s="376"/>
      <c r="Y28" s="377"/>
      <c r="Z28" s="1"/>
      <c r="AA28" s="60">
        <f>IF(Settings!$M$4=Settings!$Y$3,IF($AF28="P",1,IF($AJ28="P",2,IF($AN28="P",3,0))),IFERROR(AE28,0))</f>
        <v>0</v>
      </c>
      <c r="AB28" s="58">
        <f>SUMIFS(TblDatabase[Competency17],ListEmployeeNamesInDatabase,$L$4,TblDatabase[Year],C4)</f>
        <v>0</v>
      </c>
      <c r="AC28" s="59" t="e">
        <f>IF(INDEX(TblDatabase[Comment17],MATCH(1,INDEX(($L$4=ListEmployeeNamesInDatabase)*(C4=TblDatabase[Year]),0,1),0))="",0,INDEX(TblDatabase[Comment17],MATCH(1,INDEX(($L$4=ListEmployeeNamesInDatabase)*(C4=TblDatabase[Year]),0,1),0)))</f>
        <v>#N/A</v>
      </c>
      <c r="AD28" s="40"/>
      <c r="AE28" s="55" t="e">
        <f t="array" ref="AE28">MATCH(FALSE,ISBLANK($F28:$O28),0)</f>
        <v>#N/A</v>
      </c>
      <c r="AF28" s="383"/>
      <c r="AG28" s="384"/>
      <c r="AH28" s="384"/>
      <c r="AI28" s="384"/>
      <c r="AJ28" s="384"/>
      <c r="AK28" s="384"/>
      <c r="AL28" s="384"/>
      <c r="AM28" s="384"/>
      <c r="AN28" s="384"/>
      <c r="AO28" s="384"/>
      <c r="AP28" s="384"/>
      <c r="AQ28" s="385"/>
      <c r="BD28" s="146"/>
    </row>
    <row r="29" spans="1:56" ht="20.100000000000001" hidden="1" customHeight="1">
      <c r="A29" s="1"/>
      <c r="B29" s="355" t="str">
        <f>IF(Settings!K31&lt;&gt;"",Settings!K31,"")</f>
        <v/>
      </c>
      <c r="C29" s="356"/>
      <c r="D29" s="356"/>
      <c r="E29" s="357"/>
      <c r="F29" s="80"/>
      <c r="G29" s="81"/>
      <c r="H29" s="81"/>
      <c r="I29" s="81"/>
      <c r="J29" s="81"/>
      <c r="K29" s="81"/>
      <c r="L29" s="81"/>
      <c r="M29" s="81"/>
      <c r="N29" s="81"/>
      <c r="O29" s="82"/>
      <c r="R29" s="381"/>
      <c r="S29" s="381"/>
      <c r="T29" s="381"/>
      <c r="U29" s="381"/>
      <c r="V29" s="381"/>
      <c r="W29" s="381"/>
      <c r="X29" s="381"/>
      <c r="Y29" s="382"/>
      <c r="Z29" s="1"/>
      <c r="AA29" s="60">
        <f>IF(Settings!$M$4=Settings!$Y$3,IF($AF29="P",1,IF($AJ29="P",2,IF($AN29="P",3,0))),IFERROR(AE29,0))</f>
        <v>0</v>
      </c>
      <c r="AB29" s="58">
        <f>SUMIFS(TblDatabase[Competency18],ListEmployeeNamesInDatabase,$L$4,TblDatabase[Year],C4)</f>
        <v>0</v>
      </c>
      <c r="AC29" s="59" t="e">
        <f>IF(INDEX(TblDatabase[Comment18],MATCH(1,INDEX(($L$4=ListEmployeeNamesInDatabase)*(C4=TblDatabase[Year]),0,1),0))="",0,INDEX(TblDatabase[Comment18],MATCH(1,INDEX(($L$4=ListEmployeeNamesInDatabase)*(C4=TblDatabase[Year]),0,1),0)))</f>
        <v>#N/A</v>
      </c>
      <c r="AD29" s="40"/>
      <c r="AE29" s="55" t="e">
        <f t="array" ref="AE29">MATCH(FALSE,ISBLANK($F29:$O29),0)</f>
        <v>#N/A</v>
      </c>
      <c r="AF29" s="378"/>
      <c r="AG29" s="379"/>
      <c r="AH29" s="379"/>
      <c r="AI29" s="379"/>
      <c r="AJ29" s="379"/>
      <c r="AK29" s="379"/>
      <c r="AL29" s="379"/>
      <c r="AM29" s="379"/>
      <c r="AN29" s="379"/>
      <c r="AO29" s="379"/>
      <c r="AP29" s="379"/>
      <c r="AQ29" s="380"/>
      <c r="BD29" s="146"/>
    </row>
    <row r="30" spans="1:56" ht="20.100000000000001" hidden="1" customHeight="1">
      <c r="A30" s="1"/>
      <c r="B30" s="350" t="str">
        <f>IF(Settings!K32&lt;&gt;"",Settings!K32,"")</f>
        <v/>
      </c>
      <c r="C30" s="351"/>
      <c r="D30" s="351"/>
      <c r="E30" s="352"/>
      <c r="F30" s="83"/>
      <c r="G30" s="84"/>
      <c r="H30" s="84"/>
      <c r="I30" s="84"/>
      <c r="J30" s="84"/>
      <c r="K30" s="84"/>
      <c r="L30" s="84"/>
      <c r="M30" s="84"/>
      <c r="N30" s="84"/>
      <c r="O30" s="85"/>
      <c r="R30" s="376"/>
      <c r="S30" s="376"/>
      <c r="T30" s="376"/>
      <c r="U30" s="376"/>
      <c r="V30" s="376"/>
      <c r="W30" s="376"/>
      <c r="X30" s="376"/>
      <c r="Y30" s="377"/>
      <c r="Z30" s="1"/>
      <c r="AA30" s="60">
        <f>IF(Settings!$M$4=Settings!$Y$3,IF($AF30="P",1,IF($AJ30="P",2,IF($AN30="P",3,0))),IFERROR(AE30,0))</f>
        <v>0</v>
      </c>
      <c r="AB30" s="58">
        <f>SUMIFS(TblDatabase[Competency19],ListEmployeeNamesInDatabase,$L$4,TblDatabase[Year],C4)</f>
        <v>0</v>
      </c>
      <c r="AC30" s="59" t="e">
        <f>IF(INDEX(TblDatabase[Comment19],MATCH(1,INDEX(($L$4=ListEmployeeNamesInDatabase)*(C4=TblDatabase[Year]),0,1),0))="",0,INDEX(TblDatabase[Comment19],MATCH(1,INDEX(($L$4=ListEmployeeNamesInDatabase)*(C4=TblDatabase[Year]),0,1),0)))</f>
        <v>#N/A</v>
      </c>
      <c r="AD30" s="40"/>
      <c r="AE30" s="55" t="e">
        <f t="array" ref="AE30">MATCH(FALSE,ISBLANK($F30:$O30),0)</f>
        <v>#N/A</v>
      </c>
      <c r="AF30" s="383"/>
      <c r="AG30" s="384"/>
      <c r="AH30" s="384"/>
      <c r="AI30" s="384"/>
      <c r="AJ30" s="384"/>
      <c r="AK30" s="384"/>
      <c r="AL30" s="384"/>
      <c r="AM30" s="384"/>
      <c r="AN30" s="384"/>
      <c r="AO30" s="384"/>
      <c r="AP30" s="384"/>
      <c r="AQ30" s="385"/>
      <c r="BD30" s="146"/>
    </row>
    <row r="31" spans="1:56" ht="20.100000000000001" hidden="1" customHeight="1">
      <c r="A31" s="1"/>
      <c r="B31" s="362" t="str">
        <f>IF(Settings!K33&lt;&gt;"",Settings!K33,"")</f>
        <v/>
      </c>
      <c r="C31" s="363"/>
      <c r="D31" s="363"/>
      <c r="E31" s="364"/>
      <c r="F31" s="115"/>
      <c r="G31" s="116"/>
      <c r="H31" s="116"/>
      <c r="I31" s="116"/>
      <c r="J31" s="116"/>
      <c r="K31" s="116"/>
      <c r="L31" s="116"/>
      <c r="M31" s="116"/>
      <c r="N31" s="116"/>
      <c r="O31" s="117"/>
      <c r="R31" s="389"/>
      <c r="S31" s="389"/>
      <c r="T31" s="389"/>
      <c r="U31" s="389"/>
      <c r="V31" s="389"/>
      <c r="W31" s="389"/>
      <c r="X31" s="389"/>
      <c r="Y31" s="390"/>
      <c r="Z31" s="1"/>
      <c r="AA31" s="60">
        <f>IF(Settings!$M$4=Settings!$Y$3,IF($AF31="P",1,IF($AJ31="P",2,IF($AN31="P",3,0))),IFERROR(AE31,0))</f>
        <v>0</v>
      </c>
      <c r="AB31" s="58">
        <f>SUMIFS(TblDatabase[Competency20],ListEmployeeNamesInDatabase,$L$4,TblDatabase[Year],C4)</f>
        <v>0</v>
      </c>
      <c r="AC31" s="59" t="e">
        <f>IF(INDEX(TblDatabase[Comment20],MATCH(1,INDEX(($L$4=ListEmployeeNamesInDatabase)*(C4=TblDatabase[Year]),0,1),0))="",0,INDEX(TblDatabase[Comment20],MATCH(1,INDEX(($L$4=ListEmployeeNamesInDatabase)*(C4=TblDatabase[Year]),0,1),0)))</f>
        <v>#N/A</v>
      </c>
      <c r="AD31" s="40"/>
      <c r="AE31" s="55" t="e">
        <f t="array" ref="AE31">MATCH(FALSE,ISBLANK($F31:$O31),0)</f>
        <v>#N/A</v>
      </c>
      <c r="AF31" s="386"/>
      <c r="AG31" s="387"/>
      <c r="AH31" s="387"/>
      <c r="AI31" s="387"/>
      <c r="AJ31" s="387"/>
      <c r="AK31" s="387"/>
      <c r="AL31" s="387"/>
      <c r="AM31" s="387"/>
      <c r="AN31" s="387"/>
      <c r="AO31" s="387"/>
      <c r="AP31" s="387"/>
      <c r="AQ31" s="388"/>
      <c r="BD31" s="146"/>
    </row>
    <row r="32" spans="1:56" ht="17.100000000000001" customHeight="1">
      <c r="A32" s="1"/>
      <c r="B32" s="414" t="s">
        <v>26</v>
      </c>
      <c r="C32" s="415"/>
      <c r="D32" s="415"/>
      <c r="E32" s="371">
        <f ca="1">IF(Settings!$M$4=Settings!$Y$3,COUNTA(OFFSET(AF12,0,0,NumberOfCompetencies))*1+COUNTA(OFFSET(AJ12,0,0,NumberOfCompetencies))*2+COUNTA(OFFSET(AN12,0,0,NumberOfCompetencies))*3,SUM(OFFSET(AA12,0,0,NumberOfCompetencies)))</f>
        <v>0</v>
      </c>
      <c r="F32" s="372"/>
      <c r="G32" s="56"/>
      <c r="H32" s="56"/>
      <c r="I32" s="56"/>
      <c r="J32" s="56"/>
      <c r="K32" s="56"/>
      <c r="L32" s="56"/>
      <c r="M32" s="56"/>
      <c r="N32" s="56"/>
      <c r="O32" s="56"/>
      <c r="P32" s="56"/>
      <c r="Q32" s="56"/>
      <c r="R32" s="56"/>
      <c r="S32" s="56"/>
      <c r="T32" s="56"/>
      <c r="U32" s="56"/>
      <c r="V32" s="56"/>
      <c r="W32" s="56"/>
      <c r="X32" s="56"/>
      <c r="Y32" s="56"/>
      <c r="Z32" s="1"/>
      <c r="AA32" s="1"/>
      <c r="AB32" s="2"/>
      <c r="AC32" s="21"/>
      <c r="AD32" s="21"/>
      <c r="AF32" s="22"/>
    </row>
    <row r="33" spans="1:32" ht="17.100000000000001" customHeight="1">
      <c r="A33" s="1"/>
      <c r="B33" s="369" t="s">
        <v>27</v>
      </c>
      <c r="C33" s="370"/>
      <c r="D33" s="370"/>
      <c r="E33" s="358">
        <f ca="1">E32/NumberOfCompetencies</f>
        <v>0</v>
      </c>
      <c r="F33" s="359"/>
      <c r="G33" s="26"/>
      <c r="H33" s="26"/>
      <c r="I33" s="26"/>
      <c r="J33" s="26"/>
      <c r="K33" s="26"/>
      <c r="L33" s="26"/>
      <c r="M33" s="26"/>
      <c r="N33" s="26"/>
      <c r="O33" s="26"/>
      <c r="P33" s="26"/>
      <c r="Q33" s="26"/>
      <c r="R33" s="26"/>
      <c r="S33" s="26"/>
      <c r="T33" s="26"/>
      <c r="U33" s="26"/>
      <c r="V33" s="26"/>
      <c r="W33" s="26"/>
      <c r="X33" s="26"/>
      <c r="Y33" s="26"/>
      <c r="Z33" s="1"/>
      <c r="AA33" s="1"/>
      <c r="AB33" s="2"/>
      <c r="AC33" s="21"/>
      <c r="AD33" s="145"/>
      <c r="AE33" s="145"/>
      <c r="AF33" s="145"/>
    </row>
    <row r="34" spans="1:32" ht="17.100000000000001" customHeight="1">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2"/>
      <c r="AC34" s="21"/>
      <c r="AD34" s="21"/>
      <c r="AE34" s="21"/>
      <c r="AF34" s="21"/>
    </row>
    <row r="35" spans="1:32" ht="17.100000000000001" customHeight="1">
      <c r="A35" s="1"/>
      <c r="B35" s="338" t="str">
        <f>Settings!$N$15</f>
        <v>Previously agreed actions</v>
      </c>
      <c r="C35" s="339"/>
      <c r="D35" s="339"/>
      <c r="E35" s="339"/>
      <c r="F35" s="339"/>
      <c r="G35" s="339"/>
      <c r="H35" s="339"/>
      <c r="I35" s="339"/>
      <c r="J35" s="339"/>
      <c r="K35" s="339"/>
      <c r="L35" s="339"/>
      <c r="M35" s="339"/>
      <c r="N35" s="339"/>
      <c r="O35" s="339"/>
      <c r="P35" s="339"/>
      <c r="Q35" s="339"/>
      <c r="R35" s="339"/>
      <c r="S35" s="339"/>
      <c r="T35" s="339"/>
      <c r="U35" s="339"/>
      <c r="V35" s="339"/>
      <c r="W35" s="339"/>
      <c r="X35" s="339"/>
      <c r="Y35" s="340"/>
      <c r="Z35" s="1"/>
      <c r="AA35" s="1"/>
      <c r="AB35" s="2"/>
      <c r="AC35" s="21"/>
      <c r="AD35" s="21"/>
      <c r="AE35" s="21"/>
      <c r="AF35" s="21"/>
    </row>
    <row r="36" spans="1:32" ht="17.100000000000001" customHeight="1">
      <c r="A36" s="1"/>
      <c r="B36" s="391"/>
      <c r="C36" s="392"/>
      <c r="D36" s="392"/>
      <c r="E36" s="392"/>
      <c r="F36" s="392"/>
      <c r="G36" s="392"/>
      <c r="H36" s="392"/>
      <c r="I36" s="392"/>
      <c r="J36" s="392"/>
      <c r="K36" s="392"/>
      <c r="L36" s="392"/>
      <c r="M36" s="392"/>
      <c r="N36" s="392"/>
      <c r="O36" s="392"/>
      <c r="P36" s="392"/>
      <c r="Q36" s="392"/>
      <c r="R36" s="392"/>
      <c r="S36" s="392"/>
      <c r="T36" s="392"/>
      <c r="U36" s="392"/>
      <c r="V36" s="392"/>
      <c r="W36" s="392"/>
      <c r="X36" s="392"/>
      <c r="Y36" s="393"/>
      <c r="Z36" s="1"/>
      <c r="AA36" s="1"/>
      <c r="AB36" s="2"/>
      <c r="AC36" s="21"/>
      <c r="AD36" s="21"/>
      <c r="AE36" s="21"/>
      <c r="AF36" s="21"/>
    </row>
    <row r="37" spans="1:32" ht="17.100000000000001" customHeight="1">
      <c r="A37" s="1"/>
      <c r="B37" s="394"/>
      <c r="C37" s="395"/>
      <c r="D37" s="395"/>
      <c r="E37" s="395"/>
      <c r="F37" s="395"/>
      <c r="G37" s="395"/>
      <c r="H37" s="395"/>
      <c r="I37" s="395"/>
      <c r="J37" s="395"/>
      <c r="K37" s="395"/>
      <c r="L37" s="395"/>
      <c r="M37" s="395"/>
      <c r="N37" s="395"/>
      <c r="O37" s="395"/>
      <c r="P37" s="395"/>
      <c r="Q37" s="395"/>
      <c r="R37" s="395"/>
      <c r="S37" s="395"/>
      <c r="T37" s="395"/>
      <c r="U37" s="395"/>
      <c r="V37" s="395"/>
      <c r="W37" s="395"/>
      <c r="X37" s="395"/>
      <c r="Y37" s="396"/>
      <c r="Z37" s="1"/>
      <c r="AA37" s="1"/>
      <c r="AB37" s="2"/>
      <c r="AC37" s="21"/>
      <c r="AD37" s="21"/>
      <c r="AE37" s="21"/>
      <c r="AF37" s="21"/>
    </row>
    <row r="38" spans="1:32" ht="17.100000000000001" customHeight="1">
      <c r="A38" s="1"/>
      <c r="B38" s="397"/>
      <c r="C38" s="398"/>
      <c r="D38" s="398"/>
      <c r="E38" s="398"/>
      <c r="F38" s="398"/>
      <c r="G38" s="398"/>
      <c r="H38" s="398"/>
      <c r="I38" s="398"/>
      <c r="J38" s="398"/>
      <c r="K38" s="398"/>
      <c r="L38" s="398"/>
      <c r="M38" s="398"/>
      <c r="N38" s="398"/>
      <c r="O38" s="398"/>
      <c r="P38" s="398"/>
      <c r="Q38" s="398"/>
      <c r="R38" s="398"/>
      <c r="S38" s="398"/>
      <c r="T38" s="398"/>
      <c r="U38" s="398"/>
      <c r="V38" s="398"/>
      <c r="W38" s="398"/>
      <c r="X38" s="398"/>
      <c r="Y38" s="399"/>
      <c r="Z38" s="1"/>
      <c r="AA38" s="1"/>
      <c r="AB38" s="2"/>
      <c r="AC38" s="21"/>
      <c r="AD38" s="21"/>
      <c r="AE38" s="21"/>
      <c r="AF38" s="21"/>
    </row>
    <row r="39" spans="1:32" ht="17.100000000000001" customHeight="1">
      <c r="A39" s="1"/>
      <c r="B39" s="36"/>
      <c r="C39" s="36"/>
      <c r="D39" s="36"/>
      <c r="E39" s="36"/>
      <c r="F39" s="36"/>
      <c r="G39" s="36"/>
      <c r="H39" s="36"/>
      <c r="I39" s="36"/>
      <c r="J39" s="36"/>
      <c r="K39" s="36"/>
      <c r="L39" s="36"/>
      <c r="M39" s="36"/>
      <c r="N39" s="36"/>
      <c r="O39" s="36"/>
      <c r="P39" s="36"/>
      <c r="Q39" s="36"/>
      <c r="R39" s="36"/>
      <c r="S39" s="36"/>
      <c r="T39" s="36"/>
      <c r="U39" s="36"/>
      <c r="V39" s="36"/>
      <c r="W39" s="36"/>
      <c r="X39" s="36"/>
      <c r="Y39" s="36"/>
      <c r="Z39" s="1"/>
      <c r="AA39" s="1"/>
      <c r="AB39" s="2"/>
      <c r="AC39" s="21"/>
      <c r="AD39" s="21"/>
      <c r="AE39" s="21"/>
      <c r="AF39" s="21"/>
    </row>
    <row r="40" spans="1:32" ht="17.100000000000001" customHeight="1">
      <c r="B40" s="338" t="str">
        <f>Settings!$N$16</f>
        <v>Actions agreed during this review</v>
      </c>
      <c r="C40" s="339"/>
      <c r="D40" s="339"/>
      <c r="E40" s="339"/>
      <c r="F40" s="339"/>
      <c r="G40" s="339"/>
      <c r="H40" s="339"/>
      <c r="I40" s="339"/>
      <c r="J40" s="339"/>
      <c r="K40" s="339"/>
      <c r="L40" s="339"/>
      <c r="M40" s="339"/>
      <c r="N40" s="339"/>
      <c r="O40" s="339"/>
      <c r="P40" s="339"/>
      <c r="Q40" s="339"/>
      <c r="R40" s="339"/>
      <c r="S40" s="339"/>
      <c r="T40" s="339"/>
      <c r="U40" s="339"/>
      <c r="V40" s="339"/>
      <c r="W40" s="339"/>
      <c r="X40" s="339"/>
      <c r="Y40" s="340"/>
      <c r="Z40" s="22"/>
      <c r="AA40" s="22"/>
      <c r="AC40" s="21"/>
      <c r="AD40" s="21"/>
      <c r="AE40" s="21"/>
      <c r="AF40" s="21"/>
    </row>
    <row r="41" spans="1:32" ht="17.100000000000001" customHeight="1">
      <c r="B41" s="391"/>
      <c r="C41" s="392"/>
      <c r="D41" s="392"/>
      <c r="E41" s="392"/>
      <c r="F41" s="392"/>
      <c r="G41" s="392"/>
      <c r="H41" s="392"/>
      <c r="I41" s="392"/>
      <c r="J41" s="392"/>
      <c r="K41" s="392"/>
      <c r="L41" s="392"/>
      <c r="M41" s="392"/>
      <c r="N41" s="392"/>
      <c r="O41" s="392"/>
      <c r="P41" s="392"/>
      <c r="Q41" s="392"/>
      <c r="R41" s="392"/>
      <c r="S41" s="392"/>
      <c r="T41" s="392"/>
      <c r="U41" s="392"/>
      <c r="V41" s="392"/>
      <c r="W41" s="392"/>
      <c r="X41" s="392"/>
      <c r="Y41" s="393"/>
      <c r="Z41" s="22"/>
      <c r="AA41" s="22"/>
    </row>
    <row r="42" spans="1:32">
      <c r="B42" s="394"/>
      <c r="C42" s="395"/>
      <c r="D42" s="395"/>
      <c r="E42" s="395"/>
      <c r="F42" s="395"/>
      <c r="G42" s="395"/>
      <c r="H42" s="395"/>
      <c r="I42" s="395"/>
      <c r="J42" s="395"/>
      <c r="K42" s="395"/>
      <c r="L42" s="395"/>
      <c r="M42" s="395"/>
      <c r="N42" s="395"/>
      <c r="O42" s="395"/>
      <c r="P42" s="395"/>
      <c r="Q42" s="395"/>
      <c r="R42" s="395"/>
      <c r="S42" s="395"/>
      <c r="T42" s="395"/>
      <c r="U42" s="395"/>
      <c r="V42" s="395"/>
      <c r="W42" s="395"/>
      <c r="X42" s="395"/>
      <c r="Y42" s="396"/>
      <c r="Z42" s="22"/>
      <c r="AA42" s="22"/>
    </row>
    <row r="43" spans="1:32">
      <c r="B43" s="397"/>
      <c r="C43" s="398"/>
      <c r="D43" s="398"/>
      <c r="E43" s="398"/>
      <c r="F43" s="398"/>
      <c r="G43" s="398"/>
      <c r="H43" s="398"/>
      <c r="I43" s="398"/>
      <c r="J43" s="398"/>
      <c r="K43" s="398"/>
      <c r="L43" s="398"/>
      <c r="M43" s="398"/>
      <c r="N43" s="398"/>
      <c r="O43" s="398"/>
      <c r="P43" s="398"/>
      <c r="Q43" s="398"/>
      <c r="R43" s="398"/>
      <c r="S43" s="398"/>
      <c r="T43" s="398"/>
      <c r="U43" s="398"/>
      <c r="V43" s="398"/>
      <c r="W43" s="398"/>
      <c r="X43" s="398"/>
      <c r="Y43" s="399"/>
    </row>
    <row r="44" spans="1:32">
      <c r="B44" s="291" t="s">
        <v>125</v>
      </c>
      <c r="C44" s="291"/>
      <c r="D44" s="291"/>
      <c r="E44" s="291"/>
      <c r="F44" s="291"/>
      <c r="G44" s="291"/>
      <c r="H44" s="291"/>
      <c r="I44" s="291"/>
      <c r="J44" s="36"/>
      <c r="K44" s="36"/>
      <c r="L44" s="36"/>
      <c r="M44" s="36"/>
      <c r="N44" s="36"/>
      <c r="O44" s="36"/>
      <c r="P44" s="36"/>
      <c r="Q44" s="36"/>
      <c r="R44" s="36"/>
      <c r="S44" s="36"/>
      <c r="T44" s="36"/>
      <c r="U44" s="36"/>
      <c r="V44" s="36"/>
      <c r="W44" s="36"/>
      <c r="X44" s="36"/>
      <c r="Y44" s="36"/>
    </row>
    <row r="45" spans="1:32">
      <c r="B45" s="36"/>
      <c r="C45" s="36"/>
      <c r="D45" s="36"/>
      <c r="E45" s="36"/>
      <c r="F45" s="36"/>
      <c r="G45" s="36"/>
      <c r="H45" s="36"/>
      <c r="I45" s="36"/>
      <c r="J45" s="36"/>
      <c r="K45" s="36"/>
      <c r="L45" s="36"/>
      <c r="M45" s="36"/>
      <c r="N45" s="36"/>
      <c r="O45" s="36"/>
      <c r="P45" s="36"/>
      <c r="Q45" s="36"/>
      <c r="R45" s="36"/>
      <c r="S45" s="36"/>
      <c r="T45" s="36"/>
      <c r="U45" s="36"/>
      <c r="V45" s="36"/>
      <c r="W45" s="36"/>
      <c r="X45" s="36"/>
      <c r="Y45" s="36"/>
    </row>
    <row r="46" spans="1:32" s="38" customFormat="1" ht="23.25" customHeight="1">
      <c r="B46" s="339" t="s">
        <v>25</v>
      </c>
      <c r="C46" s="339"/>
      <c r="D46" s="339"/>
      <c r="Y46" s="39"/>
      <c r="Z46" s="39"/>
      <c r="AA46" s="39"/>
      <c r="AB46" s="39"/>
      <c r="AC46" s="39"/>
      <c r="AD46" s="39"/>
      <c r="AE46" s="39"/>
      <c r="AF46" s="39"/>
    </row>
    <row r="47" spans="1:32" s="148" customFormat="1">
      <c r="Y47" s="149"/>
      <c r="Z47" s="149"/>
      <c r="AA47" s="149"/>
      <c r="AB47" s="149"/>
      <c r="AC47" s="149"/>
      <c r="AD47" s="149"/>
      <c r="AE47" s="149"/>
      <c r="AF47" s="149"/>
    </row>
    <row r="48" spans="1:32" s="148" customFormat="1" hidden="1">
      <c r="A48" s="150">
        <v>1</v>
      </c>
      <c r="B48" s="27" t="s">
        <v>14</v>
      </c>
      <c r="C48" s="333">
        <f>C4-1</f>
        <v>2020</v>
      </c>
      <c r="D48" s="334"/>
      <c r="Y48" s="149"/>
      <c r="Z48" s="149"/>
      <c r="AA48" s="149"/>
      <c r="AB48" s="149"/>
      <c r="AC48" s="149"/>
      <c r="AD48" s="149"/>
      <c r="AE48" s="149"/>
      <c r="AF48" s="149"/>
    </row>
    <row r="49" spans="2:32" s="148" customFormat="1" hidden="1">
      <c r="Y49" s="149"/>
      <c r="Z49" s="149"/>
      <c r="AA49" s="149"/>
      <c r="AB49" s="149"/>
      <c r="AC49" s="149"/>
      <c r="AD49" s="149"/>
      <c r="AE49" s="149"/>
      <c r="AF49" s="149"/>
    </row>
    <row r="50" spans="2:32" s="148" customFormat="1" hidden="1">
      <c r="B50" s="338" t="str">
        <f>Settings!$N$14</f>
        <v>Employee's comments</v>
      </c>
      <c r="C50" s="339"/>
      <c r="D50" s="339"/>
      <c r="E50" s="339"/>
      <c r="F50" s="339"/>
      <c r="G50" s="339"/>
      <c r="H50" s="339"/>
      <c r="I50" s="339"/>
      <c r="J50" s="339"/>
      <c r="K50" s="339"/>
      <c r="L50" s="339"/>
      <c r="M50" s="339"/>
      <c r="N50" s="339"/>
      <c r="O50" s="339"/>
      <c r="P50" s="339"/>
      <c r="Q50" s="339"/>
      <c r="R50" s="339"/>
      <c r="S50" s="339"/>
      <c r="T50" s="339"/>
      <c r="U50" s="339"/>
      <c r="V50" s="339"/>
      <c r="W50" s="339"/>
      <c r="X50" s="339"/>
      <c r="Y50" s="340"/>
      <c r="Z50" s="149"/>
      <c r="AA50" s="149"/>
      <c r="AB50" s="149"/>
      <c r="AC50" s="149"/>
      <c r="AD50" s="149"/>
      <c r="AE50" s="149"/>
      <c r="AF50" s="149"/>
    </row>
    <row r="51" spans="2:32" s="148" customFormat="1" hidden="1">
      <c r="B51" s="341" t="e">
        <f>IF(INDEX(TblDatabase[Feedback Warnings],MATCH(1,INDEX(($L$4=ListEmployeeNamesInDatabase)*(C48=TblDatabase[Year]),0,1),0))="","",INDEX(TblDatabase[Feedback Warnings],MATCH(1,INDEX(($L$4=ListEmployeeNamesInDatabase)*(C48=TblDatabase[Year]),0,1),0)))</f>
        <v>#N/A</v>
      </c>
      <c r="C51" s="342"/>
      <c r="D51" s="342"/>
      <c r="E51" s="342"/>
      <c r="F51" s="342"/>
      <c r="G51" s="342"/>
      <c r="H51" s="342"/>
      <c r="I51" s="342"/>
      <c r="J51" s="342"/>
      <c r="K51" s="342"/>
      <c r="L51" s="342"/>
      <c r="M51" s="342"/>
      <c r="N51" s="342"/>
      <c r="O51" s="342"/>
      <c r="P51" s="342"/>
      <c r="Q51" s="342"/>
      <c r="R51" s="342"/>
      <c r="S51" s="342"/>
      <c r="T51" s="342"/>
      <c r="U51" s="342"/>
      <c r="V51" s="342"/>
      <c r="W51" s="342"/>
      <c r="X51" s="342"/>
      <c r="Y51" s="343"/>
      <c r="Z51" s="149"/>
      <c r="AA51" s="149"/>
      <c r="AB51" s="149"/>
      <c r="AC51" s="149"/>
      <c r="AD51" s="149"/>
      <c r="AE51" s="149"/>
      <c r="AF51" s="149"/>
    </row>
    <row r="52" spans="2:32" s="148" customFormat="1" hidden="1">
      <c r="B52" s="344"/>
      <c r="C52" s="345"/>
      <c r="D52" s="345"/>
      <c r="E52" s="345"/>
      <c r="F52" s="345"/>
      <c r="G52" s="345"/>
      <c r="H52" s="345"/>
      <c r="I52" s="345"/>
      <c r="J52" s="345"/>
      <c r="K52" s="345"/>
      <c r="L52" s="345"/>
      <c r="M52" s="345"/>
      <c r="N52" s="345"/>
      <c r="O52" s="345"/>
      <c r="P52" s="345"/>
      <c r="Q52" s="345"/>
      <c r="R52" s="345"/>
      <c r="S52" s="345"/>
      <c r="T52" s="345"/>
      <c r="U52" s="345"/>
      <c r="V52" s="345"/>
      <c r="W52" s="345"/>
      <c r="X52" s="345"/>
      <c r="Y52" s="346"/>
      <c r="Z52" s="149"/>
      <c r="AA52" s="149"/>
      <c r="AB52" s="149"/>
      <c r="AC52" s="149"/>
      <c r="AD52" s="149"/>
      <c r="AE52" s="149"/>
      <c r="AF52" s="149"/>
    </row>
    <row r="53" spans="2:32" s="148" customFormat="1" hidden="1">
      <c r="B53" s="347"/>
      <c r="C53" s="348"/>
      <c r="D53" s="348"/>
      <c r="E53" s="348"/>
      <c r="F53" s="348"/>
      <c r="G53" s="348"/>
      <c r="H53" s="348"/>
      <c r="I53" s="348"/>
      <c r="J53" s="348"/>
      <c r="K53" s="348"/>
      <c r="L53" s="348"/>
      <c r="M53" s="348"/>
      <c r="N53" s="348"/>
      <c r="O53" s="348"/>
      <c r="P53" s="348"/>
      <c r="Q53" s="348"/>
      <c r="R53" s="348"/>
      <c r="S53" s="348"/>
      <c r="T53" s="348"/>
      <c r="U53" s="348"/>
      <c r="V53" s="348"/>
      <c r="W53" s="348"/>
      <c r="X53" s="348"/>
      <c r="Y53" s="349"/>
      <c r="Z53" s="149"/>
      <c r="AA53" s="149"/>
      <c r="AB53" s="149"/>
      <c r="AC53" s="149"/>
      <c r="AD53" s="149"/>
      <c r="AE53" s="149"/>
      <c r="AF53" s="149"/>
    </row>
    <row r="54" spans="2:32" s="148" customFormat="1" hidden="1">
      <c r="Y54" s="149"/>
      <c r="Z54" s="149"/>
      <c r="AA54" s="149"/>
      <c r="AB54" s="149"/>
      <c r="AC54" s="149"/>
      <c r="AD54" s="149"/>
      <c r="AE54" s="149"/>
      <c r="AF54" s="149"/>
    </row>
    <row r="55" spans="2:32" s="148" customFormat="1" ht="15" hidden="1" customHeight="1">
      <c r="B55" s="320" t="s">
        <v>8</v>
      </c>
      <c r="C55" s="321"/>
      <c r="D55" s="321"/>
      <c r="E55" s="321"/>
      <c r="F55" s="233">
        <f>IF(Settings!$M$4=Settings!$Y$3,Settings!$O$19,1)</f>
        <v>1</v>
      </c>
      <c r="G55" s="234">
        <f>IF(Settings!$M$4=Settings!$Y$3,Settings!$O$19,2)</f>
        <v>2</v>
      </c>
      <c r="H55" s="234">
        <f>IF(Settings!$M$4=Settings!$Y$3,Settings!$O$19,3)</f>
        <v>3</v>
      </c>
      <c r="I55" s="234">
        <f>IF(Settings!$M$4=Settings!$Y$3,Settings!$O$19,4)</f>
        <v>4</v>
      </c>
      <c r="J55" s="234">
        <f>IF(Settings!$M$4=Settings!$Y$3,Settings!$O$20,5)</f>
        <v>5</v>
      </c>
      <c r="K55" s="234">
        <f>IF(Settings!$M$4=Settings!$Y$3,Settings!$O$20,6)</f>
        <v>6</v>
      </c>
      <c r="L55" s="234">
        <f>IF(Settings!$M$4=Settings!$Y$3,Settings!$O$20,7)</f>
        <v>7</v>
      </c>
      <c r="M55" s="234">
        <f>IF(Settings!$M$4=Settings!$Y$3,Settings!$O$20,8)</f>
        <v>8</v>
      </c>
      <c r="N55" s="234">
        <f>IF(Settings!$M$4=Settings!$Y$3,Settings!$O$21,9)</f>
        <v>9</v>
      </c>
      <c r="O55" s="235">
        <f>IF(Settings!$M$4=Settings!$Y$3,Settings!$O$21,10)</f>
        <v>10</v>
      </c>
      <c r="P55" s="22"/>
      <c r="Q55" s="22"/>
      <c r="R55" s="413" t="s">
        <v>24</v>
      </c>
      <c r="S55" s="333"/>
      <c r="T55" s="333"/>
      <c r="U55" s="333"/>
      <c r="V55" s="333"/>
      <c r="W55" s="333"/>
      <c r="X55" s="333"/>
      <c r="Y55" s="334"/>
      <c r="Z55" s="149"/>
      <c r="AA55" s="149"/>
      <c r="AB55" s="149"/>
      <c r="AC55" s="149"/>
      <c r="AD55" s="149"/>
      <c r="AE55" s="149"/>
      <c r="AF55" s="149"/>
    </row>
    <row r="56" spans="2:32" s="148" customFormat="1" ht="15" hidden="1" customHeight="1">
      <c r="B56" s="335" t="str">
        <f t="shared" ref="B56:B75" si="0">B12</f>
        <v>Quality of Work</v>
      </c>
      <c r="C56" s="336"/>
      <c r="D56" s="336"/>
      <c r="E56" s="337"/>
      <c r="F56" s="162" t="str">
        <f>IF(Settings!$M$4=Settings!$Y$3,IF($AA56=1,"P",""),IF($AA56=1,"P",""))</f>
        <v/>
      </c>
      <c r="G56" s="160" t="str">
        <f>IF(Settings!$M$4=Settings!$Y$3,IF($AA56=1,"P",""),IF($AA56=2,"P",""))</f>
        <v/>
      </c>
      <c r="H56" s="160" t="str">
        <f>IF(Settings!$M$4=Settings!$Y$3,IF($AA56=1,"P",""),IF($AA56=3,"P",""))</f>
        <v/>
      </c>
      <c r="I56" s="160" t="str">
        <f>IF(Settings!$M$4=Settings!$Y$3,IF($AA56=1,"P",""),IF($AA56=4,"P",""))</f>
        <v/>
      </c>
      <c r="J56" s="160" t="str">
        <f>IF(Settings!$M$4=Settings!$Y$3,IF($AA56=2,"P",""),IF($AA56=5,"P",""))</f>
        <v/>
      </c>
      <c r="K56" s="160" t="str">
        <f>IF(Settings!$M$4=Settings!$Y$3,IF($AA56=2,"P",""),IF($AA56=6,"P",""))</f>
        <v/>
      </c>
      <c r="L56" s="160" t="str">
        <f>IF(Settings!$M$4=Settings!$Y$3,IF($AA56=2,"P",""),IF($AA56=7,"P",""))</f>
        <v/>
      </c>
      <c r="M56" s="160" t="str">
        <f>IF(Settings!$M$4=Settings!$Y$3,IF($AA56=2,"P",""),IF($AA56=8,"P",""))</f>
        <v/>
      </c>
      <c r="N56" s="160" t="str">
        <f>IF(Settings!$M$4=Settings!$Y$3,IF($AA56=3,"P",""),IF($AA56=9,"P",""))</f>
        <v/>
      </c>
      <c r="O56" s="161" t="str">
        <f>IF(Settings!$M$4=Settings!$Y$3,IF($AA56=3,"P",""),IF($AA56=10,"P",""))</f>
        <v/>
      </c>
      <c r="P56" s="22"/>
      <c r="Q56" s="22"/>
      <c r="R56" s="375" t="e">
        <f>IF(INDEX(TblDatabase[Comment1],MATCH(1,INDEX(($L$4=ListEmployeeNamesInDatabase)*(C48=TblDatabase[Year]),0,1),0))="","",INDEX(TblDatabase[Comment1],MATCH(1,INDEX(($L$4=ListEmployeeNamesInDatabase)*(C48=TblDatabase[Year]),0,1),0)))</f>
        <v>#N/A</v>
      </c>
      <c r="S56" s="367"/>
      <c r="T56" s="367"/>
      <c r="U56" s="367"/>
      <c r="V56" s="367"/>
      <c r="W56" s="367"/>
      <c r="X56" s="367"/>
      <c r="Y56" s="368"/>
      <c r="Z56" s="149"/>
      <c r="AA56" s="151">
        <f>SUMIFS(TblDatabase[Competency1],ListEmployeeNamesInDatabase,$L$4,TblDatabase[Year],C48)</f>
        <v>0</v>
      </c>
      <c r="AB56" s="149"/>
      <c r="AC56" s="149"/>
      <c r="AD56" s="149"/>
      <c r="AE56" s="149"/>
      <c r="AF56" s="149"/>
    </row>
    <row r="57" spans="2:32" s="148" customFormat="1" ht="15" hidden="1" customHeight="1">
      <c r="B57" s="355" t="str">
        <f t="shared" si="0"/>
        <v>CaLL flow</v>
      </c>
      <c r="C57" s="356"/>
      <c r="D57" s="356"/>
      <c r="E57" s="357"/>
      <c r="F57" s="163" t="str">
        <f>IF(Settings!$M$4=Settings!$Y$3,IF($AA57=1,"P",""),IF($AA57=1,"P",""))</f>
        <v/>
      </c>
      <c r="G57" s="164" t="str">
        <f>IF(Settings!$M$4=Settings!$Y$3,IF($AA57=1,"P",""),IF($AA57=2,"P",""))</f>
        <v/>
      </c>
      <c r="H57" s="164" t="str">
        <f>IF(Settings!$M$4=Settings!$Y$3,IF($AA57=1,"P",""),IF($AA57=3,"P",""))</f>
        <v/>
      </c>
      <c r="I57" s="164" t="str">
        <f>IF(Settings!$M$4=Settings!$Y$3,IF($AA57=1,"P",""),IF($AA57=4,"P",""))</f>
        <v/>
      </c>
      <c r="J57" s="164" t="str">
        <f>IF(Settings!$M$4=Settings!$Y$3,IF($AA57=2,"P",""),IF($AA57=5,"P",""))</f>
        <v/>
      </c>
      <c r="K57" s="164" t="str">
        <f>IF(Settings!$M$4=Settings!$Y$3,IF($AA57=2,"P",""),IF($AA57=6,"P",""))</f>
        <v/>
      </c>
      <c r="L57" s="164" t="str">
        <f>IF(Settings!$M$4=Settings!$Y$3,IF($AA57=2,"P",""),IF($AA57=7,"P",""))</f>
        <v/>
      </c>
      <c r="M57" s="164" t="str">
        <f>IF(Settings!$M$4=Settings!$Y$3,IF($AA57=2,"P",""),IF($AA57=8,"P",""))</f>
        <v/>
      </c>
      <c r="N57" s="164" t="str">
        <f>IF(Settings!$M$4=Settings!$Y$3,IF($AA57=3,"P",""),IF($AA57=9,"P",""))</f>
        <v/>
      </c>
      <c r="O57" s="165" t="str">
        <f>IF(Settings!$M$4=Settings!$Y$3,IF($AA57=3,"P",""),IF($AA57=10,"P",""))</f>
        <v/>
      </c>
      <c r="P57" s="22"/>
      <c r="Q57" s="22"/>
      <c r="R57" s="373" t="e">
        <f>IF(INDEX(TblDatabase[Comment2],MATCH(1,INDEX(($L$4=ListEmployeeNamesInDatabase)*(C48=TblDatabase[Year]),0,1),0))="","",INDEX(TblDatabase[Comment2],MATCH(1,INDEX(($L$4=ListEmployeeNamesInDatabase)*(C48=TblDatabase[Year]),0,1),0)))</f>
        <v>#N/A</v>
      </c>
      <c r="S57" s="360"/>
      <c r="T57" s="360"/>
      <c r="U57" s="360"/>
      <c r="V57" s="360"/>
      <c r="W57" s="360"/>
      <c r="X57" s="360"/>
      <c r="Y57" s="361"/>
      <c r="Z57" s="149"/>
      <c r="AA57" s="151">
        <f>SUMIFS(TblDatabase[Competency2],ListEmployeeNamesInDatabase,$L$4,TblDatabase[Year],C48)</f>
        <v>0</v>
      </c>
      <c r="AB57" s="149"/>
      <c r="AC57" s="149"/>
      <c r="AD57" s="149"/>
      <c r="AE57" s="149"/>
      <c r="AF57" s="149"/>
    </row>
    <row r="58" spans="2:32" s="148" customFormat="1" ht="15" hidden="1" customHeight="1">
      <c r="B58" s="350" t="str">
        <f t="shared" si="0"/>
        <v>Job Knowledge</v>
      </c>
      <c r="C58" s="351"/>
      <c r="D58" s="351"/>
      <c r="E58" s="352"/>
      <c r="F58" s="157" t="str">
        <f>IF(Settings!$M$4=Settings!$Y$3,IF($AA58=1,"P",""),IF($AA58=1,"P",""))</f>
        <v/>
      </c>
      <c r="G58" s="158" t="str">
        <f>IF(Settings!$M$4=Settings!$Y$3,IF($AA58=1,"P",""),IF($AA58=2,"P",""))</f>
        <v/>
      </c>
      <c r="H58" s="158" t="str">
        <f>IF(Settings!$M$4=Settings!$Y$3,IF($AA58=1,"P",""),IF($AA58=3,"P",""))</f>
        <v/>
      </c>
      <c r="I58" s="158" t="str">
        <f>IF(Settings!$M$4=Settings!$Y$3,IF($AA58=1,"P",""),IF($AA58=4,"P",""))</f>
        <v/>
      </c>
      <c r="J58" s="158" t="str">
        <f>IF(Settings!$M$4=Settings!$Y$3,IF($AA58=2,"P",""),IF($AA58=5,"P",""))</f>
        <v/>
      </c>
      <c r="K58" s="158" t="str">
        <f>IF(Settings!$M$4=Settings!$Y$3,IF($AA58=2,"P",""),IF($AA58=6,"P",""))</f>
        <v/>
      </c>
      <c r="L58" s="158" t="str">
        <f>IF(Settings!$M$4=Settings!$Y$3,IF($AA58=2,"P",""),IF($AA58=7,"P",""))</f>
        <v/>
      </c>
      <c r="M58" s="158" t="str">
        <f>IF(Settings!$M$4=Settings!$Y$3,IF($AA58=2,"P",""),IF($AA58=8,"P",""))</f>
        <v/>
      </c>
      <c r="N58" s="158" t="str">
        <f>IF(Settings!$M$4=Settings!$Y$3,IF($AA58=3,"P",""),IF($AA58=9,"P",""))</f>
        <v/>
      </c>
      <c r="O58" s="159" t="str">
        <f>IF(Settings!$M$4=Settings!$Y$3,IF($AA58=3,"P",""),IF($AA58=10,"P",""))</f>
        <v/>
      </c>
      <c r="P58" s="22"/>
      <c r="Q58" s="22"/>
      <c r="R58" s="374" t="e">
        <f>IF(INDEX(TblDatabase[Comment3],MATCH(1,INDEX(($L$4=ListEmployeeNamesInDatabase)*(C48=TblDatabase[Year]),0,1),0))="","",INDEX(TblDatabase[Comment3],MATCH(1,INDEX(($L$4=ListEmployeeNamesInDatabase)*(C48=TblDatabase[Year]),0,1),0)))</f>
        <v>#N/A</v>
      </c>
      <c r="S58" s="353"/>
      <c r="T58" s="353"/>
      <c r="U58" s="353"/>
      <c r="V58" s="353"/>
      <c r="W58" s="353"/>
      <c r="X58" s="353"/>
      <c r="Y58" s="354"/>
      <c r="Z58" s="149"/>
      <c r="AA58" s="151">
        <f>SUMIFS(TblDatabase[Competency3],ListEmployeeNamesInDatabase,$L$4,TblDatabase[Year],C48)</f>
        <v>0</v>
      </c>
      <c r="AB58" s="149"/>
      <c r="AC58" s="149"/>
      <c r="AD58" s="149"/>
      <c r="AE58" s="149"/>
      <c r="AF58" s="149"/>
    </row>
    <row r="59" spans="2:32" s="148" customFormat="1" ht="15" hidden="1" customHeight="1">
      <c r="B59" s="355" t="str">
        <f t="shared" si="0"/>
        <v>Client Service</v>
      </c>
      <c r="C59" s="356"/>
      <c r="D59" s="356"/>
      <c r="E59" s="357"/>
      <c r="F59" s="163" t="str">
        <f>IF(Settings!$M$4=Settings!$Y$3,IF($AA59=1,"P",""),IF($AA59=1,"P",""))</f>
        <v/>
      </c>
      <c r="G59" s="164" t="str">
        <f>IF(Settings!$M$4=Settings!$Y$3,IF($AA59=1,"P",""),IF($AA59=2,"P",""))</f>
        <v/>
      </c>
      <c r="H59" s="164" t="str">
        <f>IF(Settings!$M$4=Settings!$Y$3,IF($AA59=1,"P",""),IF($AA59=3,"P",""))</f>
        <v/>
      </c>
      <c r="I59" s="164" t="str">
        <f>IF(Settings!$M$4=Settings!$Y$3,IF($AA59=1,"P",""),IF($AA59=4,"P",""))</f>
        <v/>
      </c>
      <c r="J59" s="164" t="str">
        <f>IF(Settings!$M$4=Settings!$Y$3,IF($AA59=2,"P",""),IF($AA59=5,"P",""))</f>
        <v/>
      </c>
      <c r="K59" s="164" t="str">
        <f>IF(Settings!$M$4=Settings!$Y$3,IF($AA59=2,"P",""),IF($AA59=6,"P",""))</f>
        <v/>
      </c>
      <c r="L59" s="164" t="str">
        <f>IF(Settings!$M$4=Settings!$Y$3,IF($AA59=2,"P",""),IF($AA59=7,"P",""))</f>
        <v/>
      </c>
      <c r="M59" s="164" t="str">
        <f>IF(Settings!$M$4=Settings!$Y$3,IF($AA59=2,"P",""),IF($AA59=8,"P",""))</f>
        <v/>
      </c>
      <c r="N59" s="164" t="str">
        <f>IF(Settings!$M$4=Settings!$Y$3,IF($AA59=3,"P",""),IF($AA59=9,"P",""))</f>
        <v/>
      </c>
      <c r="O59" s="165" t="str">
        <f>IF(Settings!$M$4=Settings!$Y$3,IF($AA59=3,"P",""),IF($AA59=10,"P",""))</f>
        <v/>
      </c>
      <c r="P59" s="22"/>
      <c r="Q59" s="22"/>
      <c r="R59" s="373" t="e">
        <f>IF(INDEX(TblDatabase[Comment4],MATCH(1,INDEX(($L$4=ListEmployeeNamesInDatabase)*(C48=TblDatabase[Year]),0,1),0))="","",INDEX(TblDatabase[Comment4],MATCH(1,INDEX(($L$4=ListEmployeeNamesInDatabase)*(C48=TblDatabase[Year]),0,1),0)))</f>
        <v>#N/A</v>
      </c>
      <c r="S59" s="360"/>
      <c r="T59" s="360"/>
      <c r="U59" s="360"/>
      <c r="V59" s="360"/>
      <c r="W59" s="360"/>
      <c r="X59" s="360"/>
      <c r="Y59" s="361"/>
      <c r="Z59" s="149"/>
      <c r="AA59" s="151">
        <f>SUMIFS(TblDatabase[Competency4],ListEmployeeNamesInDatabase,$L$4,TblDatabase[Year],C48)</f>
        <v>0</v>
      </c>
      <c r="AB59" s="149"/>
      <c r="AC59" s="149"/>
      <c r="AD59" s="149"/>
      <c r="AE59" s="149"/>
      <c r="AF59" s="149"/>
    </row>
    <row r="60" spans="2:32" s="148" customFormat="1" ht="15" hidden="1" customHeight="1">
      <c r="B60" s="350" t="str">
        <f t="shared" si="0"/>
        <v>Teamwork</v>
      </c>
      <c r="C60" s="351"/>
      <c r="D60" s="351"/>
      <c r="E60" s="352"/>
      <c r="F60" s="157" t="str">
        <f>IF(Settings!$M$4=Settings!$Y$3,IF($AA60=1,"P",""),IF($AA60=1,"P",""))</f>
        <v/>
      </c>
      <c r="G60" s="158" t="str">
        <f>IF(Settings!$M$4=Settings!$Y$3,IF($AA60=1,"P",""),IF($AA60=2,"P",""))</f>
        <v/>
      </c>
      <c r="H60" s="158" t="str">
        <f>IF(Settings!$M$4=Settings!$Y$3,IF($AA60=1,"P",""),IF($AA60=3,"P",""))</f>
        <v/>
      </c>
      <c r="I60" s="158" t="str">
        <f>IF(Settings!$M$4=Settings!$Y$3,IF($AA60=1,"P",""),IF($AA60=4,"P",""))</f>
        <v/>
      </c>
      <c r="J60" s="158" t="str">
        <f>IF(Settings!$M$4=Settings!$Y$3,IF($AA60=2,"P",""),IF($AA60=5,"P",""))</f>
        <v/>
      </c>
      <c r="K60" s="158" t="str">
        <f>IF(Settings!$M$4=Settings!$Y$3,IF($AA60=2,"P",""),IF($AA60=6,"P",""))</f>
        <v/>
      </c>
      <c r="L60" s="158" t="str">
        <f>IF(Settings!$M$4=Settings!$Y$3,IF($AA60=2,"P",""),IF($AA60=7,"P",""))</f>
        <v/>
      </c>
      <c r="M60" s="158" t="str">
        <f>IF(Settings!$M$4=Settings!$Y$3,IF($AA60=2,"P",""),IF($AA60=8,"P",""))</f>
        <v/>
      </c>
      <c r="N60" s="158" t="str">
        <f>IF(Settings!$M$4=Settings!$Y$3,IF($AA60=3,"P",""),IF($AA60=9,"P",""))</f>
        <v/>
      </c>
      <c r="O60" s="159" t="str">
        <f>IF(Settings!$M$4=Settings!$Y$3,IF($AA60=3,"P",""),IF($AA60=10,"P",""))</f>
        <v/>
      </c>
      <c r="P60" s="22"/>
      <c r="Q60" s="22"/>
      <c r="R60" s="374" t="e">
        <f>IF(INDEX(TblDatabase[Comment5],MATCH(1,INDEX(($L$4=ListEmployeeNamesInDatabase)*(C48=TblDatabase[Year]),0,1),0))="","",INDEX(TblDatabase[Comment5],MATCH(1,INDEX(($L$4=ListEmployeeNamesInDatabase)*(C48=TblDatabase[Year]),0,1),0)))</f>
        <v>#N/A</v>
      </c>
      <c r="S60" s="353"/>
      <c r="T60" s="353"/>
      <c r="U60" s="353"/>
      <c r="V60" s="353"/>
      <c r="W60" s="353"/>
      <c r="X60" s="353"/>
      <c r="Y60" s="354"/>
      <c r="Z60" s="149"/>
      <c r="AA60" s="151">
        <f>SUMIFS(TblDatabase[Competency5],ListEmployeeNamesInDatabase,$L$4,TblDatabase[Year],C48)</f>
        <v>0</v>
      </c>
      <c r="AB60" s="149"/>
      <c r="AC60" s="149"/>
      <c r="AD60" s="149"/>
      <c r="AE60" s="149"/>
      <c r="AF60" s="149"/>
    </row>
    <row r="61" spans="2:32" s="148" customFormat="1" ht="15" hidden="1" customHeight="1">
      <c r="B61" s="355" t="str">
        <f t="shared" si="0"/>
        <v>Safety</v>
      </c>
      <c r="C61" s="356"/>
      <c r="D61" s="356"/>
      <c r="E61" s="357"/>
      <c r="F61" s="163" t="str">
        <f>IF(Settings!$M$4=Settings!$Y$3,IF($AA61=1,"P",""),IF($AA61=1,"P",""))</f>
        <v/>
      </c>
      <c r="G61" s="164" t="str">
        <f>IF(Settings!$M$4=Settings!$Y$3,IF($AA61=1,"P",""),IF($AA61=2,"P",""))</f>
        <v/>
      </c>
      <c r="H61" s="164" t="str">
        <f>IF(Settings!$M$4=Settings!$Y$3,IF($AA61=1,"P",""),IF($AA61=3,"P",""))</f>
        <v/>
      </c>
      <c r="I61" s="164" t="str">
        <f>IF(Settings!$M$4=Settings!$Y$3,IF($AA61=1,"P",""),IF($AA61=4,"P",""))</f>
        <v/>
      </c>
      <c r="J61" s="164" t="str">
        <f>IF(Settings!$M$4=Settings!$Y$3,IF($AA61=2,"P",""),IF($AA61=5,"P",""))</f>
        <v/>
      </c>
      <c r="K61" s="164" t="str">
        <f>IF(Settings!$M$4=Settings!$Y$3,IF($AA61=2,"P",""),IF($AA61=6,"P",""))</f>
        <v/>
      </c>
      <c r="L61" s="164" t="str">
        <f>IF(Settings!$M$4=Settings!$Y$3,IF($AA61=2,"P",""),IF($AA61=7,"P",""))</f>
        <v/>
      </c>
      <c r="M61" s="164" t="str">
        <f>IF(Settings!$M$4=Settings!$Y$3,IF($AA61=2,"P",""),IF($AA61=8,"P",""))</f>
        <v/>
      </c>
      <c r="N61" s="164" t="str">
        <f>IF(Settings!$M$4=Settings!$Y$3,IF($AA61=3,"P",""),IF($AA61=9,"P",""))</f>
        <v/>
      </c>
      <c r="O61" s="165" t="str">
        <f>IF(Settings!$M$4=Settings!$Y$3,IF($AA61=3,"P",""),IF($AA61=10,"P",""))</f>
        <v/>
      </c>
      <c r="P61" s="22"/>
      <c r="Q61" s="22"/>
      <c r="R61" s="373" t="e">
        <f>IF(INDEX(TblDatabase[Comment6],MATCH(1,INDEX(($L$4=ListEmployeeNamesInDatabase)*(C48=TblDatabase[Year]),0,1),0))="","",INDEX(TblDatabase[Comment6],MATCH(1,INDEX(($L$4=ListEmployeeNamesInDatabase)*(C48=TblDatabase[Year]),0,1),0)))</f>
        <v>#N/A</v>
      </c>
      <c r="S61" s="360"/>
      <c r="T61" s="360"/>
      <c r="U61" s="360"/>
      <c r="V61" s="360"/>
      <c r="W61" s="360"/>
      <c r="X61" s="360"/>
      <c r="Y61" s="361"/>
      <c r="Z61" s="149"/>
      <c r="AA61" s="151">
        <f>SUMIFS(TblDatabase[Competency6],ListEmployeeNamesInDatabase,$L$4,TblDatabase[Year],C48)</f>
        <v>0</v>
      </c>
      <c r="AB61" s="149"/>
      <c r="AC61" s="149"/>
      <c r="AD61" s="149"/>
      <c r="AE61" s="149"/>
      <c r="AF61" s="149"/>
    </row>
    <row r="62" spans="2:32" s="148" customFormat="1" ht="15" hidden="1" customHeight="1">
      <c r="B62" s="350" t="str">
        <f t="shared" si="0"/>
        <v>Reliability</v>
      </c>
      <c r="C62" s="351"/>
      <c r="D62" s="351"/>
      <c r="E62" s="352"/>
      <c r="F62" s="157" t="str">
        <f>IF(Settings!$M$4=Settings!$Y$3,IF($AA62=1,"P",""),IF($AA62=1,"P",""))</f>
        <v/>
      </c>
      <c r="G62" s="158" t="str">
        <f>IF(Settings!$M$4=Settings!$Y$3,IF($AA62=1,"P",""),IF($AA62=2,"P",""))</f>
        <v/>
      </c>
      <c r="H62" s="158" t="str">
        <f>IF(Settings!$M$4=Settings!$Y$3,IF($AA62=1,"P",""),IF($AA62=3,"P",""))</f>
        <v/>
      </c>
      <c r="I62" s="158" t="str">
        <f>IF(Settings!$M$4=Settings!$Y$3,IF($AA62=1,"P",""),IF($AA62=4,"P",""))</f>
        <v/>
      </c>
      <c r="J62" s="158" t="str">
        <f>IF(Settings!$M$4=Settings!$Y$3,IF($AA62=2,"P",""),IF($AA62=5,"P",""))</f>
        <v/>
      </c>
      <c r="K62" s="158" t="str">
        <f>IF(Settings!$M$4=Settings!$Y$3,IF($AA62=2,"P",""),IF($AA62=6,"P",""))</f>
        <v/>
      </c>
      <c r="L62" s="158" t="str">
        <f>IF(Settings!$M$4=Settings!$Y$3,IF($AA62=2,"P",""),IF($AA62=7,"P",""))</f>
        <v/>
      </c>
      <c r="M62" s="158" t="str">
        <f>IF(Settings!$M$4=Settings!$Y$3,IF($AA62=2,"P",""),IF($AA62=8,"P",""))</f>
        <v/>
      </c>
      <c r="N62" s="158" t="str">
        <f>IF(Settings!$M$4=Settings!$Y$3,IF($AA62=3,"P",""),IF($AA62=9,"P",""))</f>
        <v/>
      </c>
      <c r="O62" s="159" t="str">
        <f>IF(Settings!$M$4=Settings!$Y$3,IF($AA62=3,"P",""),IF($AA62=10,"P",""))</f>
        <v/>
      </c>
      <c r="P62" s="22"/>
      <c r="Q62" s="22"/>
      <c r="R62" s="374" t="e">
        <f>IF(INDEX(TblDatabase[Comment7],MATCH(1,INDEX(($L$4=ListEmployeeNamesInDatabase)*(C48=TblDatabase[Year]),0,1),0))="","",INDEX(TblDatabase[Comment7],MATCH(1,INDEX(($L$4=ListEmployeeNamesInDatabase)*(C48=TblDatabase[Year]),0,1),0)))</f>
        <v>#N/A</v>
      </c>
      <c r="S62" s="353"/>
      <c r="T62" s="353"/>
      <c r="U62" s="353"/>
      <c r="V62" s="353"/>
      <c r="W62" s="353"/>
      <c r="X62" s="353"/>
      <c r="Y62" s="354"/>
      <c r="Z62" s="149"/>
      <c r="AA62" s="151">
        <f>SUMIFS(TblDatabase[Competency7],ListEmployeeNamesInDatabase,$L$4,TblDatabase[Year],C48)</f>
        <v>0</v>
      </c>
      <c r="AB62" s="149"/>
      <c r="AC62" s="149"/>
      <c r="AD62" s="149"/>
      <c r="AE62" s="149"/>
      <c r="AF62" s="149"/>
    </row>
    <row r="63" spans="2:32" s="148" customFormat="1" ht="15" hidden="1" customHeight="1">
      <c r="B63" s="355" t="str">
        <f t="shared" si="0"/>
        <v>Initiative/Adaptability</v>
      </c>
      <c r="C63" s="356"/>
      <c r="D63" s="356"/>
      <c r="E63" s="357"/>
      <c r="F63" s="163" t="str">
        <f>IF(Settings!$M$4=Settings!$Y$3,IF($AA63=1,"P",""),IF($AA63=1,"P",""))</f>
        <v/>
      </c>
      <c r="G63" s="164" t="str">
        <f>IF(Settings!$M$4=Settings!$Y$3,IF($AA63=1,"P",""),IF($AA63=2,"P",""))</f>
        <v/>
      </c>
      <c r="H63" s="164" t="str">
        <f>IF(Settings!$M$4=Settings!$Y$3,IF($AA63=1,"P",""),IF($AA63=3,"P",""))</f>
        <v/>
      </c>
      <c r="I63" s="164" t="str">
        <f>IF(Settings!$M$4=Settings!$Y$3,IF($AA63=1,"P",""),IF($AA63=4,"P",""))</f>
        <v/>
      </c>
      <c r="J63" s="164" t="str">
        <f>IF(Settings!$M$4=Settings!$Y$3,IF($AA63=2,"P",""),IF($AA63=5,"P",""))</f>
        <v/>
      </c>
      <c r="K63" s="164" t="str">
        <f>IF(Settings!$M$4=Settings!$Y$3,IF($AA63=2,"P",""),IF($AA63=6,"P",""))</f>
        <v/>
      </c>
      <c r="L63" s="164" t="str">
        <f>IF(Settings!$M$4=Settings!$Y$3,IF($AA63=2,"P",""),IF($AA63=7,"P",""))</f>
        <v/>
      </c>
      <c r="M63" s="164" t="str">
        <f>IF(Settings!$M$4=Settings!$Y$3,IF($AA63=2,"P",""),IF($AA63=8,"P",""))</f>
        <v/>
      </c>
      <c r="N63" s="164" t="str">
        <f>IF(Settings!$M$4=Settings!$Y$3,IF($AA63=3,"P",""),IF($AA63=9,"P",""))</f>
        <v/>
      </c>
      <c r="O63" s="165" t="str">
        <f>IF(Settings!$M$4=Settings!$Y$3,IF($AA63=3,"P",""),IF($AA63=10,"P",""))</f>
        <v/>
      </c>
      <c r="P63" s="22"/>
      <c r="Q63" s="22"/>
      <c r="R63" s="373" t="e">
        <f>IF(INDEX(TblDatabase[Comment8],MATCH(1,INDEX(($L$4=ListEmployeeNamesInDatabase)*(C48=TblDatabase[Year]),0,1),0))="","",INDEX(TblDatabase[Comment8],MATCH(1,INDEX(($L$4=ListEmployeeNamesInDatabase)*(C48=TblDatabase[Year]),0,1),0)))</f>
        <v>#N/A</v>
      </c>
      <c r="S63" s="360"/>
      <c r="T63" s="360"/>
      <c r="U63" s="360"/>
      <c r="V63" s="360"/>
      <c r="W63" s="360"/>
      <c r="X63" s="360"/>
      <c r="Y63" s="361"/>
      <c r="Z63" s="149"/>
      <c r="AA63" s="151">
        <f>SUMIFS(TblDatabase[Competency8],ListEmployeeNamesInDatabase,$L$4,TblDatabase[Year],C48)</f>
        <v>0</v>
      </c>
      <c r="AB63" s="149"/>
      <c r="AC63" s="149"/>
      <c r="AD63" s="149"/>
      <c r="AE63" s="149"/>
      <c r="AF63" s="149"/>
    </row>
    <row r="64" spans="2:32" s="148" customFormat="1" ht="15" hidden="1" customHeight="1">
      <c r="B64" s="350" t="str">
        <f t="shared" si="0"/>
        <v/>
      </c>
      <c r="C64" s="351"/>
      <c r="D64" s="351"/>
      <c r="E64" s="352"/>
      <c r="F64" s="157" t="str">
        <f>IF(Settings!$M$4=Settings!$Y$3,IF($AA64=1,"P",""),IF($AA64=1,"P",""))</f>
        <v/>
      </c>
      <c r="G64" s="158" t="str">
        <f>IF(Settings!$M$4=Settings!$Y$3,IF($AA64=1,"P",""),IF($AA64=2,"P",""))</f>
        <v/>
      </c>
      <c r="H64" s="158" t="str">
        <f>IF(Settings!$M$4=Settings!$Y$3,IF($AA64=1,"P",""),IF($AA64=3,"P",""))</f>
        <v/>
      </c>
      <c r="I64" s="158" t="str">
        <f>IF(Settings!$M$4=Settings!$Y$3,IF($AA64=1,"P",""),IF($AA64=4,"P",""))</f>
        <v/>
      </c>
      <c r="J64" s="158" t="str">
        <f>IF(Settings!$M$4=Settings!$Y$3,IF($AA64=2,"P",""),IF($AA64=5,"P",""))</f>
        <v/>
      </c>
      <c r="K64" s="158" t="str">
        <f>IF(Settings!$M$4=Settings!$Y$3,IF($AA64=2,"P",""),IF($AA64=6,"P",""))</f>
        <v/>
      </c>
      <c r="L64" s="158" t="str">
        <f>IF(Settings!$M$4=Settings!$Y$3,IF($AA64=2,"P",""),IF($AA64=7,"P",""))</f>
        <v/>
      </c>
      <c r="M64" s="158" t="str">
        <f>IF(Settings!$M$4=Settings!$Y$3,IF($AA64=2,"P",""),IF($AA64=8,"P",""))</f>
        <v/>
      </c>
      <c r="N64" s="158" t="str">
        <f>IF(Settings!$M$4=Settings!$Y$3,IF($AA64=3,"P",""),IF($AA64=9,"P",""))</f>
        <v/>
      </c>
      <c r="O64" s="159" t="str">
        <f>IF(Settings!$M$4=Settings!$Y$3,IF($AA64=3,"P",""),IF($AA64=10,"P",""))</f>
        <v/>
      </c>
      <c r="P64" s="22"/>
      <c r="Q64" s="22"/>
      <c r="R64" s="374" t="e">
        <f>IF(INDEX(TblDatabase[Comment9],MATCH(1,INDEX(($L$4=ListEmployeeNamesInDatabase)*(C48=TblDatabase[Year]),0,1),0))="","",INDEX(TblDatabase[Comment9],MATCH(1,INDEX(($L$4=ListEmployeeNamesInDatabase)*(C48=TblDatabase[Year]),0,1),0)))</f>
        <v>#N/A</v>
      </c>
      <c r="S64" s="353"/>
      <c r="T64" s="353"/>
      <c r="U64" s="353"/>
      <c r="V64" s="353"/>
      <c r="W64" s="353"/>
      <c r="X64" s="353"/>
      <c r="Y64" s="354"/>
      <c r="Z64" s="149"/>
      <c r="AA64" s="151">
        <f>SUMIFS(TblDatabase[Competency9],ListEmployeeNamesInDatabase,$L$4,TblDatabase[Year],C48)</f>
        <v>0</v>
      </c>
      <c r="AB64" s="149"/>
      <c r="AC64" s="149"/>
      <c r="AD64" s="149"/>
      <c r="AE64" s="149"/>
      <c r="AF64" s="149"/>
    </row>
    <row r="65" spans="2:32" s="148" customFormat="1" ht="15" hidden="1" customHeight="1">
      <c r="B65" s="355" t="str">
        <f t="shared" si="0"/>
        <v/>
      </c>
      <c r="C65" s="356"/>
      <c r="D65" s="356"/>
      <c r="E65" s="357"/>
      <c r="F65" s="163" t="str">
        <f>IF(Settings!$M$4=Settings!$Y$3,IF($AA65=1,"P",""),IF($AA65=1,"P",""))</f>
        <v/>
      </c>
      <c r="G65" s="164" t="str">
        <f>IF(Settings!$M$4=Settings!$Y$3,IF($AA65=1,"P",""),IF($AA65=2,"P",""))</f>
        <v/>
      </c>
      <c r="H65" s="164" t="str">
        <f>IF(Settings!$M$4=Settings!$Y$3,IF($AA65=1,"P",""),IF($AA65=3,"P",""))</f>
        <v/>
      </c>
      <c r="I65" s="164" t="str">
        <f>IF(Settings!$M$4=Settings!$Y$3,IF($AA65=1,"P",""),IF($AA65=4,"P",""))</f>
        <v/>
      </c>
      <c r="J65" s="164" t="str">
        <f>IF(Settings!$M$4=Settings!$Y$3,IF($AA65=2,"P",""),IF($AA65=5,"P",""))</f>
        <v/>
      </c>
      <c r="K65" s="164" t="str">
        <f>IF(Settings!$M$4=Settings!$Y$3,IF($AA65=2,"P",""),IF($AA65=6,"P",""))</f>
        <v/>
      </c>
      <c r="L65" s="164" t="str">
        <f>IF(Settings!$M$4=Settings!$Y$3,IF($AA65=2,"P",""),IF($AA65=7,"P",""))</f>
        <v/>
      </c>
      <c r="M65" s="164" t="str">
        <f>IF(Settings!$M$4=Settings!$Y$3,IF($AA65=2,"P",""),IF($AA65=8,"P",""))</f>
        <v/>
      </c>
      <c r="N65" s="164" t="str">
        <f>IF(Settings!$M$4=Settings!$Y$3,IF($AA65=3,"P",""),IF($AA65=9,"P",""))</f>
        <v/>
      </c>
      <c r="O65" s="165" t="str">
        <f>IF(Settings!$M$4=Settings!$Y$3,IF($AA65=3,"P",""),IF($AA65=10,"P",""))</f>
        <v/>
      </c>
      <c r="P65" s="22"/>
      <c r="Q65" s="22"/>
      <c r="R65" s="373" t="e">
        <f>IF(INDEX(TblDatabase[Comment10],MATCH(1,INDEX(($L$4=ListEmployeeNamesInDatabase)*(C48=TblDatabase[Year]),0,1),0))="","",INDEX(TblDatabase[Comment10],MATCH(1,INDEX(($L$4=ListEmployeeNamesInDatabase)*(C48=TblDatabase[Year]),0,1),0)))</f>
        <v>#N/A</v>
      </c>
      <c r="S65" s="360"/>
      <c r="T65" s="360"/>
      <c r="U65" s="360"/>
      <c r="V65" s="360"/>
      <c r="W65" s="360"/>
      <c r="X65" s="360"/>
      <c r="Y65" s="361"/>
      <c r="Z65" s="149"/>
      <c r="AA65" s="151">
        <f>SUMIFS(TblDatabase[Competency10],ListEmployeeNamesInDatabase,$L$4,TblDatabase[Year],C48)</f>
        <v>0</v>
      </c>
      <c r="AB65" s="149"/>
      <c r="AC65" s="149"/>
      <c r="AD65" s="149"/>
      <c r="AE65" s="149"/>
      <c r="AF65" s="149"/>
    </row>
    <row r="66" spans="2:32" s="148" customFormat="1" ht="15" hidden="1" customHeight="1">
      <c r="B66" s="350" t="str">
        <f t="shared" si="0"/>
        <v/>
      </c>
      <c r="C66" s="351"/>
      <c r="D66" s="351"/>
      <c r="E66" s="352"/>
      <c r="F66" s="157" t="str">
        <f>IF(Settings!$M$4=Settings!$Y$3,IF($AA66=1,"P",""),IF($AA66=1,"P",""))</f>
        <v/>
      </c>
      <c r="G66" s="158" t="str">
        <f>IF(Settings!$M$4=Settings!$Y$3,IF($AA66=1,"P",""),IF($AA66=2,"P",""))</f>
        <v/>
      </c>
      <c r="H66" s="158" t="str">
        <f>IF(Settings!$M$4=Settings!$Y$3,IF($AA66=1,"P",""),IF($AA66=3,"P",""))</f>
        <v/>
      </c>
      <c r="I66" s="158" t="str">
        <f>IF(Settings!$M$4=Settings!$Y$3,IF($AA66=1,"P",""),IF($AA66=4,"P",""))</f>
        <v/>
      </c>
      <c r="J66" s="158" t="str">
        <f>IF(Settings!$M$4=Settings!$Y$3,IF($AA66=2,"P",""),IF($AA66=5,"P",""))</f>
        <v/>
      </c>
      <c r="K66" s="158" t="str">
        <f>IF(Settings!$M$4=Settings!$Y$3,IF($AA66=2,"P",""),IF($AA66=6,"P",""))</f>
        <v/>
      </c>
      <c r="L66" s="158" t="str">
        <f>IF(Settings!$M$4=Settings!$Y$3,IF($AA66=2,"P",""),IF($AA66=7,"P",""))</f>
        <v/>
      </c>
      <c r="M66" s="158" t="str">
        <f>IF(Settings!$M$4=Settings!$Y$3,IF($AA66=2,"P",""),IF($AA66=8,"P",""))</f>
        <v/>
      </c>
      <c r="N66" s="158" t="str">
        <f>IF(Settings!$M$4=Settings!$Y$3,IF($AA66=3,"P",""),IF($AA66=9,"P",""))</f>
        <v/>
      </c>
      <c r="O66" s="159" t="str">
        <f>IF(Settings!$M$4=Settings!$Y$3,IF($AA66=3,"P",""),IF($AA66=10,"P",""))</f>
        <v/>
      </c>
      <c r="P66" s="22"/>
      <c r="Q66" s="22"/>
      <c r="R66" s="374" t="e">
        <f>IF(INDEX(TblDatabase[Comment11],MATCH(1,INDEX(($L$4=ListEmployeeNamesInDatabase)*(C48=TblDatabase[Year]),0,1),0))="","",INDEX(TblDatabase[Comment11],MATCH(1,INDEX(($L$4=ListEmployeeNamesInDatabase)*(C48=TblDatabase[Year]),0,1),0)))</f>
        <v>#N/A</v>
      </c>
      <c r="S66" s="353"/>
      <c r="T66" s="353"/>
      <c r="U66" s="353"/>
      <c r="V66" s="353"/>
      <c r="W66" s="353"/>
      <c r="X66" s="353"/>
      <c r="Y66" s="354"/>
      <c r="Z66" s="149"/>
      <c r="AA66" s="151">
        <f>SUMIFS(TblDatabase[Competency11],ListEmployeeNamesInDatabase,$L$4,TblDatabase[Year],C48)</f>
        <v>0</v>
      </c>
      <c r="AB66" s="149"/>
      <c r="AC66" s="149"/>
      <c r="AD66" s="149"/>
      <c r="AE66" s="149"/>
      <c r="AF66" s="149"/>
    </row>
    <row r="67" spans="2:32" s="148" customFormat="1" ht="15" hidden="1" customHeight="1">
      <c r="B67" s="355" t="str">
        <f t="shared" si="0"/>
        <v/>
      </c>
      <c r="C67" s="356"/>
      <c r="D67" s="356"/>
      <c r="E67" s="357"/>
      <c r="F67" s="163" t="str">
        <f>IF(Settings!$M$4=Settings!$Y$3,IF($AA67=1,"P",""),IF($AA67=1,"P",""))</f>
        <v/>
      </c>
      <c r="G67" s="164" t="str">
        <f>IF(Settings!$M$4=Settings!$Y$3,IF($AA67=1,"P",""),IF($AA67=2,"P",""))</f>
        <v/>
      </c>
      <c r="H67" s="164" t="str">
        <f>IF(Settings!$M$4=Settings!$Y$3,IF($AA67=1,"P",""),IF($AA67=3,"P",""))</f>
        <v/>
      </c>
      <c r="I67" s="164" t="str">
        <f>IF(Settings!$M$4=Settings!$Y$3,IF($AA67=1,"P",""),IF($AA67=4,"P",""))</f>
        <v/>
      </c>
      <c r="J67" s="164" t="str">
        <f>IF(Settings!$M$4=Settings!$Y$3,IF($AA67=2,"P",""),IF($AA67=5,"P",""))</f>
        <v/>
      </c>
      <c r="K67" s="164" t="str">
        <f>IF(Settings!$M$4=Settings!$Y$3,IF($AA67=2,"P",""),IF($AA67=6,"P",""))</f>
        <v/>
      </c>
      <c r="L67" s="164" t="str">
        <f>IF(Settings!$M$4=Settings!$Y$3,IF($AA67=2,"P",""),IF($AA67=7,"P",""))</f>
        <v/>
      </c>
      <c r="M67" s="164" t="str">
        <f>IF(Settings!$M$4=Settings!$Y$3,IF($AA67=2,"P",""),IF($AA67=8,"P",""))</f>
        <v/>
      </c>
      <c r="N67" s="164" t="str">
        <f>IF(Settings!$M$4=Settings!$Y$3,IF($AA67=3,"P",""),IF($AA67=9,"P",""))</f>
        <v/>
      </c>
      <c r="O67" s="165" t="str">
        <f>IF(Settings!$M$4=Settings!$Y$3,IF($AA67=3,"P",""),IF($AA67=10,"P",""))</f>
        <v/>
      </c>
      <c r="P67" s="22"/>
      <c r="Q67" s="22"/>
      <c r="R67" s="360" t="e">
        <f>IF(INDEX(TblDatabase[Comment12],MATCH(1,INDEX(($L$4=ListEmployeeNamesInDatabase)*(C48=TblDatabase[Year]),0,1),0))="","",INDEX(TblDatabase[Comment12],MATCH(1,INDEX(($L$4=ListEmployeeNamesInDatabase)*(C48=TblDatabase[Year]),0,1),0)))</f>
        <v>#N/A</v>
      </c>
      <c r="S67" s="360"/>
      <c r="T67" s="360"/>
      <c r="U67" s="360"/>
      <c r="V67" s="360"/>
      <c r="W67" s="360"/>
      <c r="X67" s="360"/>
      <c r="Y67" s="361"/>
      <c r="Z67" s="149"/>
      <c r="AA67" s="151">
        <f>SUMIFS(TblDatabase[Competency12],ListEmployeeNamesInDatabase,$L$4,TblDatabase[Year],C48)</f>
        <v>0</v>
      </c>
      <c r="AB67" s="149"/>
      <c r="AC67" s="149"/>
      <c r="AD67" s="149"/>
      <c r="AE67" s="149"/>
      <c r="AF67" s="149"/>
    </row>
    <row r="68" spans="2:32" s="148" customFormat="1" ht="15" hidden="1" customHeight="1">
      <c r="B68" s="350" t="str">
        <f t="shared" si="0"/>
        <v/>
      </c>
      <c r="C68" s="351"/>
      <c r="D68" s="351"/>
      <c r="E68" s="352"/>
      <c r="F68" s="157" t="str">
        <f>IF(Settings!$M$4=Settings!$Y$3,IF($AA68=1,"P",""),IF($AA68=1,"P",""))</f>
        <v/>
      </c>
      <c r="G68" s="158" t="str">
        <f>IF(Settings!$M$4=Settings!$Y$3,IF($AA68=1,"P",""),IF($AA68=2,"P",""))</f>
        <v/>
      </c>
      <c r="H68" s="158" t="str">
        <f>IF(Settings!$M$4=Settings!$Y$3,IF($AA68=1,"P",""),IF($AA68=3,"P",""))</f>
        <v/>
      </c>
      <c r="I68" s="158" t="str">
        <f>IF(Settings!$M$4=Settings!$Y$3,IF($AA68=1,"P",""),IF($AA68=4,"P",""))</f>
        <v/>
      </c>
      <c r="J68" s="158" t="str">
        <f>IF(Settings!$M$4=Settings!$Y$3,IF($AA68=2,"P",""),IF($AA68=5,"P",""))</f>
        <v/>
      </c>
      <c r="K68" s="158" t="str">
        <f>IF(Settings!$M$4=Settings!$Y$3,IF($AA68=2,"P",""),IF($AA68=6,"P",""))</f>
        <v/>
      </c>
      <c r="L68" s="158" t="str">
        <f>IF(Settings!$M$4=Settings!$Y$3,IF($AA68=2,"P",""),IF($AA68=7,"P",""))</f>
        <v/>
      </c>
      <c r="M68" s="158" t="str">
        <f>IF(Settings!$M$4=Settings!$Y$3,IF($AA68=2,"P",""),IF($AA68=8,"P",""))</f>
        <v/>
      </c>
      <c r="N68" s="158" t="str">
        <f>IF(Settings!$M$4=Settings!$Y$3,IF($AA68=3,"P",""),IF($AA68=9,"P",""))</f>
        <v/>
      </c>
      <c r="O68" s="159" t="str">
        <f>IF(Settings!$M$4=Settings!$Y$3,IF($AA68=3,"P",""),IF($AA68=10,"P",""))</f>
        <v/>
      </c>
      <c r="P68" s="22"/>
      <c r="Q68" s="22"/>
      <c r="R68" s="353" t="e">
        <f>IF(INDEX(TblDatabase[Comment13],MATCH(1,INDEX(($L$4=ListEmployeeNamesInDatabase)*(C48=TblDatabase[Year]),0,1),0))="","",INDEX(TblDatabase[Comment13],MATCH(1,INDEX(($L$4=ListEmployeeNamesInDatabase)*(C48=TblDatabase[Year]),0,1),0)))</f>
        <v>#N/A</v>
      </c>
      <c r="S68" s="353"/>
      <c r="T68" s="353"/>
      <c r="U68" s="353"/>
      <c r="V68" s="353"/>
      <c r="W68" s="353"/>
      <c r="X68" s="353"/>
      <c r="Y68" s="354"/>
      <c r="Z68" s="149"/>
      <c r="AA68" s="151">
        <f>SUMIFS(TblDatabase[Competency13],ListEmployeeNamesInDatabase,$L$4,TblDatabase[Year],C48)</f>
        <v>0</v>
      </c>
      <c r="AB68" s="149"/>
      <c r="AC68" s="149"/>
      <c r="AD68" s="149"/>
      <c r="AE68" s="149"/>
      <c r="AF68" s="149"/>
    </row>
    <row r="69" spans="2:32" s="148" customFormat="1" ht="15" hidden="1" customHeight="1">
      <c r="B69" s="355" t="str">
        <f t="shared" si="0"/>
        <v/>
      </c>
      <c r="C69" s="356"/>
      <c r="D69" s="356"/>
      <c r="E69" s="357"/>
      <c r="F69" s="163" t="str">
        <f>IF(Settings!$M$4=Settings!$Y$3,IF($AA69=1,"P",""),IF($AA69=1,"P",""))</f>
        <v/>
      </c>
      <c r="G69" s="164" t="str">
        <f>IF(Settings!$M$4=Settings!$Y$3,IF($AA69=1,"P",""),IF($AA69=2,"P",""))</f>
        <v/>
      </c>
      <c r="H69" s="164" t="str">
        <f>IF(Settings!$M$4=Settings!$Y$3,IF($AA69=1,"P",""),IF($AA69=3,"P",""))</f>
        <v/>
      </c>
      <c r="I69" s="164" t="str">
        <f>IF(Settings!$M$4=Settings!$Y$3,IF($AA69=1,"P",""),IF($AA69=4,"P",""))</f>
        <v/>
      </c>
      <c r="J69" s="164" t="str">
        <f>IF(Settings!$M$4=Settings!$Y$3,IF($AA69=2,"P",""),IF($AA69=5,"P",""))</f>
        <v/>
      </c>
      <c r="K69" s="164" t="str">
        <f>IF(Settings!$M$4=Settings!$Y$3,IF($AA69=2,"P",""),IF($AA69=6,"P",""))</f>
        <v/>
      </c>
      <c r="L69" s="164" t="str">
        <f>IF(Settings!$M$4=Settings!$Y$3,IF($AA69=2,"P",""),IF($AA69=7,"P",""))</f>
        <v/>
      </c>
      <c r="M69" s="164" t="str">
        <f>IF(Settings!$M$4=Settings!$Y$3,IF($AA69=2,"P",""),IF($AA69=8,"P",""))</f>
        <v/>
      </c>
      <c r="N69" s="164" t="str">
        <f>IF(Settings!$M$4=Settings!$Y$3,IF($AA69=3,"P",""),IF($AA69=9,"P",""))</f>
        <v/>
      </c>
      <c r="O69" s="165" t="str">
        <f>IF(Settings!$M$4=Settings!$Y$3,IF($AA69=3,"P",""),IF($AA69=10,"P",""))</f>
        <v/>
      </c>
      <c r="P69" s="22"/>
      <c r="Q69" s="22"/>
      <c r="R69" s="360" t="e">
        <f>IF(INDEX(TblDatabase[Comment14],MATCH(1,INDEX(($L$4=ListEmployeeNamesInDatabase)*(C48=TblDatabase[Year]),0,1),0))="","",INDEX(TblDatabase[Comment14],MATCH(1,INDEX(($L$4=ListEmployeeNamesInDatabase)*(C48=TblDatabase[Year]),0,1),0)))</f>
        <v>#N/A</v>
      </c>
      <c r="S69" s="360"/>
      <c r="T69" s="360"/>
      <c r="U69" s="360"/>
      <c r="V69" s="360"/>
      <c r="W69" s="360"/>
      <c r="X69" s="360"/>
      <c r="Y69" s="361"/>
      <c r="Z69" s="149"/>
      <c r="AA69" s="151">
        <f>SUMIFS(TblDatabase[Competency14],ListEmployeeNamesInDatabase,$L$4,TblDatabase[Year],C48)</f>
        <v>0</v>
      </c>
      <c r="AB69" s="149"/>
      <c r="AC69" s="149"/>
      <c r="AD69" s="149"/>
      <c r="AE69" s="149"/>
      <c r="AF69" s="149"/>
    </row>
    <row r="70" spans="2:32" s="148" customFormat="1" ht="15" hidden="1" customHeight="1">
      <c r="B70" s="350" t="str">
        <f t="shared" si="0"/>
        <v/>
      </c>
      <c r="C70" s="351"/>
      <c r="D70" s="351"/>
      <c r="E70" s="352"/>
      <c r="F70" s="157" t="str">
        <f>IF(Settings!$M$4=Settings!$Y$3,IF($AA70=1,"P",""),IF($AA70=1,"P",""))</f>
        <v/>
      </c>
      <c r="G70" s="158" t="str">
        <f>IF(Settings!$M$4=Settings!$Y$3,IF($AA70=1,"P",""),IF($AA70=2,"P",""))</f>
        <v/>
      </c>
      <c r="H70" s="158" t="str">
        <f>IF(Settings!$M$4=Settings!$Y$3,IF($AA70=1,"P",""),IF($AA70=3,"P",""))</f>
        <v/>
      </c>
      <c r="I70" s="158" t="str">
        <f>IF(Settings!$M$4=Settings!$Y$3,IF($AA70=1,"P",""),IF($AA70=4,"P",""))</f>
        <v/>
      </c>
      <c r="J70" s="158" t="str">
        <f>IF(Settings!$M$4=Settings!$Y$3,IF($AA70=2,"P",""),IF($AA70=5,"P",""))</f>
        <v/>
      </c>
      <c r="K70" s="158" t="str">
        <f>IF(Settings!$M$4=Settings!$Y$3,IF($AA70=2,"P",""),IF($AA70=6,"P",""))</f>
        <v/>
      </c>
      <c r="L70" s="158" t="str">
        <f>IF(Settings!$M$4=Settings!$Y$3,IF($AA70=2,"P",""),IF($AA70=7,"P",""))</f>
        <v/>
      </c>
      <c r="M70" s="158" t="str">
        <f>IF(Settings!$M$4=Settings!$Y$3,IF($AA70=2,"P",""),IF($AA70=8,"P",""))</f>
        <v/>
      </c>
      <c r="N70" s="158" t="str">
        <f>IF(Settings!$M$4=Settings!$Y$3,IF($AA70=3,"P",""),IF($AA70=9,"P",""))</f>
        <v/>
      </c>
      <c r="O70" s="159" t="str">
        <f>IF(Settings!$M$4=Settings!$Y$3,IF($AA70=3,"P",""),IF($AA70=10,"P",""))</f>
        <v/>
      </c>
      <c r="P70" s="22"/>
      <c r="Q70" s="22"/>
      <c r="R70" s="353" t="e">
        <f>IF(INDEX(TblDatabase[Comment15],MATCH(1,INDEX(($L$4=ListEmployeeNamesInDatabase)*(C48=TblDatabase[Year]),0,1),0))="","",INDEX(TblDatabase[Comment15],MATCH(1,INDEX(($L$4=ListEmployeeNamesInDatabase)*(C48=TblDatabase[Year]),0,1),0)))</f>
        <v>#N/A</v>
      </c>
      <c r="S70" s="353"/>
      <c r="T70" s="353"/>
      <c r="U70" s="353"/>
      <c r="V70" s="353"/>
      <c r="W70" s="353"/>
      <c r="X70" s="353"/>
      <c r="Y70" s="354"/>
      <c r="Z70" s="149"/>
      <c r="AA70" s="151">
        <f>SUMIFS(TblDatabase[Competency15],ListEmployeeNamesInDatabase,$L$4,TblDatabase[Year],C48)</f>
        <v>0</v>
      </c>
      <c r="AB70" s="149"/>
      <c r="AC70" s="149"/>
      <c r="AD70" s="149"/>
      <c r="AE70" s="149"/>
      <c r="AF70" s="149"/>
    </row>
    <row r="71" spans="2:32" s="148" customFormat="1" ht="15" hidden="1" customHeight="1">
      <c r="B71" s="355" t="str">
        <f t="shared" si="0"/>
        <v/>
      </c>
      <c r="C71" s="356"/>
      <c r="D71" s="356"/>
      <c r="E71" s="357"/>
      <c r="F71" s="163" t="str">
        <f>IF(Settings!$M$4=Settings!$Y$3,IF($AA71=1,"P",""),IF($AA71=1,"P",""))</f>
        <v/>
      </c>
      <c r="G71" s="164" t="str">
        <f>IF(Settings!$M$4=Settings!$Y$3,IF($AA71=1,"P",""),IF($AA71=2,"P",""))</f>
        <v/>
      </c>
      <c r="H71" s="164" t="str">
        <f>IF(Settings!$M$4=Settings!$Y$3,IF($AA71=1,"P",""),IF($AA71=3,"P",""))</f>
        <v/>
      </c>
      <c r="I71" s="164" t="str">
        <f>IF(Settings!$M$4=Settings!$Y$3,IF($AA71=1,"P",""),IF($AA71=4,"P",""))</f>
        <v/>
      </c>
      <c r="J71" s="164" t="str">
        <f>IF(Settings!$M$4=Settings!$Y$3,IF($AA71=2,"P",""),IF($AA71=5,"P",""))</f>
        <v/>
      </c>
      <c r="K71" s="164" t="str">
        <f>IF(Settings!$M$4=Settings!$Y$3,IF($AA71=2,"P",""),IF($AA71=6,"P",""))</f>
        <v/>
      </c>
      <c r="L71" s="164" t="str">
        <f>IF(Settings!$M$4=Settings!$Y$3,IF($AA71=2,"P",""),IF($AA71=7,"P",""))</f>
        <v/>
      </c>
      <c r="M71" s="164" t="str">
        <f>IF(Settings!$M$4=Settings!$Y$3,IF($AA71=2,"P",""),IF($AA71=8,"P",""))</f>
        <v/>
      </c>
      <c r="N71" s="164" t="str">
        <f>IF(Settings!$M$4=Settings!$Y$3,IF($AA71=3,"P",""),IF($AA71=9,"P",""))</f>
        <v/>
      </c>
      <c r="O71" s="165" t="str">
        <f>IF(Settings!$M$4=Settings!$Y$3,IF($AA71=3,"P",""),IF($AA71=10,"P",""))</f>
        <v/>
      </c>
      <c r="P71" s="22"/>
      <c r="Q71" s="22"/>
      <c r="R71" s="360" t="e">
        <f>IF(INDEX(TblDatabase[Comment16],MATCH(1,INDEX(($L$4=ListEmployeeNamesInDatabase)*(C48=TblDatabase[Year]),0,1),0))="","",INDEX(TblDatabase[Comment16],MATCH(1,INDEX(($L$4=ListEmployeeNamesInDatabase)*(C48=TblDatabase[Year]),0,1),0)))</f>
        <v>#N/A</v>
      </c>
      <c r="S71" s="360"/>
      <c r="T71" s="360"/>
      <c r="U71" s="360"/>
      <c r="V71" s="360"/>
      <c r="W71" s="360"/>
      <c r="X71" s="360"/>
      <c r="Y71" s="361"/>
      <c r="Z71" s="149"/>
      <c r="AA71" s="151">
        <f>SUMIFS(TblDatabase[Competency16],ListEmployeeNamesInDatabase,$L$4,TblDatabase[Year],C48)</f>
        <v>0</v>
      </c>
      <c r="AB71" s="149"/>
      <c r="AC71" s="149"/>
      <c r="AD71" s="149"/>
      <c r="AE71" s="149"/>
      <c r="AF71" s="149"/>
    </row>
    <row r="72" spans="2:32" s="148" customFormat="1" ht="15" hidden="1" customHeight="1">
      <c r="B72" s="350" t="str">
        <f t="shared" si="0"/>
        <v/>
      </c>
      <c r="C72" s="351"/>
      <c r="D72" s="351"/>
      <c r="E72" s="352"/>
      <c r="F72" s="157" t="str">
        <f>IF(Settings!$M$4=Settings!$Y$3,IF($AA72=1,"P",""),IF($AA72=1,"P",""))</f>
        <v/>
      </c>
      <c r="G72" s="158" t="str">
        <f>IF(Settings!$M$4=Settings!$Y$3,IF($AA72=1,"P",""),IF($AA72=2,"P",""))</f>
        <v/>
      </c>
      <c r="H72" s="158" t="str">
        <f>IF(Settings!$M$4=Settings!$Y$3,IF($AA72=1,"P",""),IF($AA72=3,"P",""))</f>
        <v/>
      </c>
      <c r="I72" s="158" t="str">
        <f>IF(Settings!$M$4=Settings!$Y$3,IF($AA72=1,"P",""),IF($AA72=4,"P",""))</f>
        <v/>
      </c>
      <c r="J72" s="158" t="str">
        <f>IF(Settings!$M$4=Settings!$Y$3,IF($AA72=2,"P",""),IF($AA72=5,"P",""))</f>
        <v/>
      </c>
      <c r="K72" s="158" t="str">
        <f>IF(Settings!$M$4=Settings!$Y$3,IF($AA72=2,"P",""),IF($AA72=6,"P",""))</f>
        <v/>
      </c>
      <c r="L72" s="158" t="str">
        <f>IF(Settings!$M$4=Settings!$Y$3,IF($AA72=2,"P",""),IF($AA72=7,"P",""))</f>
        <v/>
      </c>
      <c r="M72" s="158" t="str">
        <f>IF(Settings!$M$4=Settings!$Y$3,IF($AA72=2,"P",""),IF($AA72=8,"P",""))</f>
        <v/>
      </c>
      <c r="N72" s="158" t="str">
        <f>IF(Settings!$M$4=Settings!$Y$3,IF($AA72=3,"P",""),IF($AA72=9,"P",""))</f>
        <v/>
      </c>
      <c r="O72" s="159" t="str">
        <f>IF(Settings!$M$4=Settings!$Y$3,IF($AA72=3,"P",""),IF($AA72=10,"P",""))</f>
        <v/>
      </c>
      <c r="P72" s="22"/>
      <c r="Q72" s="22"/>
      <c r="R72" s="353" t="e">
        <f>IF(INDEX(TblDatabase[Comment17],MATCH(1,INDEX(($L$4=ListEmployeeNamesInDatabase)*(C48=TblDatabase[Year]),0,1),0))="","",INDEX(TblDatabase[Comment17],MATCH(1,INDEX(($L$4=ListEmployeeNamesInDatabase)*(C48=TblDatabase[Year]),0,1),0)))</f>
        <v>#N/A</v>
      </c>
      <c r="S72" s="353"/>
      <c r="T72" s="353"/>
      <c r="U72" s="353"/>
      <c r="V72" s="353"/>
      <c r="W72" s="353"/>
      <c r="X72" s="353"/>
      <c r="Y72" s="354"/>
      <c r="Z72" s="149"/>
      <c r="AA72" s="151">
        <f>SUMIFS(TblDatabase[Competency17],ListEmployeeNamesInDatabase,$L$4,TblDatabase[Year],C48)</f>
        <v>0</v>
      </c>
      <c r="AB72" s="149"/>
      <c r="AC72" s="149"/>
      <c r="AD72" s="149"/>
      <c r="AE72" s="149"/>
      <c r="AF72" s="149"/>
    </row>
    <row r="73" spans="2:32" s="148" customFormat="1" ht="15" hidden="1" customHeight="1">
      <c r="B73" s="355" t="str">
        <f t="shared" si="0"/>
        <v/>
      </c>
      <c r="C73" s="356"/>
      <c r="D73" s="356"/>
      <c r="E73" s="357"/>
      <c r="F73" s="163" t="str">
        <f>IF(Settings!$M$4=Settings!$Y$3,IF($AA73=1,"P",""),IF($AA73=1,"P",""))</f>
        <v/>
      </c>
      <c r="G73" s="164" t="str">
        <f>IF(Settings!$M$4=Settings!$Y$3,IF($AA73=1,"P",""),IF($AA73=2,"P",""))</f>
        <v/>
      </c>
      <c r="H73" s="164" t="str">
        <f>IF(Settings!$M$4=Settings!$Y$3,IF($AA73=1,"P",""),IF($AA73=3,"P",""))</f>
        <v/>
      </c>
      <c r="I73" s="164" t="str">
        <f>IF(Settings!$M$4=Settings!$Y$3,IF($AA73=1,"P",""),IF($AA73=4,"P",""))</f>
        <v/>
      </c>
      <c r="J73" s="164" t="str">
        <f>IF(Settings!$M$4=Settings!$Y$3,IF($AA73=2,"P",""),IF($AA73=5,"P",""))</f>
        <v/>
      </c>
      <c r="K73" s="164" t="str">
        <f>IF(Settings!$M$4=Settings!$Y$3,IF($AA73=2,"P",""),IF($AA73=6,"P",""))</f>
        <v/>
      </c>
      <c r="L73" s="164" t="str">
        <f>IF(Settings!$M$4=Settings!$Y$3,IF($AA73=2,"P",""),IF($AA73=7,"P",""))</f>
        <v/>
      </c>
      <c r="M73" s="164" t="str">
        <f>IF(Settings!$M$4=Settings!$Y$3,IF($AA73=2,"P",""),IF($AA73=8,"P",""))</f>
        <v/>
      </c>
      <c r="N73" s="164" t="str">
        <f>IF(Settings!$M$4=Settings!$Y$3,IF($AA73=3,"P",""),IF($AA73=9,"P",""))</f>
        <v/>
      </c>
      <c r="O73" s="165" t="str">
        <f>IF(Settings!$M$4=Settings!$Y$3,IF($AA73=3,"P",""),IF($AA73=10,"P",""))</f>
        <v/>
      </c>
      <c r="P73" s="22"/>
      <c r="Q73" s="22"/>
      <c r="R73" s="360" t="e">
        <f>IF(INDEX(TblDatabase[Comment18],MATCH(1,INDEX(($L$4=ListEmployeeNamesInDatabase)*(C48=TblDatabase[Year]),0,1),0))="","",INDEX(TblDatabase[Comment18],MATCH(1,INDEX(($L$4=ListEmployeeNamesInDatabase)*(C48=TblDatabase[Year]),0,1),0)))</f>
        <v>#N/A</v>
      </c>
      <c r="S73" s="360"/>
      <c r="T73" s="360"/>
      <c r="U73" s="360"/>
      <c r="V73" s="360"/>
      <c r="W73" s="360"/>
      <c r="X73" s="360"/>
      <c r="Y73" s="361"/>
      <c r="Z73" s="149"/>
      <c r="AA73" s="151">
        <f>SUMIFS(TblDatabase[Competency18],ListEmployeeNamesInDatabase,$L$4,TblDatabase[Year],C48)</f>
        <v>0</v>
      </c>
      <c r="AB73" s="149"/>
      <c r="AC73" s="149"/>
      <c r="AD73" s="149"/>
      <c r="AE73" s="149"/>
      <c r="AF73" s="149"/>
    </row>
    <row r="74" spans="2:32" s="148" customFormat="1" ht="15" hidden="1" customHeight="1">
      <c r="B74" s="350" t="str">
        <f t="shared" si="0"/>
        <v/>
      </c>
      <c r="C74" s="351"/>
      <c r="D74" s="351"/>
      <c r="E74" s="352"/>
      <c r="F74" s="157" t="str">
        <f>IF(Settings!$M$4=Settings!$Y$3,IF($AA74=1,"P",""),IF($AA74=1,"P",""))</f>
        <v/>
      </c>
      <c r="G74" s="158" t="str">
        <f>IF(Settings!$M$4=Settings!$Y$3,IF($AA74=1,"P",""),IF($AA74=2,"P",""))</f>
        <v/>
      </c>
      <c r="H74" s="158" t="str">
        <f>IF(Settings!$M$4=Settings!$Y$3,IF($AA74=1,"P",""),IF($AA74=3,"P",""))</f>
        <v/>
      </c>
      <c r="I74" s="158" t="str">
        <f>IF(Settings!$M$4=Settings!$Y$3,IF($AA74=1,"P",""),IF($AA74=4,"P",""))</f>
        <v/>
      </c>
      <c r="J74" s="158" t="str">
        <f>IF(Settings!$M$4=Settings!$Y$3,IF($AA74=2,"P",""),IF($AA74=5,"P",""))</f>
        <v/>
      </c>
      <c r="K74" s="158" t="str">
        <f>IF(Settings!$M$4=Settings!$Y$3,IF($AA74=2,"P",""),IF($AA74=6,"P",""))</f>
        <v/>
      </c>
      <c r="L74" s="158" t="str">
        <f>IF(Settings!$M$4=Settings!$Y$3,IF($AA74=2,"P",""),IF($AA74=7,"P",""))</f>
        <v/>
      </c>
      <c r="M74" s="158" t="str">
        <f>IF(Settings!$M$4=Settings!$Y$3,IF($AA74=2,"P",""),IF($AA74=8,"P",""))</f>
        <v/>
      </c>
      <c r="N74" s="158" t="str">
        <f>IF(Settings!$M$4=Settings!$Y$3,IF($AA74=3,"P",""),IF($AA74=9,"P",""))</f>
        <v/>
      </c>
      <c r="O74" s="159" t="str">
        <f>IF(Settings!$M$4=Settings!$Y$3,IF($AA74=3,"P",""),IF($AA74=10,"P",""))</f>
        <v/>
      </c>
      <c r="P74" s="22"/>
      <c r="Q74" s="22"/>
      <c r="R74" s="353" t="e">
        <f>IF(INDEX(TblDatabase[Comment19],MATCH(1,INDEX(($L$4=ListEmployeeNamesInDatabase)*(C48=TblDatabase[Year]),0,1),0))="","",INDEX(TblDatabase[Comment19],MATCH(1,INDEX(($L$4=ListEmployeeNamesInDatabase)*(C48=TblDatabase[Year]),0,1),0)))</f>
        <v>#N/A</v>
      </c>
      <c r="S74" s="353"/>
      <c r="T74" s="353"/>
      <c r="U74" s="353"/>
      <c r="V74" s="353"/>
      <c r="W74" s="353"/>
      <c r="X74" s="353"/>
      <c r="Y74" s="354"/>
      <c r="Z74" s="149"/>
      <c r="AA74" s="151">
        <f>SUMIFS(TblDatabase[Competency19],ListEmployeeNamesInDatabase,$L$4,TblDatabase[Year],C48)</f>
        <v>0</v>
      </c>
      <c r="AB74" s="149"/>
      <c r="AC74" s="149"/>
      <c r="AD74" s="149"/>
      <c r="AE74" s="149"/>
      <c r="AF74" s="149"/>
    </row>
    <row r="75" spans="2:32" s="148" customFormat="1" ht="15" hidden="1" customHeight="1">
      <c r="B75" s="362" t="str">
        <f t="shared" si="0"/>
        <v/>
      </c>
      <c r="C75" s="363"/>
      <c r="D75" s="363"/>
      <c r="E75" s="364"/>
      <c r="F75" s="166" t="str">
        <f>IF(Settings!$M$4=Settings!$Y$3,IF($AA75=1,"P",""),IF($AA75=1,"P",""))</f>
        <v/>
      </c>
      <c r="G75" s="167" t="str">
        <f>IF(Settings!$M$4=Settings!$Y$3,IF($AA75=1,"P",""),IF($AA75=2,"P",""))</f>
        <v/>
      </c>
      <c r="H75" s="167" t="str">
        <f>IF(Settings!$M$4=Settings!$Y$3,IF($AA75=1,"P",""),IF($AA75=3,"P",""))</f>
        <v/>
      </c>
      <c r="I75" s="167" t="str">
        <f>IF(Settings!$M$4=Settings!$Y$3,IF($AA75=1,"P",""),IF($AA75=4,"P",""))</f>
        <v/>
      </c>
      <c r="J75" s="167" t="str">
        <f>IF(Settings!$M$4=Settings!$Y$3,IF($AA75=2,"P",""),IF($AA75=5,"P",""))</f>
        <v/>
      </c>
      <c r="K75" s="167" t="str">
        <f>IF(Settings!$M$4=Settings!$Y$3,IF($AA75=2,"P",""),IF($AA75=6,"P",""))</f>
        <v/>
      </c>
      <c r="L75" s="167" t="str">
        <f>IF(Settings!$M$4=Settings!$Y$3,IF($AA75=2,"P",""),IF($AA75=7,"P",""))</f>
        <v/>
      </c>
      <c r="M75" s="167" t="str">
        <f>IF(Settings!$M$4=Settings!$Y$3,IF($AA75=2,"P",""),IF($AA75=8,"P",""))</f>
        <v/>
      </c>
      <c r="N75" s="167" t="str">
        <f>IF(Settings!$M$4=Settings!$Y$3,IF($AA75=3,"P",""),IF($AA75=9,"P",""))</f>
        <v/>
      </c>
      <c r="O75" s="168" t="str">
        <f>IF(Settings!$M$4=Settings!$Y$3,IF($AA75=3,"P",""),IF($AA75=10,"P",""))</f>
        <v/>
      </c>
      <c r="P75" s="22"/>
      <c r="Q75" s="22"/>
      <c r="R75" s="365" t="e">
        <f>IF(INDEX(TblDatabase[Comment20],MATCH(1,INDEX(($L$4=ListEmployeeNamesInDatabase)*(C48=TblDatabase[Year]),0,1),0))="","",INDEX(TblDatabase[Comment20],MATCH(1,INDEX(($L$4=ListEmployeeNamesInDatabase)*(C48=TblDatabase[Year]),0,1),0)))</f>
        <v>#N/A</v>
      </c>
      <c r="S75" s="365"/>
      <c r="T75" s="365"/>
      <c r="U75" s="365"/>
      <c r="V75" s="365"/>
      <c r="W75" s="365"/>
      <c r="X75" s="365"/>
      <c r="Y75" s="366"/>
      <c r="Z75" s="149"/>
      <c r="AA75" s="151">
        <f>SUMIFS(TblDatabase[Competency20],ListEmployeeNamesInDatabase,$L$4,TblDatabase[Year],C48)</f>
        <v>0</v>
      </c>
      <c r="AB75" s="149"/>
      <c r="AC75" s="149"/>
      <c r="AD75" s="149"/>
      <c r="AE75" s="149"/>
      <c r="AF75" s="149"/>
    </row>
    <row r="76" spans="2:32" s="148" customFormat="1" hidden="1">
      <c r="B76" s="414" t="s">
        <v>26</v>
      </c>
      <c r="C76" s="415"/>
      <c r="D76" s="415"/>
      <c r="E76" s="371">
        <f ca="1">SUM(OFFSET(AA56,0,0,NumberOfCompetencies))</f>
        <v>0</v>
      </c>
      <c r="F76" s="372"/>
      <c r="G76" s="152"/>
      <c r="H76" s="152"/>
      <c r="I76" s="152"/>
      <c r="J76" s="152"/>
      <c r="K76" s="152"/>
      <c r="L76" s="152"/>
      <c r="M76" s="152"/>
      <c r="N76" s="152"/>
      <c r="O76" s="152"/>
      <c r="P76" s="152"/>
      <c r="Q76" s="152"/>
      <c r="R76" s="152"/>
      <c r="S76" s="152"/>
      <c r="T76" s="152"/>
      <c r="U76" s="152"/>
      <c r="V76" s="152"/>
      <c r="W76" s="152"/>
      <c r="X76" s="152"/>
      <c r="Y76" s="152"/>
      <c r="Z76" s="149"/>
      <c r="AA76" s="149"/>
      <c r="AB76" s="149"/>
      <c r="AC76" s="149"/>
      <c r="AD76" s="149"/>
      <c r="AE76" s="149"/>
      <c r="AF76" s="149"/>
    </row>
    <row r="77" spans="2:32" s="148" customFormat="1" hidden="1">
      <c r="B77" s="369" t="s">
        <v>27</v>
      </c>
      <c r="C77" s="370"/>
      <c r="D77" s="370"/>
      <c r="E77" s="358">
        <f ca="1">E76/NumberOfCompetencies</f>
        <v>0</v>
      </c>
      <c r="F77" s="359"/>
      <c r="G77" s="153"/>
      <c r="H77" s="153"/>
      <c r="I77" s="153"/>
      <c r="J77" s="153"/>
      <c r="K77" s="153"/>
      <c r="L77" s="153"/>
      <c r="M77" s="153"/>
      <c r="N77" s="153"/>
      <c r="O77" s="153"/>
      <c r="P77" s="153"/>
      <c r="Q77" s="153"/>
      <c r="R77" s="153"/>
      <c r="S77" s="153"/>
      <c r="T77" s="153"/>
      <c r="U77" s="153"/>
      <c r="V77" s="153"/>
      <c r="W77" s="153"/>
      <c r="X77" s="153"/>
      <c r="Y77" s="153"/>
      <c r="Z77" s="149"/>
      <c r="AA77" s="149"/>
      <c r="AB77" s="149"/>
      <c r="AC77" s="149"/>
      <c r="AD77" s="149"/>
      <c r="AE77" s="149"/>
      <c r="AF77" s="149"/>
    </row>
    <row r="78" spans="2:32" s="148" customFormat="1" hidden="1">
      <c r="B78" s="154"/>
      <c r="C78" s="154"/>
      <c r="D78" s="154"/>
      <c r="E78" s="154"/>
      <c r="F78" s="154"/>
      <c r="G78" s="154"/>
      <c r="H78" s="154"/>
      <c r="I78" s="154"/>
      <c r="J78" s="154"/>
      <c r="K78" s="154"/>
      <c r="L78" s="154"/>
      <c r="M78" s="154"/>
      <c r="N78" s="154"/>
      <c r="O78" s="154"/>
      <c r="P78" s="154"/>
      <c r="Q78" s="154"/>
      <c r="R78" s="154"/>
      <c r="S78" s="154"/>
      <c r="T78" s="154"/>
      <c r="U78" s="154"/>
      <c r="V78" s="154"/>
      <c r="W78" s="154"/>
      <c r="X78" s="154"/>
      <c r="Y78" s="154"/>
      <c r="Z78" s="149"/>
      <c r="AA78" s="149"/>
      <c r="AB78" s="149"/>
      <c r="AC78" s="149"/>
      <c r="AD78" s="149"/>
      <c r="AE78" s="149"/>
      <c r="AF78" s="149"/>
    </row>
    <row r="79" spans="2:32" s="148" customFormat="1" hidden="1">
      <c r="B79" s="338" t="str">
        <f>Settings!$N$15</f>
        <v>Previously agreed actions</v>
      </c>
      <c r="C79" s="339"/>
      <c r="D79" s="339"/>
      <c r="E79" s="339"/>
      <c r="F79" s="339"/>
      <c r="G79" s="339"/>
      <c r="H79" s="339"/>
      <c r="I79" s="339"/>
      <c r="J79" s="339"/>
      <c r="K79" s="339"/>
      <c r="L79" s="339"/>
      <c r="M79" s="339"/>
      <c r="N79" s="339"/>
      <c r="O79" s="339"/>
      <c r="P79" s="339"/>
      <c r="Q79" s="339"/>
      <c r="R79" s="339"/>
      <c r="S79" s="339"/>
      <c r="T79" s="339"/>
      <c r="U79" s="339"/>
      <c r="V79" s="339"/>
      <c r="W79" s="339"/>
      <c r="X79" s="339"/>
      <c r="Y79" s="340"/>
      <c r="Z79" s="149"/>
      <c r="AA79" s="149"/>
      <c r="AB79" s="149"/>
      <c r="AC79" s="149"/>
      <c r="AD79" s="149"/>
      <c r="AE79" s="149"/>
      <c r="AF79" s="149"/>
    </row>
    <row r="80" spans="2:32" s="148" customFormat="1" hidden="1">
      <c r="B80" s="341" t="e">
        <f>IF(INDEX(TblDatabase[Feedback Does Well],MATCH(1,INDEX(($L$4=ListEmployeeNamesInDatabase)*(C48=TblDatabase[Year]),0,1),0))="","",INDEX(TblDatabase[Feedback Does Well],MATCH(1,INDEX(($L$4=ListEmployeeNamesInDatabase)*(C48=TblDatabase[Year]),0,1),0)))</f>
        <v>#N/A</v>
      </c>
      <c r="C80" s="342"/>
      <c r="D80" s="342"/>
      <c r="E80" s="342"/>
      <c r="F80" s="342"/>
      <c r="G80" s="342"/>
      <c r="H80" s="342"/>
      <c r="I80" s="342"/>
      <c r="J80" s="342"/>
      <c r="K80" s="342"/>
      <c r="L80" s="342"/>
      <c r="M80" s="342"/>
      <c r="N80" s="342"/>
      <c r="O80" s="342"/>
      <c r="P80" s="342"/>
      <c r="Q80" s="342"/>
      <c r="R80" s="342"/>
      <c r="S80" s="342"/>
      <c r="T80" s="342"/>
      <c r="U80" s="342"/>
      <c r="V80" s="342"/>
      <c r="W80" s="342"/>
      <c r="X80" s="342"/>
      <c r="Y80" s="343"/>
      <c r="Z80" s="149"/>
      <c r="AA80" s="149"/>
      <c r="AB80" s="149"/>
      <c r="AC80" s="149"/>
      <c r="AD80" s="149"/>
      <c r="AE80" s="149"/>
      <c r="AF80" s="149"/>
    </row>
    <row r="81" spans="1:32" s="148" customFormat="1" hidden="1">
      <c r="B81" s="344"/>
      <c r="C81" s="345"/>
      <c r="D81" s="345"/>
      <c r="E81" s="345"/>
      <c r="F81" s="345"/>
      <c r="G81" s="345"/>
      <c r="H81" s="345"/>
      <c r="I81" s="345"/>
      <c r="J81" s="345"/>
      <c r="K81" s="345"/>
      <c r="L81" s="345"/>
      <c r="M81" s="345"/>
      <c r="N81" s="345"/>
      <c r="O81" s="345"/>
      <c r="P81" s="345"/>
      <c r="Q81" s="345"/>
      <c r="R81" s="345"/>
      <c r="S81" s="345"/>
      <c r="T81" s="345"/>
      <c r="U81" s="345"/>
      <c r="V81" s="345"/>
      <c r="W81" s="345"/>
      <c r="X81" s="345"/>
      <c r="Y81" s="346"/>
      <c r="Z81" s="149"/>
      <c r="AA81" s="149"/>
      <c r="AB81" s="149"/>
      <c r="AC81" s="149"/>
      <c r="AD81" s="149"/>
      <c r="AE81" s="149"/>
      <c r="AF81" s="149"/>
    </row>
    <row r="82" spans="1:32" s="148" customFormat="1" hidden="1">
      <c r="B82" s="347"/>
      <c r="C82" s="348"/>
      <c r="D82" s="348"/>
      <c r="E82" s="348"/>
      <c r="F82" s="348"/>
      <c r="G82" s="348"/>
      <c r="H82" s="348"/>
      <c r="I82" s="348"/>
      <c r="J82" s="348"/>
      <c r="K82" s="348"/>
      <c r="L82" s="348"/>
      <c r="M82" s="348"/>
      <c r="N82" s="348"/>
      <c r="O82" s="348"/>
      <c r="P82" s="348"/>
      <c r="Q82" s="348"/>
      <c r="R82" s="348"/>
      <c r="S82" s="348"/>
      <c r="T82" s="348"/>
      <c r="U82" s="348"/>
      <c r="V82" s="348"/>
      <c r="W82" s="348"/>
      <c r="X82" s="348"/>
      <c r="Y82" s="349"/>
      <c r="Z82" s="149"/>
      <c r="AA82" s="149"/>
      <c r="AB82" s="149"/>
      <c r="AC82" s="149"/>
      <c r="AD82" s="149"/>
      <c r="AE82" s="149"/>
      <c r="AF82" s="149"/>
    </row>
    <row r="83" spans="1:32" s="148" customFormat="1" hidden="1">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49"/>
      <c r="AA83" s="149"/>
      <c r="AB83" s="149"/>
      <c r="AC83" s="149"/>
      <c r="AD83" s="149"/>
      <c r="AE83" s="149"/>
      <c r="AF83" s="149"/>
    </row>
    <row r="84" spans="1:32" s="148" customFormat="1" hidden="1">
      <c r="B84" s="338" t="str">
        <f>Settings!$N$16</f>
        <v>Actions agreed during this review</v>
      </c>
      <c r="C84" s="339"/>
      <c r="D84" s="339"/>
      <c r="E84" s="339"/>
      <c r="F84" s="339"/>
      <c r="G84" s="339"/>
      <c r="H84" s="339"/>
      <c r="I84" s="339"/>
      <c r="J84" s="339"/>
      <c r="K84" s="339"/>
      <c r="L84" s="339"/>
      <c r="M84" s="339"/>
      <c r="N84" s="339"/>
      <c r="O84" s="339"/>
      <c r="P84" s="339"/>
      <c r="Q84" s="339"/>
      <c r="R84" s="339"/>
      <c r="S84" s="339"/>
      <c r="T84" s="339"/>
      <c r="U84" s="339"/>
      <c r="V84" s="339"/>
      <c r="W84" s="339"/>
      <c r="X84" s="339"/>
      <c r="Y84" s="340"/>
      <c r="Z84" s="149"/>
      <c r="AA84" s="149"/>
      <c r="AB84" s="149"/>
      <c r="AC84" s="149"/>
      <c r="AD84" s="149"/>
      <c r="AE84" s="149"/>
      <c r="AF84" s="149"/>
    </row>
    <row r="85" spans="1:32" s="148" customFormat="1" hidden="1">
      <c r="B85" s="341" t="e">
        <f>IF(INDEX(TblDatabase[Feedback To Improve],MATCH(1,INDEX(($L$4=ListEmployeeNamesInDatabase)*(C48=TblDatabase[Year]),0,1),0))="","",INDEX(TblDatabase[Feedback To Improve],MATCH(1,INDEX(($L$4=ListEmployeeNamesInDatabase)*(C48=TblDatabase[Year]),0,1),0)))</f>
        <v>#N/A</v>
      </c>
      <c r="C85" s="342"/>
      <c r="D85" s="342"/>
      <c r="E85" s="342"/>
      <c r="F85" s="342"/>
      <c r="G85" s="342"/>
      <c r="H85" s="342"/>
      <c r="I85" s="342"/>
      <c r="J85" s="342"/>
      <c r="K85" s="342"/>
      <c r="L85" s="342"/>
      <c r="M85" s="342"/>
      <c r="N85" s="342"/>
      <c r="O85" s="342"/>
      <c r="P85" s="342"/>
      <c r="Q85" s="342"/>
      <c r="R85" s="342"/>
      <c r="S85" s="342"/>
      <c r="T85" s="342"/>
      <c r="U85" s="342"/>
      <c r="V85" s="342"/>
      <c r="W85" s="342"/>
      <c r="X85" s="342"/>
      <c r="Y85" s="343"/>
      <c r="Z85" s="149"/>
      <c r="AA85" s="149"/>
      <c r="AB85" s="149"/>
      <c r="AC85" s="149"/>
      <c r="AD85" s="149"/>
      <c r="AE85" s="149"/>
      <c r="AF85" s="149"/>
    </row>
    <row r="86" spans="1:32" s="148" customFormat="1" hidden="1">
      <c r="B86" s="344"/>
      <c r="C86" s="345"/>
      <c r="D86" s="345"/>
      <c r="E86" s="345"/>
      <c r="F86" s="345"/>
      <c r="G86" s="345"/>
      <c r="H86" s="345"/>
      <c r="I86" s="345"/>
      <c r="J86" s="345"/>
      <c r="K86" s="345"/>
      <c r="L86" s="345"/>
      <c r="M86" s="345"/>
      <c r="N86" s="345"/>
      <c r="O86" s="345"/>
      <c r="P86" s="345"/>
      <c r="Q86" s="345"/>
      <c r="R86" s="345"/>
      <c r="S86" s="345"/>
      <c r="T86" s="345"/>
      <c r="U86" s="345"/>
      <c r="V86" s="345"/>
      <c r="W86" s="345"/>
      <c r="X86" s="345"/>
      <c r="Y86" s="346"/>
      <c r="Z86" s="149"/>
      <c r="AA86" s="149"/>
      <c r="AB86" s="149"/>
      <c r="AC86" s="149"/>
      <c r="AD86" s="149"/>
      <c r="AE86" s="149"/>
      <c r="AF86" s="149"/>
    </row>
    <row r="87" spans="1:32" s="148" customFormat="1" hidden="1">
      <c r="B87" s="347"/>
      <c r="C87" s="348"/>
      <c r="D87" s="348"/>
      <c r="E87" s="348"/>
      <c r="F87" s="348"/>
      <c r="G87" s="348"/>
      <c r="H87" s="348"/>
      <c r="I87" s="348"/>
      <c r="J87" s="348"/>
      <c r="K87" s="348"/>
      <c r="L87" s="348"/>
      <c r="M87" s="348"/>
      <c r="N87" s="348"/>
      <c r="O87" s="348"/>
      <c r="P87" s="348"/>
      <c r="Q87" s="348"/>
      <c r="R87" s="348"/>
      <c r="S87" s="348"/>
      <c r="T87" s="348"/>
      <c r="U87" s="348"/>
      <c r="V87" s="348"/>
      <c r="W87" s="348"/>
      <c r="X87" s="348"/>
      <c r="Y87" s="349"/>
      <c r="Z87" s="149"/>
      <c r="AA87" s="149"/>
      <c r="AB87" s="149"/>
      <c r="AC87" s="149"/>
      <c r="AD87" s="149"/>
      <c r="AE87" s="149"/>
      <c r="AF87" s="149"/>
    </row>
    <row r="88" spans="1:32" s="148" customFormat="1" hidden="1">
      <c r="B88" s="156"/>
      <c r="C88" s="156"/>
      <c r="D88" s="156"/>
      <c r="E88" s="155"/>
      <c r="F88" s="155"/>
      <c r="G88" s="155"/>
      <c r="H88" s="155"/>
      <c r="I88" s="155"/>
      <c r="J88" s="155"/>
      <c r="K88" s="155"/>
      <c r="L88" s="155"/>
      <c r="M88" s="155"/>
      <c r="N88" s="155"/>
      <c r="O88" s="155"/>
      <c r="P88" s="155"/>
      <c r="Q88" s="155"/>
      <c r="R88" s="155"/>
      <c r="S88" s="155"/>
      <c r="T88" s="155"/>
      <c r="U88" s="155"/>
      <c r="V88" s="155"/>
      <c r="W88" s="155"/>
      <c r="X88" s="155"/>
      <c r="Y88" s="155"/>
      <c r="Z88" s="149"/>
      <c r="AA88" s="149"/>
      <c r="AB88" s="149"/>
      <c r="AC88" s="149"/>
      <c r="AD88" s="149"/>
      <c r="AE88" s="149"/>
      <c r="AF88" s="149"/>
    </row>
    <row r="89" spans="1:32" s="148" customFormat="1" hidden="1">
      <c r="A89" s="150">
        <f>A48+1</f>
        <v>2</v>
      </c>
      <c r="B89" s="27" t="s">
        <v>14</v>
      </c>
      <c r="C89" s="333">
        <f>C48-1</f>
        <v>2019</v>
      </c>
      <c r="D89" s="334"/>
      <c r="Y89" s="149"/>
      <c r="Z89" s="149"/>
      <c r="AA89" s="149"/>
      <c r="AB89" s="149"/>
      <c r="AC89" s="149"/>
      <c r="AD89" s="149"/>
      <c r="AE89" s="149"/>
      <c r="AF89" s="149"/>
    </row>
    <row r="90" spans="1:32" s="148" customFormat="1" hidden="1">
      <c r="Y90" s="149"/>
      <c r="Z90" s="149"/>
      <c r="AA90" s="149"/>
      <c r="AB90" s="149"/>
      <c r="AC90" s="149"/>
      <c r="AD90" s="149"/>
      <c r="AE90" s="149"/>
      <c r="AF90" s="149"/>
    </row>
    <row r="91" spans="1:32" s="148" customFormat="1" hidden="1">
      <c r="B91" s="338" t="str">
        <f>Settings!$N$14</f>
        <v>Employee's comments</v>
      </c>
      <c r="C91" s="339"/>
      <c r="D91" s="339"/>
      <c r="E91" s="339"/>
      <c r="F91" s="339"/>
      <c r="G91" s="339"/>
      <c r="H91" s="339"/>
      <c r="I91" s="339"/>
      <c r="J91" s="339"/>
      <c r="K91" s="339"/>
      <c r="L91" s="339"/>
      <c r="M91" s="339"/>
      <c r="N91" s="339"/>
      <c r="O91" s="339"/>
      <c r="P91" s="339"/>
      <c r="Q91" s="339"/>
      <c r="R91" s="339"/>
      <c r="S91" s="339"/>
      <c r="T91" s="339"/>
      <c r="U91" s="339"/>
      <c r="V91" s="339"/>
      <c r="W91" s="339"/>
      <c r="X91" s="339"/>
      <c r="Y91" s="340"/>
      <c r="Z91" s="149"/>
      <c r="AA91" s="149"/>
      <c r="AB91" s="149"/>
      <c r="AC91" s="149"/>
      <c r="AD91" s="149"/>
      <c r="AE91" s="149"/>
      <c r="AF91" s="149"/>
    </row>
    <row r="92" spans="1:32" s="148" customFormat="1" hidden="1">
      <c r="B92" s="341" t="e">
        <f>IF(INDEX(TblDatabase[Feedback Warnings],MATCH(1,INDEX(($L$4=ListEmployeeNamesInDatabase)*(C89=TblDatabase[Year]),0,1),0))="","",INDEX(TblDatabase[Feedback Warnings],MATCH(1,INDEX(($L$4=ListEmployeeNamesInDatabase)*(C89=TblDatabase[Year]),0,1),0)))</f>
        <v>#N/A</v>
      </c>
      <c r="C92" s="342"/>
      <c r="D92" s="342"/>
      <c r="E92" s="342"/>
      <c r="F92" s="342"/>
      <c r="G92" s="342"/>
      <c r="H92" s="342"/>
      <c r="I92" s="342"/>
      <c r="J92" s="342"/>
      <c r="K92" s="342"/>
      <c r="L92" s="342"/>
      <c r="M92" s="342"/>
      <c r="N92" s="342"/>
      <c r="O92" s="342"/>
      <c r="P92" s="342"/>
      <c r="Q92" s="342"/>
      <c r="R92" s="342"/>
      <c r="S92" s="342"/>
      <c r="T92" s="342"/>
      <c r="U92" s="342"/>
      <c r="V92" s="342"/>
      <c r="W92" s="342"/>
      <c r="X92" s="342"/>
      <c r="Y92" s="343"/>
      <c r="Z92" s="149"/>
      <c r="AA92" s="149"/>
      <c r="AB92" s="149"/>
      <c r="AC92" s="149"/>
      <c r="AD92" s="149"/>
      <c r="AE92" s="149"/>
      <c r="AF92" s="149"/>
    </row>
    <row r="93" spans="1:32" s="148" customFormat="1" hidden="1">
      <c r="B93" s="344"/>
      <c r="C93" s="345"/>
      <c r="D93" s="345"/>
      <c r="E93" s="345"/>
      <c r="F93" s="345"/>
      <c r="G93" s="345"/>
      <c r="H93" s="345"/>
      <c r="I93" s="345"/>
      <c r="J93" s="345"/>
      <c r="K93" s="345"/>
      <c r="L93" s="345"/>
      <c r="M93" s="345"/>
      <c r="N93" s="345"/>
      <c r="O93" s="345"/>
      <c r="P93" s="345"/>
      <c r="Q93" s="345"/>
      <c r="R93" s="345"/>
      <c r="S93" s="345"/>
      <c r="T93" s="345"/>
      <c r="U93" s="345"/>
      <c r="V93" s="345"/>
      <c r="W93" s="345"/>
      <c r="X93" s="345"/>
      <c r="Y93" s="346"/>
      <c r="Z93" s="149"/>
      <c r="AA93" s="149"/>
      <c r="AB93" s="149"/>
      <c r="AC93" s="149"/>
      <c r="AD93" s="149"/>
      <c r="AE93" s="149"/>
      <c r="AF93" s="149"/>
    </row>
    <row r="94" spans="1:32" s="148" customFormat="1" hidden="1">
      <c r="B94" s="347"/>
      <c r="C94" s="348"/>
      <c r="D94" s="348"/>
      <c r="E94" s="348"/>
      <c r="F94" s="348"/>
      <c r="G94" s="348"/>
      <c r="H94" s="348"/>
      <c r="I94" s="348"/>
      <c r="J94" s="348"/>
      <c r="K94" s="348"/>
      <c r="L94" s="348"/>
      <c r="M94" s="348"/>
      <c r="N94" s="348"/>
      <c r="O94" s="348"/>
      <c r="P94" s="348"/>
      <c r="Q94" s="348"/>
      <c r="R94" s="348"/>
      <c r="S94" s="348"/>
      <c r="T94" s="348"/>
      <c r="U94" s="348"/>
      <c r="V94" s="348"/>
      <c r="W94" s="348"/>
      <c r="X94" s="348"/>
      <c r="Y94" s="349"/>
      <c r="Z94" s="149"/>
      <c r="AA94" s="149"/>
      <c r="AB94" s="149"/>
      <c r="AC94" s="149"/>
      <c r="AD94" s="149"/>
      <c r="AE94" s="149"/>
      <c r="AF94" s="149"/>
    </row>
    <row r="95" spans="1:32" s="148" customFormat="1" hidden="1">
      <c r="Y95" s="149"/>
      <c r="Z95" s="149"/>
      <c r="AA95" s="149"/>
      <c r="AB95" s="149"/>
      <c r="AC95" s="149"/>
      <c r="AD95" s="149"/>
      <c r="AE95" s="149"/>
      <c r="AF95" s="149"/>
    </row>
    <row r="96" spans="1:32" s="148" customFormat="1" ht="15" hidden="1" customHeight="1">
      <c r="B96" s="320" t="s">
        <v>8</v>
      </c>
      <c r="C96" s="321"/>
      <c r="D96" s="321"/>
      <c r="E96" s="321"/>
      <c r="F96" s="233">
        <f>IF(Settings!$M$4=Settings!$Y$3,Settings!$O$19,1)</f>
        <v>1</v>
      </c>
      <c r="G96" s="234">
        <f>IF(Settings!$M$4=Settings!$Y$3,Settings!$O$19,2)</f>
        <v>2</v>
      </c>
      <c r="H96" s="234">
        <f>IF(Settings!$M$4=Settings!$Y$3,Settings!$O$19,3)</f>
        <v>3</v>
      </c>
      <c r="I96" s="234">
        <f>IF(Settings!$M$4=Settings!$Y$3,Settings!$O$19,4)</f>
        <v>4</v>
      </c>
      <c r="J96" s="234">
        <f>IF(Settings!$M$4=Settings!$Y$3,Settings!$O$20,5)</f>
        <v>5</v>
      </c>
      <c r="K96" s="234">
        <f>IF(Settings!$M$4=Settings!$Y$3,Settings!$O$20,6)</f>
        <v>6</v>
      </c>
      <c r="L96" s="234">
        <f>IF(Settings!$M$4=Settings!$Y$3,Settings!$O$20,7)</f>
        <v>7</v>
      </c>
      <c r="M96" s="234">
        <f>IF(Settings!$M$4=Settings!$Y$3,Settings!$O$20,8)</f>
        <v>8</v>
      </c>
      <c r="N96" s="234">
        <f>IF(Settings!$M$4=Settings!$Y$3,Settings!$O$21,9)</f>
        <v>9</v>
      </c>
      <c r="O96" s="235">
        <f>IF(Settings!$M$4=Settings!$Y$3,Settings!$O$21,10)</f>
        <v>10</v>
      </c>
      <c r="P96" s="22"/>
      <c r="Q96" s="22"/>
      <c r="R96" s="333" t="s">
        <v>24</v>
      </c>
      <c r="S96" s="333"/>
      <c r="T96" s="333"/>
      <c r="U96" s="333"/>
      <c r="V96" s="333"/>
      <c r="W96" s="333"/>
      <c r="X96" s="333"/>
      <c r="Y96" s="334"/>
      <c r="Z96" s="149"/>
      <c r="AA96" s="149"/>
      <c r="AB96" s="149"/>
      <c r="AC96" s="149"/>
      <c r="AD96" s="149"/>
      <c r="AE96" s="149"/>
      <c r="AF96" s="149"/>
    </row>
    <row r="97" spans="2:32" s="148" customFormat="1" ht="15" hidden="1" customHeight="1">
      <c r="B97" s="335" t="str">
        <f t="shared" ref="B97:B116" si="1">B56</f>
        <v>Quality of Work</v>
      </c>
      <c r="C97" s="336"/>
      <c r="D97" s="336"/>
      <c r="E97" s="337"/>
      <c r="F97" s="162" t="str">
        <f>IF(Settings!$M$4=Settings!$Y$3,IF($AA97=1,"P",""),IF($AA97=1,"P",""))</f>
        <v/>
      </c>
      <c r="G97" s="160" t="str">
        <f>IF(Settings!$M$4=Settings!$Y$3,IF($AA97=1,"P",""),IF($AA97=2,"P",""))</f>
        <v/>
      </c>
      <c r="H97" s="160" t="str">
        <f>IF(Settings!$M$4=Settings!$Y$3,IF($AA97=1,"P",""),IF($AA97=3,"P",""))</f>
        <v/>
      </c>
      <c r="I97" s="160" t="str">
        <f>IF(Settings!$M$4=Settings!$Y$3,IF($AA97=1,"P",""),IF($AA97=4,"P",""))</f>
        <v/>
      </c>
      <c r="J97" s="160" t="str">
        <f>IF(Settings!$M$4=Settings!$Y$3,IF($AA97=2,"P",""),IF($AA97=5,"P",""))</f>
        <v/>
      </c>
      <c r="K97" s="160" t="str">
        <f>IF(Settings!$M$4=Settings!$Y$3,IF($AA97=2,"P",""),IF($AA97=6,"P",""))</f>
        <v/>
      </c>
      <c r="L97" s="160" t="str">
        <f>IF(Settings!$M$4=Settings!$Y$3,IF($AA97=2,"P",""),IF($AA97=7,"P",""))</f>
        <v/>
      </c>
      <c r="M97" s="160" t="str">
        <f>IF(Settings!$M$4=Settings!$Y$3,IF($AA97=2,"P",""),IF($AA97=8,"P",""))</f>
        <v/>
      </c>
      <c r="N97" s="160" t="str">
        <f>IF(Settings!$M$4=Settings!$Y$3,IF($AA97=3,"P",""),IF($AA97=9,"P",""))</f>
        <v/>
      </c>
      <c r="O97" s="161" t="str">
        <f>IF(Settings!$M$4=Settings!$Y$3,IF($AA97=3,"P",""),IF($AA97=10,"P",""))</f>
        <v/>
      </c>
      <c r="P97" s="22"/>
      <c r="Q97" s="22"/>
      <c r="R97" s="367" t="e">
        <f>IF(INDEX(TblDatabase[Comment1],MATCH(1,INDEX(($L$4=ListEmployeeNamesInDatabase)*(C89=TblDatabase[Year]),0,1),0))="","",INDEX(TblDatabase[Comment1],MATCH(1,INDEX(($L$4=ListEmployeeNamesInDatabase)*(C89=TblDatabase[Year]),0,1),0)))</f>
        <v>#N/A</v>
      </c>
      <c r="S97" s="367"/>
      <c r="T97" s="367"/>
      <c r="U97" s="367"/>
      <c r="V97" s="367"/>
      <c r="W97" s="367"/>
      <c r="X97" s="367"/>
      <c r="Y97" s="368"/>
      <c r="Z97" s="149"/>
      <c r="AA97" s="151">
        <f>SUMIFS(TblDatabase[Competency1],ListEmployeeNamesInDatabase,$L$4,TblDatabase[Year],C89)</f>
        <v>0</v>
      </c>
      <c r="AB97" s="149"/>
      <c r="AC97" s="149"/>
      <c r="AD97" s="149"/>
      <c r="AE97" s="149"/>
      <c r="AF97" s="149"/>
    </row>
    <row r="98" spans="2:32" s="148" customFormat="1" ht="15" hidden="1" customHeight="1">
      <c r="B98" s="355" t="str">
        <f t="shared" si="1"/>
        <v>CaLL flow</v>
      </c>
      <c r="C98" s="356"/>
      <c r="D98" s="356"/>
      <c r="E98" s="357"/>
      <c r="F98" s="163" t="str">
        <f>IF(Settings!$M$4=Settings!$Y$3,IF($AA98=1,"P",""),IF($AA98=1,"P",""))</f>
        <v/>
      </c>
      <c r="G98" s="164" t="str">
        <f>IF(Settings!$M$4=Settings!$Y$3,IF($AA98=1,"P",""),IF($AA98=2,"P",""))</f>
        <v/>
      </c>
      <c r="H98" s="164" t="str">
        <f>IF(Settings!$M$4=Settings!$Y$3,IF($AA98=1,"P",""),IF($AA98=3,"P",""))</f>
        <v/>
      </c>
      <c r="I98" s="164" t="str">
        <f>IF(Settings!$M$4=Settings!$Y$3,IF($AA98=1,"P",""),IF($AA98=4,"P",""))</f>
        <v/>
      </c>
      <c r="J98" s="164" t="str">
        <f>IF(Settings!$M$4=Settings!$Y$3,IF($AA98=2,"P",""),IF($AA98=5,"P",""))</f>
        <v/>
      </c>
      <c r="K98" s="164" t="str">
        <f>IF(Settings!$M$4=Settings!$Y$3,IF($AA98=2,"P",""),IF($AA98=6,"P",""))</f>
        <v/>
      </c>
      <c r="L98" s="164" t="str">
        <f>IF(Settings!$M$4=Settings!$Y$3,IF($AA98=2,"P",""),IF($AA98=7,"P",""))</f>
        <v/>
      </c>
      <c r="M98" s="164" t="str">
        <f>IF(Settings!$M$4=Settings!$Y$3,IF($AA98=2,"P",""),IF($AA98=8,"P",""))</f>
        <v/>
      </c>
      <c r="N98" s="164" t="str">
        <f>IF(Settings!$M$4=Settings!$Y$3,IF($AA98=3,"P",""),IF($AA98=9,"P",""))</f>
        <v/>
      </c>
      <c r="O98" s="165" t="str">
        <f>IF(Settings!$M$4=Settings!$Y$3,IF($AA98=3,"P",""),IF($AA98=10,"P",""))</f>
        <v/>
      </c>
      <c r="P98" s="22"/>
      <c r="Q98" s="22"/>
      <c r="R98" s="360" t="e">
        <f>IF(INDEX(TblDatabase[Comment2],MATCH(1,INDEX(($L$4=ListEmployeeNamesInDatabase)*(C89=TblDatabase[Year]),0,1),0))="","",INDEX(TblDatabase[Comment2],MATCH(1,INDEX(($L$4=ListEmployeeNamesInDatabase)*(C89=TblDatabase[Year]),0,1),0)))</f>
        <v>#N/A</v>
      </c>
      <c r="S98" s="360"/>
      <c r="T98" s="360"/>
      <c r="U98" s="360"/>
      <c r="V98" s="360"/>
      <c r="W98" s="360"/>
      <c r="X98" s="360"/>
      <c r="Y98" s="361"/>
      <c r="Z98" s="149"/>
      <c r="AA98" s="151">
        <f>SUMIFS(TblDatabase[Competency2],ListEmployeeNamesInDatabase,$L$4,TblDatabase[Year],C89)</f>
        <v>0</v>
      </c>
      <c r="AB98" s="149"/>
      <c r="AC98" s="149"/>
      <c r="AD98" s="149"/>
      <c r="AE98" s="149"/>
      <c r="AF98" s="149"/>
    </row>
    <row r="99" spans="2:32" s="148" customFormat="1" ht="15" hidden="1" customHeight="1">
      <c r="B99" s="350" t="str">
        <f t="shared" si="1"/>
        <v>Job Knowledge</v>
      </c>
      <c r="C99" s="351"/>
      <c r="D99" s="351"/>
      <c r="E99" s="352"/>
      <c r="F99" s="157" t="str">
        <f>IF(Settings!$M$4=Settings!$Y$3,IF($AA99=1,"P",""),IF($AA99=1,"P",""))</f>
        <v/>
      </c>
      <c r="G99" s="158" t="str">
        <f>IF(Settings!$M$4=Settings!$Y$3,IF($AA99=1,"P",""),IF($AA99=2,"P",""))</f>
        <v/>
      </c>
      <c r="H99" s="158" t="str">
        <f>IF(Settings!$M$4=Settings!$Y$3,IF($AA99=1,"P",""),IF($AA99=3,"P",""))</f>
        <v/>
      </c>
      <c r="I99" s="158" t="str">
        <f>IF(Settings!$M$4=Settings!$Y$3,IF($AA99=1,"P",""),IF($AA99=4,"P",""))</f>
        <v/>
      </c>
      <c r="J99" s="158" t="str">
        <f>IF(Settings!$M$4=Settings!$Y$3,IF($AA99=2,"P",""),IF($AA99=5,"P",""))</f>
        <v/>
      </c>
      <c r="K99" s="158" t="str">
        <f>IF(Settings!$M$4=Settings!$Y$3,IF($AA99=2,"P",""),IF($AA99=6,"P",""))</f>
        <v/>
      </c>
      <c r="L99" s="158" t="str">
        <f>IF(Settings!$M$4=Settings!$Y$3,IF($AA99=2,"P",""),IF($AA99=7,"P",""))</f>
        <v/>
      </c>
      <c r="M99" s="158" t="str">
        <f>IF(Settings!$M$4=Settings!$Y$3,IF($AA99=2,"P",""),IF($AA99=8,"P",""))</f>
        <v/>
      </c>
      <c r="N99" s="158" t="str">
        <f>IF(Settings!$M$4=Settings!$Y$3,IF($AA99=3,"P",""),IF($AA99=9,"P",""))</f>
        <v/>
      </c>
      <c r="O99" s="159" t="str">
        <f>IF(Settings!$M$4=Settings!$Y$3,IF($AA99=3,"P",""),IF($AA99=10,"P",""))</f>
        <v/>
      </c>
      <c r="P99" s="22"/>
      <c r="Q99" s="22"/>
      <c r="R99" s="353" t="e">
        <f>IF(INDEX(TblDatabase[Comment3],MATCH(1,INDEX(($L$4=ListEmployeeNamesInDatabase)*(C89=TblDatabase[Year]),0,1),0))="","",INDEX(TblDatabase[Comment3],MATCH(1,INDEX(($L$4=ListEmployeeNamesInDatabase)*(C89=TblDatabase[Year]),0,1),0)))</f>
        <v>#N/A</v>
      </c>
      <c r="S99" s="353"/>
      <c r="T99" s="353"/>
      <c r="U99" s="353"/>
      <c r="V99" s="353"/>
      <c r="W99" s="353"/>
      <c r="X99" s="353"/>
      <c r="Y99" s="354"/>
      <c r="Z99" s="149"/>
      <c r="AA99" s="151">
        <f>SUMIFS(TblDatabase[Competency3],ListEmployeeNamesInDatabase,$L$4,TblDatabase[Year],C89)</f>
        <v>0</v>
      </c>
      <c r="AB99" s="149"/>
      <c r="AC99" s="149"/>
      <c r="AD99" s="149"/>
      <c r="AE99" s="149"/>
      <c r="AF99" s="149"/>
    </row>
    <row r="100" spans="2:32" s="148" customFormat="1" ht="15" hidden="1" customHeight="1">
      <c r="B100" s="355" t="str">
        <f t="shared" si="1"/>
        <v>Client Service</v>
      </c>
      <c r="C100" s="356"/>
      <c r="D100" s="356"/>
      <c r="E100" s="357"/>
      <c r="F100" s="163" t="str">
        <f>IF(Settings!$M$4=Settings!$Y$3,IF($AA100=1,"P",""),IF($AA100=1,"P",""))</f>
        <v/>
      </c>
      <c r="G100" s="164" t="str">
        <f>IF(Settings!$M$4=Settings!$Y$3,IF($AA100=1,"P",""),IF($AA100=2,"P",""))</f>
        <v/>
      </c>
      <c r="H100" s="164" t="str">
        <f>IF(Settings!$M$4=Settings!$Y$3,IF($AA100=1,"P",""),IF($AA100=3,"P",""))</f>
        <v/>
      </c>
      <c r="I100" s="164" t="str">
        <f>IF(Settings!$M$4=Settings!$Y$3,IF($AA100=1,"P",""),IF($AA100=4,"P",""))</f>
        <v/>
      </c>
      <c r="J100" s="164" t="str">
        <f>IF(Settings!$M$4=Settings!$Y$3,IF($AA100=2,"P",""),IF($AA100=5,"P",""))</f>
        <v/>
      </c>
      <c r="K100" s="164" t="str">
        <f>IF(Settings!$M$4=Settings!$Y$3,IF($AA100=2,"P",""),IF($AA100=6,"P",""))</f>
        <v/>
      </c>
      <c r="L100" s="164" t="str">
        <f>IF(Settings!$M$4=Settings!$Y$3,IF($AA100=2,"P",""),IF($AA100=7,"P",""))</f>
        <v/>
      </c>
      <c r="M100" s="164" t="str">
        <f>IF(Settings!$M$4=Settings!$Y$3,IF($AA100=2,"P",""),IF($AA100=8,"P",""))</f>
        <v/>
      </c>
      <c r="N100" s="164" t="str">
        <f>IF(Settings!$M$4=Settings!$Y$3,IF($AA100=3,"P",""),IF($AA100=9,"P",""))</f>
        <v/>
      </c>
      <c r="O100" s="165" t="str">
        <f>IF(Settings!$M$4=Settings!$Y$3,IF($AA100=3,"P",""),IF($AA100=10,"P",""))</f>
        <v/>
      </c>
      <c r="P100" s="22"/>
      <c r="Q100" s="22"/>
      <c r="R100" s="360" t="e">
        <f>IF(INDEX(TblDatabase[Comment4],MATCH(1,INDEX(($L$4=ListEmployeeNamesInDatabase)*(C89=TblDatabase[Year]),0,1),0))="","",INDEX(TblDatabase[Comment4],MATCH(1,INDEX(($L$4=ListEmployeeNamesInDatabase)*(C89=TblDatabase[Year]),0,1),0)))</f>
        <v>#N/A</v>
      </c>
      <c r="S100" s="360"/>
      <c r="T100" s="360"/>
      <c r="U100" s="360"/>
      <c r="V100" s="360"/>
      <c r="W100" s="360"/>
      <c r="X100" s="360"/>
      <c r="Y100" s="361"/>
      <c r="Z100" s="149"/>
      <c r="AA100" s="151">
        <f>SUMIFS(TblDatabase[Competency4],ListEmployeeNamesInDatabase,$L$4,TblDatabase[Year],C89)</f>
        <v>0</v>
      </c>
      <c r="AB100" s="149"/>
      <c r="AC100" s="149"/>
      <c r="AD100" s="149"/>
      <c r="AE100" s="149"/>
      <c r="AF100" s="149"/>
    </row>
    <row r="101" spans="2:32" s="148" customFormat="1" ht="15" hidden="1" customHeight="1">
      <c r="B101" s="350" t="str">
        <f t="shared" si="1"/>
        <v>Teamwork</v>
      </c>
      <c r="C101" s="351"/>
      <c r="D101" s="351"/>
      <c r="E101" s="352"/>
      <c r="F101" s="157" t="str">
        <f>IF(Settings!$M$4=Settings!$Y$3,IF($AA101=1,"P",""),IF($AA101=1,"P",""))</f>
        <v/>
      </c>
      <c r="G101" s="158" t="str">
        <f>IF(Settings!$M$4=Settings!$Y$3,IF($AA101=1,"P",""),IF($AA101=2,"P",""))</f>
        <v/>
      </c>
      <c r="H101" s="158" t="str">
        <f>IF(Settings!$M$4=Settings!$Y$3,IF($AA101=1,"P",""),IF($AA101=3,"P",""))</f>
        <v/>
      </c>
      <c r="I101" s="158" t="str">
        <f>IF(Settings!$M$4=Settings!$Y$3,IF($AA101=1,"P",""),IF($AA101=4,"P",""))</f>
        <v/>
      </c>
      <c r="J101" s="158" t="str">
        <f>IF(Settings!$M$4=Settings!$Y$3,IF($AA101=2,"P",""),IF($AA101=5,"P",""))</f>
        <v/>
      </c>
      <c r="K101" s="158" t="str">
        <f>IF(Settings!$M$4=Settings!$Y$3,IF($AA101=2,"P",""),IF($AA101=6,"P",""))</f>
        <v/>
      </c>
      <c r="L101" s="158" t="str">
        <f>IF(Settings!$M$4=Settings!$Y$3,IF($AA101=2,"P",""),IF($AA101=7,"P",""))</f>
        <v/>
      </c>
      <c r="M101" s="158" t="str">
        <f>IF(Settings!$M$4=Settings!$Y$3,IF($AA101=2,"P",""),IF($AA101=8,"P",""))</f>
        <v/>
      </c>
      <c r="N101" s="158" t="str">
        <f>IF(Settings!$M$4=Settings!$Y$3,IF($AA101=3,"P",""),IF($AA101=9,"P",""))</f>
        <v/>
      </c>
      <c r="O101" s="159" t="str">
        <f>IF(Settings!$M$4=Settings!$Y$3,IF($AA101=3,"P",""),IF($AA101=10,"P",""))</f>
        <v/>
      </c>
      <c r="P101" s="22"/>
      <c r="Q101" s="22"/>
      <c r="R101" s="353" t="e">
        <f>IF(INDEX(TblDatabase[Comment5],MATCH(1,INDEX(($L$4=ListEmployeeNamesInDatabase)*(C89=TblDatabase[Year]),0,1),0))="","",INDEX(TblDatabase[Comment5],MATCH(1,INDEX(($L$4=ListEmployeeNamesInDatabase)*(C89=TblDatabase[Year]),0,1),0)))</f>
        <v>#N/A</v>
      </c>
      <c r="S101" s="353"/>
      <c r="T101" s="353"/>
      <c r="U101" s="353"/>
      <c r="V101" s="353"/>
      <c r="W101" s="353"/>
      <c r="X101" s="353"/>
      <c r="Y101" s="354"/>
      <c r="Z101" s="149"/>
      <c r="AA101" s="151">
        <f>SUMIFS(TblDatabase[Competency5],ListEmployeeNamesInDatabase,$L$4,TblDatabase[Year],C89)</f>
        <v>0</v>
      </c>
      <c r="AB101" s="149"/>
      <c r="AC101" s="149"/>
      <c r="AD101" s="149"/>
      <c r="AE101" s="149"/>
      <c r="AF101" s="149"/>
    </row>
    <row r="102" spans="2:32" s="148" customFormat="1" ht="15" hidden="1" customHeight="1">
      <c r="B102" s="355" t="str">
        <f t="shared" si="1"/>
        <v>Safety</v>
      </c>
      <c r="C102" s="356"/>
      <c r="D102" s="356"/>
      <c r="E102" s="357"/>
      <c r="F102" s="163" t="str">
        <f>IF(Settings!$M$4=Settings!$Y$3,IF($AA102=1,"P",""),IF($AA102=1,"P",""))</f>
        <v/>
      </c>
      <c r="G102" s="164" t="str">
        <f>IF(Settings!$M$4=Settings!$Y$3,IF($AA102=1,"P",""),IF($AA102=2,"P",""))</f>
        <v/>
      </c>
      <c r="H102" s="164" t="str">
        <f>IF(Settings!$M$4=Settings!$Y$3,IF($AA102=1,"P",""),IF($AA102=3,"P",""))</f>
        <v/>
      </c>
      <c r="I102" s="164" t="str">
        <f>IF(Settings!$M$4=Settings!$Y$3,IF($AA102=1,"P",""),IF($AA102=4,"P",""))</f>
        <v/>
      </c>
      <c r="J102" s="164" t="str">
        <f>IF(Settings!$M$4=Settings!$Y$3,IF($AA102=2,"P",""),IF($AA102=5,"P",""))</f>
        <v/>
      </c>
      <c r="K102" s="164" t="str">
        <f>IF(Settings!$M$4=Settings!$Y$3,IF($AA102=2,"P",""),IF($AA102=6,"P",""))</f>
        <v/>
      </c>
      <c r="L102" s="164" t="str">
        <f>IF(Settings!$M$4=Settings!$Y$3,IF($AA102=2,"P",""),IF($AA102=7,"P",""))</f>
        <v/>
      </c>
      <c r="M102" s="164" t="str">
        <f>IF(Settings!$M$4=Settings!$Y$3,IF($AA102=2,"P",""),IF($AA102=8,"P",""))</f>
        <v/>
      </c>
      <c r="N102" s="164" t="str">
        <f>IF(Settings!$M$4=Settings!$Y$3,IF($AA102=3,"P",""),IF($AA102=9,"P",""))</f>
        <v/>
      </c>
      <c r="O102" s="165" t="str">
        <f>IF(Settings!$M$4=Settings!$Y$3,IF($AA102=3,"P",""),IF($AA102=10,"P",""))</f>
        <v/>
      </c>
      <c r="P102" s="22"/>
      <c r="Q102" s="22"/>
      <c r="R102" s="360" t="e">
        <f>IF(INDEX(TblDatabase[Comment6],MATCH(1,INDEX(($L$4=ListEmployeeNamesInDatabase)*(C89=TblDatabase[Year]),0,1),0))="","",INDEX(TblDatabase[Comment6],MATCH(1,INDEX(($L$4=ListEmployeeNamesInDatabase)*(C89=TblDatabase[Year]),0,1),0)))</f>
        <v>#N/A</v>
      </c>
      <c r="S102" s="360"/>
      <c r="T102" s="360"/>
      <c r="U102" s="360"/>
      <c r="V102" s="360"/>
      <c r="W102" s="360"/>
      <c r="X102" s="360"/>
      <c r="Y102" s="361"/>
      <c r="Z102" s="149"/>
      <c r="AA102" s="151">
        <f>SUMIFS(TblDatabase[Competency6],ListEmployeeNamesInDatabase,$L$4,TblDatabase[Year],C89)</f>
        <v>0</v>
      </c>
      <c r="AB102" s="149"/>
      <c r="AC102" s="149"/>
      <c r="AD102" s="149"/>
      <c r="AE102" s="149"/>
      <c r="AF102" s="149"/>
    </row>
    <row r="103" spans="2:32" s="148" customFormat="1" ht="15" hidden="1" customHeight="1">
      <c r="B103" s="350" t="str">
        <f t="shared" si="1"/>
        <v>Reliability</v>
      </c>
      <c r="C103" s="351"/>
      <c r="D103" s="351"/>
      <c r="E103" s="352"/>
      <c r="F103" s="157" t="str">
        <f>IF(Settings!$M$4=Settings!$Y$3,IF($AA103=1,"P",""),IF($AA103=1,"P",""))</f>
        <v/>
      </c>
      <c r="G103" s="158" t="str">
        <f>IF(Settings!$M$4=Settings!$Y$3,IF($AA103=1,"P",""),IF($AA103=2,"P",""))</f>
        <v/>
      </c>
      <c r="H103" s="158" t="str">
        <f>IF(Settings!$M$4=Settings!$Y$3,IF($AA103=1,"P",""),IF($AA103=3,"P",""))</f>
        <v/>
      </c>
      <c r="I103" s="158" t="str">
        <f>IF(Settings!$M$4=Settings!$Y$3,IF($AA103=1,"P",""),IF($AA103=4,"P",""))</f>
        <v/>
      </c>
      <c r="J103" s="158" t="str">
        <f>IF(Settings!$M$4=Settings!$Y$3,IF($AA103=2,"P",""),IF($AA103=5,"P",""))</f>
        <v/>
      </c>
      <c r="K103" s="158" t="str">
        <f>IF(Settings!$M$4=Settings!$Y$3,IF($AA103=2,"P",""),IF($AA103=6,"P",""))</f>
        <v/>
      </c>
      <c r="L103" s="158" t="str">
        <f>IF(Settings!$M$4=Settings!$Y$3,IF($AA103=2,"P",""),IF($AA103=7,"P",""))</f>
        <v/>
      </c>
      <c r="M103" s="158" t="str">
        <f>IF(Settings!$M$4=Settings!$Y$3,IF($AA103=2,"P",""),IF($AA103=8,"P",""))</f>
        <v/>
      </c>
      <c r="N103" s="158" t="str">
        <f>IF(Settings!$M$4=Settings!$Y$3,IF($AA103=3,"P",""),IF($AA103=9,"P",""))</f>
        <v/>
      </c>
      <c r="O103" s="159" t="str">
        <f>IF(Settings!$M$4=Settings!$Y$3,IF($AA103=3,"P",""),IF($AA103=10,"P",""))</f>
        <v/>
      </c>
      <c r="P103" s="22"/>
      <c r="Q103" s="22"/>
      <c r="R103" s="353" t="e">
        <f>IF(INDEX(TblDatabase[Comment7],MATCH(1,INDEX(($L$4=ListEmployeeNamesInDatabase)*(C89=TblDatabase[Year]),0,1),0))="","",INDEX(TblDatabase[Comment7],MATCH(1,INDEX(($L$4=ListEmployeeNamesInDatabase)*(C89=TblDatabase[Year]),0,1),0)))</f>
        <v>#N/A</v>
      </c>
      <c r="S103" s="353"/>
      <c r="T103" s="353"/>
      <c r="U103" s="353"/>
      <c r="V103" s="353"/>
      <c r="W103" s="353"/>
      <c r="X103" s="353"/>
      <c r="Y103" s="354"/>
      <c r="Z103" s="149"/>
      <c r="AA103" s="151">
        <f>SUMIFS(TblDatabase[Competency7],ListEmployeeNamesInDatabase,$L$4,TblDatabase[Year],C89)</f>
        <v>0</v>
      </c>
      <c r="AB103" s="149"/>
      <c r="AC103" s="149"/>
      <c r="AD103" s="149"/>
      <c r="AE103" s="149"/>
      <c r="AF103" s="149"/>
    </row>
    <row r="104" spans="2:32" s="148" customFormat="1" ht="15" hidden="1" customHeight="1">
      <c r="B104" s="355" t="str">
        <f t="shared" si="1"/>
        <v>Initiative/Adaptability</v>
      </c>
      <c r="C104" s="356"/>
      <c r="D104" s="356"/>
      <c r="E104" s="357"/>
      <c r="F104" s="163" t="str">
        <f>IF(Settings!$M$4=Settings!$Y$3,IF($AA104=1,"P",""),IF($AA104=1,"P",""))</f>
        <v/>
      </c>
      <c r="G104" s="164" t="str">
        <f>IF(Settings!$M$4=Settings!$Y$3,IF($AA104=1,"P",""),IF($AA104=2,"P",""))</f>
        <v/>
      </c>
      <c r="H104" s="164" t="str">
        <f>IF(Settings!$M$4=Settings!$Y$3,IF($AA104=1,"P",""),IF($AA104=3,"P",""))</f>
        <v/>
      </c>
      <c r="I104" s="164" t="str">
        <f>IF(Settings!$M$4=Settings!$Y$3,IF($AA104=1,"P",""),IF($AA104=4,"P",""))</f>
        <v/>
      </c>
      <c r="J104" s="164" t="str">
        <f>IF(Settings!$M$4=Settings!$Y$3,IF($AA104=2,"P",""),IF($AA104=5,"P",""))</f>
        <v/>
      </c>
      <c r="K104" s="164" t="str">
        <f>IF(Settings!$M$4=Settings!$Y$3,IF($AA104=2,"P",""),IF($AA104=6,"P",""))</f>
        <v/>
      </c>
      <c r="L104" s="164" t="str">
        <f>IF(Settings!$M$4=Settings!$Y$3,IF($AA104=2,"P",""),IF($AA104=7,"P",""))</f>
        <v/>
      </c>
      <c r="M104" s="164" t="str">
        <f>IF(Settings!$M$4=Settings!$Y$3,IF($AA104=2,"P",""),IF($AA104=8,"P",""))</f>
        <v/>
      </c>
      <c r="N104" s="164" t="str">
        <f>IF(Settings!$M$4=Settings!$Y$3,IF($AA104=3,"P",""),IF($AA104=9,"P",""))</f>
        <v/>
      </c>
      <c r="O104" s="165" t="str">
        <f>IF(Settings!$M$4=Settings!$Y$3,IF($AA104=3,"P",""),IF($AA104=10,"P",""))</f>
        <v/>
      </c>
      <c r="P104" s="22"/>
      <c r="Q104" s="22"/>
      <c r="R104" s="360" t="e">
        <f>IF(INDEX(TblDatabase[Comment8],MATCH(1,INDEX(($L$4=ListEmployeeNamesInDatabase)*(C89=TblDatabase[Year]),0,1),0))="","",INDEX(TblDatabase[Comment8],MATCH(1,INDEX(($L$4=ListEmployeeNamesInDatabase)*(C89=TblDatabase[Year]),0,1),0)))</f>
        <v>#N/A</v>
      </c>
      <c r="S104" s="360"/>
      <c r="T104" s="360"/>
      <c r="U104" s="360"/>
      <c r="V104" s="360"/>
      <c r="W104" s="360"/>
      <c r="X104" s="360"/>
      <c r="Y104" s="361"/>
      <c r="Z104" s="149"/>
      <c r="AA104" s="151">
        <f>SUMIFS(TblDatabase[Competency8],ListEmployeeNamesInDatabase,$L$4,TblDatabase[Year],C89)</f>
        <v>0</v>
      </c>
      <c r="AB104" s="149"/>
      <c r="AC104" s="149"/>
      <c r="AD104" s="149"/>
      <c r="AE104" s="149"/>
      <c r="AF104" s="149"/>
    </row>
    <row r="105" spans="2:32" s="148" customFormat="1" ht="15" hidden="1" customHeight="1">
      <c r="B105" s="350" t="str">
        <f t="shared" si="1"/>
        <v/>
      </c>
      <c r="C105" s="351"/>
      <c r="D105" s="351"/>
      <c r="E105" s="352"/>
      <c r="F105" s="157" t="str">
        <f>IF(Settings!$M$4=Settings!$Y$3,IF($AA105=1,"P",""),IF($AA105=1,"P",""))</f>
        <v/>
      </c>
      <c r="G105" s="158" t="str">
        <f>IF(Settings!$M$4=Settings!$Y$3,IF($AA105=1,"P",""),IF($AA105=2,"P",""))</f>
        <v/>
      </c>
      <c r="H105" s="158" t="str">
        <f>IF(Settings!$M$4=Settings!$Y$3,IF($AA105=1,"P",""),IF($AA105=3,"P",""))</f>
        <v/>
      </c>
      <c r="I105" s="158" t="str">
        <f>IF(Settings!$M$4=Settings!$Y$3,IF($AA105=1,"P",""),IF($AA105=4,"P",""))</f>
        <v/>
      </c>
      <c r="J105" s="158" t="str">
        <f>IF(Settings!$M$4=Settings!$Y$3,IF($AA105=2,"P",""),IF($AA105=5,"P",""))</f>
        <v/>
      </c>
      <c r="K105" s="158" t="str">
        <f>IF(Settings!$M$4=Settings!$Y$3,IF($AA105=2,"P",""),IF($AA105=6,"P",""))</f>
        <v/>
      </c>
      <c r="L105" s="158" t="str">
        <f>IF(Settings!$M$4=Settings!$Y$3,IF($AA105=2,"P",""),IF($AA105=7,"P",""))</f>
        <v/>
      </c>
      <c r="M105" s="158" t="str">
        <f>IF(Settings!$M$4=Settings!$Y$3,IF($AA105=2,"P",""),IF($AA105=8,"P",""))</f>
        <v/>
      </c>
      <c r="N105" s="158" t="str">
        <f>IF(Settings!$M$4=Settings!$Y$3,IF($AA105=3,"P",""),IF($AA105=9,"P",""))</f>
        <v/>
      </c>
      <c r="O105" s="159" t="str">
        <f>IF(Settings!$M$4=Settings!$Y$3,IF($AA105=3,"P",""),IF($AA105=10,"P",""))</f>
        <v/>
      </c>
      <c r="P105" s="22"/>
      <c r="Q105" s="22"/>
      <c r="R105" s="353" t="e">
        <f>IF(INDEX(TblDatabase[Comment9],MATCH(1,INDEX(($L$4=ListEmployeeNamesInDatabase)*(C89=TblDatabase[Year]),0,1),0))="","",INDEX(TblDatabase[Comment9],MATCH(1,INDEX(($L$4=ListEmployeeNamesInDatabase)*(C89=TblDatabase[Year]),0,1),0)))</f>
        <v>#N/A</v>
      </c>
      <c r="S105" s="353"/>
      <c r="T105" s="353"/>
      <c r="U105" s="353"/>
      <c r="V105" s="353"/>
      <c r="W105" s="353"/>
      <c r="X105" s="353"/>
      <c r="Y105" s="354"/>
      <c r="Z105" s="149"/>
      <c r="AA105" s="151">
        <f>SUMIFS(TblDatabase[Competency9],ListEmployeeNamesInDatabase,$L$4,TblDatabase[Year],C89)</f>
        <v>0</v>
      </c>
      <c r="AB105" s="149"/>
      <c r="AC105" s="149"/>
      <c r="AD105" s="149"/>
      <c r="AE105" s="149"/>
      <c r="AF105" s="149"/>
    </row>
    <row r="106" spans="2:32" s="148" customFormat="1" ht="15" hidden="1" customHeight="1">
      <c r="B106" s="355" t="str">
        <f t="shared" si="1"/>
        <v/>
      </c>
      <c r="C106" s="356"/>
      <c r="D106" s="356"/>
      <c r="E106" s="357"/>
      <c r="F106" s="163" t="str">
        <f>IF(Settings!$M$4=Settings!$Y$3,IF($AA106=1,"P",""),IF($AA106=1,"P",""))</f>
        <v/>
      </c>
      <c r="G106" s="164" t="str">
        <f>IF(Settings!$M$4=Settings!$Y$3,IF($AA106=1,"P",""),IF($AA106=2,"P",""))</f>
        <v/>
      </c>
      <c r="H106" s="164" t="str">
        <f>IF(Settings!$M$4=Settings!$Y$3,IF($AA106=1,"P",""),IF($AA106=3,"P",""))</f>
        <v/>
      </c>
      <c r="I106" s="164" t="str">
        <f>IF(Settings!$M$4=Settings!$Y$3,IF($AA106=1,"P",""),IF($AA106=4,"P",""))</f>
        <v/>
      </c>
      <c r="J106" s="164" t="str">
        <f>IF(Settings!$M$4=Settings!$Y$3,IF($AA106=2,"P",""),IF($AA106=5,"P",""))</f>
        <v/>
      </c>
      <c r="K106" s="164" t="str">
        <f>IF(Settings!$M$4=Settings!$Y$3,IF($AA106=2,"P",""),IF($AA106=6,"P",""))</f>
        <v/>
      </c>
      <c r="L106" s="164" t="str">
        <f>IF(Settings!$M$4=Settings!$Y$3,IF($AA106=2,"P",""),IF($AA106=7,"P",""))</f>
        <v/>
      </c>
      <c r="M106" s="164" t="str">
        <f>IF(Settings!$M$4=Settings!$Y$3,IF($AA106=2,"P",""),IF($AA106=8,"P",""))</f>
        <v/>
      </c>
      <c r="N106" s="164" t="str">
        <f>IF(Settings!$M$4=Settings!$Y$3,IF($AA106=3,"P",""),IF($AA106=9,"P",""))</f>
        <v/>
      </c>
      <c r="O106" s="165" t="str">
        <f>IF(Settings!$M$4=Settings!$Y$3,IF($AA106=3,"P",""),IF($AA106=10,"P",""))</f>
        <v/>
      </c>
      <c r="P106" s="22"/>
      <c r="Q106" s="22"/>
      <c r="R106" s="360" t="e">
        <f>IF(INDEX(TblDatabase[Comment10],MATCH(1,INDEX(($L$4=ListEmployeeNamesInDatabase)*(C89=TblDatabase[Year]),0,1),0))="","",INDEX(TblDatabase[Comment10],MATCH(1,INDEX(($L$4=ListEmployeeNamesInDatabase)*(C89=TblDatabase[Year]),0,1),0)))</f>
        <v>#N/A</v>
      </c>
      <c r="S106" s="360"/>
      <c r="T106" s="360"/>
      <c r="U106" s="360"/>
      <c r="V106" s="360"/>
      <c r="W106" s="360"/>
      <c r="X106" s="360"/>
      <c r="Y106" s="361"/>
      <c r="Z106" s="149"/>
      <c r="AA106" s="151">
        <f>SUMIFS(TblDatabase[Competency10],ListEmployeeNamesInDatabase,$L$4,TblDatabase[Year],C89)</f>
        <v>0</v>
      </c>
      <c r="AB106" s="149"/>
      <c r="AC106" s="149"/>
      <c r="AD106" s="149"/>
      <c r="AE106" s="149"/>
      <c r="AF106" s="149"/>
    </row>
    <row r="107" spans="2:32" s="148" customFormat="1" ht="15" hidden="1" customHeight="1">
      <c r="B107" s="350" t="str">
        <f t="shared" si="1"/>
        <v/>
      </c>
      <c r="C107" s="351"/>
      <c r="D107" s="351"/>
      <c r="E107" s="352"/>
      <c r="F107" s="157" t="str">
        <f>IF(Settings!$M$4=Settings!$Y$3,IF($AA107=1,"P",""),IF($AA107=1,"P",""))</f>
        <v/>
      </c>
      <c r="G107" s="158" t="str">
        <f>IF(Settings!$M$4=Settings!$Y$3,IF($AA107=1,"P",""),IF($AA107=2,"P",""))</f>
        <v/>
      </c>
      <c r="H107" s="158" t="str">
        <f>IF(Settings!$M$4=Settings!$Y$3,IF($AA107=1,"P",""),IF($AA107=3,"P",""))</f>
        <v/>
      </c>
      <c r="I107" s="158" t="str">
        <f>IF(Settings!$M$4=Settings!$Y$3,IF($AA107=1,"P",""),IF($AA107=4,"P",""))</f>
        <v/>
      </c>
      <c r="J107" s="158" t="str">
        <f>IF(Settings!$M$4=Settings!$Y$3,IF($AA107=2,"P",""),IF($AA107=5,"P",""))</f>
        <v/>
      </c>
      <c r="K107" s="158" t="str">
        <f>IF(Settings!$M$4=Settings!$Y$3,IF($AA107=2,"P",""),IF($AA107=6,"P",""))</f>
        <v/>
      </c>
      <c r="L107" s="158" t="str">
        <f>IF(Settings!$M$4=Settings!$Y$3,IF($AA107=2,"P",""),IF($AA107=7,"P",""))</f>
        <v/>
      </c>
      <c r="M107" s="158" t="str">
        <f>IF(Settings!$M$4=Settings!$Y$3,IF($AA107=2,"P",""),IF($AA107=8,"P",""))</f>
        <v/>
      </c>
      <c r="N107" s="158" t="str">
        <f>IF(Settings!$M$4=Settings!$Y$3,IF($AA107=3,"P",""),IF($AA107=9,"P",""))</f>
        <v/>
      </c>
      <c r="O107" s="159" t="str">
        <f>IF(Settings!$M$4=Settings!$Y$3,IF($AA107=3,"P",""),IF($AA107=10,"P",""))</f>
        <v/>
      </c>
      <c r="P107" s="22"/>
      <c r="Q107" s="22"/>
      <c r="R107" s="353" t="e">
        <f>IF(INDEX(TblDatabase[Comment11],MATCH(1,INDEX(($L$4=ListEmployeeNamesInDatabase)*(C89=TblDatabase[Year]),0,1),0))="","",INDEX(TblDatabase[Comment11],MATCH(1,INDEX(($L$4=ListEmployeeNamesInDatabase)*(C89=TblDatabase[Year]),0,1),0)))</f>
        <v>#N/A</v>
      </c>
      <c r="S107" s="353"/>
      <c r="T107" s="353"/>
      <c r="U107" s="353"/>
      <c r="V107" s="353"/>
      <c r="W107" s="353"/>
      <c r="X107" s="353"/>
      <c r="Y107" s="354"/>
      <c r="Z107" s="149"/>
      <c r="AA107" s="151">
        <f>SUMIFS(TblDatabase[Competency11],ListEmployeeNamesInDatabase,$L$4,TblDatabase[Year],C89)</f>
        <v>0</v>
      </c>
      <c r="AB107" s="149"/>
      <c r="AC107" s="149"/>
      <c r="AD107" s="149"/>
      <c r="AE107" s="149"/>
      <c r="AF107" s="149"/>
    </row>
    <row r="108" spans="2:32" s="148" customFormat="1" ht="15" hidden="1" customHeight="1">
      <c r="B108" s="355" t="str">
        <f t="shared" si="1"/>
        <v/>
      </c>
      <c r="C108" s="356"/>
      <c r="D108" s="356"/>
      <c r="E108" s="357"/>
      <c r="F108" s="163" t="str">
        <f>IF(Settings!$M$4=Settings!$Y$3,IF($AA108=1,"P",""),IF($AA108=1,"P",""))</f>
        <v/>
      </c>
      <c r="G108" s="164" t="str">
        <f>IF(Settings!$M$4=Settings!$Y$3,IF($AA108=1,"P",""),IF($AA108=2,"P",""))</f>
        <v/>
      </c>
      <c r="H108" s="164" t="str">
        <f>IF(Settings!$M$4=Settings!$Y$3,IF($AA108=1,"P",""),IF($AA108=3,"P",""))</f>
        <v/>
      </c>
      <c r="I108" s="164" t="str">
        <f>IF(Settings!$M$4=Settings!$Y$3,IF($AA108=1,"P",""),IF($AA108=4,"P",""))</f>
        <v/>
      </c>
      <c r="J108" s="164" t="str">
        <f>IF(Settings!$M$4=Settings!$Y$3,IF($AA108=2,"P",""),IF($AA108=5,"P",""))</f>
        <v/>
      </c>
      <c r="K108" s="164" t="str">
        <f>IF(Settings!$M$4=Settings!$Y$3,IF($AA108=2,"P",""),IF($AA108=6,"P",""))</f>
        <v/>
      </c>
      <c r="L108" s="164" t="str">
        <f>IF(Settings!$M$4=Settings!$Y$3,IF($AA108=2,"P",""),IF($AA108=7,"P",""))</f>
        <v/>
      </c>
      <c r="M108" s="164" t="str">
        <f>IF(Settings!$M$4=Settings!$Y$3,IF($AA108=2,"P",""),IF($AA108=8,"P",""))</f>
        <v/>
      </c>
      <c r="N108" s="164" t="str">
        <f>IF(Settings!$M$4=Settings!$Y$3,IF($AA108=3,"P",""),IF($AA108=9,"P",""))</f>
        <v/>
      </c>
      <c r="O108" s="165" t="str">
        <f>IF(Settings!$M$4=Settings!$Y$3,IF($AA108=3,"P",""),IF($AA108=10,"P",""))</f>
        <v/>
      </c>
      <c r="P108" s="22"/>
      <c r="Q108" s="22"/>
      <c r="R108" s="360" t="e">
        <f>IF(INDEX(TblDatabase[Comment12],MATCH(1,INDEX(($L$4=ListEmployeeNamesInDatabase)*(C89=TblDatabase[Year]),0,1),0))="","",INDEX(TblDatabase[Comment12],MATCH(1,INDEX(($L$4=ListEmployeeNamesInDatabase)*(C89=TblDatabase[Year]),0,1),0)))</f>
        <v>#N/A</v>
      </c>
      <c r="S108" s="360"/>
      <c r="T108" s="360"/>
      <c r="U108" s="360"/>
      <c r="V108" s="360"/>
      <c r="W108" s="360"/>
      <c r="X108" s="360"/>
      <c r="Y108" s="361"/>
      <c r="Z108" s="149"/>
      <c r="AA108" s="151">
        <f>SUMIFS(TblDatabase[Competency12],ListEmployeeNamesInDatabase,$L$4,TblDatabase[Year],C89)</f>
        <v>0</v>
      </c>
      <c r="AB108" s="149"/>
      <c r="AC108" s="149"/>
      <c r="AD108" s="149"/>
      <c r="AE108" s="149"/>
      <c r="AF108" s="149"/>
    </row>
    <row r="109" spans="2:32" s="148" customFormat="1" ht="15" hidden="1" customHeight="1">
      <c r="B109" s="350" t="str">
        <f t="shared" si="1"/>
        <v/>
      </c>
      <c r="C109" s="351"/>
      <c r="D109" s="351"/>
      <c r="E109" s="352"/>
      <c r="F109" s="157" t="str">
        <f>IF(Settings!$M$4=Settings!$Y$3,IF($AA109=1,"P",""),IF($AA109=1,"P",""))</f>
        <v/>
      </c>
      <c r="G109" s="158" t="str">
        <f>IF(Settings!$M$4=Settings!$Y$3,IF($AA109=1,"P",""),IF($AA109=2,"P",""))</f>
        <v/>
      </c>
      <c r="H109" s="158" t="str">
        <f>IF(Settings!$M$4=Settings!$Y$3,IF($AA109=1,"P",""),IF($AA109=3,"P",""))</f>
        <v/>
      </c>
      <c r="I109" s="158" t="str">
        <f>IF(Settings!$M$4=Settings!$Y$3,IF($AA109=1,"P",""),IF($AA109=4,"P",""))</f>
        <v/>
      </c>
      <c r="J109" s="158" t="str">
        <f>IF(Settings!$M$4=Settings!$Y$3,IF($AA109=2,"P",""),IF($AA109=5,"P",""))</f>
        <v/>
      </c>
      <c r="K109" s="158" t="str">
        <f>IF(Settings!$M$4=Settings!$Y$3,IF($AA109=2,"P",""),IF($AA109=6,"P",""))</f>
        <v/>
      </c>
      <c r="L109" s="158" t="str">
        <f>IF(Settings!$M$4=Settings!$Y$3,IF($AA109=2,"P",""),IF($AA109=7,"P",""))</f>
        <v/>
      </c>
      <c r="M109" s="158" t="str">
        <f>IF(Settings!$M$4=Settings!$Y$3,IF($AA109=2,"P",""),IF($AA109=8,"P",""))</f>
        <v/>
      </c>
      <c r="N109" s="158" t="str">
        <f>IF(Settings!$M$4=Settings!$Y$3,IF($AA109=3,"P",""),IF($AA109=9,"P",""))</f>
        <v/>
      </c>
      <c r="O109" s="159" t="str">
        <f>IF(Settings!$M$4=Settings!$Y$3,IF($AA109=3,"P",""),IF($AA109=10,"P",""))</f>
        <v/>
      </c>
      <c r="P109" s="22"/>
      <c r="Q109" s="22"/>
      <c r="R109" s="353" t="e">
        <f>IF(INDEX(TblDatabase[Comment13],MATCH(1,INDEX(($L$4=ListEmployeeNamesInDatabase)*(C89=TblDatabase[Year]),0,1),0))="","",INDEX(TblDatabase[Comment13],MATCH(1,INDEX(($L$4=ListEmployeeNamesInDatabase)*(C89=TblDatabase[Year]),0,1),0)))</f>
        <v>#N/A</v>
      </c>
      <c r="S109" s="353"/>
      <c r="T109" s="353"/>
      <c r="U109" s="353"/>
      <c r="V109" s="353"/>
      <c r="W109" s="353"/>
      <c r="X109" s="353"/>
      <c r="Y109" s="354"/>
      <c r="Z109" s="149"/>
      <c r="AA109" s="151">
        <f>SUMIFS(TblDatabase[Competency13],ListEmployeeNamesInDatabase,$L$4,TblDatabase[Year],C89)</f>
        <v>0</v>
      </c>
      <c r="AB109" s="149"/>
      <c r="AC109" s="149"/>
      <c r="AD109" s="149"/>
      <c r="AE109" s="149"/>
      <c r="AF109" s="149"/>
    </row>
    <row r="110" spans="2:32" s="148" customFormat="1" ht="15" hidden="1" customHeight="1">
      <c r="B110" s="355" t="str">
        <f t="shared" si="1"/>
        <v/>
      </c>
      <c r="C110" s="356"/>
      <c r="D110" s="356"/>
      <c r="E110" s="357"/>
      <c r="F110" s="163" t="str">
        <f>IF(Settings!$M$4=Settings!$Y$3,IF($AA110=1,"P",""),IF($AA110=1,"P",""))</f>
        <v/>
      </c>
      <c r="G110" s="164" t="str">
        <f>IF(Settings!$M$4=Settings!$Y$3,IF($AA110=1,"P",""),IF($AA110=2,"P",""))</f>
        <v/>
      </c>
      <c r="H110" s="164" t="str">
        <f>IF(Settings!$M$4=Settings!$Y$3,IF($AA110=1,"P",""),IF($AA110=3,"P",""))</f>
        <v/>
      </c>
      <c r="I110" s="164" t="str">
        <f>IF(Settings!$M$4=Settings!$Y$3,IF($AA110=1,"P",""),IF($AA110=4,"P",""))</f>
        <v/>
      </c>
      <c r="J110" s="164" t="str">
        <f>IF(Settings!$M$4=Settings!$Y$3,IF($AA110=2,"P",""),IF($AA110=5,"P",""))</f>
        <v/>
      </c>
      <c r="K110" s="164" t="str">
        <f>IF(Settings!$M$4=Settings!$Y$3,IF($AA110=2,"P",""),IF($AA110=6,"P",""))</f>
        <v/>
      </c>
      <c r="L110" s="164" t="str">
        <f>IF(Settings!$M$4=Settings!$Y$3,IF($AA110=2,"P",""),IF($AA110=7,"P",""))</f>
        <v/>
      </c>
      <c r="M110" s="164" t="str">
        <f>IF(Settings!$M$4=Settings!$Y$3,IF($AA110=2,"P",""),IF($AA110=8,"P",""))</f>
        <v/>
      </c>
      <c r="N110" s="164" t="str">
        <f>IF(Settings!$M$4=Settings!$Y$3,IF($AA110=3,"P",""),IF($AA110=9,"P",""))</f>
        <v/>
      </c>
      <c r="O110" s="165" t="str">
        <f>IF(Settings!$M$4=Settings!$Y$3,IF($AA110=3,"P",""),IF($AA110=10,"P",""))</f>
        <v/>
      </c>
      <c r="P110" s="22"/>
      <c r="Q110" s="22"/>
      <c r="R110" s="360" t="e">
        <f>IF(INDEX(TblDatabase[Comment14],MATCH(1,INDEX(($L$4=ListEmployeeNamesInDatabase)*(C89=TblDatabase[Year]),0,1),0))="","",INDEX(TblDatabase[Comment14],MATCH(1,INDEX(($L$4=ListEmployeeNamesInDatabase)*(C89=TblDatabase[Year]),0,1),0)))</f>
        <v>#N/A</v>
      </c>
      <c r="S110" s="360"/>
      <c r="T110" s="360"/>
      <c r="U110" s="360"/>
      <c r="V110" s="360"/>
      <c r="W110" s="360"/>
      <c r="X110" s="360"/>
      <c r="Y110" s="361"/>
      <c r="Z110" s="149"/>
      <c r="AA110" s="151">
        <f>SUMIFS(TblDatabase[Competency14],ListEmployeeNamesInDatabase,$L$4,TblDatabase[Year],C89)</f>
        <v>0</v>
      </c>
      <c r="AB110" s="149"/>
      <c r="AC110" s="149"/>
      <c r="AD110" s="149"/>
      <c r="AE110" s="149"/>
      <c r="AF110" s="149"/>
    </row>
    <row r="111" spans="2:32" s="148" customFormat="1" ht="15" hidden="1" customHeight="1">
      <c r="B111" s="350" t="str">
        <f t="shared" si="1"/>
        <v/>
      </c>
      <c r="C111" s="351"/>
      <c r="D111" s="351"/>
      <c r="E111" s="352"/>
      <c r="F111" s="157" t="str">
        <f>IF(Settings!$M$4=Settings!$Y$3,IF($AA111=1,"P",""),IF($AA111=1,"P",""))</f>
        <v/>
      </c>
      <c r="G111" s="158" t="str">
        <f>IF(Settings!$M$4=Settings!$Y$3,IF($AA111=1,"P",""),IF($AA111=2,"P",""))</f>
        <v/>
      </c>
      <c r="H111" s="158" t="str">
        <f>IF(Settings!$M$4=Settings!$Y$3,IF($AA111=1,"P",""),IF($AA111=3,"P",""))</f>
        <v/>
      </c>
      <c r="I111" s="158" t="str">
        <f>IF(Settings!$M$4=Settings!$Y$3,IF($AA111=1,"P",""),IF($AA111=4,"P",""))</f>
        <v/>
      </c>
      <c r="J111" s="158" t="str">
        <f>IF(Settings!$M$4=Settings!$Y$3,IF($AA111=2,"P",""),IF($AA111=5,"P",""))</f>
        <v/>
      </c>
      <c r="K111" s="158" t="str">
        <f>IF(Settings!$M$4=Settings!$Y$3,IF($AA111=2,"P",""),IF($AA111=6,"P",""))</f>
        <v/>
      </c>
      <c r="L111" s="158" t="str">
        <f>IF(Settings!$M$4=Settings!$Y$3,IF($AA111=2,"P",""),IF($AA111=7,"P",""))</f>
        <v/>
      </c>
      <c r="M111" s="158" t="str">
        <f>IF(Settings!$M$4=Settings!$Y$3,IF($AA111=2,"P",""),IF($AA111=8,"P",""))</f>
        <v/>
      </c>
      <c r="N111" s="158" t="str">
        <f>IF(Settings!$M$4=Settings!$Y$3,IF($AA111=3,"P",""),IF($AA111=9,"P",""))</f>
        <v/>
      </c>
      <c r="O111" s="159" t="str">
        <f>IF(Settings!$M$4=Settings!$Y$3,IF($AA111=3,"P",""),IF($AA111=10,"P",""))</f>
        <v/>
      </c>
      <c r="P111" s="22"/>
      <c r="Q111" s="22"/>
      <c r="R111" s="353" t="e">
        <f>IF(INDEX(TblDatabase[Comment15],MATCH(1,INDEX(($L$4=ListEmployeeNamesInDatabase)*(C89=TblDatabase[Year]),0,1),0))="","",INDEX(TblDatabase[Comment15],MATCH(1,INDEX(($L$4=ListEmployeeNamesInDatabase)*(C89=TblDatabase[Year]),0,1),0)))</f>
        <v>#N/A</v>
      </c>
      <c r="S111" s="353"/>
      <c r="T111" s="353"/>
      <c r="U111" s="353"/>
      <c r="V111" s="353"/>
      <c r="W111" s="353"/>
      <c r="X111" s="353"/>
      <c r="Y111" s="354"/>
      <c r="Z111" s="149"/>
      <c r="AA111" s="151">
        <f>SUMIFS(TblDatabase[Competency15],ListEmployeeNamesInDatabase,$L$4,TblDatabase[Year],C89)</f>
        <v>0</v>
      </c>
      <c r="AB111" s="149"/>
      <c r="AC111" s="149"/>
      <c r="AD111" s="149"/>
      <c r="AE111" s="149"/>
      <c r="AF111" s="149"/>
    </row>
    <row r="112" spans="2:32" s="148" customFormat="1" ht="15" hidden="1" customHeight="1">
      <c r="B112" s="355" t="str">
        <f t="shared" si="1"/>
        <v/>
      </c>
      <c r="C112" s="356"/>
      <c r="D112" s="356"/>
      <c r="E112" s="357"/>
      <c r="F112" s="163" t="str">
        <f>IF(Settings!$M$4=Settings!$Y$3,IF($AA112=1,"P",""),IF($AA112=1,"P",""))</f>
        <v/>
      </c>
      <c r="G112" s="164" t="str">
        <f>IF(Settings!$M$4=Settings!$Y$3,IF($AA112=1,"P",""),IF($AA112=2,"P",""))</f>
        <v/>
      </c>
      <c r="H112" s="164" t="str">
        <f>IF(Settings!$M$4=Settings!$Y$3,IF($AA112=1,"P",""),IF($AA112=3,"P",""))</f>
        <v/>
      </c>
      <c r="I112" s="164" t="str">
        <f>IF(Settings!$M$4=Settings!$Y$3,IF($AA112=1,"P",""),IF($AA112=4,"P",""))</f>
        <v/>
      </c>
      <c r="J112" s="164" t="str">
        <f>IF(Settings!$M$4=Settings!$Y$3,IF($AA112=2,"P",""),IF($AA112=5,"P",""))</f>
        <v/>
      </c>
      <c r="K112" s="164" t="str">
        <f>IF(Settings!$M$4=Settings!$Y$3,IF($AA112=2,"P",""),IF($AA112=6,"P",""))</f>
        <v/>
      </c>
      <c r="L112" s="164" t="str">
        <f>IF(Settings!$M$4=Settings!$Y$3,IF($AA112=2,"P",""),IF($AA112=7,"P",""))</f>
        <v/>
      </c>
      <c r="M112" s="164" t="str">
        <f>IF(Settings!$M$4=Settings!$Y$3,IF($AA112=2,"P",""),IF($AA112=8,"P",""))</f>
        <v/>
      </c>
      <c r="N112" s="164" t="str">
        <f>IF(Settings!$M$4=Settings!$Y$3,IF($AA112=3,"P",""),IF($AA112=9,"P",""))</f>
        <v/>
      </c>
      <c r="O112" s="165" t="str">
        <f>IF(Settings!$M$4=Settings!$Y$3,IF($AA112=3,"P",""),IF($AA112=10,"P",""))</f>
        <v/>
      </c>
      <c r="P112" s="22"/>
      <c r="Q112" s="22"/>
      <c r="R112" s="360" t="e">
        <f>IF(INDEX(TblDatabase[Comment16],MATCH(1,INDEX(($L$4=ListEmployeeNamesInDatabase)*(C89=TblDatabase[Year]),0,1),0))="","",INDEX(TblDatabase[Comment16],MATCH(1,INDEX(($L$4=ListEmployeeNamesInDatabase)*(C89=TblDatabase[Year]),0,1),0)))</f>
        <v>#N/A</v>
      </c>
      <c r="S112" s="360"/>
      <c r="T112" s="360"/>
      <c r="U112" s="360"/>
      <c r="V112" s="360"/>
      <c r="W112" s="360"/>
      <c r="X112" s="360"/>
      <c r="Y112" s="361"/>
      <c r="Z112" s="149"/>
      <c r="AA112" s="151">
        <f>SUMIFS(TblDatabase[Competency16],ListEmployeeNamesInDatabase,$L$4,TblDatabase[Year],C89)</f>
        <v>0</v>
      </c>
      <c r="AB112" s="149"/>
      <c r="AC112" s="149"/>
      <c r="AD112" s="149"/>
      <c r="AE112" s="149"/>
      <c r="AF112" s="149"/>
    </row>
    <row r="113" spans="2:32" s="148" customFormat="1" ht="15" hidden="1" customHeight="1">
      <c r="B113" s="350" t="str">
        <f t="shared" si="1"/>
        <v/>
      </c>
      <c r="C113" s="351"/>
      <c r="D113" s="351"/>
      <c r="E113" s="352"/>
      <c r="F113" s="157" t="str">
        <f>IF(Settings!$M$4=Settings!$Y$3,IF($AA113=1,"P",""),IF($AA113=1,"P",""))</f>
        <v/>
      </c>
      <c r="G113" s="158" t="str">
        <f>IF(Settings!$M$4=Settings!$Y$3,IF($AA113=1,"P",""),IF($AA113=2,"P",""))</f>
        <v/>
      </c>
      <c r="H113" s="158" t="str">
        <f>IF(Settings!$M$4=Settings!$Y$3,IF($AA113=1,"P",""),IF($AA113=3,"P",""))</f>
        <v/>
      </c>
      <c r="I113" s="158" t="str">
        <f>IF(Settings!$M$4=Settings!$Y$3,IF($AA113=1,"P",""),IF($AA113=4,"P",""))</f>
        <v/>
      </c>
      <c r="J113" s="158" t="str">
        <f>IF(Settings!$M$4=Settings!$Y$3,IF($AA113=2,"P",""),IF($AA113=5,"P",""))</f>
        <v/>
      </c>
      <c r="K113" s="158" t="str">
        <f>IF(Settings!$M$4=Settings!$Y$3,IF($AA113=2,"P",""),IF($AA113=6,"P",""))</f>
        <v/>
      </c>
      <c r="L113" s="158" t="str">
        <f>IF(Settings!$M$4=Settings!$Y$3,IF($AA113=2,"P",""),IF($AA113=7,"P",""))</f>
        <v/>
      </c>
      <c r="M113" s="158" t="str">
        <f>IF(Settings!$M$4=Settings!$Y$3,IF($AA113=2,"P",""),IF($AA113=8,"P",""))</f>
        <v/>
      </c>
      <c r="N113" s="158" t="str">
        <f>IF(Settings!$M$4=Settings!$Y$3,IF($AA113=3,"P",""),IF($AA113=9,"P",""))</f>
        <v/>
      </c>
      <c r="O113" s="159" t="str">
        <f>IF(Settings!$M$4=Settings!$Y$3,IF($AA113=3,"P",""),IF($AA113=10,"P",""))</f>
        <v/>
      </c>
      <c r="P113" s="22"/>
      <c r="Q113" s="22"/>
      <c r="R113" s="353" t="e">
        <f>IF(INDEX(TblDatabase[Comment17],MATCH(1,INDEX(($L$4=ListEmployeeNamesInDatabase)*(C89=TblDatabase[Year]),0,1),0))="","",INDEX(TblDatabase[Comment17],MATCH(1,INDEX(($L$4=ListEmployeeNamesInDatabase)*(C89=TblDatabase[Year]),0,1),0)))</f>
        <v>#N/A</v>
      </c>
      <c r="S113" s="353"/>
      <c r="T113" s="353"/>
      <c r="U113" s="353"/>
      <c r="V113" s="353"/>
      <c r="W113" s="353"/>
      <c r="X113" s="353"/>
      <c r="Y113" s="354"/>
      <c r="Z113" s="149"/>
      <c r="AA113" s="151">
        <f>SUMIFS(TblDatabase[Competency17],ListEmployeeNamesInDatabase,$L$4,TblDatabase[Year],C89)</f>
        <v>0</v>
      </c>
      <c r="AB113" s="149"/>
      <c r="AC113" s="149"/>
      <c r="AD113" s="149"/>
      <c r="AE113" s="149"/>
      <c r="AF113" s="149"/>
    </row>
    <row r="114" spans="2:32" s="148" customFormat="1" ht="15" hidden="1" customHeight="1">
      <c r="B114" s="355" t="str">
        <f t="shared" si="1"/>
        <v/>
      </c>
      <c r="C114" s="356"/>
      <c r="D114" s="356"/>
      <c r="E114" s="357"/>
      <c r="F114" s="163" t="str">
        <f>IF(Settings!$M$4=Settings!$Y$3,IF($AA114=1,"P",""),IF($AA114=1,"P",""))</f>
        <v/>
      </c>
      <c r="G114" s="164" t="str">
        <f>IF(Settings!$M$4=Settings!$Y$3,IF($AA114=1,"P",""),IF($AA114=2,"P",""))</f>
        <v/>
      </c>
      <c r="H114" s="164" t="str">
        <f>IF(Settings!$M$4=Settings!$Y$3,IF($AA114=1,"P",""),IF($AA114=3,"P",""))</f>
        <v/>
      </c>
      <c r="I114" s="164" t="str">
        <f>IF(Settings!$M$4=Settings!$Y$3,IF($AA114=1,"P",""),IF($AA114=4,"P",""))</f>
        <v/>
      </c>
      <c r="J114" s="164" t="str">
        <f>IF(Settings!$M$4=Settings!$Y$3,IF($AA114=2,"P",""),IF($AA114=5,"P",""))</f>
        <v/>
      </c>
      <c r="K114" s="164" t="str">
        <f>IF(Settings!$M$4=Settings!$Y$3,IF($AA114=2,"P",""),IF($AA114=6,"P",""))</f>
        <v/>
      </c>
      <c r="L114" s="164" t="str">
        <f>IF(Settings!$M$4=Settings!$Y$3,IF($AA114=2,"P",""),IF($AA114=7,"P",""))</f>
        <v/>
      </c>
      <c r="M114" s="164" t="str">
        <f>IF(Settings!$M$4=Settings!$Y$3,IF($AA114=2,"P",""),IF($AA114=8,"P",""))</f>
        <v/>
      </c>
      <c r="N114" s="164" t="str">
        <f>IF(Settings!$M$4=Settings!$Y$3,IF($AA114=3,"P",""),IF($AA114=9,"P",""))</f>
        <v/>
      </c>
      <c r="O114" s="165" t="str">
        <f>IF(Settings!$M$4=Settings!$Y$3,IF($AA114=3,"P",""),IF($AA114=10,"P",""))</f>
        <v/>
      </c>
      <c r="P114" s="22"/>
      <c r="Q114" s="22"/>
      <c r="R114" s="360" t="e">
        <f>IF(INDEX(TblDatabase[Comment18],MATCH(1,INDEX(($L$4=ListEmployeeNamesInDatabase)*(C89=TblDatabase[Year]),0,1),0))="","",INDEX(TblDatabase[Comment18],MATCH(1,INDEX(($L$4=ListEmployeeNamesInDatabase)*(C89=TblDatabase[Year]),0,1),0)))</f>
        <v>#N/A</v>
      </c>
      <c r="S114" s="360"/>
      <c r="T114" s="360"/>
      <c r="U114" s="360"/>
      <c r="V114" s="360"/>
      <c r="W114" s="360"/>
      <c r="X114" s="360"/>
      <c r="Y114" s="361"/>
      <c r="Z114" s="149"/>
      <c r="AA114" s="151">
        <f>SUMIFS(TblDatabase[Competency18],ListEmployeeNamesInDatabase,$L$4,TblDatabase[Year],C89)</f>
        <v>0</v>
      </c>
      <c r="AB114" s="149"/>
      <c r="AC114" s="149"/>
      <c r="AD114" s="149"/>
      <c r="AE114" s="149"/>
      <c r="AF114" s="149"/>
    </row>
    <row r="115" spans="2:32" s="148" customFormat="1" ht="15" hidden="1" customHeight="1">
      <c r="B115" s="350" t="str">
        <f t="shared" si="1"/>
        <v/>
      </c>
      <c r="C115" s="351"/>
      <c r="D115" s="351"/>
      <c r="E115" s="352"/>
      <c r="F115" s="157" t="str">
        <f>IF(Settings!$M$4=Settings!$Y$3,IF($AA115=1,"P",""),IF($AA115=1,"P",""))</f>
        <v/>
      </c>
      <c r="G115" s="158" t="str">
        <f>IF(Settings!$M$4=Settings!$Y$3,IF($AA115=1,"P",""),IF($AA115=2,"P",""))</f>
        <v/>
      </c>
      <c r="H115" s="158" t="str">
        <f>IF(Settings!$M$4=Settings!$Y$3,IF($AA115=1,"P",""),IF($AA115=3,"P",""))</f>
        <v/>
      </c>
      <c r="I115" s="158" t="str">
        <f>IF(Settings!$M$4=Settings!$Y$3,IF($AA115=1,"P",""),IF($AA115=4,"P",""))</f>
        <v/>
      </c>
      <c r="J115" s="158" t="str">
        <f>IF(Settings!$M$4=Settings!$Y$3,IF($AA115=2,"P",""),IF($AA115=5,"P",""))</f>
        <v/>
      </c>
      <c r="K115" s="158" t="str">
        <f>IF(Settings!$M$4=Settings!$Y$3,IF($AA115=2,"P",""),IF($AA115=6,"P",""))</f>
        <v/>
      </c>
      <c r="L115" s="158" t="str">
        <f>IF(Settings!$M$4=Settings!$Y$3,IF($AA115=2,"P",""),IF($AA115=7,"P",""))</f>
        <v/>
      </c>
      <c r="M115" s="158" t="str">
        <f>IF(Settings!$M$4=Settings!$Y$3,IF($AA115=2,"P",""),IF($AA115=8,"P",""))</f>
        <v/>
      </c>
      <c r="N115" s="158" t="str">
        <f>IF(Settings!$M$4=Settings!$Y$3,IF($AA115=3,"P",""),IF($AA115=9,"P",""))</f>
        <v/>
      </c>
      <c r="O115" s="159" t="str">
        <f>IF(Settings!$M$4=Settings!$Y$3,IF($AA115=3,"P",""),IF($AA115=10,"P",""))</f>
        <v/>
      </c>
      <c r="P115" s="22"/>
      <c r="Q115" s="22"/>
      <c r="R115" s="353" t="e">
        <f>IF(INDEX(TblDatabase[Comment19],MATCH(1,INDEX(($L$4=ListEmployeeNamesInDatabase)*(C89=TblDatabase[Year]),0,1),0))="","",INDEX(TblDatabase[Comment19],MATCH(1,INDEX(($L$4=ListEmployeeNamesInDatabase)*(C89=TblDatabase[Year]),0,1),0)))</f>
        <v>#N/A</v>
      </c>
      <c r="S115" s="353"/>
      <c r="T115" s="353"/>
      <c r="U115" s="353"/>
      <c r="V115" s="353"/>
      <c r="W115" s="353"/>
      <c r="X115" s="353"/>
      <c r="Y115" s="354"/>
      <c r="Z115" s="149"/>
      <c r="AA115" s="151">
        <f>SUMIFS(TblDatabase[Competency19],ListEmployeeNamesInDatabase,$L$4,TblDatabase[Year],C89)</f>
        <v>0</v>
      </c>
      <c r="AB115" s="149"/>
      <c r="AC115" s="149"/>
      <c r="AD115" s="149"/>
      <c r="AE115" s="149"/>
      <c r="AF115" s="149"/>
    </row>
    <row r="116" spans="2:32" s="148" customFormat="1" ht="15" hidden="1" customHeight="1">
      <c r="B116" s="362" t="str">
        <f t="shared" si="1"/>
        <v/>
      </c>
      <c r="C116" s="363"/>
      <c r="D116" s="363"/>
      <c r="E116" s="364"/>
      <c r="F116" s="166" t="str">
        <f>IF(Settings!$M$4=Settings!$Y$3,IF($AA116=1,"P",""),IF($AA116=1,"P",""))</f>
        <v/>
      </c>
      <c r="G116" s="167" t="str">
        <f>IF(Settings!$M$4=Settings!$Y$3,IF($AA116=1,"P",""),IF($AA116=2,"P",""))</f>
        <v/>
      </c>
      <c r="H116" s="167" t="str">
        <f>IF(Settings!$M$4=Settings!$Y$3,IF($AA116=1,"P",""),IF($AA116=3,"P",""))</f>
        <v/>
      </c>
      <c r="I116" s="167" t="str">
        <f>IF(Settings!$M$4=Settings!$Y$3,IF($AA116=1,"P",""),IF($AA116=4,"P",""))</f>
        <v/>
      </c>
      <c r="J116" s="167" t="str">
        <f>IF(Settings!$M$4=Settings!$Y$3,IF($AA116=2,"P",""),IF($AA116=5,"P",""))</f>
        <v/>
      </c>
      <c r="K116" s="167" t="str">
        <f>IF(Settings!$M$4=Settings!$Y$3,IF($AA116=2,"P",""),IF($AA116=6,"P",""))</f>
        <v/>
      </c>
      <c r="L116" s="167" t="str">
        <f>IF(Settings!$M$4=Settings!$Y$3,IF($AA116=2,"P",""),IF($AA116=7,"P",""))</f>
        <v/>
      </c>
      <c r="M116" s="167" t="str">
        <f>IF(Settings!$M$4=Settings!$Y$3,IF($AA116=2,"P",""),IF($AA116=8,"P",""))</f>
        <v/>
      </c>
      <c r="N116" s="167" t="str">
        <f>IF(Settings!$M$4=Settings!$Y$3,IF($AA116=3,"P",""),IF($AA116=9,"P",""))</f>
        <v/>
      </c>
      <c r="O116" s="168" t="str">
        <f>IF(Settings!$M$4=Settings!$Y$3,IF($AA116=3,"P",""),IF($AA116=10,"P",""))</f>
        <v/>
      </c>
      <c r="P116" s="22"/>
      <c r="Q116" s="22"/>
      <c r="R116" s="365" t="e">
        <f>IF(INDEX(TblDatabase[Comment20],MATCH(1,INDEX(($L$4=ListEmployeeNamesInDatabase)*(C89=TblDatabase[Year]),0,1),0))="","",INDEX(TblDatabase[Comment20],MATCH(1,INDEX(($L$4=ListEmployeeNamesInDatabase)*(C89=TblDatabase[Year]),0,1),0)))</f>
        <v>#N/A</v>
      </c>
      <c r="S116" s="365"/>
      <c r="T116" s="365"/>
      <c r="U116" s="365"/>
      <c r="V116" s="365"/>
      <c r="W116" s="365"/>
      <c r="X116" s="365"/>
      <c r="Y116" s="366"/>
      <c r="Z116" s="149"/>
      <c r="AA116" s="151">
        <f>SUMIFS(TblDatabase[Competency20],ListEmployeeNamesInDatabase,$L$4,TblDatabase[Year],C89)</f>
        <v>0</v>
      </c>
      <c r="AB116" s="149"/>
      <c r="AC116" s="149"/>
      <c r="AD116" s="149"/>
      <c r="AE116" s="149"/>
      <c r="AF116" s="149"/>
    </row>
    <row r="117" spans="2:32" s="148" customFormat="1" hidden="1">
      <c r="B117" s="414" t="s">
        <v>26</v>
      </c>
      <c r="C117" s="415"/>
      <c r="D117" s="415"/>
      <c r="E117" s="371">
        <f ca="1">SUM(OFFSET(AA97,0,0,NumberOfCompetencies))</f>
        <v>0</v>
      </c>
      <c r="F117" s="372"/>
      <c r="G117" s="152"/>
      <c r="H117" s="152"/>
      <c r="I117" s="152"/>
      <c r="J117" s="152"/>
      <c r="K117" s="152"/>
      <c r="L117" s="152"/>
      <c r="M117" s="152"/>
      <c r="N117" s="152"/>
      <c r="O117" s="152"/>
      <c r="P117" s="152"/>
      <c r="Q117" s="152"/>
      <c r="R117" s="152"/>
      <c r="S117" s="152"/>
      <c r="T117" s="152"/>
      <c r="U117" s="152"/>
      <c r="V117" s="152"/>
      <c r="W117" s="152"/>
      <c r="X117" s="152"/>
      <c r="Y117" s="152"/>
      <c r="Z117" s="149"/>
      <c r="AA117" s="149"/>
      <c r="AB117" s="149"/>
      <c r="AC117" s="149"/>
      <c r="AD117" s="149"/>
      <c r="AE117" s="149"/>
      <c r="AF117" s="149"/>
    </row>
    <row r="118" spans="2:32" s="148" customFormat="1" hidden="1">
      <c r="B118" s="369" t="s">
        <v>27</v>
      </c>
      <c r="C118" s="370"/>
      <c r="D118" s="370"/>
      <c r="E118" s="358">
        <f ca="1">E117/NumberOfCompetencies</f>
        <v>0</v>
      </c>
      <c r="F118" s="359"/>
      <c r="G118" s="153"/>
      <c r="H118" s="153"/>
      <c r="I118" s="153"/>
      <c r="J118" s="153"/>
      <c r="K118" s="153"/>
      <c r="L118" s="153"/>
      <c r="M118" s="153"/>
      <c r="N118" s="153"/>
      <c r="O118" s="153"/>
      <c r="P118" s="153"/>
      <c r="Q118" s="153"/>
      <c r="R118" s="153"/>
      <c r="S118" s="153"/>
      <c r="T118" s="153"/>
      <c r="U118" s="153"/>
      <c r="V118" s="153"/>
      <c r="W118" s="153"/>
      <c r="X118" s="153"/>
      <c r="Y118" s="153"/>
      <c r="Z118" s="149"/>
      <c r="AA118" s="149"/>
      <c r="AB118" s="149"/>
      <c r="AC118" s="149"/>
      <c r="AD118" s="149"/>
      <c r="AE118" s="149"/>
      <c r="AF118" s="149"/>
    </row>
    <row r="119" spans="2:32" s="148" customFormat="1" hidden="1">
      <c r="B119" s="154"/>
      <c r="C119" s="154"/>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49"/>
      <c r="AA119" s="149"/>
      <c r="AB119" s="149"/>
      <c r="AC119" s="149"/>
      <c r="AD119" s="149"/>
      <c r="AE119" s="149"/>
      <c r="AF119" s="149"/>
    </row>
    <row r="120" spans="2:32" s="148" customFormat="1" hidden="1">
      <c r="B120" s="338" t="str">
        <f>Settings!$N$15</f>
        <v>Previously agreed actions</v>
      </c>
      <c r="C120" s="339"/>
      <c r="D120" s="339"/>
      <c r="E120" s="339"/>
      <c r="F120" s="339"/>
      <c r="G120" s="339"/>
      <c r="H120" s="339"/>
      <c r="I120" s="339"/>
      <c r="J120" s="339"/>
      <c r="K120" s="339"/>
      <c r="L120" s="339"/>
      <c r="M120" s="339"/>
      <c r="N120" s="339"/>
      <c r="O120" s="339"/>
      <c r="P120" s="339"/>
      <c r="Q120" s="339"/>
      <c r="R120" s="339"/>
      <c r="S120" s="339"/>
      <c r="T120" s="339"/>
      <c r="U120" s="339"/>
      <c r="V120" s="339"/>
      <c r="W120" s="339"/>
      <c r="X120" s="339"/>
      <c r="Y120" s="340"/>
      <c r="Z120" s="149"/>
      <c r="AA120" s="149"/>
      <c r="AB120" s="149"/>
      <c r="AC120" s="149"/>
      <c r="AD120" s="149"/>
      <c r="AE120" s="149"/>
      <c r="AF120" s="149"/>
    </row>
    <row r="121" spans="2:32" s="148" customFormat="1" hidden="1">
      <c r="B121" s="341" t="e">
        <f>IF(INDEX(TblDatabase[Feedback Does Well],MATCH(1,INDEX(($L$4=ListEmployeeNamesInDatabase)*(C89=TblDatabase[Year]),0,1),0))="","",INDEX(TblDatabase[Feedback Does Well],MATCH(1,INDEX(($L$4=ListEmployeeNamesInDatabase)*(C89=TblDatabase[Year]),0,1),0)))</f>
        <v>#N/A</v>
      </c>
      <c r="C121" s="342"/>
      <c r="D121" s="342"/>
      <c r="E121" s="342"/>
      <c r="F121" s="342"/>
      <c r="G121" s="342"/>
      <c r="H121" s="342"/>
      <c r="I121" s="342"/>
      <c r="J121" s="342"/>
      <c r="K121" s="342"/>
      <c r="L121" s="342"/>
      <c r="M121" s="342"/>
      <c r="N121" s="342"/>
      <c r="O121" s="342"/>
      <c r="P121" s="342"/>
      <c r="Q121" s="342"/>
      <c r="R121" s="342"/>
      <c r="S121" s="342"/>
      <c r="T121" s="342"/>
      <c r="U121" s="342"/>
      <c r="V121" s="342"/>
      <c r="W121" s="342"/>
      <c r="X121" s="342"/>
      <c r="Y121" s="343"/>
      <c r="Z121" s="149"/>
      <c r="AA121" s="149"/>
      <c r="AB121" s="149"/>
      <c r="AC121" s="149"/>
      <c r="AD121" s="149"/>
      <c r="AE121" s="149"/>
      <c r="AF121" s="149"/>
    </row>
    <row r="122" spans="2:32" s="148" customFormat="1" hidden="1">
      <c r="B122" s="344"/>
      <c r="C122" s="345"/>
      <c r="D122" s="345"/>
      <c r="E122" s="345"/>
      <c r="F122" s="345"/>
      <c r="G122" s="345"/>
      <c r="H122" s="345"/>
      <c r="I122" s="345"/>
      <c r="J122" s="345"/>
      <c r="K122" s="345"/>
      <c r="L122" s="345"/>
      <c r="M122" s="345"/>
      <c r="N122" s="345"/>
      <c r="O122" s="345"/>
      <c r="P122" s="345"/>
      <c r="Q122" s="345"/>
      <c r="R122" s="345"/>
      <c r="S122" s="345"/>
      <c r="T122" s="345"/>
      <c r="U122" s="345"/>
      <c r="V122" s="345"/>
      <c r="W122" s="345"/>
      <c r="X122" s="345"/>
      <c r="Y122" s="346"/>
      <c r="Z122" s="149"/>
      <c r="AA122" s="149"/>
      <c r="AB122" s="149"/>
      <c r="AC122" s="149"/>
      <c r="AD122" s="149"/>
      <c r="AE122" s="149"/>
      <c r="AF122" s="149"/>
    </row>
    <row r="123" spans="2:32" s="148" customFormat="1" hidden="1">
      <c r="B123" s="347"/>
      <c r="C123" s="348"/>
      <c r="D123" s="348"/>
      <c r="E123" s="348"/>
      <c r="F123" s="348"/>
      <c r="G123" s="348"/>
      <c r="H123" s="348"/>
      <c r="I123" s="348"/>
      <c r="J123" s="348"/>
      <c r="K123" s="348"/>
      <c r="L123" s="348"/>
      <c r="M123" s="348"/>
      <c r="N123" s="348"/>
      <c r="O123" s="348"/>
      <c r="P123" s="348"/>
      <c r="Q123" s="348"/>
      <c r="R123" s="348"/>
      <c r="S123" s="348"/>
      <c r="T123" s="348"/>
      <c r="U123" s="348"/>
      <c r="V123" s="348"/>
      <c r="W123" s="348"/>
      <c r="X123" s="348"/>
      <c r="Y123" s="349"/>
      <c r="Z123" s="149"/>
      <c r="AA123" s="149"/>
      <c r="AB123" s="149"/>
      <c r="AC123" s="149"/>
      <c r="AD123" s="149"/>
      <c r="AE123" s="149"/>
      <c r="AF123" s="149"/>
    </row>
    <row r="124" spans="2:32" s="148" customFormat="1" hidden="1">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49"/>
      <c r="AA124" s="149"/>
      <c r="AB124" s="149"/>
      <c r="AC124" s="149"/>
      <c r="AD124" s="149"/>
      <c r="AE124" s="149"/>
      <c r="AF124" s="149"/>
    </row>
    <row r="125" spans="2:32" s="148" customFormat="1" hidden="1">
      <c r="B125" s="338" t="str">
        <f>Settings!$N$16</f>
        <v>Actions agreed during this review</v>
      </c>
      <c r="C125" s="339"/>
      <c r="D125" s="339"/>
      <c r="E125" s="339"/>
      <c r="F125" s="339"/>
      <c r="G125" s="339"/>
      <c r="H125" s="339"/>
      <c r="I125" s="339"/>
      <c r="J125" s="339"/>
      <c r="K125" s="339"/>
      <c r="L125" s="339"/>
      <c r="M125" s="339"/>
      <c r="N125" s="339"/>
      <c r="O125" s="339"/>
      <c r="P125" s="339"/>
      <c r="Q125" s="339"/>
      <c r="R125" s="339"/>
      <c r="S125" s="339"/>
      <c r="T125" s="339"/>
      <c r="U125" s="339"/>
      <c r="V125" s="339"/>
      <c r="W125" s="339"/>
      <c r="X125" s="339"/>
      <c r="Y125" s="340"/>
      <c r="Z125" s="149"/>
      <c r="AA125" s="149"/>
      <c r="AB125" s="149"/>
      <c r="AC125" s="149"/>
      <c r="AD125" s="149"/>
      <c r="AE125" s="149"/>
      <c r="AF125" s="149"/>
    </row>
    <row r="126" spans="2:32" s="148" customFormat="1" hidden="1">
      <c r="B126" s="341" t="e">
        <f>IF(INDEX(TblDatabase[Feedback To Improve],MATCH(1,INDEX(($L$4=ListEmployeeNamesInDatabase)*(C89=TblDatabase[Year]),0,1),0))="","",INDEX(TblDatabase[Feedback To Improve],MATCH(1,INDEX(($L$4=ListEmployeeNamesInDatabase)*(C89=TblDatabase[Year]),0,1),0)))</f>
        <v>#N/A</v>
      </c>
      <c r="C126" s="342"/>
      <c r="D126" s="342"/>
      <c r="E126" s="342"/>
      <c r="F126" s="342"/>
      <c r="G126" s="342"/>
      <c r="H126" s="342"/>
      <c r="I126" s="342"/>
      <c r="J126" s="342"/>
      <c r="K126" s="342"/>
      <c r="L126" s="342"/>
      <c r="M126" s="342"/>
      <c r="N126" s="342"/>
      <c r="O126" s="342"/>
      <c r="P126" s="342"/>
      <c r="Q126" s="342"/>
      <c r="R126" s="342"/>
      <c r="S126" s="342"/>
      <c r="T126" s="342"/>
      <c r="U126" s="342"/>
      <c r="V126" s="342"/>
      <c r="W126" s="342"/>
      <c r="X126" s="342"/>
      <c r="Y126" s="343"/>
      <c r="Z126" s="149"/>
      <c r="AA126" s="149"/>
      <c r="AB126" s="149"/>
      <c r="AC126" s="149"/>
      <c r="AD126" s="149"/>
      <c r="AE126" s="149"/>
      <c r="AF126" s="149"/>
    </row>
    <row r="127" spans="2:32" s="148" customFormat="1" hidden="1">
      <c r="B127" s="344"/>
      <c r="C127" s="345"/>
      <c r="D127" s="345"/>
      <c r="E127" s="345"/>
      <c r="F127" s="345"/>
      <c r="G127" s="345"/>
      <c r="H127" s="345"/>
      <c r="I127" s="345"/>
      <c r="J127" s="345"/>
      <c r="K127" s="345"/>
      <c r="L127" s="345"/>
      <c r="M127" s="345"/>
      <c r="N127" s="345"/>
      <c r="O127" s="345"/>
      <c r="P127" s="345"/>
      <c r="Q127" s="345"/>
      <c r="R127" s="345"/>
      <c r="S127" s="345"/>
      <c r="T127" s="345"/>
      <c r="U127" s="345"/>
      <c r="V127" s="345"/>
      <c r="W127" s="345"/>
      <c r="X127" s="345"/>
      <c r="Y127" s="346"/>
      <c r="Z127" s="149"/>
      <c r="AA127" s="149"/>
      <c r="AB127" s="149"/>
      <c r="AC127" s="149"/>
      <c r="AD127" s="149"/>
      <c r="AE127" s="149"/>
      <c r="AF127" s="149"/>
    </row>
    <row r="128" spans="2:32" s="148" customFormat="1" hidden="1">
      <c r="B128" s="347"/>
      <c r="C128" s="348"/>
      <c r="D128" s="348"/>
      <c r="E128" s="348"/>
      <c r="F128" s="348"/>
      <c r="G128" s="348"/>
      <c r="H128" s="348"/>
      <c r="I128" s="348"/>
      <c r="J128" s="348"/>
      <c r="K128" s="348"/>
      <c r="L128" s="348"/>
      <c r="M128" s="348"/>
      <c r="N128" s="348"/>
      <c r="O128" s="348"/>
      <c r="P128" s="348"/>
      <c r="Q128" s="348"/>
      <c r="R128" s="348"/>
      <c r="S128" s="348"/>
      <c r="T128" s="348"/>
      <c r="U128" s="348"/>
      <c r="V128" s="348"/>
      <c r="W128" s="348"/>
      <c r="X128" s="348"/>
      <c r="Y128" s="349"/>
      <c r="Z128" s="149"/>
      <c r="AA128" s="149"/>
      <c r="AB128" s="149"/>
      <c r="AC128" s="149"/>
      <c r="AD128" s="149"/>
      <c r="AE128" s="149"/>
      <c r="AF128" s="149"/>
    </row>
    <row r="129" spans="1:32" s="148" customFormat="1" hidden="1">
      <c r="B129" s="156"/>
      <c r="C129" s="156"/>
      <c r="D129" s="156"/>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49"/>
      <c r="AA129" s="149"/>
      <c r="AB129" s="149"/>
      <c r="AC129" s="149"/>
      <c r="AD129" s="149"/>
      <c r="AE129" s="149"/>
      <c r="AF129" s="149"/>
    </row>
    <row r="130" spans="1:32" s="148" customFormat="1" hidden="1">
      <c r="A130" s="150">
        <f>A89+1</f>
        <v>3</v>
      </c>
      <c r="B130" s="27" t="s">
        <v>14</v>
      </c>
      <c r="C130" s="333">
        <f>C89-1</f>
        <v>2018</v>
      </c>
      <c r="D130" s="334"/>
      <c r="Y130" s="149"/>
      <c r="Z130" s="149"/>
      <c r="AA130" s="149"/>
      <c r="AB130" s="149"/>
      <c r="AC130" s="149"/>
      <c r="AD130" s="149"/>
      <c r="AE130" s="149"/>
      <c r="AF130" s="149"/>
    </row>
    <row r="131" spans="1:32" s="148" customFormat="1" hidden="1">
      <c r="Y131" s="149"/>
      <c r="Z131" s="149"/>
      <c r="AA131" s="149"/>
      <c r="AB131" s="149"/>
      <c r="AC131" s="149"/>
      <c r="AD131" s="149"/>
      <c r="AE131" s="149"/>
      <c r="AF131" s="149"/>
    </row>
    <row r="132" spans="1:32" s="148" customFormat="1" hidden="1">
      <c r="B132" s="338" t="str">
        <f>Settings!$N$14</f>
        <v>Employee's comments</v>
      </c>
      <c r="C132" s="339"/>
      <c r="D132" s="339"/>
      <c r="E132" s="339"/>
      <c r="F132" s="339"/>
      <c r="G132" s="339"/>
      <c r="H132" s="339"/>
      <c r="I132" s="339"/>
      <c r="J132" s="339"/>
      <c r="K132" s="339"/>
      <c r="L132" s="339"/>
      <c r="M132" s="339"/>
      <c r="N132" s="339"/>
      <c r="O132" s="339"/>
      <c r="P132" s="339"/>
      <c r="Q132" s="339"/>
      <c r="R132" s="339"/>
      <c r="S132" s="339"/>
      <c r="T132" s="339"/>
      <c r="U132" s="339"/>
      <c r="V132" s="339"/>
      <c r="W132" s="339"/>
      <c r="X132" s="339"/>
      <c r="Y132" s="340"/>
      <c r="Z132" s="149"/>
      <c r="AA132" s="149"/>
      <c r="AB132" s="149"/>
      <c r="AC132" s="149"/>
      <c r="AD132" s="149"/>
      <c r="AE132" s="149"/>
      <c r="AF132" s="149"/>
    </row>
    <row r="133" spans="1:32" s="148" customFormat="1" hidden="1">
      <c r="B133" s="341" t="e">
        <f>IF(INDEX(TblDatabase[Feedback Warnings],MATCH(1,INDEX(($L$4=ListEmployeeNamesInDatabase)*(C130=TblDatabase[Year]),0,1),0))="","",INDEX(TblDatabase[Feedback Warnings],MATCH(1,INDEX(($L$4=ListEmployeeNamesInDatabase)*(C130=TblDatabase[Year]),0,1),0)))</f>
        <v>#N/A</v>
      </c>
      <c r="C133" s="342"/>
      <c r="D133" s="342"/>
      <c r="E133" s="342"/>
      <c r="F133" s="342"/>
      <c r="G133" s="342"/>
      <c r="H133" s="342"/>
      <c r="I133" s="342"/>
      <c r="J133" s="342"/>
      <c r="K133" s="342"/>
      <c r="L133" s="342"/>
      <c r="M133" s="342"/>
      <c r="N133" s="342"/>
      <c r="O133" s="342"/>
      <c r="P133" s="342"/>
      <c r="Q133" s="342"/>
      <c r="R133" s="342"/>
      <c r="S133" s="342"/>
      <c r="T133" s="342"/>
      <c r="U133" s="342"/>
      <c r="V133" s="342"/>
      <c r="W133" s="342"/>
      <c r="X133" s="342"/>
      <c r="Y133" s="343"/>
      <c r="Z133" s="149"/>
      <c r="AA133" s="149"/>
      <c r="AB133" s="149"/>
      <c r="AC133" s="149"/>
      <c r="AD133" s="149"/>
      <c r="AE133" s="149"/>
      <c r="AF133" s="149"/>
    </row>
    <row r="134" spans="1:32" s="148" customFormat="1" hidden="1">
      <c r="B134" s="344"/>
      <c r="C134" s="345"/>
      <c r="D134" s="345"/>
      <c r="E134" s="345"/>
      <c r="F134" s="345"/>
      <c r="G134" s="345"/>
      <c r="H134" s="345"/>
      <c r="I134" s="345"/>
      <c r="J134" s="345"/>
      <c r="K134" s="345"/>
      <c r="L134" s="345"/>
      <c r="M134" s="345"/>
      <c r="N134" s="345"/>
      <c r="O134" s="345"/>
      <c r="P134" s="345"/>
      <c r="Q134" s="345"/>
      <c r="R134" s="345"/>
      <c r="S134" s="345"/>
      <c r="T134" s="345"/>
      <c r="U134" s="345"/>
      <c r="V134" s="345"/>
      <c r="W134" s="345"/>
      <c r="X134" s="345"/>
      <c r="Y134" s="346"/>
      <c r="Z134" s="149"/>
      <c r="AA134" s="149"/>
      <c r="AB134" s="149"/>
      <c r="AC134" s="149"/>
      <c r="AD134" s="149"/>
      <c r="AE134" s="149"/>
      <c r="AF134" s="149"/>
    </row>
    <row r="135" spans="1:32" s="148" customFormat="1" hidden="1">
      <c r="B135" s="347"/>
      <c r="C135" s="348"/>
      <c r="D135" s="348"/>
      <c r="E135" s="348"/>
      <c r="F135" s="348"/>
      <c r="G135" s="348"/>
      <c r="H135" s="348"/>
      <c r="I135" s="348"/>
      <c r="J135" s="348"/>
      <c r="K135" s="348"/>
      <c r="L135" s="348"/>
      <c r="M135" s="348"/>
      <c r="N135" s="348"/>
      <c r="O135" s="348"/>
      <c r="P135" s="348"/>
      <c r="Q135" s="348"/>
      <c r="R135" s="348"/>
      <c r="S135" s="348"/>
      <c r="T135" s="348"/>
      <c r="U135" s="348"/>
      <c r="V135" s="348"/>
      <c r="W135" s="348"/>
      <c r="X135" s="348"/>
      <c r="Y135" s="349"/>
      <c r="Z135" s="149"/>
      <c r="AA135" s="149"/>
      <c r="AB135" s="149"/>
      <c r="AC135" s="149"/>
      <c r="AD135" s="149"/>
      <c r="AE135" s="149"/>
      <c r="AF135" s="149"/>
    </row>
    <row r="136" spans="1:32" s="148" customFormat="1" hidden="1">
      <c r="Y136" s="149"/>
      <c r="Z136" s="149"/>
      <c r="AA136" s="149"/>
      <c r="AB136" s="149"/>
      <c r="AC136" s="149"/>
      <c r="AD136" s="149"/>
      <c r="AE136" s="149"/>
      <c r="AF136" s="149"/>
    </row>
    <row r="137" spans="1:32" s="148" customFormat="1" ht="15" hidden="1" customHeight="1">
      <c r="B137" s="320" t="s">
        <v>8</v>
      </c>
      <c r="C137" s="321"/>
      <c r="D137" s="321"/>
      <c r="E137" s="321"/>
      <c r="F137" s="233">
        <f>IF(Settings!$M$4=Settings!$Y$3,Settings!$O$19,1)</f>
        <v>1</v>
      </c>
      <c r="G137" s="234">
        <f>IF(Settings!$M$4=Settings!$Y$3,Settings!$O$19,2)</f>
        <v>2</v>
      </c>
      <c r="H137" s="234">
        <f>IF(Settings!$M$4=Settings!$Y$3,Settings!$O$19,3)</f>
        <v>3</v>
      </c>
      <c r="I137" s="234">
        <f>IF(Settings!$M$4=Settings!$Y$3,Settings!$O$19,4)</f>
        <v>4</v>
      </c>
      <c r="J137" s="234">
        <f>IF(Settings!$M$4=Settings!$Y$3,Settings!$O$20,5)</f>
        <v>5</v>
      </c>
      <c r="K137" s="234">
        <f>IF(Settings!$M$4=Settings!$Y$3,Settings!$O$20,6)</f>
        <v>6</v>
      </c>
      <c r="L137" s="234">
        <f>IF(Settings!$M$4=Settings!$Y$3,Settings!$O$20,7)</f>
        <v>7</v>
      </c>
      <c r="M137" s="234">
        <f>IF(Settings!$M$4=Settings!$Y$3,Settings!$O$20,8)</f>
        <v>8</v>
      </c>
      <c r="N137" s="234">
        <f>IF(Settings!$M$4=Settings!$Y$3,Settings!$O$21,9)</f>
        <v>9</v>
      </c>
      <c r="O137" s="235">
        <f>IF(Settings!$M$4=Settings!$Y$3,Settings!$O$21,10)</f>
        <v>10</v>
      </c>
      <c r="P137" s="22"/>
      <c r="Q137" s="22"/>
      <c r="R137" s="333" t="s">
        <v>24</v>
      </c>
      <c r="S137" s="333"/>
      <c r="T137" s="333"/>
      <c r="U137" s="333"/>
      <c r="V137" s="333"/>
      <c r="W137" s="333"/>
      <c r="X137" s="333"/>
      <c r="Y137" s="334"/>
      <c r="Z137" s="149"/>
      <c r="AA137" s="149"/>
      <c r="AB137" s="149"/>
      <c r="AC137" s="149"/>
      <c r="AD137" s="149"/>
      <c r="AE137" s="149"/>
      <c r="AF137" s="149"/>
    </row>
    <row r="138" spans="1:32" s="148" customFormat="1" ht="15" hidden="1" customHeight="1">
      <c r="B138" s="335" t="str">
        <f t="shared" ref="B138:B157" si="2">B97</f>
        <v>Quality of Work</v>
      </c>
      <c r="C138" s="336"/>
      <c r="D138" s="336"/>
      <c r="E138" s="337"/>
      <c r="F138" s="162" t="str">
        <f>IF(Settings!$M$4=Settings!$Y$3,IF($AA138=1,"P",""),IF($AA138=1,"P",""))</f>
        <v/>
      </c>
      <c r="G138" s="160" t="str">
        <f>IF(Settings!$M$4=Settings!$Y$3,IF($AA138=1,"P",""),IF($AA138=2,"P",""))</f>
        <v/>
      </c>
      <c r="H138" s="160" t="str">
        <f>IF(Settings!$M$4=Settings!$Y$3,IF($AA138=1,"P",""),IF($AA138=3,"P",""))</f>
        <v/>
      </c>
      <c r="I138" s="160" t="str">
        <f>IF(Settings!$M$4=Settings!$Y$3,IF($AA138=1,"P",""),IF($AA138=4,"P",""))</f>
        <v/>
      </c>
      <c r="J138" s="160" t="str">
        <f>IF(Settings!$M$4=Settings!$Y$3,IF($AA138=2,"P",""),IF($AA138=5,"P",""))</f>
        <v/>
      </c>
      <c r="K138" s="160" t="str">
        <f>IF(Settings!$M$4=Settings!$Y$3,IF($AA138=2,"P",""),IF($AA138=6,"P",""))</f>
        <v/>
      </c>
      <c r="L138" s="160" t="str">
        <f>IF(Settings!$M$4=Settings!$Y$3,IF($AA138=2,"P",""),IF($AA138=7,"P",""))</f>
        <v/>
      </c>
      <c r="M138" s="160" t="str">
        <f>IF(Settings!$M$4=Settings!$Y$3,IF($AA138=2,"P",""),IF($AA138=8,"P",""))</f>
        <v/>
      </c>
      <c r="N138" s="160" t="str">
        <f>IF(Settings!$M$4=Settings!$Y$3,IF($AA138=3,"P",""),IF($AA138=9,"P",""))</f>
        <v/>
      </c>
      <c r="O138" s="161" t="str">
        <f>IF(Settings!$M$4=Settings!$Y$3,IF($AA138=3,"P",""),IF($AA138=10,"P",""))</f>
        <v/>
      </c>
      <c r="P138" s="22"/>
      <c r="Q138" s="22"/>
      <c r="R138" s="367" t="e">
        <f>IF(INDEX(TblDatabase[Comment1],MATCH(1,INDEX(($L$4=ListEmployeeNamesInDatabase)*(C130=TblDatabase[Year]),0,1),0))="","",INDEX(TblDatabase[Comment1],MATCH(1,INDEX(($L$4=ListEmployeeNamesInDatabase)*(C130=TblDatabase[Year]),0,1),0)))</f>
        <v>#N/A</v>
      </c>
      <c r="S138" s="367"/>
      <c r="T138" s="367"/>
      <c r="U138" s="367"/>
      <c r="V138" s="367"/>
      <c r="W138" s="367"/>
      <c r="X138" s="367"/>
      <c r="Y138" s="368"/>
      <c r="Z138" s="149"/>
      <c r="AA138" s="151">
        <f>SUMIFS(TblDatabase[Competency1],ListEmployeeNamesInDatabase,$L$4,TblDatabase[Year],C130)</f>
        <v>0</v>
      </c>
      <c r="AB138" s="149"/>
      <c r="AC138" s="149"/>
      <c r="AD138" s="149"/>
      <c r="AE138" s="149"/>
      <c r="AF138" s="149"/>
    </row>
    <row r="139" spans="1:32" s="148" customFormat="1" ht="15" hidden="1" customHeight="1">
      <c r="B139" s="355" t="str">
        <f t="shared" si="2"/>
        <v>CaLL flow</v>
      </c>
      <c r="C139" s="356"/>
      <c r="D139" s="356"/>
      <c r="E139" s="357"/>
      <c r="F139" s="163" t="str">
        <f>IF(Settings!$M$4=Settings!$Y$3,IF($AA139=1,"P",""),IF($AA139=1,"P",""))</f>
        <v/>
      </c>
      <c r="G139" s="164" t="str">
        <f>IF(Settings!$M$4=Settings!$Y$3,IF($AA139=1,"P",""),IF($AA139=2,"P",""))</f>
        <v/>
      </c>
      <c r="H139" s="164" t="str">
        <f>IF(Settings!$M$4=Settings!$Y$3,IF($AA139=1,"P",""),IF($AA139=3,"P",""))</f>
        <v/>
      </c>
      <c r="I139" s="164" t="str">
        <f>IF(Settings!$M$4=Settings!$Y$3,IF($AA139=1,"P",""),IF($AA139=4,"P",""))</f>
        <v/>
      </c>
      <c r="J139" s="164" t="str">
        <f>IF(Settings!$M$4=Settings!$Y$3,IF($AA139=2,"P",""),IF($AA139=5,"P",""))</f>
        <v/>
      </c>
      <c r="K139" s="164" t="str">
        <f>IF(Settings!$M$4=Settings!$Y$3,IF($AA139=2,"P",""),IF($AA139=6,"P",""))</f>
        <v/>
      </c>
      <c r="L139" s="164" t="str">
        <f>IF(Settings!$M$4=Settings!$Y$3,IF($AA139=2,"P",""),IF($AA139=7,"P",""))</f>
        <v/>
      </c>
      <c r="M139" s="164" t="str">
        <f>IF(Settings!$M$4=Settings!$Y$3,IF($AA139=2,"P",""),IF($AA139=8,"P",""))</f>
        <v/>
      </c>
      <c r="N139" s="164" t="str">
        <f>IF(Settings!$M$4=Settings!$Y$3,IF($AA139=3,"P",""),IF($AA139=9,"P",""))</f>
        <v/>
      </c>
      <c r="O139" s="165" t="str">
        <f>IF(Settings!$M$4=Settings!$Y$3,IF($AA139=3,"P",""),IF($AA139=10,"P",""))</f>
        <v/>
      </c>
      <c r="P139" s="22"/>
      <c r="Q139" s="22"/>
      <c r="R139" s="360" t="e">
        <f>IF(INDEX(TblDatabase[Comment2],MATCH(1,INDEX(($L$4=ListEmployeeNamesInDatabase)*(C130=TblDatabase[Year]),0,1),0))="","",INDEX(TblDatabase[Comment2],MATCH(1,INDEX(($L$4=ListEmployeeNamesInDatabase)*(C130=TblDatabase[Year]),0,1),0)))</f>
        <v>#N/A</v>
      </c>
      <c r="S139" s="360"/>
      <c r="T139" s="360"/>
      <c r="U139" s="360"/>
      <c r="V139" s="360"/>
      <c r="W139" s="360"/>
      <c r="X139" s="360"/>
      <c r="Y139" s="361"/>
      <c r="Z139" s="149"/>
      <c r="AA139" s="151">
        <f>SUMIFS(TblDatabase[Competency2],ListEmployeeNamesInDatabase,$L$4,TblDatabase[Year],C130)</f>
        <v>0</v>
      </c>
      <c r="AB139" s="149"/>
      <c r="AC139" s="149"/>
      <c r="AD139" s="149"/>
      <c r="AE139" s="149"/>
      <c r="AF139" s="149"/>
    </row>
    <row r="140" spans="1:32" s="148" customFormat="1" ht="15" hidden="1" customHeight="1">
      <c r="B140" s="350" t="str">
        <f t="shared" si="2"/>
        <v>Job Knowledge</v>
      </c>
      <c r="C140" s="351"/>
      <c r="D140" s="351"/>
      <c r="E140" s="352"/>
      <c r="F140" s="157" t="str">
        <f>IF(Settings!$M$4=Settings!$Y$3,IF($AA140=1,"P",""),IF($AA140=1,"P",""))</f>
        <v/>
      </c>
      <c r="G140" s="158" t="str">
        <f>IF(Settings!$M$4=Settings!$Y$3,IF($AA140=1,"P",""),IF($AA140=2,"P",""))</f>
        <v/>
      </c>
      <c r="H140" s="158" t="str">
        <f>IF(Settings!$M$4=Settings!$Y$3,IF($AA140=1,"P",""),IF($AA140=3,"P",""))</f>
        <v/>
      </c>
      <c r="I140" s="158" t="str">
        <f>IF(Settings!$M$4=Settings!$Y$3,IF($AA140=1,"P",""),IF($AA140=4,"P",""))</f>
        <v/>
      </c>
      <c r="J140" s="158" t="str">
        <f>IF(Settings!$M$4=Settings!$Y$3,IF($AA140=2,"P",""),IF($AA140=5,"P",""))</f>
        <v/>
      </c>
      <c r="K140" s="158" t="str">
        <f>IF(Settings!$M$4=Settings!$Y$3,IF($AA140=2,"P",""),IF($AA140=6,"P",""))</f>
        <v/>
      </c>
      <c r="L140" s="158" t="str">
        <f>IF(Settings!$M$4=Settings!$Y$3,IF($AA140=2,"P",""),IF($AA140=7,"P",""))</f>
        <v/>
      </c>
      <c r="M140" s="158" t="str">
        <f>IF(Settings!$M$4=Settings!$Y$3,IF($AA140=2,"P",""),IF($AA140=8,"P",""))</f>
        <v/>
      </c>
      <c r="N140" s="158" t="str">
        <f>IF(Settings!$M$4=Settings!$Y$3,IF($AA140=3,"P",""),IF($AA140=9,"P",""))</f>
        <v/>
      </c>
      <c r="O140" s="159" t="str">
        <f>IF(Settings!$M$4=Settings!$Y$3,IF($AA140=3,"P",""),IF($AA140=10,"P",""))</f>
        <v/>
      </c>
      <c r="P140" s="22"/>
      <c r="Q140" s="22"/>
      <c r="R140" s="353" t="e">
        <f>IF(INDEX(TblDatabase[Comment3],MATCH(1,INDEX(($L$4=ListEmployeeNamesInDatabase)*(C130=TblDatabase[Year]),0,1),0))="","",INDEX(TblDatabase[Comment3],MATCH(1,INDEX(($L$4=ListEmployeeNamesInDatabase)*(C130=TblDatabase[Year]),0,1),0)))</f>
        <v>#N/A</v>
      </c>
      <c r="S140" s="353"/>
      <c r="T140" s="353"/>
      <c r="U140" s="353"/>
      <c r="V140" s="353"/>
      <c r="W140" s="353"/>
      <c r="X140" s="353"/>
      <c r="Y140" s="354"/>
      <c r="Z140" s="149"/>
      <c r="AA140" s="151">
        <f>SUMIFS(TblDatabase[Competency3],ListEmployeeNamesInDatabase,$L$4,TblDatabase[Year],C130)</f>
        <v>0</v>
      </c>
      <c r="AB140" s="149"/>
      <c r="AC140" s="149"/>
      <c r="AD140" s="149"/>
      <c r="AE140" s="149"/>
      <c r="AF140" s="149"/>
    </row>
    <row r="141" spans="1:32" s="148" customFormat="1" ht="15" hidden="1" customHeight="1">
      <c r="B141" s="355" t="str">
        <f t="shared" si="2"/>
        <v>Client Service</v>
      </c>
      <c r="C141" s="356"/>
      <c r="D141" s="356"/>
      <c r="E141" s="357"/>
      <c r="F141" s="163" t="str">
        <f>IF(Settings!$M$4=Settings!$Y$3,IF($AA141=1,"P",""),IF($AA141=1,"P",""))</f>
        <v/>
      </c>
      <c r="G141" s="164" t="str">
        <f>IF(Settings!$M$4=Settings!$Y$3,IF($AA141=1,"P",""),IF($AA141=2,"P",""))</f>
        <v/>
      </c>
      <c r="H141" s="164" t="str">
        <f>IF(Settings!$M$4=Settings!$Y$3,IF($AA141=1,"P",""),IF($AA141=3,"P",""))</f>
        <v/>
      </c>
      <c r="I141" s="164" t="str">
        <f>IF(Settings!$M$4=Settings!$Y$3,IF($AA141=1,"P",""),IF($AA141=4,"P",""))</f>
        <v/>
      </c>
      <c r="J141" s="164" t="str">
        <f>IF(Settings!$M$4=Settings!$Y$3,IF($AA141=2,"P",""),IF($AA141=5,"P",""))</f>
        <v/>
      </c>
      <c r="K141" s="164" t="str">
        <f>IF(Settings!$M$4=Settings!$Y$3,IF($AA141=2,"P",""),IF($AA141=6,"P",""))</f>
        <v/>
      </c>
      <c r="L141" s="164" t="str">
        <f>IF(Settings!$M$4=Settings!$Y$3,IF($AA141=2,"P",""),IF($AA141=7,"P",""))</f>
        <v/>
      </c>
      <c r="M141" s="164" t="str">
        <f>IF(Settings!$M$4=Settings!$Y$3,IF($AA141=2,"P",""),IF($AA141=8,"P",""))</f>
        <v/>
      </c>
      <c r="N141" s="164" t="str">
        <f>IF(Settings!$M$4=Settings!$Y$3,IF($AA141=3,"P",""),IF($AA141=9,"P",""))</f>
        <v/>
      </c>
      <c r="O141" s="165" t="str">
        <f>IF(Settings!$M$4=Settings!$Y$3,IF($AA141=3,"P",""),IF($AA141=10,"P",""))</f>
        <v/>
      </c>
      <c r="P141" s="22"/>
      <c r="Q141" s="22"/>
      <c r="R141" s="360" t="e">
        <f>IF(INDEX(TblDatabase[Comment4],MATCH(1,INDEX(($L$4=ListEmployeeNamesInDatabase)*(C130=TblDatabase[Year]),0,1),0))="","",INDEX(TblDatabase[Comment4],MATCH(1,INDEX(($L$4=ListEmployeeNamesInDatabase)*(C130=TblDatabase[Year]),0,1),0)))</f>
        <v>#N/A</v>
      </c>
      <c r="S141" s="360"/>
      <c r="T141" s="360"/>
      <c r="U141" s="360"/>
      <c r="V141" s="360"/>
      <c r="W141" s="360"/>
      <c r="X141" s="360"/>
      <c r="Y141" s="361"/>
      <c r="Z141" s="149"/>
      <c r="AA141" s="151">
        <f>SUMIFS(TblDatabase[Competency4],ListEmployeeNamesInDatabase,$L$4,TblDatabase[Year],C130)</f>
        <v>0</v>
      </c>
      <c r="AB141" s="149"/>
      <c r="AC141" s="149"/>
      <c r="AD141" s="149"/>
      <c r="AE141" s="149"/>
      <c r="AF141" s="149"/>
    </row>
    <row r="142" spans="1:32" s="148" customFormat="1" ht="15" hidden="1" customHeight="1">
      <c r="B142" s="350" t="str">
        <f t="shared" si="2"/>
        <v>Teamwork</v>
      </c>
      <c r="C142" s="351"/>
      <c r="D142" s="351"/>
      <c r="E142" s="352"/>
      <c r="F142" s="157" t="str">
        <f>IF(Settings!$M$4=Settings!$Y$3,IF($AA142=1,"P",""),IF($AA142=1,"P",""))</f>
        <v/>
      </c>
      <c r="G142" s="158" t="str">
        <f>IF(Settings!$M$4=Settings!$Y$3,IF($AA142=1,"P",""),IF($AA142=2,"P",""))</f>
        <v/>
      </c>
      <c r="H142" s="158" t="str">
        <f>IF(Settings!$M$4=Settings!$Y$3,IF($AA142=1,"P",""),IF($AA142=3,"P",""))</f>
        <v/>
      </c>
      <c r="I142" s="158" t="str">
        <f>IF(Settings!$M$4=Settings!$Y$3,IF($AA142=1,"P",""),IF($AA142=4,"P",""))</f>
        <v/>
      </c>
      <c r="J142" s="158" t="str">
        <f>IF(Settings!$M$4=Settings!$Y$3,IF($AA142=2,"P",""),IF($AA142=5,"P",""))</f>
        <v/>
      </c>
      <c r="K142" s="158" t="str">
        <f>IF(Settings!$M$4=Settings!$Y$3,IF($AA142=2,"P",""),IF($AA142=6,"P",""))</f>
        <v/>
      </c>
      <c r="L142" s="158" t="str">
        <f>IF(Settings!$M$4=Settings!$Y$3,IF($AA142=2,"P",""),IF($AA142=7,"P",""))</f>
        <v/>
      </c>
      <c r="M142" s="158" t="str">
        <f>IF(Settings!$M$4=Settings!$Y$3,IF($AA142=2,"P",""),IF($AA142=8,"P",""))</f>
        <v/>
      </c>
      <c r="N142" s="158" t="str">
        <f>IF(Settings!$M$4=Settings!$Y$3,IF($AA142=3,"P",""),IF($AA142=9,"P",""))</f>
        <v/>
      </c>
      <c r="O142" s="159" t="str">
        <f>IF(Settings!$M$4=Settings!$Y$3,IF($AA142=3,"P",""),IF($AA142=10,"P",""))</f>
        <v/>
      </c>
      <c r="P142" s="22"/>
      <c r="Q142" s="22"/>
      <c r="R142" s="353" t="e">
        <f>IF(INDEX(TblDatabase[Comment5],MATCH(1,INDEX(($L$4=ListEmployeeNamesInDatabase)*(C130=TblDatabase[Year]),0,1),0))="","",INDEX(TblDatabase[Comment5],MATCH(1,INDEX(($L$4=ListEmployeeNamesInDatabase)*(C130=TblDatabase[Year]),0,1),0)))</f>
        <v>#N/A</v>
      </c>
      <c r="S142" s="353"/>
      <c r="T142" s="353"/>
      <c r="U142" s="353"/>
      <c r="V142" s="353"/>
      <c r="W142" s="353"/>
      <c r="X142" s="353"/>
      <c r="Y142" s="354"/>
      <c r="Z142" s="149"/>
      <c r="AA142" s="151">
        <f>SUMIFS(TblDatabase[Competency5],ListEmployeeNamesInDatabase,$L$4,TblDatabase[Year],C130)</f>
        <v>0</v>
      </c>
      <c r="AB142" s="149"/>
      <c r="AC142" s="149"/>
      <c r="AD142" s="149"/>
      <c r="AE142" s="149"/>
      <c r="AF142" s="149"/>
    </row>
    <row r="143" spans="1:32" s="148" customFormat="1" ht="15" hidden="1" customHeight="1">
      <c r="B143" s="355" t="str">
        <f t="shared" si="2"/>
        <v>Safety</v>
      </c>
      <c r="C143" s="356"/>
      <c r="D143" s="356"/>
      <c r="E143" s="357"/>
      <c r="F143" s="163" t="str">
        <f>IF(Settings!$M$4=Settings!$Y$3,IF($AA143=1,"P",""),IF($AA143=1,"P",""))</f>
        <v/>
      </c>
      <c r="G143" s="164" t="str">
        <f>IF(Settings!$M$4=Settings!$Y$3,IF($AA143=1,"P",""),IF($AA143=2,"P",""))</f>
        <v/>
      </c>
      <c r="H143" s="164" t="str">
        <f>IF(Settings!$M$4=Settings!$Y$3,IF($AA143=1,"P",""),IF($AA143=3,"P",""))</f>
        <v/>
      </c>
      <c r="I143" s="164" t="str">
        <f>IF(Settings!$M$4=Settings!$Y$3,IF($AA143=1,"P",""),IF($AA143=4,"P",""))</f>
        <v/>
      </c>
      <c r="J143" s="164" t="str">
        <f>IF(Settings!$M$4=Settings!$Y$3,IF($AA143=2,"P",""),IF($AA143=5,"P",""))</f>
        <v/>
      </c>
      <c r="K143" s="164" t="str">
        <f>IF(Settings!$M$4=Settings!$Y$3,IF($AA143=2,"P",""),IF($AA143=6,"P",""))</f>
        <v/>
      </c>
      <c r="L143" s="164" t="str">
        <f>IF(Settings!$M$4=Settings!$Y$3,IF($AA143=2,"P",""),IF($AA143=7,"P",""))</f>
        <v/>
      </c>
      <c r="M143" s="164" t="str">
        <f>IF(Settings!$M$4=Settings!$Y$3,IF($AA143=2,"P",""),IF($AA143=8,"P",""))</f>
        <v/>
      </c>
      <c r="N143" s="164" t="str">
        <f>IF(Settings!$M$4=Settings!$Y$3,IF($AA143=3,"P",""),IF($AA143=9,"P",""))</f>
        <v/>
      </c>
      <c r="O143" s="165" t="str">
        <f>IF(Settings!$M$4=Settings!$Y$3,IF($AA143=3,"P",""),IF($AA143=10,"P",""))</f>
        <v/>
      </c>
      <c r="P143" s="22"/>
      <c r="Q143" s="22"/>
      <c r="R143" s="360" t="e">
        <f>IF(INDEX(TblDatabase[Comment6],MATCH(1,INDEX(($L$4=ListEmployeeNamesInDatabase)*(C130=TblDatabase[Year]),0,1),0))="","",INDEX(TblDatabase[Comment6],MATCH(1,INDEX(($L$4=ListEmployeeNamesInDatabase)*(C130=TblDatabase[Year]),0,1),0)))</f>
        <v>#N/A</v>
      </c>
      <c r="S143" s="360"/>
      <c r="T143" s="360"/>
      <c r="U143" s="360"/>
      <c r="V143" s="360"/>
      <c r="W143" s="360"/>
      <c r="X143" s="360"/>
      <c r="Y143" s="361"/>
      <c r="Z143" s="149"/>
      <c r="AA143" s="151">
        <f>SUMIFS(TblDatabase[Competency6],ListEmployeeNamesInDatabase,$L$4,TblDatabase[Year],C130)</f>
        <v>0</v>
      </c>
      <c r="AB143" s="149"/>
      <c r="AC143" s="149"/>
      <c r="AD143" s="149"/>
      <c r="AE143" s="149"/>
      <c r="AF143" s="149"/>
    </row>
    <row r="144" spans="1:32" s="148" customFormat="1" ht="15" hidden="1" customHeight="1">
      <c r="B144" s="350" t="str">
        <f t="shared" si="2"/>
        <v>Reliability</v>
      </c>
      <c r="C144" s="351"/>
      <c r="D144" s="351"/>
      <c r="E144" s="352"/>
      <c r="F144" s="157" t="str">
        <f>IF(Settings!$M$4=Settings!$Y$3,IF($AA144=1,"P",""),IF($AA144=1,"P",""))</f>
        <v/>
      </c>
      <c r="G144" s="158" t="str">
        <f>IF(Settings!$M$4=Settings!$Y$3,IF($AA144=1,"P",""),IF($AA144=2,"P",""))</f>
        <v/>
      </c>
      <c r="H144" s="158" t="str">
        <f>IF(Settings!$M$4=Settings!$Y$3,IF($AA144=1,"P",""),IF($AA144=3,"P",""))</f>
        <v/>
      </c>
      <c r="I144" s="158" t="str">
        <f>IF(Settings!$M$4=Settings!$Y$3,IF($AA144=1,"P",""),IF($AA144=4,"P",""))</f>
        <v/>
      </c>
      <c r="J144" s="158" t="str">
        <f>IF(Settings!$M$4=Settings!$Y$3,IF($AA144=2,"P",""),IF($AA144=5,"P",""))</f>
        <v/>
      </c>
      <c r="K144" s="158" t="str">
        <f>IF(Settings!$M$4=Settings!$Y$3,IF($AA144=2,"P",""),IF($AA144=6,"P",""))</f>
        <v/>
      </c>
      <c r="L144" s="158" t="str">
        <f>IF(Settings!$M$4=Settings!$Y$3,IF($AA144=2,"P",""),IF($AA144=7,"P",""))</f>
        <v/>
      </c>
      <c r="M144" s="158" t="str">
        <f>IF(Settings!$M$4=Settings!$Y$3,IF($AA144=2,"P",""),IF($AA144=8,"P",""))</f>
        <v/>
      </c>
      <c r="N144" s="158" t="str">
        <f>IF(Settings!$M$4=Settings!$Y$3,IF($AA144=3,"P",""),IF($AA144=9,"P",""))</f>
        <v/>
      </c>
      <c r="O144" s="159" t="str">
        <f>IF(Settings!$M$4=Settings!$Y$3,IF($AA144=3,"P",""),IF($AA144=10,"P",""))</f>
        <v/>
      </c>
      <c r="P144" s="22"/>
      <c r="Q144" s="22"/>
      <c r="R144" s="353" t="e">
        <f>IF(INDEX(TblDatabase[Comment7],MATCH(1,INDEX(($L$4=ListEmployeeNamesInDatabase)*(C130=TblDatabase[Year]),0,1),0))="","",INDEX(TblDatabase[Comment7],MATCH(1,INDEX(($L$4=ListEmployeeNamesInDatabase)*(C130=TblDatabase[Year]),0,1),0)))</f>
        <v>#N/A</v>
      </c>
      <c r="S144" s="353"/>
      <c r="T144" s="353"/>
      <c r="U144" s="353"/>
      <c r="V144" s="353"/>
      <c r="W144" s="353"/>
      <c r="X144" s="353"/>
      <c r="Y144" s="354"/>
      <c r="Z144" s="149"/>
      <c r="AA144" s="151">
        <f>SUMIFS(TblDatabase[Competency7],ListEmployeeNamesInDatabase,$L$4,TblDatabase[Year],C130)</f>
        <v>0</v>
      </c>
      <c r="AB144" s="149"/>
      <c r="AC144" s="149"/>
      <c r="AD144" s="149"/>
      <c r="AE144" s="149"/>
      <c r="AF144" s="149"/>
    </row>
    <row r="145" spans="2:32" s="148" customFormat="1" ht="15" hidden="1" customHeight="1">
      <c r="B145" s="355" t="str">
        <f t="shared" si="2"/>
        <v>Initiative/Adaptability</v>
      </c>
      <c r="C145" s="356"/>
      <c r="D145" s="356"/>
      <c r="E145" s="357"/>
      <c r="F145" s="163" t="str">
        <f>IF(Settings!$M$4=Settings!$Y$3,IF($AA145=1,"P",""),IF($AA145=1,"P",""))</f>
        <v/>
      </c>
      <c r="G145" s="164" t="str">
        <f>IF(Settings!$M$4=Settings!$Y$3,IF($AA145=1,"P",""),IF($AA145=2,"P",""))</f>
        <v/>
      </c>
      <c r="H145" s="164" t="str">
        <f>IF(Settings!$M$4=Settings!$Y$3,IF($AA145=1,"P",""),IF($AA145=3,"P",""))</f>
        <v/>
      </c>
      <c r="I145" s="164" t="str">
        <f>IF(Settings!$M$4=Settings!$Y$3,IF($AA145=1,"P",""),IF($AA145=4,"P",""))</f>
        <v/>
      </c>
      <c r="J145" s="164" t="str">
        <f>IF(Settings!$M$4=Settings!$Y$3,IF($AA145=2,"P",""),IF($AA145=5,"P",""))</f>
        <v/>
      </c>
      <c r="K145" s="164" t="str">
        <f>IF(Settings!$M$4=Settings!$Y$3,IF($AA145=2,"P",""),IF($AA145=6,"P",""))</f>
        <v/>
      </c>
      <c r="L145" s="164" t="str">
        <f>IF(Settings!$M$4=Settings!$Y$3,IF($AA145=2,"P",""),IF($AA145=7,"P",""))</f>
        <v/>
      </c>
      <c r="M145" s="164" t="str">
        <f>IF(Settings!$M$4=Settings!$Y$3,IF($AA145=2,"P",""),IF($AA145=8,"P",""))</f>
        <v/>
      </c>
      <c r="N145" s="164" t="str">
        <f>IF(Settings!$M$4=Settings!$Y$3,IF($AA145=3,"P",""),IF($AA145=9,"P",""))</f>
        <v/>
      </c>
      <c r="O145" s="165" t="str">
        <f>IF(Settings!$M$4=Settings!$Y$3,IF($AA145=3,"P",""),IF($AA145=10,"P",""))</f>
        <v/>
      </c>
      <c r="P145" s="22"/>
      <c r="Q145" s="22"/>
      <c r="R145" s="360" t="e">
        <f>IF(INDEX(TblDatabase[Comment8],MATCH(1,INDEX(($L$4=ListEmployeeNamesInDatabase)*(C130=TblDatabase[Year]),0,1),0))="","",INDEX(TblDatabase[Comment8],MATCH(1,INDEX(($L$4=ListEmployeeNamesInDatabase)*(C130=TblDatabase[Year]),0,1),0)))</f>
        <v>#N/A</v>
      </c>
      <c r="S145" s="360"/>
      <c r="T145" s="360"/>
      <c r="U145" s="360"/>
      <c r="V145" s="360"/>
      <c r="W145" s="360"/>
      <c r="X145" s="360"/>
      <c r="Y145" s="361"/>
      <c r="Z145" s="149"/>
      <c r="AA145" s="151">
        <f>SUMIFS(TblDatabase[Competency8],ListEmployeeNamesInDatabase,$L$4,TblDatabase[Year],C130)</f>
        <v>0</v>
      </c>
      <c r="AB145" s="149"/>
      <c r="AC145" s="149"/>
      <c r="AD145" s="149"/>
      <c r="AE145" s="149"/>
      <c r="AF145" s="149"/>
    </row>
    <row r="146" spans="2:32" s="148" customFormat="1" ht="15" hidden="1" customHeight="1">
      <c r="B146" s="350" t="str">
        <f t="shared" si="2"/>
        <v/>
      </c>
      <c r="C146" s="351"/>
      <c r="D146" s="351"/>
      <c r="E146" s="352"/>
      <c r="F146" s="157" t="str">
        <f>IF(Settings!$M$4=Settings!$Y$3,IF($AA146=1,"P",""),IF($AA146=1,"P",""))</f>
        <v/>
      </c>
      <c r="G146" s="158" t="str">
        <f>IF(Settings!$M$4=Settings!$Y$3,IF($AA146=1,"P",""),IF($AA146=2,"P",""))</f>
        <v/>
      </c>
      <c r="H146" s="158" t="str">
        <f>IF(Settings!$M$4=Settings!$Y$3,IF($AA146=1,"P",""),IF($AA146=3,"P",""))</f>
        <v/>
      </c>
      <c r="I146" s="158" t="str">
        <f>IF(Settings!$M$4=Settings!$Y$3,IF($AA146=1,"P",""),IF($AA146=4,"P",""))</f>
        <v/>
      </c>
      <c r="J146" s="158" t="str">
        <f>IF(Settings!$M$4=Settings!$Y$3,IF($AA146=2,"P",""),IF($AA146=5,"P",""))</f>
        <v/>
      </c>
      <c r="K146" s="158" t="str">
        <f>IF(Settings!$M$4=Settings!$Y$3,IF($AA146=2,"P",""),IF($AA146=6,"P",""))</f>
        <v/>
      </c>
      <c r="L146" s="158" t="str">
        <f>IF(Settings!$M$4=Settings!$Y$3,IF($AA146=2,"P",""),IF($AA146=7,"P",""))</f>
        <v/>
      </c>
      <c r="M146" s="158" t="str">
        <f>IF(Settings!$M$4=Settings!$Y$3,IF($AA146=2,"P",""),IF($AA146=8,"P",""))</f>
        <v/>
      </c>
      <c r="N146" s="158" t="str">
        <f>IF(Settings!$M$4=Settings!$Y$3,IF($AA146=3,"P",""),IF($AA146=9,"P",""))</f>
        <v/>
      </c>
      <c r="O146" s="159" t="str">
        <f>IF(Settings!$M$4=Settings!$Y$3,IF($AA146=3,"P",""),IF($AA146=10,"P",""))</f>
        <v/>
      </c>
      <c r="P146" s="22"/>
      <c r="Q146" s="22"/>
      <c r="R146" s="353" t="e">
        <f>IF(INDEX(TblDatabase[Comment9],MATCH(1,INDEX(($L$4=ListEmployeeNamesInDatabase)*(C130=TblDatabase[Year]),0,1),0))="","",INDEX(TblDatabase[Comment9],MATCH(1,INDEX(($L$4=ListEmployeeNamesInDatabase)*(C130=TblDatabase[Year]),0,1),0)))</f>
        <v>#N/A</v>
      </c>
      <c r="S146" s="353"/>
      <c r="T146" s="353"/>
      <c r="U146" s="353"/>
      <c r="V146" s="353"/>
      <c r="W146" s="353"/>
      <c r="X146" s="353"/>
      <c r="Y146" s="354"/>
      <c r="Z146" s="149"/>
      <c r="AA146" s="151">
        <f>SUMIFS(TblDatabase[Competency9],ListEmployeeNamesInDatabase,$L$4,TblDatabase[Year],C130)</f>
        <v>0</v>
      </c>
      <c r="AB146" s="149"/>
      <c r="AC146" s="149"/>
      <c r="AD146" s="149"/>
      <c r="AE146" s="149"/>
      <c r="AF146" s="149"/>
    </row>
    <row r="147" spans="2:32" s="148" customFormat="1" ht="15" hidden="1" customHeight="1">
      <c r="B147" s="355" t="str">
        <f t="shared" si="2"/>
        <v/>
      </c>
      <c r="C147" s="356"/>
      <c r="D147" s="356"/>
      <c r="E147" s="357"/>
      <c r="F147" s="163" t="str">
        <f>IF(Settings!$M$4=Settings!$Y$3,IF($AA147=1,"P",""),IF($AA147=1,"P",""))</f>
        <v/>
      </c>
      <c r="G147" s="164" t="str">
        <f>IF(Settings!$M$4=Settings!$Y$3,IF($AA147=1,"P",""),IF($AA147=2,"P",""))</f>
        <v/>
      </c>
      <c r="H147" s="164" t="str">
        <f>IF(Settings!$M$4=Settings!$Y$3,IF($AA147=1,"P",""),IF($AA147=3,"P",""))</f>
        <v/>
      </c>
      <c r="I147" s="164" t="str">
        <f>IF(Settings!$M$4=Settings!$Y$3,IF($AA147=1,"P",""),IF($AA147=4,"P",""))</f>
        <v/>
      </c>
      <c r="J147" s="164" t="str">
        <f>IF(Settings!$M$4=Settings!$Y$3,IF($AA147=2,"P",""),IF($AA147=5,"P",""))</f>
        <v/>
      </c>
      <c r="K147" s="164" t="str">
        <f>IF(Settings!$M$4=Settings!$Y$3,IF($AA147=2,"P",""),IF($AA147=6,"P",""))</f>
        <v/>
      </c>
      <c r="L147" s="164" t="str">
        <f>IF(Settings!$M$4=Settings!$Y$3,IF($AA147=2,"P",""),IF($AA147=7,"P",""))</f>
        <v/>
      </c>
      <c r="M147" s="164" t="str">
        <f>IF(Settings!$M$4=Settings!$Y$3,IF($AA147=2,"P",""),IF($AA147=8,"P",""))</f>
        <v/>
      </c>
      <c r="N147" s="164" t="str">
        <f>IF(Settings!$M$4=Settings!$Y$3,IF($AA147=3,"P",""),IF($AA147=9,"P",""))</f>
        <v/>
      </c>
      <c r="O147" s="165" t="str">
        <f>IF(Settings!$M$4=Settings!$Y$3,IF($AA147=3,"P",""),IF($AA147=10,"P",""))</f>
        <v/>
      </c>
      <c r="P147" s="22"/>
      <c r="Q147" s="22"/>
      <c r="R147" s="360" t="e">
        <f>IF(INDEX(TblDatabase[Comment10],MATCH(1,INDEX(($L$4=ListEmployeeNamesInDatabase)*(C130=TblDatabase[Year]),0,1),0))="","",INDEX(TblDatabase[Comment10],MATCH(1,INDEX(($L$4=ListEmployeeNamesInDatabase)*(C130=TblDatabase[Year]),0,1),0)))</f>
        <v>#N/A</v>
      </c>
      <c r="S147" s="360"/>
      <c r="T147" s="360"/>
      <c r="U147" s="360"/>
      <c r="V147" s="360"/>
      <c r="W147" s="360"/>
      <c r="X147" s="360"/>
      <c r="Y147" s="361"/>
      <c r="Z147" s="149"/>
      <c r="AA147" s="151">
        <f>SUMIFS(TblDatabase[Competency10],ListEmployeeNamesInDatabase,$L$4,TblDatabase[Year],C130)</f>
        <v>0</v>
      </c>
      <c r="AB147" s="149"/>
      <c r="AC147" s="149"/>
      <c r="AD147" s="149"/>
      <c r="AE147" s="149"/>
      <c r="AF147" s="149"/>
    </row>
    <row r="148" spans="2:32" s="148" customFormat="1" ht="15" hidden="1" customHeight="1">
      <c r="B148" s="350" t="str">
        <f t="shared" si="2"/>
        <v/>
      </c>
      <c r="C148" s="351"/>
      <c r="D148" s="351"/>
      <c r="E148" s="352"/>
      <c r="F148" s="157" t="str">
        <f>IF(Settings!$M$4=Settings!$Y$3,IF($AA148=1,"P",""),IF($AA148=1,"P",""))</f>
        <v/>
      </c>
      <c r="G148" s="158" t="str">
        <f>IF(Settings!$M$4=Settings!$Y$3,IF($AA148=1,"P",""),IF($AA148=2,"P",""))</f>
        <v/>
      </c>
      <c r="H148" s="158" t="str">
        <f>IF(Settings!$M$4=Settings!$Y$3,IF($AA148=1,"P",""),IF($AA148=3,"P",""))</f>
        <v/>
      </c>
      <c r="I148" s="158" t="str">
        <f>IF(Settings!$M$4=Settings!$Y$3,IF($AA148=1,"P",""),IF($AA148=4,"P",""))</f>
        <v/>
      </c>
      <c r="J148" s="158" t="str">
        <f>IF(Settings!$M$4=Settings!$Y$3,IF($AA148=2,"P",""),IF($AA148=5,"P",""))</f>
        <v/>
      </c>
      <c r="K148" s="158" t="str">
        <f>IF(Settings!$M$4=Settings!$Y$3,IF($AA148=2,"P",""),IF($AA148=6,"P",""))</f>
        <v/>
      </c>
      <c r="L148" s="158" t="str">
        <f>IF(Settings!$M$4=Settings!$Y$3,IF($AA148=2,"P",""),IF($AA148=7,"P",""))</f>
        <v/>
      </c>
      <c r="M148" s="158" t="str">
        <f>IF(Settings!$M$4=Settings!$Y$3,IF($AA148=2,"P",""),IF($AA148=8,"P",""))</f>
        <v/>
      </c>
      <c r="N148" s="158" t="str">
        <f>IF(Settings!$M$4=Settings!$Y$3,IF($AA148=3,"P",""),IF($AA148=9,"P",""))</f>
        <v/>
      </c>
      <c r="O148" s="159" t="str">
        <f>IF(Settings!$M$4=Settings!$Y$3,IF($AA148=3,"P",""),IF($AA148=10,"P",""))</f>
        <v/>
      </c>
      <c r="P148" s="22"/>
      <c r="Q148" s="22"/>
      <c r="R148" s="353" t="e">
        <f>IF(INDEX(TblDatabase[Comment11],MATCH(1,INDEX(($L$4=ListEmployeeNamesInDatabase)*(C130=TblDatabase[Year]),0,1),0))="","",INDEX(TblDatabase[Comment11],MATCH(1,INDEX(($L$4=ListEmployeeNamesInDatabase)*(C130=TblDatabase[Year]),0,1),0)))</f>
        <v>#N/A</v>
      </c>
      <c r="S148" s="353"/>
      <c r="T148" s="353"/>
      <c r="U148" s="353"/>
      <c r="V148" s="353"/>
      <c r="W148" s="353"/>
      <c r="X148" s="353"/>
      <c r="Y148" s="354"/>
      <c r="Z148" s="149"/>
      <c r="AA148" s="151">
        <f>SUMIFS(TblDatabase[Competency11],ListEmployeeNamesInDatabase,$L$4,TblDatabase[Year],C130)</f>
        <v>0</v>
      </c>
      <c r="AB148" s="149"/>
      <c r="AC148" s="149"/>
      <c r="AD148" s="149"/>
      <c r="AE148" s="149"/>
      <c r="AF148" s="149"/>
    </row>
    <row r="149" spans="2:32" s="148" customFormat="1" ht="15" hidden="1" customHeight="1">
      <c r="B149" s="355" t="str">
        <f t="shared" si="2"/>
        <v/>
      </c>
      <c r="C149" s="356"/>
      <c r="D149" s="356"/>
      <c r="E149" s="357"/>
      <c r="F149" s="163" t="str">
        <f>IF(Settings!$M$4=Settings!$Y$3,IF($AA149=1,"P",""),IF($AA149=1,"P",""))</f>
        <v/>
      </c>
      <c r="G149" s="164" t="str">
        <f>IF(Settings!$M$4=Settings!$Y$3,IF($AA149=1,"P",""),IF($AA149=2,"P",""))</f>
        <v/>
      </c>
      <c r="H149" s="164" t="str">
        <f>IF(Settings!$M$4=Settings!$Y$3,IF($AA149=1,"P",""),IF($AA149=3,"P",""))</f>
        <v/>
      </c>
      <c r="I149" s="164" t="str">
        <f>IF(Settings!$M$4=Settings!$Y$3,IF($AA149=1,"P",""),IF($AA149=4,"P",""))</f>
        <v/>
      </c>
      <c r="J149" s="164" t="str">
        <f>IF(Settings!$M$4=Settings!$Y$3,IF($AA149=2,"P",""),IF($AA149=5,"P",""))</f>
        <v/>
      </c>
      <c r="K149" s="164" t="str">
        <f>IF(Settings!$M$4=Settings!$Y$3,IF($AA149=2,"P",""),IF($AA149=6,"P",""))</f>
        <v/>
      </c>
      <c r="L149" s="164" t="str">
        <f>IF(Settings!$M$4=Settings!$Y$3,IF($AA149=2,"P",""),IF($AA149=7,"P",""))</f>
        <v/>
      </c>
      <c r="M149" s="164" t="str">
        <f>IF(Settings!$M$4=Settings!$Y$3,IF($AA149=2,"P",""),IF($AA149=8,"P",""))</f>
        <v/>
      </c>
      <c r="N149" s="164" t="str">
        <f>IF(Settings!$M$4=Settings!$Y$3,IF($AA149=3,"P",""),IF($AA149=9,"P",""))</f>
        <v/>
      </c>
      <c r="O149" s="165" t="str">
        <f>IF(Settings!$M$4=Settings!$Y$3,IF($AA149=3,"P",""),IF($AA149=10,"P",""))</f>
        <v/>
      </c>
      <c r="P149" s="22"/>
      <c r="Q149" s="22"/>
      <c r="R149" s="360" t="e">
        <f>IF(INDEX(TblDatabase[Comment12],MATCH(1,INDEX(($L$4=ListEmployeeNamesInDatabase)*(C130=TblDatabase[Year]),0,1),0))="","",INDEX(TblDatabase[Comment12],MATCH(1,INDEX(($L$4=ListEmployeeNamesInDatabase)*(C130=TblDatabase[Year]),0,1),0)))</f>
        <v>#N/A</v>
      </c>
      <c r="S149" s="360"/>
      <c r="T149" s="360"/>
      <c r="U149" s="360"/>
      <c r="V149" s="360"/>
      <c r="W149" s="360"/>
      <c r="X149" s="360"/>
      <c r="Y149" s="361"/>
      <c r="Z149" s="149"/>
      <c r="AA149" s="151">
        <f>SUMIFS(TblDatabase[Competency12],ListEmployeeNamesInDatabase,$L$4,TblDatabase[Year],C130)</f>
        <v>0</v>
      </c>
      <c r="AB149" s="149"/>
      <c r="AC149" s="149"/>
      <c r="AD149" s="149"/>
      <c r="AE149" s="149"/>
      <c r="AF149" s="149"/>
    </row>
    <row r="150" spans="2:32" s="148" customFormat="1" ht="15" hidden="1" customHeight="1">
      <c r="B150" s="350" t="str">
        <f t="shared" si="2"/>
        <v/>
      </c>
      <c r="C150" s="351"/>
      <c r="D150" s="351"/>
      <c r="E150" s="352"/>
      <c r="F150" s="157" t="str">
        <f>IF(Settings!$M$4=Settings!$Y$3,IF($AA150=1,"P",""),IF($AA150=1,"P",""))</f>
        <v/>
      </c>
      <c r="G150" s="158" t="str">
        <f>IF(Settings!$M$4=Settings!$Y$3,IF($AA150=1,"P",""),IF($AA150=2,"P",""))</f>
        <v/>
      </c>
      <c r="H150" s="158" t="str">
        <f>IF(Settings!$M$4=Settings!$Y$3,IF($AA150=1,"P",""),IF($AA150=3,"P",""))</f>
        <v/>
      </c>
      <c r="I150" s="158" t="str">
        <f>IF(Settings!$M$4=Settings!$Y$3,IF($AA150=1,"P",""),IF($AA150=4,"P",""))</f>
        <v/>
      </c>
      <c r="J150" s="158" t="str">
        <f>IF(Settings!$M$4=Settings!$Y$3,IF($AA150=2,"P",""),IF($AA150=5,"P",""))</f>
        <v/>
      </c>
      <c r="K150" s="158" t="str">
        <f>IF(Settings!$M$4=Settings!$Y$3,IF($AA150=2,"P",""),IF($AA150=6,"P",""))</f>
        <v/>
      </c>
      <c r="L150" s="158" t="str">
        <f>IF(Settings!$M$4=Settings!$Y$3,IF($AA150=2,"P",""),IF($AA150=7,"P",""))</f>
        <v/>
      </c>
      <c r="M150" s="158" t="str">
        <f>IF(Settings!$M$4=Settings!$Y$3,IF($AA150=2,"P",""),IF($AA150=8,"P",""))</f>
        <v/>
      </c>
      <c r="N150" s="158" t="str">
        <f>IF(Settings!$M$4=Settings!$Y$3,IF($AA150=3,"P",""),IF($AA150=9,"P",""))</f>
        <v/>
      </c>
      <c r="O150" s="159" t="str">
        <f>IF(Settings!$M$4=Settings!$Y$3,IF($AA150=3,"P",""),IF($AA150=10,"P",""))</f>
        <v/>
      </c>
      <c r="P150" s="22"/>
      <c r="Q150" s="22"/>
      <c r="R150" s="353" t="e">
        <f>IF(INDEX(TblDatabase[Comment13],MATCH(1,INDEX(($L$4=ListEmployeeNamesInDatabase)*(C130=TblDatabase[Year]),0,1),0))="","",INDEX(TblDatabase[Comment13],MATCH(1,INDEX(($L$4=ListEmployeeNamesInDatabase)*(C130=TblDatabase[Year]),0,1),0)))</f>
        <v>#N/A</v>
      </c>
      <c r="S150" s="353"/>
      <c r="T150" s="353"/>
      <c r="U150" s="353"/>
      <c r="V150" s="353"/>
      <c r="W150" s="353"/>
      <c r="X150" s="353"/>
      <c r="Y150" s="354"/>
      <c r="Z150" s="149"/>
      <c r="AA150" s="151">
        <f>SUMIFS(TblDatabase[Competency13],ListEmployeeNamesInDatabase,$L$4,TblDatabase[Year],C130)</f>
        <v>0</v>
      </c>
      <c r="AB150" s="149"/>
      <c r="AC150" s="149"/>
      <c r="AD150" s="149"/>
      <c r="AE150" s="149"/>
      <c r="AF150" s="149"/>
    </row>
    <row r="151" spans="2:32" s="148" customFormat="1" ht="15" hidden="1" customHeight="1">
      <c r="B151" s="355" t="str">
        <f t="shared" si="2"/>
        <v/>
      </c>
      <c r="C151" s="356"/>
      <c r="D151" s="356"/>
      <c r="E151" s="357"/>
      <c r="F151" s="163" t="str">
        <f>IF(Settings!$M$4=Settings!$Y$3,IF($AA151=1,"P",""),IF($AA151=1,"P",""))</f>
        <v/>
      </c>
      <c r="G151" s="164" t="str">
        <f>IF(Settings!$M$4=Settings!$Y$3,IF($AA151=1,"P",""),IF($AA151=2,"P",""))</f>
        <v/>
      </c>
      <c r="H151" s="164" t="str">
        <f>IF(Settings!$M$4=Settings!$Y$3,IF($AA151=1,"P",""),IF($AA151=3,"P",""))</f>
        <v/>
      </c>
      <c r="I151" s="164" t="str">
        <f>IF(Settings!$M$4=Settings!$Y$3,IF($AA151=1,"P",""),IF($AA151=4,"P",""))</f>
        <v/>
      </c>
      <c r="J151" s="164" t="str">
        <f>IF(Settings!$M$4=Settings!$Y$3,IF($AA151=2,"P",""),IF($AA151=5,"P",""))</f>
        <v/>
      </c>
      <c r="K151" s="164" t="str">
        <f>IF(Settings!$M$4=Settings!$Y$3,IF($AA151=2,"P",""),IF($AA151=6,"P",""))</f>
        <v/>
      </c>
      <c r="L151" s="164" t="str">
        <f>IF(Settings!$M$4=Settings!$Y$3,IF($AA151=2,"P",""),IF($AA151=7,"P",""))</f>
        <v/>
      </c>
      <c r="M151" s="164" t="str">
        <f>IF(Settings!$M$4=Settings!$Y$3,IF($AA151=2,"P",""),IF($AA151=8,"P",""))</f>
        <v/>
      </c>
      <c r="N151" s="164" t="str">
        <f>IF(Settings!$M$4=Settings!$Y$3,IF($AA151=3,"P",""),IF($AA151=9,"P",""))</f>
        <v/>
      </c>
      <c r="O151" s="165" t="str">
        <f>IF(Settings!$M$4=Settings!$Y$3,IF($AA151=3,"P",""),IF($AA151=10,"P",""))</f>
        <v/>
      </c>
      <c r="P151" s="22"/>
      <c r="Q151" s="22"/>
      <c r="R151" s="360" t="e">
        <f>IF(INDEX(TblDatabase[Comment14],MATCH(1,INDEX(($L$4=ListEmployeeNamesInDatabase)*(C130=TblDatabase[Year]),0,1),0))="","",INDEX(TblDatabase[Comment14],MATCH(1,INDEX(($L$4=ListEmployeeNamesInDatabase)*(C130=TblDatabase[Year]),0,1),0)))</f>
        <v>#N/A</v>
      </c>
      <c r="S151" s="360"/>
      <c r="T151" s="360"/>
      <c r="U151" s="360"/>
      <c r="V151" s="360"/>
      <c r="W151" s="360"/>
      <c r="X151" s="360"/>
      <c r="Y151" s="361"/>
      <c r="Z151" s="149"/>
      <c r="AA151" s="151">
        <f>SUMIFS(TblDatabase[Competency14],ListEmployeeNamesInDatabase,$L$4,TblDatabase[Year],C130)</f>
        <v>0</v>
      </c>
      <c r="AB151" s="149"/>
      <c r="AC151" s="149"/>
      <c r="AD151" s="149"/>
      <c r="AE151" s="149"/>
      <c r="AF151" s="149"/>
    </row>
    <row r="152" spans="2:32" s="148" customFormat="1" ht="15" hidden="1" customHeight="1">
      <c r="B152" s="350" t="str">
        <f t="shared" si="2"/>
        <v/>
      </c>
      <c r="C152" s="351"/>
      <c r="D152" s="351"/>
      <c r="E152" s="352"/>
      <c r="F152" s="157" t="str">
        <f>IF(Settings!$M$4=Settings!$Y$3,IF($AA152=1,"P",""),IF($AA152=1,"P",""))</f>
        <v/>
      </c>
      <c r="G152" s="158" t="str">
        <f>IF(Settings!$M$4=Settings!$Y$3,IF($AA152=1,"P",""),IF($AA152=2,"P",""))</f>
        <v/>
      </c>
      <c r="H152" s="158" t="str">
        <f>IF(Settings!$M$4=Settings!$Y$3,IF($AA152=1,"P",""),IF($AA152=3,"P",""))</f>
        <v/>
      </c>
      <c r="I152" s="158" t="str">
        <f>IF(Settings!$M$4=Settings!$Y$3,IF($AA152=1,"P",""),IF($AA152=4,"P",""))</f>
        <v/>
      </c>
      <c r="J152" s="158" t="str">
        <f>IF(Settings!$M$4=Settings!$Y$3,IF($AA152=2,"P",""),IF($AA152=5,"P",""))</f>
        <v/>
      </c>
      <c r="K152" s="158" t="str">
        <f>IF(Settings!$M$4=Settings!$Y$3,IF($AA152=2,"P",""),IF($AA152=6,"P",""))</f>
        <v/>
      </c>
      <c r="L152" s="158" t="str">
        <f>IF(Settings!$M$4=Settings!$Y$3,IF($AA152=2,"P",""),IF($AA152=7,"P",""))</f>
        <v/>
      </c>
      <c r="M152" s="158" t="str">
        <f>IF(Settings!$M$4=Settings!$Y$3,IF($AA152=2,"P",""),IF($AA152=8,"P",""))</f>
        <v/>
      </c>
      <c r="N152" s="158" t="str">
        <f>IF(Settings!$M$4=Settings!$Y$3,IF($AA152=3,"P",""),IF($AA152=9,"P",""))</f>
        <v/>
      </c>
      <c r="O152" s="159" t="str">
        <f>IF(Settings!$M$4=Settings!$Y$3,IF($AA152=3,"P",""),IF($AA152=10,"P",""))</f>
        <v/>
      </c>
      <c r="P152" s="22"/>
      <c r="Q152" s="22"/>
      <c r="R152" s="353" t="e">
        <f>IF(INDEX(TblDatabase[Comment15],MATCH(1,INDEX(($L$4=ListEmployeeNamesInDatabase)*(C130=TblDatabase[Year]),0,1),0))="","",INDEX(TblDatabase[Comment15],MATCH(1,INDEX(($L$4=ListEmployeeNamesInDatabase)*(C130=TblDatabase[Year]),0,1),0)))</f>
        <v>#N/A</v>
      </c>
      <c r="S152" s="353"/>
      <c r="T152" s="353"/>
      <c r="U152" s="353"/>
      <c r="V152" s="353"/>
      <c r="W152" s="353"/>
      <c r="X152" s="353"/>
      <c r="Y152" s="354"/>
      <c r="Z152" s="149"/>
      <c r="AA152" s="151">
        <f>SUMIFS(TblDatabase[Competency15],ListEmployeeNamesInDatabase,$L$4,TblDatabase[Year],C130)</f>
        <v>0</v>
      </c>
      <c r="AB152" s="149"/>
      <c r="AC152" s="149"/>
      <c r="AD152" s="149"/>
      <c r="AE152" s="149"/>
      <c r="AF152" s="149"/>
    </row>
    <row r="153" spans="2:32" s="148" customFormat="1" ht="15" hidden="1" customHeight="1">
      <c r="B153" s="355" t="str">
        <f t="shared" si="2"/>
        <v/>
      </c>
      <c r="C153" s="356"/>
      <c r="D153" s="356"/>
      <c r="E153" s="357"/>
      <c r="F153" s="163" t="str">
        <f>IF(Settings!$M$4=Settings!$Y$3,IF($AA153=1,"P",""),IF($AA153=1,"P",""))</f>
        <v/>
      </c>
      <c r="G153" s="164" t="str">
        <f>IF(Settings!$M$4=Settings!$Y$3,IF($AA153=1,"P",""),IF($AA153=2,"P",""))</f>
        <v/>
      </c>
      <c r="H153" s="164" t="str">
        <f>IF(Settings!$M$4=Settings!$Y$3,IF($AA153=1,"P",""),IF($AA153=3,"P",""))</f>
        <v/>
      </c>
      <c r="I153" s="164" t="str">
        <f>IF(Settings!$M$4=Settings!$Y$3,IF($AA153=1,"P",""),IF($AA153=4,"P",""))</f>
        <v/>
      </c>
      <c r="J153" s="164" t="str">
        <f>IF(Settings!$M$4=Settings!$Y$3,IF($AA153=2,"P",""),IF($AA153=5,"P",""))</f>
        <v/>
      </c>
      <c r="K153" s="164" t="str">
        <f>IF(Settings!$M$4=Settings!$Y$3,IF($AA153=2,"P",""),IF($AA153=6,"P",""))</f>
        <v/>
      </c>
      <c r="L153" s="164" t="str">
        <f>IF(Settings!$M$4=Settings!$Y$3,IF($AA153=2,"P",""),IF($AA153=7,"P",""))</f>
        <v/>
      </c>
      <c r="M153" s="164" t="str">
        <f>IF(Settings!$M$4=Settings!$Y$3,IF($AA153=2,"P",""),IF($AA153=8,"P",""))</f>
        <v/>
      </c>
      <c r="N153" s="164" t="str">
        <f>IF(Settings!$M$4=Settings!$Y$3,IF($AA153=3,"P",""),IF($AA153=9,"P",""))</f>
        <v/>
      </c>
      <c r="O153" s="165" t="str">
        <f>IF(Settings!$M$4=Settings!$Y$3,IF($AA153=3,"P",""),IF($AA153=10,"P",""))</f>
        <v/>
      </c>
      <c r="P153" s="22"/>
      <c r="Q153" s="22"/>
      <c r="R153" s="360" t="e">
        <f>IF(INDEX(TblDatabase[Comment16],MATCH(1,INDEX(($L$4=ListEmployeeNamesInDatabase)*(C130=TblDatabase[Year]),0,1),0))="","",INDEX(TblDatabase[Comment16],MATCH(1,INDEX(($L$4=ListEmployeeNamesInDatabase)*(C130=TblDatabase[Year]),0,1),0)))</f>
        <v>#N/A</v>
      </c>
      <c r="S153" s="360"/>
      <c r="T153" s="360"/>
      <c r="U153" s="360"/>
      <c r="V153" s="360"/>
      <c r="W153" s="360"/>
      <c r="X153" s="360"/>
      <c r="Y153" s="361"/>
      <c r="Z153" s="149"/>
      <c r="AA153" s="151">
        <f>SUMIFS(TblDatabase[Competency16],ListEmployeeNamesInDatabase,$L$4,TblDatabase[Year],C130)</f>
        <v>0</v>
      </c>
      <c r="AB153" s="149"/>
      <c r="AC153" s="149"/>
      <c r="AD153" s="149"/>
      <c r="AE153" s="149"/>
      <c r="AF153" s="149"/>
    </row>
    <row r="154" spans="2:32" s="148" customFormat="1" ht="15" hidden="1" customHeight="1">
      <c r="B154" s="350" t="str">
        <f t="shared" si="2"/>
        <v/>
      </c>
      <c r="C154" s="351"/>
      <c r="D154" s="351"/>
      <c r="E154" s="352"/>
      <c r="F154" s="157" t="str">
        <f>IF(Settings!$M$4=Settings!$Y$3,IF($AA154=1,"P",""),IF($AA154=1,"P",""))</f>
        <v/>
      </c>
      <c r="G154" s="158" t="str">
        <f>IF(Settings!$M$4=Settings!$Y$3,IF($AA154=1,"P",""),IF($AA154=2,"P",""))</f>
        <v/>
      </c>
      <c r="H154" s="158" t="str">
        <f>IF(Settings!$M$4=Settings!$Y$3,IF($AA154=1,"P",""),IF($AA154=3,"P",""))</f>
        <v/>
      </c>
      <c r="I154" s="158" t="str">
        <f>IF(Settings!$M$4=Settings!$Y$3,IF($AA154=1,"P",""),IF($AA154=4,"P",""))</f>
        <v/>
      </c>
      <c r="J154" s="158" t="str">
        <f>IF(Settings!$M$4=Settings!$Y$3,IF($AA154=2,"P",""),IF($AA154=5,"P",""))</f>
        <v/>
      </c>
      <c r="K154" s="158" t="str">
        <f>IF(Settings!$M$4=Settings!$Y$3,IF($AA154=2,"P",""),IF($AA154=6,"P",""))</f>
        <v/>
      </c>
      <c r="L154" s="158" t="str">
        <f>IF(Settings!$M$4=Settings!$Y$3,IF($AA154=2,"P",""),IF($AA154=7,"P",""))</f>
        <v/>
      </c>
      <c r="M154" s="158" t="str">
        <f>IF(Settings!$M$4=Settings!$Y$3,IF($AA154=2,"P",""),IF($AA154=8,"P",""))</f>
        <v/>
      </c>
      <c r="N154" s="158" t="str">
        <f>IF(Settings!$M$4=Settings!$Y$3,IF($AA154=3,"P",""),IF($AA154=9,"P",""))</f>
        <v/>
      </c>
      <c r="O154" s="159" t="str">
        <f>IF(Settings!$M$4=Settings!$Y$3,IF($AA154=3,"P",""),IF($AA154=10,"P",""))</f>
        <v/>
      </c>
      <c r="P154" s="22"/>
      <c r="Q154" s="22"/>
      <c r="R154" s="353" t="e">
        <f>IF(INDEX(TblDatabase[Comment17],MATCH(1,INDEX(($L$4=ListEmployeeNamesInDatabase)*(C130=TblDatabase[Year]),0,1),0))="","",INDEX(TblDatabase[Comment17],MATCH(1,INDEX(($L$4=ListEmployeeNamesInDatabase)*(C130=TblDatabase[Year]),0,1),0)))</f>
        <v>#N/A</v>
      </c>
      <c r="S154" s="353"/>
      <c r="T154" s="353"/>
      <c r="U154" s="353"/>
      <c r="V154" s="353"/>
      <c r="W154" s="353"/>
      <c r="X154" s="353"/>
      <c r="Y154" s="354"/>
      <c r="Z154" s="149"/>
      <c r="AA154" s="151">
        <f>SUMIFS(TblDatabase[Competency17],ListEmployeeNamesInDatabase,$L$4,TblDatabase[Year],C130)</f>
        <v>0</v>
      </c>
      <c r="AB154" s="149"/>
      <c r="AC154" s="149"/>
      <c r="AD154" s="149"/>
      <c r="AE154" s="149"/>
      <c r="AF154" s="149"/>
    </row>
    <row r="155" spans="2:32" s="148" customFormat="1" ht="15" hidden="1" customHeight="1">
      <c r="B155" s="355" t="str">
        <f t="shared" si="2"/>
        <v/>
      </c>
      <c r="C155" s="356"/>
      <c r="D155" s="356"/>
      <c r="E155" s="357"/>
      <c r="F155" s="163" t="str">
        <f>IF(Settings!$M$4=Settings!$Y$3,IF($AA155=1,"P",""),IF($AA155=1,"P",""))</f>
        <v/>
      </c>
      <c r="G155" s="164" t="str">
        <f>IF(Settings!$M$4=Settings!$Y$3,IF($AA155=1,"P",""),IF($AA155=2,"P",""))</f>
        <v/>
      </c>
      <c r="H155" s="164" t="str">
        <f>IF(Settings!$M$4=Settings!$Y$3,IF($AA155=1,"P",""),IF($AA155=3,"P",""))</f>
        <v/>
      </c>
      <c r="I155" s="164" t="str">
        <f>IF(Settings!$M$4=Settings!$Y$3,IF($AA155=1,"P",""),IF($AA155=4,"P",""))</f>
        <v/>
      </c>
      <c r="J155" s="164" t="str">
        <f>IF(Settings!$M$4=Settings!$Y$3,IF($AA155=2,"P",""),IF($AA155=5,"P",""))</f>
        <v/>
      </c>
      <c r="K155" s="164" t="str">
        <f>IF(Settings!$M$4=Settings!$Y$3,IF($AA155=2,"P",""),IF($AA155=6,"P",""))</f>
        <v/>
      </c>
      <c r="L155" s="164" t="str">
        <f>IF(Settings!$M$4=Settings!$Y$3,IF($AA155=2,"P",""),IF($AA155=7,"P",""))</f>
        <v/>
      </c>
      <c r="M155" s="164" t="str">
        <f>IF(Settings!$M$4=Settings!$Y$3,IF($AA155=2,"P",""),IF($AA155=8,"P",""))</f>
        <v/>
      </c>
      <c r="N155" s="164" t="str">
        <f>IF(Settings!$M$4=Settings!$Y$3,IF($AA155=3,"P",""),IF($AA155=9,"P",""))</f>
        <v/>
      </c>
      <c r="O155" s="165" t="str">
        <f>IF(Settings!$M$4=Settings!$Y$3,IF($AA155=3,"P",""),IF($AA155=10,"P",""))</f>
        <v/>
      </c>
      <c r="P155" s="22"/>
      <c r="Q155" s="22"/>
      <c r="R155" s="360" t="e">
        <f>IF(INDEX(TblDatabase[Comment18],MATCH(1,INDEX(($L$4=ListEmployeeNamesInDatabase)*(C130=TblDatabase[Year]),0,1),0))="","",INDEX(TblDatabase[Comment18],MATCH(1,INDEX(($L$4=ListEmployeeNamesInDatabase)*(C130=TblDatabase[Year]),0,1),0)))</f>
        <v>#N/A</v>
      </c>
      <c r="S155" s="360"/>
      <c r="T155" s="360"/>
      <c r="U155" s="360"/>
      <c r="V155" s="360"/>
      <c r="W155" s="360"/>
      <c r="X155" s="360"/>
      <c r="Y155" s="361"/>
      <c r="Z155" s="149"/>
      <c r="AA155" s="151">
        <f>SUMIFS(TblDatabase[Competency18],ListEmployeeNamesInDatabase,$L$4,TblDatabase[Year],C130)</f>
        <v>0</v>
      </c>
      <c r="AB155" s="149"/>
      <c r="AC155" s="149"/>
      <c r="AD155" s="149"/>
      <c r="AE155" s="149"/>
      <c r="AF155" s="149"/>
    </row>
    <row r="156" spans="2:32" s="148" customFormat="1" ht="15" hidden="1" customHeight="1">
      <c r="B156" s="350" t="str">
        <f t="shared" si="2"/>
        <v/>
      </c>
      <c r="C156" s="351"/>
      <c r="D156" s="351"/>
      <c r="E156" s="352"/>
      <c r="F156" s="157" t="str">
        <f>IF(Settings!$M$4=Settings!$Y$3,IF($AA156=1,"P",""),IF($AA156=1,"P",""))</f>
        <v/>
      </c>
      <c r="G156" s="158" t="str">
        <f>IF(Settings!$M$4=Settings!$Y$3,IF($AA156=1,"P",""),IF($AA156=2,"P",""))</f>
        <v/>
      </c>
      <c r="H156" s="158" t="str">
        <f>IF(Settings!$M$4=Settings!$Y$3,IF($AA156=1,"P",""),IF($AA156=3,"P",""))</f>
        <v/>
      </c>
      <c r="I156" s="158" t="str">
        <f>IF(Settings!$M$4=Settings!$Y$3,IF($AA156=1,"P",""),IF($AA156=4,"P",""))</f>
        <v/>
      </c>
      <c r="J156" s="158" t="str">
        <f>IF(Settings!$M$4=Settings!$Y$3,IF($AA156=2,"P",""),IF($AA156=5,"P",""))</f>
        <v/>
      </c>
      <c r="K156" s="158" t="str">
        <f>IF(Settings!$M$4=Settings!$Y$3,IF($AA156=2,"P",""),IF($AA156=6,"P",""))</f>
        <v/>
      </c>
      <c r="L156" s="158" t="str">
        <f>IF(Settings!$M$4=Settings!$Y$3,IF($AA156=2,"P",""),IF($AA156=7,"P",""))</f>
        <v/>
      </c>
      <c r="M156" s="158" t="str">
        <f>IF(Settings!$M$4=Settings!$Y$3,IF($AA156=2,"P",""),IF($AA156=8,"P",""))</f>
        <v/>
      </c>
      <c r="N156" s="158" t="str">
        <f>IF(Settings!$M$4=Settings!$Y$3,IF($AA156=3,"P",""),IF($AA156=9,"P",""))</f>
        <v/>
      </c>
      <c r="O156" s="159" t="str">
        <f>IF(Settings!$M$4=Settings!$Y$3,IF($AA156=3,"P",""),IF($AA156=10,"P",""))</f>
        <v/>
      </c>
      <c r="P156" s="22"/>
      <c r="Q156" s="22"/>
      <c r="R156" s="353" t="e">
        <f>IF(INDEX(TblDatabase[Comment19],MATCH(1,INDEX(($L$4=ListEmployeeNamesInDatabase)*(C130=TblDatabase[Year]),0,1),0))="","",INDEX(TblDatabase[Comment19],MATCH(1,INDEX(($L$4=ListEmployeeNamesInDatabase)*(C130=TblDatabase[Year]),0,1),0)))</f>
        <v>#N/A</v>
      </c>
      <c r="S156" s="353"/>
      <c r="T156" s="353"/>
      <c r="U156" s="353"/>
      <c r="V156" s="353"/>
      <c r="W156" s="353"/>
      <c r="X156" s="353"/>
      <c r="Y156" s="354"/>
      <c r="Z156" s="149"/>
      <c r="AA156" s="151">
        <f>SUMIFS(TblDatabase[Competency19],ListEmployeeNamesInDatabase,$L$4,TblDatabase[Year],C130)</f>
        <v>0</v>
      </c>
      <c r="AB156" s="149"/>
      <c r="AC156" s="149"/>
      <c r="AD156" s="149"/>
      <c r="AE156" s="149"/>
      <c r="AF156" s="149"/>
    </row>
    <row r="157" spans="2:32" s="148" customFormat="1" ht="15" hidden="1" customHeight="1">
      <c r="B157" s="362" t="str">
        <f t="shared" si="2"/>
        <v/>
      </c>
      <c r="C157" s="363"/>
      <c r="D157" s="363"/>
      <c r="E157" s="364"/>
      <c r="F157" s="166" t="str">
        <f>IF(Settings!$M$4=Settings!$Y$3,IF($AA157=1,"P",""),IF($AA157=1,"P",""))</f>
        <v/>
      </c>
      <c r="G157" s="167" t="str">
        <f>IF(Settings!$M$4=Settings!$Y$3,IF($AA157=1,"P",""),IF($AA157=2,"P",""))</f>
        <v/>
      </c>
      <c r="H157" s="167" t="str">
        <f>IF(Settings!$M$4=Settings!$Y$3,IF($AA157=1,"P",""),IF($AA157=3,"P",""))</f>
        <v/>
      </c>
      <c r="I157" s="167" t="str">
        <f>IF(Settings!$M$4=Settings!$Y$3,IF($AA157=1,"P",""),IF($AA157=4,"P",""))</f>
        <v/>
      </c>
      <c r="J157" s="167" t="str">
        <f>IF(Settings!$M$4=Settings!$Y$3,IF($AA157=2,"P",""),IF($AA157=5,"P",""))</f>
        <v/>
      </c>
      <c r="K157" s="167" t="str">
        <f>IF(Settings!$M$4=Settings!$Y$3,IF($AA157=2,"P",""),IF($AA157=6,"P",""))</f>
        <v/>
      </c>
      <c r="L157" s="167" t="str">
        <f>IF(Settings!$M$4=Settings!$Y$3,IF($AA157=2,"P",""),IF($AA157=7,"P",""))</f>
        <v/>
      </c>
      <c r="M157" s="167" t="str">
        <f>IF(Settings!$M$4=Settings!$Y$3,IF($AA157=2,"P",""),IF($AA157=8,"P",""))</f>
        <v/>
      </c>
      <c r="N157" s="167" t="str">
        <f>IF(Settings!$M$4=Settings!$Y$3,IF($AA157=3,"P",""),IF($AA157=9,"P",""))</f>
        <v/>
      </c>
      <c r="O157" s="168" t="str">
        <f>IF(Settings!$M$4=Settings!$Y$3,IF($AA157=3,"P",""),IF($AA157=10,"P",""))</f>
        <v/>
      </c>
      <c r="P157" s="22"/>
      <c r="Q157" s="22"/>
      <c r="R157" s="365" t="e">
        <f>IF(INDEX(TblDatabase[Comment20],MATCH(1,INDEX(($L$4=ListEmployeeNamesInDatabase)*(C130=TblDatabase[Year]),0,1),0))="","",INDEX(TblDatabase[Comment20],MATCH(1,INDEX(($L$4=ListEmployeeNamesInDatabase)*(C130=TblDatabase[Year]),0,1),0)))</f>
        <v>#N/A</v>
      </c>
      <c r="S157" s="365"/>
      <c r="T157" s="365"/>
      <c r="U157" s="365"/>
      <c r="V157" s="365"/>
      <c r="W157" s="365"/>
      <c r="X157" s="365"/>
      <c r="Y157" s="366"/>
      <c r="Z157" s="149"/>
      <c r="AA157" s="151">
        <f>SUMIFS(TblDatabase[Competency20],ListEmployeeNamesInDatabase,$L$4,TblDatabase[Year],C130)</f>
        <v>0</v>
      </c>
      <c r="AB157" s="149"/>
      <c r="AC157" s="149"/>
      <c r="AD157" s="149"/>
      <c r="AE157" s="149"/>
      <c r="AF157" s="149"/>
    </row>
    <row r="158" spans="2:32" s="148" customFormat="1" hidden="1">
      <c r="B158" s="414" t="s">
        <v>26</v>
      </c>
      <c r="C158" s="415"/>
      <c r="D158" s="415"/>
      <c r="E158" s="371">
        <f ca="1">SUM(OFFSET(AA138,0,0,NumberOfCompetencies))</f>
        <v>0</v>
      </c>
      <c r="F158" s="372"/>
      <c r="G158" s="152"/>
      <c r="H158" s="152"/>
      <c r="I158" s="152"/>
      <c r="J158" s="152"/>
      <c r="K158" s="152"/>
      <c r="L158" s="152"/>
      <c r="M158" s="152"/>
      <c r="N158" s="152"/>
      <c r="O158" s="152"/>
      <c r="P158" s="152"/>
      <c r="Q158" s="152"/>
      <c r="R158" s="152"/>
      <c r="S158" s="152"/>
      <c r="T158" s="152"/>
      <c r="U158" s="152"/>
      <c r="V158" s="152"/>
      <c r="W158" s="152"/>
      <c r="X158" s="152"/>
      <c r="Y158" s="152"/>
      <c r="Z158" s="149"/>
      <c r="AA158" s="149"/>
      <c r="AB158" s="149"/>
      <c r="AC158" s="149"/>
      <c r="AD158" s="149"/>
      <c r="AE158" s="149"/>
      <c r="AF158" s="149"/>
    </row>
    <row r="159" spans="2:32" s="148" customFormat="1" hidden="1">
      <c r="B159" s="369" t="s">
        <v>27</v>
      </c>
      <c r="C159" s="370"/>
      <c r="D159" s="370"/>
      <c r="E159" s="358">
        <f ca="1">E158/NumberOfCompetencies</f>
        <v>0</v>
      </c>
      <c r="F159" s="359"/>
      <c r="G159" s="153"/>
      <c r="H159" s="153"/>
      <c r="I159" s="153"/>
      <c r="J159" s="153"/>
      <c r="K159" s="153"/>
      <c r="L159" s="153"/>
      <c r="M159" s="153"/>
      <c r="N159" s="153"/>
      <c r="O159" s="153"/>
      <c r="P159" s="153"/>
      <c r="Q159" s="153"/>
      <c r="R159" s="153"/>
      <c r="S159" s="153"/>
      <c r="T159" s="153"/>
      <c r="U159" s="153"/>
      <c r="V159" s="153"/>
      <c r="W159" s="153"/>
      <c r="X159" s="153"/>
      <c r="Y159" s="153"/>
      <c r="Z159" s="149"/>
      <c r="AA159" s="149"/>
      <c r="AB159" s="149"/>
      <c r="AC159" s="149"/>
      <c r="AD159" s="149"/>
      <c r="AE159" s="149"/>
      <c r="AF159" s="149"/>
    </row>
    <row r="160" spans="2:32" s="148" customFormat="1" hidden="1">
      <c r="B160" s="154"/>
      <c r="C160" s="154"/>
      <c r="D160" s="154"/>
      <c r="E160" s="154"/>
      <c r="F160" s="154"/>
      <c r="G160" s="154"/>
      <c r="H160" s="154"/>
      <c r="I160" s="154"/>
      <c r="J160" s="154"/>
      <c r="K160" s="154"/>
      <c r="L160" s="154"/>
      <c r="M160" s="154"/>
      <c r="N160" s="154"/>
      <c r="O160" s="154"/>
      <c r="P160" s="154"/>
      <c r="Q160" s="154"/>
      <c r="R160" s="154"/>
      <c r="S160" s="154"/>
      <c r="T160" s="154"/>
      <c r="U160" s="154"/>
      <c r="V160" s="154"/>
      <c r="W160" s="154"/>
      <c r="X160" s="154"/>
      <c r="Y160" s="154"/>
      <c r="Z160" s="149"/>
      <c r="AA160" s="149"/>
      <c r="AB160" s="149"/>
      <c r="AC160" s="149"/>
      <c r="AD160" s="149"/>
      <c r="AE160" s="149"/>
      <c r="AF160" s="149"/>
    </row>
    <row r="161" spans="1:32" s="148" customFormat="1" hidden="1">
      <c r="B161" s="338" t="str">
        <f>Settings!$N$15</f>
        <v>Previously agreed actions</v>
      </c>
      <c r="C161" s="339"/>
      <c r="D161" s="339"/>
      <c r="E161" s="339"/>
      <c r="F161" s="339"/>
      <c r="G161" s="339"/>
      <c r="H161" s="339"/>
      <c r="I161" s="339"/>
      <c r="J161" s="339"/>
      <c r="K161" s="339"/>
      <c r="L161" s="339"/>
      <c r="M161" s="339"/>
      <c r="N161" s="339"/>
      <c r="O161" s="339"/>
      <c r="P161" s="339"/>
      <c r="Q161" s="339"/>
      <c r="R161" s="339"/>
      <c r="S161" s="339"/>
      <c r="T161" s="339"/>
      <c r="U161" s="339"/>
      <c r="V161" s="339"/>
      <c r="W161" s="339"/>
      <c r="X161" s="339"/>
      <c r="Y161" s="340"/>
      <c r="Z161" s="149"/>
      <c r="AA161" s="149"/>
      <c r="AB161" s="149"/>
      <c r="AC161" s="149"/>
      <c r="AD161" s="149"/>
      <c r="AE161" s="149"/>
      <c r="AF161" s="149"/>
    </row>
    <row r="162" spans="1:32" s="148" customFormat="1" hidden="1">
      <c r="B162" s="341" t="e">
        <f>IF(INDEX(TblDatabase[Feedback Does Well],MATCH(1,INDEX(($L$4=ListEmployeeNamesInDatabase)*(C130=TblDatabase[Year]),0,1),0))="","",INDEX(TblDatabase[Feedback Does Well],MATCH(1,INDEX(($L$4=ListEmployeeNamesInDatabase)*(C130=TblDatabase[Year]),0,1),0)))</f>
        <v>#N/A</v>
      </c>
      <c r="C162" s="342"/>
      <c r="D162" s="342"/>
      <c r="E162" s="342"/>
      <c r="F162" s="342"/>
      <c r="G162" s="342"/>
      <c r="H162" s="342"/>
      <c r="I162" s="342"/>
      <c r="J162" s="342"/>
      <c r="K162" s="342"/>
      <c r="L162" s="342"/>
      <c r="M162" s="342"/>
      <c r="N162" s="342"/>
      <c r="O162" s="342"/>
      <c r="P162" s="342"/>
      <c r="Q162" s="342"/>
      <c r="R162" s="342"/>
      <c r="S162" s="342"/>
      <c r="T162" s="342"/>
      <c r="U162" s="342"/>
      <c r="V162" s="342"/>
      <c r="W162" s="342"/>
      <c r="X162" s="342"/>
      <c r="Y162" s="343"/>
      <c r="Z162" s="149"/>
      <c r="AA162" s="149"/>
      <c r="AB162" s="149"/>
      <c r="AC162" s="149"/>
      <c r="AD162" s="149"/>
      <c r="AE162" s="149"/>
      <c r="AF162" s="149"/>
    </row>
    <row r="163" spans="1:32" s="148" customFormat="1" hidden="1">
      <c r="B163" s="344"/>
      <c r="C163" s="345"/>
      <c r="D163" s="345"/>
      <c r="E163" s="345"/>
      <c r="F163" s="345"/>
      <c r="G163" s="345"/>
      <c r="H163" s="345"/>
      <c r="I163" s="345"/>
      <c r="J163" s="345"/>
      <c r="K163" s="345"/>
      <c r="L163" s="345"/>
      <c r="M163" s="345"/>
      <c r="N163" s="345"/>
      <c r="O163" s="345"/>
      <c r="P163" s="345"/>
      <c r="Q163" s="345"/>
      <c r="R163" s="345"/>
      <c r="S163" s="345"/>
      <c r="T163" s="345"/>
      <c r="U163" s="345"/>
      <c r="V163" s="345"/>
      <c r="W163" s="345"/>
      <c r="X163" s="345"/>
      <c r="Y163" s="346"/>
      <c r="Z163" s="149"/>
      <c r="AA163" s="149"/>
      <c r="AB163" s="149"/>
      <c r="AC163" s="149"/>
      <c r="AD163" s="149"/>
      <c r="AE163" s="149"/>
      <c r="AF163" s="149"/>
    </row>
    <row r="164" spans="1:32" s="148" customFormat="1" hidden="1">
      <c r="B164" s="347"/>
      <c r="C164" s="348"/>
      <c r="D164" s="348"/>
      <c r="E164" s="348"/>
      <c r="F164" s="348"/>
      <c r="G164" s="348"/>
      <c r="H164" s="348"/>
      <c r="I164" s="348"/>
      <c r="J164" s="348"/>
      <c r="K164" s="348"/>
      <c r="L164" s="348"/>
      <c r="M164" s="348"/>
      <c r="N164" s="348"/>
      <c r="O164" s="348"/>
      <c r="P164" s="348"/>
      <c r="Q164" s="348"/>
      <c r="R164" s="348"/>
      <c r="S164" s="348"/>
      <c r="T164" s="348"/>
      <c r="U164" s="348"/>
      <c r="V164" s="348"/>
      <c r="W164" s="348"/>
      <c r="X164" s="348"/>
      <c r="Y164" s="349"/>
      <c r="Z164" s="149"/>
      <c r="AA164" s="149"/>
      <c r="AB164" s="149"/>
      <c r="AC164" s="149"/>
      <c r="AD164" s="149"/>
      <c r="AE164" s="149"/>
      <c r="AF164" s="149"/>
    </row>
    <row r="165" spans="1:32" s="148" customFormat="1" hidden="1">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49"/>
      <c r="AA165" s="149"/>
      <c r="AB165" s="149"/>
      <c r="AC165" s="149"/>
      <c r="AD165" s="149"/>
      <c r="AE165" s="149"/>
      <c r="AF165" s="149"/>
    </row>
    <row r="166" spans="1:32" s="148" customFormat="1" hidden="1">
      <c r="B166" s="338" t="str">
        <f>Settings!$N$16</f>
        <v>Actions agreed during this review</v>
      </c>
      <c r="C166" s="339"/>
      <c r="D166" s="339"/>
      <c r="E166" s="339"/>
      <c r="F166" s="339"/>
      <c r="G166" s="339"/>
      <c r="H166" s="339"/>
      <c r="I166" s="339"/>
      <c r="J166" s="339"/>
      <c r="K166" s="339"/>
      <c r="L166" s="339"/>
      <c r="M166" s="339"/>
      <c r="N166" s="339"/>
      <c r="O166" s="339"/>
      <c r="P166" s="339"/>
      <c r="Q166" s="339"/>
      <c r="R166" s="339"/>
      <c r="S166" s="339"/>
      <c r="T166" s="339"/>
      <c r="U166" s="339"/>
      <c r="V166" s="339"/>
      <c r="W166" s="339"/>
      <c r="X166" s="339"/>
      <c r="Y166" s="340"/>
      <c r="Z166" s="149"/>
      <c r="AA166" s="149"/>
      <c r="AB166" s="149"/>
      <c r="AC166" s="149"/>
      <c r="AD166" s="149"/>
      <c r="AE166" s="149"/>
      <c r="AF166" s="149"/>
    </row>
    <row r="167" spans="1:32" s="148" customFormat="1" hidden="1">
      <c r="B167" s="341" t="e">
        <f>IF(INDEX(TblDatabase[Feedback To Improve],MATCH(1,INDEX(($L$4=ListEmployeeNamesInDatabase)*(C130=TblDatabase[Year]),0,1),0))="","",INDEX(TblDatabase[Feedback To Improve],MATCH(1,INDEX(($L$4=ListEmployeeNamesInDatabase)*(C130=TblDatabase[Year]),0,1),0)))</f>
        <v>#N/A</v>
      </c>
      <c r="C167" s="342"/>
      <c r="D167" s="342"/>
      <c r="E167" s="342"/>
      <c r="F167" s="342"/>
      <c r="G167" s="342"/>
      <c r="H167" s="342"/>
      <c r="I167" s="342"/>
      <c r="J167" s="342"/>
      <c r="K167" s="342"/>
      <c r="L167" s="342"/>
      <c r="M167" s="342"/>
      <c r="N167" s="342"/>
      <c r="O167" s="342"/>
      <c r="P167" s="342"/>
      <c r="Q167" s="342"/>
      <c r="R167" s="342"/>
      <c r="S167" s="342"/>
      <c r="T167" s="342"/>
      <c r="U167" s="342"/>
      <c r="V167" s="342"/>
      <c r="W167" s="342"/>
      <c r="X167" s="342"/>
      <c r="Y167" s="343"/>
      <c r="Z167" s="149"/>
      <c r="AA167" s="149"/>
      <c r="AB167" s="149"/>
      <c r="AC167" s="149"/>
      <c r="AD167" s="149"/>
      <c r="AE167" s="149"/>
      <c r="AF167" s="149"/>
    </row>
    <row r="168" spans="1:32" s="148" customFormat="1" hidden="1">
      <c r="B168" s="344"/>
      <c r="C168" s="345"/>
      <c r="D168" s="345"/>
      <c r="E168" s="345"/>
      <c r="F168" s="345"/>
      <c r="G168" s="345"/>
      <c r="H168" s="345"/>
      <c r="I168" s="345"/>
      <c r="J168" s="345"/>
      <c r="K168" s="345"/>
      <c r="L168" s="345"/>
      <c r="M168" s="345"/>
      <c r="N168" s="345"/>
      <c r="O168" s="345"/>
      <c r="P168" s="345"/>
      <c r="Q168" s="345"/>
      <c r="R168" s="345"/>
      <c r="S168" s="345"/>
      <c r="T168" s="345"/>
      <c r="U168" s="345"/>
      <c r="V168" s="345"/>
      <c r="W168" s="345"/>
      <c r="X168" s="345"/>
      <c r="Y168" s="346"/>
      <c r="Z168" s="149"/>
      <c r="AA168" s="149"/>
      <c r="AB168" s="149"/>
      <c r="AC168" s="149"/>
      <c r="AD168" s="149"/>
      <c r="AE168" s="149"/>
      <c r="AF168" s="149"/>
    </row>
    <row r="169" spans="1:32" s="148" customFormat="1" hidden="1">
      <c r="B169" s="347"/>
      <c r="C169" s="348"/>
      <c r="D169" s="348"/>
      <c r="E169" s="348"/>
      <c r="F169" s="348"/>
      <c r="G169" s="348"/>
      <c r="H169" s="348"/>
      <c r="I169" s="348"/>
      <c r="J169" s="348"/>
      <c r="K169" s="348"/>
      <c r="L169" s="348"/>
      <c r="M169" s="348"/>
      <c r="N169" s="348"/>
      <c r="O169" s="348"/>
      <c r="P169" s="348"/>
      <c r="Q169" s="348"/>
      <c r="R169" s="348"/>
      <c r="S169" s="348"/>
      <c r="T169" s="348"/>
      <c r="U169" s="348"/>
      <c r="V169" s="348"/>
      <c r="W169" s="348"/>
      <c r="X169" s="348"/>
      <c r="Y169" s="349"/>
      <c r="Z169" s="149"/>
      <c r="AA169" s="149"/>
      <c r="AB169" s="149"/>
      <c r="AC169" s="149"/>
      <c r="AD169" s="149"/>
      <c r="AE169" s="149"/>
      <c r="AF169" s="149"/>
    </row>
    <row r="170" spans="1:32" s="148" customFormat="1" hidden="1">
      <c r="B170" s="156"/>
      <c r="C170" s="156"/>
      <c r="D170" s="156"/>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49"/>
      <c r="AA170" s="149"/>
      <c r="AB170" s="149"/>
      <c r="AC170" s="149"/>
      <c r="AD170" s="149"/>
      <c r="AE170" s="149"/>
      <c r="AF170" s="149"/>
    </row>
    <row r="171" spans="1:32" s="148" customFormat="1" hidden="1">
      <c r="A171" s="150">
        <f>A130+1</f>
        <v>4</v>
      </c>
      <c r="B171" s="27" t="s">
        <v>14</v>
      </c>
      <c r="C171" s="333">
        <f>C130-1</f>
        <v>2017</v>
      </c>
      <c r="D171" s="334"/>
      <c r="Y171" s="149"/>
      <c r="Z171" s="149"/>
      <c r="AA171" s="149"/>
      <c r="AB171" s="149"/>
      <c r="AC171" s="149"/>
      <c r="AD171" s="149"/>
      <c r="AE171" s="149"/>
      <c r="AF171" s="149"/>
    </row>
    <row r="172" spans="1:32" s="148" customFormat="1" hidden="1">
      <c r="Y172" s="149"/>
      <c r="Z172" s="149"/>
      <c r="AA172" s="149"/>
      <c r="AB172" s="149"/>
      <c r="AC172" s="149"/>
      <c r="AD172" s="149"/>
      <c r="AE172" s="149"/>
      <c r="AF172" s="149"/>
    </row>
    <row r="173" spans="1:32" s="148" customFormat="1" hidden="1">
      <c r="B173" s="338" t="str">
        <f>Settings!$N$14</f>
        <v>Employee's comments</v>
      </c>
      <c r="C173" s="339"/>
      <c r="D173" s="339"/>
      <c r="E173" s="339"/>
      <c r="F173" s="339"/>
      <c r="G173" s="339"/>
      <c r="H173" s="339"/>
      <c r="I173" s="339"/>
      <c r="J173" s="339"/>
      <c r="K173" s="339"/>
      <c r="L173" s="339"/>
      <c r="M173" s="339"/>
      <c r="N173" s="339"/>
      <c r="O173" s="339"/>
      <c r="P173" s="339"/>
      <c r="Q173" s="339"/>
      <c r="R173" s="339"/>
      <c r="S173" s="339"/>
      <c r="T173" s="339"/>
      <c r="U173" s="339"/>
      <c r="V173" s="339"/>
      <c r="W173" s="339"/>
      <c r="X173" s="339"/>
      <c r="Y173" s="340"/>
      <c r="Z173" s="149"/>
      <c r="AA173" s="149"/>
      <c r="AB173" s="149"/>
      <c r="AC173" s="149"/>
      <c r="AD173" s="149"/>
      <c r="AE173" s="149"/>
      <c r="AF173" s="149"/>
    </row>
    <row r="174" spans="1:32" s="148" customFormat="1" hidden="1">
      <c r="B174" s="341" t="e">
        <f>IF(INDEX(TblDatabase[Feedback Warnings],MATCH(1,INDEX(($L$4=ListEmployeeNamesInDatabase)*(C171=TblDatabase[Year]),0,1),0))="","",INDEX(TblDatabase[Feedback Warnings],MATCH(1,INDEX(($L$4=ListEmployeeNamesInDatabase)*(C171=TblDatabase[Year]),0,1),0)))</f>
        <v>#N/A</v>
      </c>
      <c r="C174" s="342"/>
      <c r="D174" s="342"/>
      <c r="E174" s="342"/>
      <c r="F174" s="342"/>
      <c r="G174" s="342"/>
      <c r="H174" s="342"/>
      <c r="I174" s="342"/>
      <c r="J174" s="342"/>
      <c r="K174" s="342"/>
      <c r="L174" s="342"/>
      <c r="M174" s="342"/>
      <c r="N174" s="342"/>
      <c r="O174" s="342"/>
      <c r="P174" s="342"/>
      <c r="Q174" s="342"/>
      <c r="R174" s="342"/>
      <c r="S174" s="342"/>
      <c r="T174" s="342"/>
      <c r="U174" s="342"/>
      <c r="V174" s="342"/>
      <c r="W174" s="342"/>
      <c r="X174" s="342"/>
      <c r="Y174" s="343"/>
      <c r="Z174" s="149"/>
      <c r="AA174" s="149"/>
      <c r="AB174" s="149"/>
      <c r="AC174" s="149"/>
      <c r="AD174" s="149"/>
      <c r="AE174" s="149"/>
      <c r="AF174" s="149"/>
    </row>
    <row r="175" spans="1:32" s="148" customFormat="1" hidden="1">
      <c r="B175" s="344"/>
      <c r="C175" s="345"/>
      <c r="D175" s="345"/>
      <c r="E175" s="345"/>
      <c r="F175" s="345"/>
      <c r="G175" s="345"/>
      <c r="H175" s="345"/>
      <c r="I175" s="345"/>
      <c r="J175" s="345"/>
      <c r="K175" s="345"/>
      <c r="L175" s="345"/>
      <c r="M175" s="345"/>
      <c r="N175" s="345"/>
      <c r="O175" s="345"/>
      <c r="P175" s="345"/>
      <c r="Q175" s="345"/>
      <c r="R175" s="345"/>
      <c r="S175" s="345"/>
      <c r="T175" s="345"/>
      <c r="U175" s="345"/>
      <c r="V175" s="345"/>
      <c r="W175" s="345"/>
      <c r="X175" s="345"/>
      <c r="Y175" s="346"/>
      <c r="Z175" s="149"/>
      <c r="AA175" s="149"/>
      <c r="AB175" s="149"/>
      <c r="AC175" s="149"/>
      <c r="AD175" s="149"/>
      <c r="AE175" s="149"/>
      <c r="AF175" s="149"/>
    </row>
    <row r="176" spans="1:32" s="148" customFormat="1" hidden="1">
      <c r="B176" s="347"/>
      <c r="C176" s="348"/>
      <c r="D176" s="348"/>
      <c r="E176" s="348"/>
      <c r="F176" s="348"/>
      <c r="G176" s="348"/>
      <c r="H176" s="348"/>
      <c r="I176" s="348"/>
      <c r="J176" s="348"/>
      <c r="K176" s="348"/>
      <c r="L176" s="348"/>
      <c r="M176" s="348"/>
      <c r="N176" s="348"/>
      <c r="O176" s="348"/>
      <c r="P176" s="348"/>
      <c r="Q176" s="348"/>
      <c r="R176" s="348"/>
      <c r="S176" s="348"/>
      <c r="T176" s="348"/>
      <c r="U176" s="348"/>
      <c r="V176" s="348"/>
      <c r="W176" s="348"/>
      <c r="X176" s="348"/>
      <c r="Y176" s="349"/>
      <c r="Z176" s="149"/>
      <c r="AA176" s="149"/>
      <c r="AB176" s="149"/>
      <c r="AC176" s="149"/>
      <c r="AD176" s="149"/>
      <c r="AE176" s="149"/>
      <c r="AF176" s="149"/>
    </row>
    <row r="177" spans="2:32" s="148" customFormat="1" hidden="1">
      <c r="Y177" s="149"/>
      <c r="Z177" s="149"/>
      <c r="AA177" s="149"/>
      <c r="AB177" s="149"/>
      <c r="AC177" s="149"/>
      <c r="AD177" s="149"/>
      <c r="AE177" s="149"/>
      <c r="AF177" s="149"/>
    </row>
    <row r="178" spans="2:32" s="148" customFormat="1" ht="15" hidden="1" customHeight="1">
      <c r="B178" s="320" t="s">
        <v>8</v>
      </c>
      <c r="C178" s="321"/>
      <c r="D178" s="321"/>
      <c r="E178" s="321"/>
      <c r="F178" s="233">
        <f>IF(Settings!$M$4=Settings!$Y$3,Settings!$O$19,1)</f>
        <v>1</v>
      </c>
      <c r="G178" s="234">
        <f>IF(Settings!$M$4=Settings!$Y$3,Settings!$O$19,2)</f>
        <v>2</v>
      </c>
      <c r="H178" s="234">
        <f>IF(Settings!$M$4=Settings!$Y$3,Settings!$O$19,3)</f>
        <v>3</v>
      </c>
      <c r="I178" s="234">
        <f>IF(Settings!$M$4=Settings!$Y$3,Settings!$O$19,4)</f>
        <v>4</v>
      </c>
      <c r="J178" s="234">
        <f>IF(Settings!$M$4=Settings!$Y$3,Settings!$O$20,5)</f>
        <v>5</v>
      </c>
      <c r="K178" s="234">
        <f>IF(Settings!$M$4=Settings!$Y$3,Settings!$O$20,6)</f>
        <v>6</v>
      </c>
      <c r="L178" s="234">
        <f>IF(Settings!$M$4=Settings!$Y$3,Settings!$O$20,7)</f>
        <v>7</v>
      </c>
      <c r="M178" s="234">
        <f>IF(Settings!$M$4=Settings!$Y$3,Settings!$O$20,8)</f>
        <v>8</v>
      </c>
      <c r="N178" s="234">
        <f>IF(Settings!$M$4=Settings!$Y$3,Settings!$O$21,9)</f>
        <v>9</v>
      </c>
      <c r="O178" s="235">
        <f>IF(Settings!$M$4=Settings!$Y$3,Settings!$O$21,10)</f>
        <v>10</v>
      </c>
      <c r="P178" s="22"/>
      <c r="Q178" s="22"/>
      <c r="R178" s="333" t="s">
        <v>24</v>
      </c>
      <c r="S178" s="333"/>
      <c r="T178" s="333"/>
      <c r="U178" s="333"/>
      <c r="V178" s="333"/>
      <c r="W178" s="333"/>
      <c r="X178" s="333"/>
      <c r="Y178" s="334"/>
      <c r="Z178" s="149"/>
      <c r="AA178" s="149"/>
      <c r="AB178" s="149"/>
      <c r="AC178" s="149"/>
      <c r="AD178" s="149"/>
      <c r="AE178" s="149"/>
      <c r="AF178" s="149"/>
    </row>
    <row r="179" spans="2:32" s="148" customFormat="1" ht="15" hidden="1" customHeight="1">
      <c r="B179" s="335" t="str">
        <f t="shared" ref="B179:B198" si="3">B138</f>
        <v>Quality of Work</v>
      </c>
      <c r="C179" s="336"/>
      <c r="D179" s="336"/>
      <c r="E179" s="337"/>
      <c r="F179" s="162" t="str">
        <f>IF(Settings!$M$4=Settings!$Y$3,IF($AA179=1,"P",""),IF($AA179=1,"P",""))</f>
        <v/>
      </c>
      <c r="G179" s="160" t="str">
        <f>IF(Settings!$M$4=Settings!$Y$3,IF($AA179=1,"P",""),IF($AA179=2,"P",""))</f>
        <v/>
      </c>
      <c r="H179" s="160" t="str">
        <f>IF(Settings!$M$4=Settings!$Y$3,IF($AA179=1,"P",""),IF($AA179=3,"P",""))</f>
        <v/>
      </c>
      <c r="I179" s="160" t="str">
        <f>IF(Settings!$M$4=Settings!$Y$3,IF($AA179=1,"P",""),IF($AA179=4,"P",""))</f>
        <v/>
      </c>
      <c r="J179" s="160" t="str">
        <f>IF(Settings!$M$4=Settings!$Y$3,IF($AA179=2,"P",""),IF($AA179=5,"P",""))</f>
        <v/>
      </c>
      <c r="K179" s="160" t="str">
        <f>IF(Settings!$M$4=Settings!$Y$3,IF($AA179=2,"P",""),IF($AA179=6,"P",""))</f>
        <v/>
      </c>
      <c r="L179" s="160" t="str">
        <f>IF(Settings!$M$4=Settings!$Y$3,IF($AA179=2,"P",""),IF($AA179=7,"P",""))</f>
        <v/>
      </c>
      <c r="M179" s="160" t="str">
        <f>IF(Settings!$M$4=Settings!$Y$3,IF($AA179=2,"P",""),IF($AA179=8,"P",""))</f>
        <v/>
      </c>
      <c r="N179" s="160" t="str">
        <f>IF(Settings!$M$4=Settings!$Y$3,IF($AA179=3,"P",""),IF($AA179=9,"P",""))</f>
        <v/>
      </c>
      <c r="O179" s="161" t="str">
        <f>IF(Settings!$M$4=Settings!$Y$3,IF($AA179=3,"P",""),IF($AA179=10,"P",""))</f>
        <v/>
      </c>
      <c r="P179" s="22"/>
      <c r="Q179" s="22"/>
      <c r="R179" s="367" t="e">
        <f>IF(INDEX(TblDatabase[Comment1],MATCH(1,INDEX(($L$4=ListEmployeeNamesInDatabase)*(C171=TblDatabase[Year]),0,1),0))="","",INDEX(TblDatabase[Comment1],MATCH(1,INDEX(($L$4=ListEmployeeNamesInDatabase)*(C171=TblDatabase[Year]),0,1),0)))</f>
        <v>#N/A</v>
      </c>
      <c r="S179" s="367"/>
      <c r="T179" s="367"/>
      <c r="U179" s="367"/>
      <c r="V179" s="367"/>
      <c r="W179" s="367"/>
      <c r="X179" s="367"/>
      <c r="Y179" s="368"/>
      <c r="Z179" s="149"/>
      <c r="AA179" s="151">
        <f>SUMIFS(TblDatabase[Competency1],ListEmployeeNamesInDatabase,$L$4,TblDatabase[Year],C171)</f>
        <v>0</v>
      </c>
      <c r="AB179" s="149"/>
      <c r="AC179" s="149"/>
      <c r="AD179" s="149"/>
      <c r="AE179" s="149"/>
      <c r="AF179" s="149"/>
    </row>
    <row r="180" spans="2:32" s="148" customFormat="1" ht="15" hidden="1" customHeight="1">
      <c r="B180" s="355" t="str">
        <f t="shared" si="3"/>
        <v>CaLL flow</v>
      </c>
      <c r="C180" s="356"/>
      <c r="D180" s="356"/>
      <c r="E180" s="357"/>
      <c r="F180" s="163" t="str">
        <f>IF(Settings!$M$4=Settings!$Y$3,IF($AA180=1,"P",""),IF($AA180=1,"P",""))</f>
        <v/>
      </c>
      <c r="G180" s="164" t="str">
        <f>IF(Settings!$M$4=Settings!$Y$3,IF($AA180=1,"P",""),IF($AA180=2,"P",""))</f>
        <v/>
      </c>
      <c r="H180" s="164" t="str">
        <f>IF(Settings!$M$4=Settings!$Y$3,IF($AA180=1,"P",""),IF($AA180=3,"P",""))</f>
        <v/>
      </c>
      <c r="I180" s="164" t="str">
        <f>IF(Settings!$M$4=Settings!$Y$3,IF($AA180=1,"P",""),IF($AA180=4,"P",""))</f>
        <v/>
      </c>
      <c r="J180" s="164" t="str">
        <f>IF(Settings!$M$4=Settings!$Y$3,IF($AA180=2,"P",""),IF($AA180=5,"P",""))</f>
        <v/>
      </c>
      <c r="K180" s="164" t="str">
        <f>IF(Settings!$M$4=Settings!$Y$3,IF($AA180=2,"P",""),IF($AA180=6,"P",""))</f>
        <v/>
      </c>
      <c r="L180" s="164" t="str">
        <f>IF(Settings!$M$4=Settings!$Y$3,IF($AA180=2,"P",""),IF($AA180=7,"P",""))</f>
        <v/>
      </c>
      <c r="M180" s="164" t="str">
        <f>IF(Settings!$M$4=Settings!$Y$3,IF($AA180=2,"P",""),IF($AA180=8,"P",""))</f>
        <v/>
      </c>
      <c r="N180" s="164" t="str">
        <f>IF(Settings!$M$4=Settings!$Y$3,IF($AA180=3,"P",""),IF($AA180=9,"P",""))</f>
        <v/>
      </c>
      <c r="O180" s="165" t="str">
        <f>IF(Settings!$M$4=Settings!$Y$3,IF($AA180=3,"P",""),IF($AA180=10,"P",""))</f>
        <v/>
      </c>
      <c r="P180" s="22"/>
      <c r="Q180" s="22"/>
      <c r="R180" s="360" t="e">
        <f>IF(INDEX(TblDatabase[Comment2],MATCH(1,INDEX(($L$4=ListEmployeeNamesInDatabase)*(C171=TblDatabase[Year]),0,1),0))="","",INDEX(TblDatabase[Comment2],MATCH(1,INDEX(($L$4=ListEmployeeNamesInDatabase)*(C171=TblDatabase[Year]),0,1),0)))</f>
        <v>#N/A</v>
      </c>
      <c r="S180" s="360"/>
      <c r="T180" s="360"/>
      <c r="U180" s="360"/>
      <c r="V180" s="360"/>
      <c r="W180" s="360"/>
      <c r="X180" s="360"/>
      <c r="Y180" s="361"/>
      <c r="Z180" s="149"/>
      <c r="AA180" s="151">
        <f>SUMIFS(TblDatabase[Competency2],ListEmployeeNamesInDatabase,$L$4,TblDatabase[Year],C171)</f>
        <v>0</v>
      </c>
      <c r="AB180" s="149"/>
      <c r="AC180" s="149"/>
      <c r="AD180" s="149"/>
      <c r="AE180" s="149"/>
      <c r="AF180" s="149"/>
    </row>
    <row r="181" spans="2:32" s="148" customFormat="1" ht="15" hidden="1" customHeight="1">
      <c r="B181" s="350" t="str">
        <f t="shared" si="3"/>
        <v>Job Knowledge</v>
      </c>
      <c r="C181" s="351"/>
      <c r="D181" s="351"/>
      <c r="E181" s="352"/>
      <c r="F181" s="157" t="str">
        <f>IF(Settings!$M$4=Settings!$Y$3,IF($AA181=1,"P",""),IF($AA181=1,"P",""))</f>
        <v/>
      </c>
      <c r="G181" s="158" t="str">
        <f>IF(Settings!$M$4=Settings!$Y$3,IF($AA181=1,"P",""),IF($AA181=2,"P",""))</f>
        <v/>
      </c>
      <c r="H181" s="158" t="str">
        <f>IF(Settings!$M$4=Settings!$Y$3,IF($AA181=1,"P",""),IF($AA181=3,"P",""))</f>
        <v/>
      </c>
      <c r="I181" s="158" t="str">
        <f>IF(Settings!$M$4=Settings!$Y$3,IF($AA181=1,"P",""),IF($AA181=4,"P",""))</f>
        <v/>
      </c>
      <c r="J181" s="158" t="str">
        <f>IF(Settings!$M$4=Settings!$Y$3,IF($AA181=2,"P",""),IF($AA181=5,"P",""))</f>
        <v/>
      </c>
      <c r="K181" s="158" t="str">
        <f>IF(Settings!$M$4=Settings!$Y$3,IF($AA181=2,"P",""),IF($AA181=6,"P",""))</f>
        <v/>
      </c>
      <c r="L181" s="158" t="str">
        <f>IF(Settings!$M$4=Settings!$Y$3,IF($AA181=2,"P",""),IF($AA181=7,"P",""))</f>
        <v/>
      </c>
      <c r="M181" s="158" t="str">
        <f>IF(Settings!$M$4=Settings!$Y$3,IF($AA181=2,"P",""),IF($AA181=8,"P",""))</f>
        <v/>
      </c>
      <c r="N181" s="158" t="str">
        <f>IF(Settings!$M$4=Settings!$Y$3,IF($AA181=3,"P",""),IF($AA181=9,"P",""))</f>
        <v/>
      </c>
      <c r="O181" s="159" t="str">
        <f>IF(Settings!$M$4=Settings!$Y$3,IF($AA181=3,"P",""),IF($AA181=10,"P",""))</f>
        <v/>
      </c>
      <c r="P181" s="22"/>
      <c r="Q181" s="22"/>
      <c r="R181" s="353" t="e">
        <f>IF(INDEX(TblDatabase[Comment3],MATCH(1,INDEX(($L$4=ListEmployeeNamesInDatabase)*(C171=TblDatabase[Year]),0,1),0))="","",INDEX(TblDatabase[Comment3],MATCH(1,INDEX(($L$4=ListEmployeeNamesInDatabase)*(C171=TblDatabase[Year]),0,1),0)))</f>
        <v>#N/A</v>
      </c>
      <c r="S181" s="353"/>
      <c r="T181" s="353"/>
      <c r="U181" s="353"/>
      <c r="V181" s="353"/>
      <c r="W181" s="353"/>
      <c r="X181" s="353"/>
      <c r="Y181" s="354"/>
      <c r="Z181" s="149"/>
      <c r="AA181" s="151">
        <f>SUMIFS(TblDatabase[Competency3],ListEmployeeNamesInDatabase,$L$4,TblDatabase[Year],C171)</f>
        <v>0</v>
      </c>
      <c r="AB181" s="149"/>
      <c r="AC181" s="149"/>
      <c r="AD181" s="149"/>
      <c r="AE181" s="149"/>
      <c r="AF181" s="149"/>
    </row>
    <row r="182" spans="2:32" s="148" customFormat="1" ht="15" hidden="1" customHeight="1">
      <c r="B182" s="355" t="str">
        <f t="shared" si="3"/>
        <v>Client Service</v>
      </c>
      <c r="C182" s="356"/>
      <c r="D182" s="356"/>
      <c r="E182" s="357"/>
      <c r="F182" s="163" t="str">
        <f>IF(Settings!$M$4=Settings!$Y$3,IF($AA182=1,"P",""),IF($AA182=1,"P",""))</f>
        <v/>
      </c>
      <c r="G182" s="164" t="str">
        <f>IF(Settings!$M$4=Settings!$Y$3,IF($AA182=1,"P",""),IF($AA182=2,"P",""))</f>
        <v/>
      </c>
      <c r="H182" s="164" t="str">
        <f>IF(Settings!$M$4=Settings!$Y$3,IF($AA182=1,"P",""),IF($AA182=3,"P",""))</f>
        <v/>
      </c>
      <c r="I182" s="164" t="str">
        <f>IF(Settings!$M$4=Settings!$Y$3,IF($AA182=1,"P",""),IF($AA182=4,"P",""))</f>
        <v/>
      </c>
      <c r="J182" s="164" t="str">
        <f>IF(Settings!$M$4=Settings!$Y$3,IF($AA182=2,"P",""),IF($AA182=5,"P",""))</f>
        <v/>
      </c>
      <c r="K182" s="164" t="str">
        <f>IF(Settings!$M$4=Settings!$Y$3,IF($AA182=2,"P",""),IF($AA182=6,"P",""))</f>
        <v/>
      </c>
      <c r="L182" s="164" t="str">
        <f>IF(Settings!$M$4=Settings!$Y$3,IF($AA182=2,"P",""),IF($AA182=7,"P",""))</f>
        <v/>
      </c>
      <c r="M182" s="164" t="str">
        <f>IF(Settings!$M$4=Settings!$Y$3,IF($AA182=2,"P",""),IF($AA182=8,"P",""))</f>
        <v/>
      </c>
      <c r="N182" s="164" t="str">
        <f>IF(Settings!$M$4=Settings!$Y$3,IF($AA182=3,"P",""),IF($AA182=9,"P",""))</f>
        <v/>
      </c>
      <c r="O182" s="165" t="str">
        <f>IF(Settings!$M$4=Settings!$Y$3,IF($AA182=3,"P",""),IF($AA182=10,"P",""))</f>
        <v/>
      </c>
      <c r="P182" s="22"/>
      <c r="Q182" s="22"/>
      <c r="R182" s="360" t="e">
        <f>IF(INDEX(TblDatabase[Comment4],MATCH(1,INDEX(($L$4=ListEmployeeNamesInDatabase)*(C171=TblDatabase[Year]),0,1),0))="","",INDEX(TblDatabase[Comment4],MATCH(1,INDEX(($L$4=ListEmployeeNamesInDatabase)*(C171=TblDatabase[Year]),0,1),0)))</f>
        <v>#N/A</v>
      </c>
      <c r="S182" s="360"/>
      <c r="T182" s="360"/>
      <c r="U182" s="360"/>
      <c r="V182" s="360"/>
      <c r="W182" s="360"/>
      <c r="X182" s="360"/>
      <c r="Y182" s="361"/>
      <c r="Z182" s="149"/>
      <c r="AA182" s="151">
        <f>SUMIFS(TblDatabase[Competency4],ListEmployeeNamesInDatabase,$L$4,TblDatabase[Year],C171)</f>
        <v>0</v>
      </c>
      <c r="AB182" s="149"/>
      <c r="AC182" s="149"/>
      <c r="AD182" s="149"/>
      <c r="AE182" s="149"/>
      <c r="AF182" s="149"/>
    </row>
    <row r="183" spans="2:32" s="148" customFormat="1" ht="15" hidden="1" customHeight="1">
      <c r="B183" s="350" t="str">
        <f t="shared" si="3"/>
        <v>Teamwork</v>
      </c>
      <c r="C183" s="351"/>
      <c r="D183" s="351"/>
      <c r="E183" s="352"/>
      <c r="F183" s="157" t="str">
        <f>IF(Settings!$M$4=Settings!$Y$3,IF($AA183=1,"P",""),IF($AA183=1,"P",""))</f>
        <v/>
      </c>
      <c r="G183" s="158" t="str">
        <f>IF(Settings!$M$4=Settings!$Y$3,IF($AA183=1,"P",""),IF($AA183=2,"P",""))</f>
        <v/>
      </c>
      <c r="H183" s="158" t="str">
        <f>IF(Settings!$M$4=Settings!$Y$3,IF($AA183=1,"P",""),IF($AA183=3,"P",""))</f>
        <v/>
      </c>
      <c r="I183" s="158" t="str">
        <f>IF(Settings!$M$4=Settings!$Y$3,IF($AA183=1,"P",""),IF($AA183=4,"P",""))</f>
        <v/>
      </c>
      <c r="J183" s="158" t="str">
        <f>IF(Settings!$M$4=Settings!$Y$3,IF($AA183=2,"P",""),IF($AA183=5,"P",""))</f>
        <v/>
      </c>
      <c r="K183" s="158" t="str">
        <f>IF(Settings!$M$4=Settings!$Y$3,IF($AA183=2,"P",""),IF($AA183=6,"P",""))</f>
        <v/>
      </c>
      <c r="L183" s="158" t="str">
        <f>IF(Settings!$M$4=Settings!$Y$3,IF($AA183=2,"P",""),IF($AA183=7,"P",""))</f>
        <v/>
      </c>
      <c r="M183" s="158" t="str">
        <f>IF(Settings!$M$4=Settings!$Y$3,IF($AA183=2,"P",""),IF($AA183=8,"P",""))</f>
        <v/>
      </c>
      <c r="N183" s="158" t="str">
        <f>IF(Settings!$M$4=Settings!$Y$3,IF($AA183=3,"P",""),IF($AA183=9,"P",""))</f>
        <v/>
      </c>
      <c r="O183" s="159" t="str">
        <f>IF(Settings!$M$4=Settings!$Y$3,IF($AA183=3,"P",""),IF($AA183=10,"P",""))</f>
        <v/>
      </c>
      <c r="P183" s="22"/>
      <c r="Q183" s="22"/>
      <c r="R183" s="353" t="e">
        <f>IF(INDEX(TblDatabase[Comment5],MATCH(1,INDEX(($L$4=ListEmployeeNamesInDatabase)*(C171=TblDatabase[Year]),0,1),0))="","",INDEX(TblDatabase[Comment5],MATCH(1,INDEX(($L$4=ListEmployeeNamesInDatabase)*(C171=TblDatabase[Year]),0,1),0)))</f>
        <v>#N/A</v>
      </c>
      <c r="S183" s="353"/>
      <c r="T183" s="353"/>
      <c r="U183" s="353"/>
      <c r="V183" s="353"/>
      <c r="W183" s="353"/>
      <c r="X183" s="353"/>
      <c r="Y183" s="354"/>
      <c r="Z183" s="149"/>
      <c r="AA183" s="151">
        <f>SUMIFS(TblDatabase[Competency5],ListEmployeeNamesInDatabase,$L$4,TblDatabase[Year],C171)</f>
        <v>0</v>
      </c>
      <c r="AB183" s="149"/>
      <c r="AC183" s="149"/>
      <c r="AD183" s="149"/>
      <c r="AE183" s="149"/>
      <c r="AF183" s="149"/>
    </row>
    <row r="184" spans="2:32" s="148" customFormat="1" ht="15" hidden="1" customHeight="1">
      <c r="B184" s="355" t="str">
        <f t="shared" si="3"/>
        <v>Safety</v>
      </c>
      <c r="C184" s="356"/>
      <c r="D184" s="356"/>
      <c r="E184" s="357"/>
      <c r="F184" s="163" t="str">
        <f>IF(Settings!$M$4=Settings!$Y$3,IF($AA184=1,"P",""),IF($AA184=1,"P",""))</f>
        <v/>
      </c>
      <c r="G184" s="164" t="str">
        <f>IF(Settings!$M$4=Settings!$Y$3,IF($AA184=1,"P",""),IF($AA184=2,"P",""))</f>
        <v/>
      </c>
      <c r="H184" s="164" t="str">
        <f>IF(Settings!$M$4=Settings!$Y$3,IF($AA184=1,"P",""),IF($AA184=3,"P",""))</f>
        <v/>
      </c>
      <c r="I184" s="164" t="str">
        <f>IF(Settings!$M$4=Settings!$Y$3,IF($AA184=1,"P",""),IF($AA184=4,"P",""))</f>
        <v/>
      </c>
      <c r="J184" s="164" t="str">
        <f>IF(Settings!$M$4=Settings!$Y$3,IF($AA184=2,"P",""),IF($AA184=5,"P",""))</f>
        <v/>
      </c>
      <c r="K184" s="164" t="str">
        <f>IF(Settings!$M$4=Settings!$Y$3,IF($AA184=2,"P",""),IF($AA184=6,"P",""))</f>
        <v/>
      </c>
      <c r="L184" s="164" t="str">
        <f>IF(Settings!$M$4=Settings!$Y$3,IF($AA184=2,"P",""),IF($AA184=7,"P",""))</f>
        <v/>
      </c>
      <c r="M184" s="164" t="str">
        <f>IF(Settings!$M$4=Settings!$Y$3,IF($AA184=2,"P",""),IF($AA184=8,"P",""))</f>
        <v/>
      </c>
      <c r="N184" s="164" t="str">
        <f>IF(Settings!$M$4=Settings!$Y$3,IF($AA184=3,"P",""),IF($AA184=9,"P",""))</f>
        <v/>
      </c>
      <c r="O184" s="165" t="str">
        <f>IF(Settings!$M$4=Settings!$Y$3,IF($AA184=3,"P",""),IF($AA184=10,"P",""))</f>
        <v/>
      </c>
      <c r="P184" s="22"/>
      <c r="Q184" s="22"/>
      <c r="R184" s="360" t="e">
        <f>IF(INDEX(TblDatabase[Comment6],MATCH(1,INDEX(($L$4=ListEmployeeNamesInDatabase)*(C171=TblDatabase[Year]),0,1),0))="","",INDEX(TblDatabase[Comment6],MATCH(1,INDEX(($L$4=ListEmployeeNamesInDatabase)*(C171=TblDatabase[Year]),0,1),0)))</f>
        <v>#N/A</v>
      </c>
      <c r="S184" s="360"/>
      <c r="T184" s="360"/>
      <c r="U184" s="360"/>
      <c r="V184" s="360"/>
      <c r="W184" s="360"/>
      <c r="X184" s="360"/>
      <c r="Y184" s="361"/>
      <c r="Z184" s="149"/>
      <c r="AA184" s="151">
        <f>SUMIFS(TblDatabase[Competency6],ListEmployeeNamesInDatabase,$L$4,TblDatabase[Year],C171)</f>
        <v>0</v>
      </c>
      <c r="AB184" s="149"/>
      <c r="AC184" s="149"/>
      <c r="AD184" s="149"/>
      <c r="AE184" s="149"/>
      <c r="AF184" s="149"/>
    </row>
    <row r="185" spans="2:32" s="148" customFormat="1" ht="15" hidden="1" customHeight="1">
      <c r="B185" s="350" t="str">
        <f t="shared" si="3"/>
        <v>Reliability</v>
      </c>
      <c r="C185" s="351"/>
      <c r="D185" s="351"/>
      <c r="E185" s="352"/>
      <c r="F185" s="157" t="str">
        <f>IF(Settings!$M$4=Settings!$Y$3,IF($AA185=1,"P",""),IF($AA185=1,"P",""))</f>
        <v/>
      </c>
      <c r="G185" s="158" t="str">
        <f>IF(Settings!$M$4=Settings!$Y$3,IF($AA185=1,"P",""),IF($AA185=2,"P",""))</f>
        <v/>
      </c>
      <c r="H185" s="158" t="str">
        <f>IF(Settings!$M$4=Settings!$Y$3,IF($AA185=1,"P",""),IF($AA185=3,"P",""))</f>
        <v/>
      </c>
      <c r="I185" s="158" t="str">
        <f>IF(Settings!$M$4=Settings!$Y$3,IF($AA185=1,"P",""),IF($AA185=4,"P",""))</f>
        <v/>
      </c>
      <c r="J185" s="158" t="str">
        <f>IF(Settings!$M$4=Settings!$Y$3,IF($AA185=2,"P",""),IF($AA185=5,"P",""))</f>
        <v/>
      </c>
      <c r="K185" s="158" t="str">
        <f>IF(Settings!$M$4=Settings!$Y$3,IF($AA185=2,"P",""),IF($AA185=6,"P",""))</f>
        <v/>
      </c>
      <c r="L185" s="158" t="str">
        <f>IF(Settings!$M$4=Settings!$Y$3,IF($AA185=2,"P",""),IF($AA185=7,"P",""))</f>
        <v/>
      </c>
      <c r="M185" s="158" t="str">
        <f>IF(Settings!$M$4=Settings!$Y$3,IF($AA185=2,"P",""),IF($AA185=8,"P",""))</f>
        <v/>
      </c>
      <c r="N185" s="158" t="str">
        <f>IF(Settings!$M$4=Settings!$Y$3,IF($AA185=3,"P",""),IF($AA185=9,"P",""))</f>
        <v/>
      </c>
      <c r="O185" s="159" t="str">
        <f>IF(Settings!$M$4=Settings!$Y$3,IF($AA185=3,"P",""),IF($AA185=10,"P",""))</f>
        <v/>
      </c>
      <c r="P185" s="22"/>
      <c r="Q185" s="22"/>
      <c r="R185" s="353" t="e">
        <f>IF(INDEX(TblDatabase[Comment7],MATCH(1,INDEX(($L$4=ListEmployeeNamesInDatabase)*(C171=TblDatabase[Year]),0,1),0))="","",INDEX(TblDatabase[Comment7],MATCH(1,INDEX(($L$4=ListEmployeeNamesInDatabase)*(C171=TblDatabase[Year]),0,1),0)))</f>
        <v>#N/A</v>
      </c>
      <c r="S185" s="353"/>
      <c r="T185" s="353"/>
      <c r="U185" s="353"/>
      <c r="V185" s="353"/>
      <c r="W185" s="353"/>
      <c r="X185" s="353"/>
      <c r="Y185" s="354"/>
      <c r="Z185" s="149"/>
      <c r="AA185" s="151">
        <f>SUMIFS(TblDatabase[Competency7],ListEmployeeNamesInDatabase,$L$4,TblDatabase[Year],C171)</f>
        <v>0</v>
      </c>
      <c r="AB185" s="149"/>
      <c r="AC185" s="149"/>
      <c r="AD185" s="149"/>
      <c r="AE185" s="149"/>
      <c r="AF185" s="149"/>
    </row>
    <row r="186" spans="2:32" s="148" customFormat="1" ht="15" hidden="1" customHeight="1">
      <c r="B186" s="355" t="str">
        <f t="shared" si="3"/>
        <v>Initiative/Adaptability</v>
      </c>
      <c r="C186" s="356"/>
      <c r="D186" s="356"/>
      <c r="E186" s="357"/>
      <c r="F186" s="163" t="str">
        <f>IF(Settings!$M$4=Settings!$Y$3,IF($AA186=1,"P",""),IF($AA186=1,"P",""))</f>
        <v/>
      </c>
      <c r="G186" s="164" t="str">
        <f>IF(Settings!$M$4=Settings!$Y$3,IF($AA186=1,"P",""),IF($AA186=2,"P",""))</f>
        <v/>
      </c>
      <c r="H186" s="164" t="str">
        <f>IF(Settings!$M$4=Settings!$Y$3,IF($AA186=1,"P",""),IF($AA186=3,"P",""))</f>
        <v/>
      </c>
      <c r="I186" s="164" t="str">
        <f>IF(Settings!$M$4=Settings!$Y$3,IF($AA186=1,"P",""),IF($AA186=4,"P",""))</f>
        <v/>
      </c>
      <c r="J186" s="164" t="str">
        <f>IF(Settings!$M$4=Settings!$Y$3,IF($AA186=2,"P",""),IF($AA186=5,"P",""))</f>
        <v/>
      </c>
      <c r="K186" s="164" t="str">
        <f>IF(Settings!$M$4=Settings!$Y$3,IF($AA186=2,"P",""),IF($AA186=6,"P",""))</f>
        <v/>
      </c>
      <c r="L186" s="164" t="str">
        <f>IF(Settings!$M$4=Settings!$Y$3,IF($AA186=2,"P",""),IF($AA186=7,"P",""))</f>
        <v/>
      </c>
      <c r="M186" s="164" t="str">
        <f>IF(Settings!$M$4=Settings!$Y$3,IF($AA186=2,"P",""),IF($AA186=8,"P",""))</f>
        <v/>
      </c>
      <c r="N186" s="164" t="str">
        <f>IF(Settings!$M$4=Settings!$Y$3,IF($AA186=3,"P",""),IF($AA186=9,"P",""))</f>
        <v/>
      </c>
      <c r="O186" s="165" t="str">
        <f>IF(Settings!$M$4=Settings!$Y$3,IF($AA186=3,"P",""),IF($AA186=10,"P",""))</f>
        <v/>
      </c>
      <c r="P186" s="22"/>
      <c r="Q186" s="22"/>
      <c r="R186" s="360" t="e">
        <f>IF(INDEX(TblDatabase[Comment8],MATCH(1,INDEX(($L$4=ListEmployeeNamesInDatabase)*(C171=TblDatabase[Year]),0,1),0))="","",INDEX(TblDatabase[Comment8],MATCH(1,INDEX(($L$4=ListEmployeeNamesInDatabase)*(C171=TblDatabase[Year]),0,1),0)))</f>
        <v>#N/A</v>
      </c>
      <c r="S186" s="360"/>
      <c r="T186" s="360"/>
      <c r="U186" s="360"/>
      <c r="V186" s="360"/>
      <c r="W186" s="360"/>
      <c r="X186" s="360"/>
      <c r="Y186" s="361"/>
      <c r="Z186" s="149"/>
      <c r="AA186" s="151">
        <f>SUMIFS(TblDatabase[Competency8],ListEmployeeNamesInDatabase,$L$4,TblDatabase[Year],C171)</f>
        <v>0</v>
      </c>
      <c r="AB186" s="149"/>
      <c r="AC186" s="149"/>
      <c r="AD186" s="149"/>
      <c r="AE186" s="149"/>
      <c r="AF186" s="149"/>
    </row>
    <row r="187" spans="2:32" s="148" customFormat="1" ht="15" hidden="1" customHeight="1">
      <c r="B187" s="350" t="str">
        <f t="shared" si="3"/>
        <v/>
      </c>
      <c r="C187" s="351"/>
      <c r="D187" s="351"/>
      <c r="E187" s="352"/>
      <c r="F187" s="157" t="str">
        <f>IF(Settings!$M$4=Settings!$Y$3,IF($AA187=1,"P",""),IF($AA187=1,"P",""))</f>
        <v/>
      </c>
      <c r="G187" s="158" t="str">
        <f>IF(Settings!$M$4=Settings!$Y$3,IF($AA187=1,"P",""),IF($AA187=2,"P",""))</f>
        <v/>
      </c>
      <c r="H187" s="158" t="str">
        <f>IF(Settings!$M$4=Settings!$Y$3,IF($AA187=1,"P",""),IF($AA187=3,"P",""))</f>
        <v/>
      </c>
      <c r="I187" s="158" t="str">
        <f>IF(Settings!$M$4=Settings!$Y$3,IF($AA187=1,"P",""),IF($AA187=4,"P",""))</f>
        <v/>
      </c>
      <c r="J187" s="158" t="str">
        <f>IF(Settings!$M$4=Settings!$Y$3,IF($AA187=2,"P",""),IF($AA187=5,"P",""))</f>
        <v/>
      </c>
      <c r="K187" s="158" t="str">
        <f>IF(Settings!$M$4=Settings!$Y$3,IF($AA187=2,"P",""),IF($AA187=6,"P",""))</f>
        <v/>
      </c>
      <c r="L187" s="158" t="str">
        <f>IF(Settings!$M$4=Settings!$Y$3,IF($AA187=2,"P",""),IF($AA187=7,"P",""))</f>
        <v/>
      </c>
      <c r="M187" s="158" t="str">
        <f>IF(Settings!$M$4=Settings!$Y$3,IF($AA187=2,"P",""),IF($AA187=8,"P",""))</f>
        <v/>
      </c>
      <c r="N187" s="158" t="str">
        <f>IF(Settings!$M$4=Settings!$Y$3,IF($AA187=3,"P",""),IF($AA187=9,"P",""))</f>
        <v/>
      </c>
      <c r="O187" s="159" t="str">
        <f>IF(Settings!$M$4=Settings!$Y$3,IF($AA187=3,"P",""),IF($AA187=10,"P",""))</f>
        <v/>
      </c>
      <c r="P187" s="22"/>
      <c r="Q187" s="22"/>
      <c r="R187" s="353" t="e">
        <f>IF(INDEX(TblDatabase[Comment9],MATCH(1,INDEX(($L$4=ListEmployeeNamesInDatabase)*(C171=TblDatabase[Year]),0,1),0))="","",INDEX(TblDatabase[Comment9],MATCH(1,INDEX(($L$4=ListEmployeeNamesInDatabase)*(C171=TblDatabase[Year]),0,1),0)))</f>
        <v>#N/A</v>
      </c>
      <c r="S187" s="353"/>
      <c r="T187" s="353"/>
      <c r="U187" s="353"/>
      <c r="V187" s="353"/>
      <c r="W187" s="353"/>
      <c r="X187" s="353"/>
      <c r="Y187" s="354"/>
      <c r="Z187" s="149"/>
      <c r="AA187" s="151">
        <f>SUMIFS(TblDatabase[Competency9],ListEmployeeNamesInDatabase,$L$4,TblDatabase[Year],C171)</f>
        <v>0</v>
      </c>
      <c r="AB187" s="149"/>
      <c r="AC187" s="149"/>
      <c r="AD187" s="149"/>
      <c r="AE187" s="149"/>
      <c r="AF187" s="149"/>
    </row>
    <row r="188" spans="2:32" s="148" customFormat="1" ht="15" hidden="1" customHeight="1">
      <c r="B188" s="355" t="str">
        <f t="shared" si="3"/>
        <v/>
      </c>
      <c r="C188" s="356"/>
      <c r="D188" s="356"/>
      <c r="E188" s="357"/>
      <c r="F188" s="163" t="str">
        <f>IF(Settings!$M$4=Settings!$Y$3,IF($AA188=1,"P",""),IF($AA188=1,"P",""))</f>
        <v/>
      </c>
      <c r="G188" s="164" t="str">
        <f>IF(Settings!$M$4=Settings!$Y$3,IF($AA188=1,"P",""),IF($AA188=2,"P",""))</f>
        <v/>
      </c>
      <c r="H188" s="164" t="str">
        <f>IF(Settings!$M$4=Settings!$Y$3,IF($AA188=1,"P",""),IF($AA188=3,"P",""))</f>
        <v/>
      </c>
      <c r="I188" s="164" t="str">
        <f>IF(Settings!$M$4=Settings!$Y$3,IF($AA188=1,"P",""),IF($AA188=4,"P",""))</f>
        <v/>
      </c>
      <c r="J188" s="164" t="str">
        <f>IF(Settings!$M$4=Settings!$Y$3,IF($AA188=2,"P",""),IF($AA188=5,"P",""))</f>
        <v/>
      </c>
      <c r="K188" s="164" t="str">
        <f>IF(Settings!$M$4=Settings!$Y$3,IF($AA188=2,"P",""),IF($AA188=6,"P",""))</f>
        <v/>
      </c>
      <c r="L188" s="164" t="str">
        <f>IF(Settings!$M$4=Settings!$Y$3,IF($AA188=2,"P",""),IF($AA188=7,"P",""))</f>
        <v/>
      </c>
      <c r="M188" s="164" t="str">
        <f>IF(Settings!$M$4=Settings!$Y$3,IF($AA188=2,"P",""),IF($AA188=8,"P",""))</f>
        <v/>
      </c>
      <c r="N188" s="164" t="str">
        <f>IF(Settings!$M$4=Settings!$Y$3,IF($AA188=3,"P",""),IF($AA188=9,"P",""))</f>
        <v/>
      </c>
      <c r="O188" s="165" t="str">
        <f>IF(Settings!$M$4=Settings!$Y$3,IF($AA188=3,"P",""),IF($AA188=10,"P",""))</f>
        <v/>
      </c>
      <c r="P188" s="22"/>
      <c r="Q188" s="22"/>
      <c r="R188" s="360" t="e">
        <f>IF(INDEX(TblDatabase[Comment10],MATCH(1,INDEX(($L$4=ListEmployeeNamesInDatabase)*(C171=TblDatabase[Year]),0,1),0))="","",INDEX(TblDatabase[Comment10],MATCH(1,INDEX(($L$4=ListEmployeeNamesInDatabase)*(C171=TblDatabase[Year]),0,1),0)))</f>
        <v>#N/A</v>
      </c>
      <c r="S188" s="360"/>
      <c r="T188" s="360"/>
      <c r="U188" s="360"/>
      <c r="V188" s="360"/>
      <c r="W188" s="360"/>
      <c r="X188" s="360"/>
      <c r="Y188" s="361"/>
      <c r="Z188" s="149"/>
      <c r="AA188" s="151">
        <f>SUMIFS(TblDatabase[Competency10],ListEmployeeNamesInDatabase,$L$4,TblDatabase[Year],C171)</f>
        <v>0</v>
      </c>
      <c r="AB188" s="149"/>
      <c r="AC188" s="149"/>
      <c r="AD188" s="149"/>
      <c r="AE188" s="149"/>
      <c r="AF188" s="149"/>
    </row>
    <row r="189" spans="2:32" s="148" customFormat="1" ht="15" hidden="1" customHeight="1">
      <c r="B189" s="350" t="str">
        <f t="shared" si="3"/>
        <v/>
      </c>
      <c r="C189" s="351"/>
      <c r="D189" s="351"/>
      <c r="E189" s="352"/>
      <c r="F189" s="157" t="str">
        <f>IF(Settings!$M$4=Settings!$Y$3,IF($AA189=1,"P",""),IF($AA189=1,"P",""))</f>
        <v/>
      </c>
      <c r="G189" s="158" t="str">
        <f>IF(Settings!$M$4=Settings!$Y$3,IF($AA189=1,"P",""),IF($AA189=2,"P",""))</f>
        <v/>
      </c>
      <c r="H189" s="158" t="str">
        <f>IF(Settings!$M$4=Settings!$Y$3,IF($AA189=1,"P",""),IF($AA189=3,"P",""))</f>
        <v/>
      </c>
      <c r="I189" s="158" t="str">
        <f>IF(Settings!$M$4=Settings!$Y$3,IF($AA189=1,"P",""),IF($AA189=4,"P",""))</f>
        <v/>
      </c>
      <c r="J189" s="158" t="str">
        <f>IF(Settings!$M$4=Settings!$Y$3,IF($AA189=2,"P",""),IF($AA189=5,"P",""))</f>
        <v/>
      </c>
      <c r="K189" s="158" t="str">
        <f>IF(Settings!$M$4=Settings!$Y$3,IF($AA189=2,"P",""),IF($AA189=6,"P",""))</f>
        <v/>
      </c>
      <c r="L189" s="158" t="str">
        <f>IF(Settings!$M$4=Settings!$Y$3,IF($AA189=2,"P",""),IF($AA189=7,"P",""))</f>
        <v/>
      </c>
      <c r="M189" s="158" t="str">
        <f>IF(Settings!$M$4=Settings!$Y$3,IF($AA189=2,"P",""),IF($AA189=8,"P",""))</f>
        <v/>
      </c>
      <c r="N189" s="158" t="str">
        <f>IF(Settings!$M$4=Settings!$Y$3,IF($AA189=3,"P",""),IF($AA189=9,"P",""))</f>
        <v/>
      </c>
      <c r="O189" s="159" t="str">
        <f>IF(Settings!$M$4=Settings!$Y$3,IF($AA189=3,"P",""),IF($AA189=10,"P",""))</f>
        <v/>
      </c>
      <c r="P189" s="22"/>
      <c r="Q189" s="22"/>
      <c r="R189" s="353" t="e">
        <f>IF(INDEX(TblDatabase[Comment11],MATCH(1,INDEX(($L$4=ListEmployeeNamesInDatabase)*(C171=TblDatabase[Year]),0,1),0))="","",INDEX(TblDatabase[Comment11],MATCH(1,INDEX(($L$4=ListEmployeeNamesInDatabase)*(C171=TblDatabase[Year]),0,1),0)))</f>
        <v>#N/A</v>
      </c>
      <c r="S189" s="353"/>
      <c r="T189" s="353"/>
      <c r="U189" s="353"/>
      <c r="V189" s="353"/>
      <c r="W189" s="353"/>
      <c r="X189" s="353"/>
      <c r="Y189" s="354"/>
      <c r="Z189" s="149"/>
      <c r="AA189" s="151">
        <f>SUMIFS(TblDatabase[Competency11],ListEmployeeNamesInDatabase,$L$4,TblDatabase[Year],C171)</f>
        <v>0</v>
      </c>
      <c r="AB189" s="149"/>
      <c r="AC189" s="149"/>
      <c r="AD189" s="149"/>
      <c r="AE189" s="149"/>
      <c r="AF189" s="149"/>
    </row>
    <row r="190" spans="2:32" s="148" customFormat="1" ht="15" hidden="1" customHeight="1">
      <c r="B190" s="355" t="str">
        <f t="shared" si="3"/>
        <v/>
      </c>
      <c r="C190" s="356"/>
      <c r="D190" s="356"/>
      <c r="E190" s="357"/>
      <c r="F190" s="163" t="str">
        <f>IF(Settings!$M$4=Settings!$Y$3,IF($AA190=1,"P",""),IF($AA190=1,"P",""))</f>
        <v/>
      </c>
      <c r="G190" s="164" t="str">
        <f>IF(Settings!$M$4=Settings!$Y$3,IF($AA190=1,"P",""),IF($AA190=2,"P",""))</f>
        <v/>
      </c>
      <c r="H190" s="164" t="str">
        <f>IF(Settings!$M$4=Settings!$Y$3,IF($AA190=1,"P",""),IF($AA190=3,"P",""))</f>
        <v/>
      </c>
      <c r="I190" s="164" t="str">
        <f>IF(Settings!$M$4=Settings!$Y$3,IF($AA190=1,"P",""),IF($AA190=4,"P",""))</f>
        <v/>
      </c>
      <c r="J190" s="164" t="str">
        <f>IF(Settings!$M$4=Settings!$Y$3,IF($AA190=2,"P",""),IF($AA190=5,"P",""))</f>
        <v/>
      </c>
      <c r="K190" s="164" t="str">
        <f>IF(Settings!$M$4=Settings!$Y$3,IF($AA190=2,"P",""),IF($AA190=6,"P",""))</f>
        <v/>
      </c>
      <c r="L190" s="164" t="str">
        <f>IF(Settings!$M$4=Settings!$Y$3,IF($AA190=2,"P",""),IF($AA190=7,"P",""))</f>
        <v/>
      </c>
      <c r="M190" s="164" t="str">
        <f>IF(Settings!$M$4=Settings!$Y$3,IF($AA190=2,"P",""),IF($AA190=8,"P",""))</f>
        <v/>
      </c>
      <c r="N190" s="164" t="str">
        <f>IF(Settings!$M$4=Settings!$Y$3,IF($AA190=3,"P",""),IF($AA190=9,"P",""))</f>
        <v/>
      </c>
      <c r="O190" s="165" t="str">
        <f>IF(Settings!$M$4=Settings!$Y$3,IF($AA190=3,"P",""),IF($AA190=10,"P",""))</f>
        <v/>
      </c>
      <c r="P190" s="22"/>
      <c r="Q190" s="22"/>
      <c r="R190" s="360" t="e">
        <f>IF(INDEX(TblDatabase[Comment12],MATCH(1,INDEX(($L$4=ListEmployeeNamesInDatabase)*(C171=TblDatabase[Year]),0,1),0))="","",INDEX(TblDatabase[Comment12],MATCH(1,INDEX(($L$4=ListEmployeeNamesInDatabase)*(C171=TblDatabase[Year]),0,1),0)))</f>
        <v>#N/A</v>
      </c>
      <c r="S190" s="360"/>
      <c r="T190" s="360"/>
      <c r="U190" s="360"/>
      <c r="V190" s="360"/>
      <c r="W190" s="360"/>
      <c r="X190" s="360"/>
      <c r="Y190" s="361"/>
      <c r="Z190" s="149"/>
      <c r="AA190" s="151">
        <f>SUMIFS(TblDatabase[Competency12],ListEmployeeNamesInDatabase,$L$4,TblDatabase[Year],C171)</f>
        <v>0</v>
      </c>
      <c r="AB190" s="149"/>
      <c r="AC190" s="149"/>
      <c r="AD190" s="149"/>
      <c r="AE190" s="149"/>
      <c r="AF190" s="149"/>
    </row>
    <row r="191" spans="2:32" s="148" customFormat="1" ht="15" hidden="1" customHeight="1">
      <c r="B191" s="350" t="str">
        <f t="shared" si="3"/>
        <v/>
      </c>
      <c r="C191" s="351"/>
      <c r="D191" s="351"/>
      <c r="E191" s="352"/>
      <c r="F191" s="157" t="str">
        <f>IF(Settings!$M$4=Settings!$Y$3,IF($AA191=1,"P",""),IF($AA191=1,"P",""))</f>
        <v/>
      </c>
      <c r="G191" s="158" t="str">
        <f>IF(Settings!$M$4=Settings!$Y$3,IF($AA191=1,"P",""),IF($AA191=2,"P",""))</f>
        <v/>
      </c>
      <c r="H191" s="158" t="str">
        <f>IF(Settings!$M$4=Settings!$Y$3,IF($AA191=1,"P",""),IF($AA191=3,"P",""))</f>
        <v/>
      </c>
      <c r="I191" s="158" t="str">
        <f>IF(Settings!$M$4=Settings!$Y$3,IF($AA191=1,"P",""),IF($AA191=4,"P",""))</f>
        <v/>
      </c>
      <c r="J191" s="158" t="str">
        <f>IF(Settings!$M$4=Settings!$Y$3,IF($AA191=2,"P",""),IF($AA191=5,"P",""))</f>
        <v/>
      </c>
      <c r="K191" s="158" t="str">
        <f>IF(Settings!$M$4=Settings!$Y$3,IF($AA191=2,"P",""),IF($AA191=6,"P",""))</f>
        <v/>
      </c>
      <c r="L191" s="158" t="str">
        <f>IF(Settings!$M$4=Settings!$Y$3,IF($AA191=2,"P",""),IF($AA191=7,"P",""))</f>
        <v/>
      </c>
      <c r="M191" s="158" t="str">
        <f>IF(Settings!$M$4=Settings!$Y$3,IF($AA191=2,"P",""),IF($AA191=8,"P",""))</f>
        <v/>
      </c>
      <c r="N191" s="158" t="str">
        <f>IF(Settings!$M$4=Settings!$Y$3,IF($AA191=3,"P",""),IF($AA191=9,"P",""))</f>
        <v/>
      </c>
      <c r="O191" s="159" t="str">
        <f>IF(Settings!$M$4=Settings!$Y$3,IF($AA191=3,"P",""),IF($AA191=10,"P",""))</f>
        <v/>
      </c>
      <c r="P191" s="22"/>
      <c r="Q191" s="22"/>
      <c r="R191" s="353" t="e">
        <f>IF(INDEX(TblDatabase[Comment13],MATCH(1,INDEX(($L$4=ListEmployeeNamesInDatabase)*(C171=TblDatabase[Year]),0,1),0))="","",INDEX(TblDatabase[Comment13],MATCH(1,INDEX(($L$4=ListEmployeeNamesInDatabase)*(C171=TblDatabase[Year]),0,1),0)))</f>
        <v>#N/A</v>
      </c>
      <c r="S191" s="353"/>
      <c r="T191" s="353"/>
      <c r="U191" s="353"/>
      <c r="V191" s="353"/>
      <c r="W191" s="353"/>
      <c r="X191" s="353"/>
      <c r="Y191" s="354"/>
      <c r="Z191" s="149"/>
      <c r="AA191" s="151">
        <f>SUMIFS(TblDatabase[Competency13],ListEmployeeNamesInDatabase,$L$4,TblDatabase[Year],C171)</f>
        <v>0</v>
      </c>
      <c r="AB191" s="149"/>
      <c r="AC191" s="149"/>
      <c r="AD191" s="149"/>
      <c r="AE191" s="149"/>
      <c r="AF191" s="149"/>
    </row>
    <row r="192" spans="2:32" s="148" customFormat="1" ht="15" hidden="1" customHeight="1">
      <c r="B192" s="355" t="str">
        <f t="shared" si="3"/>
        <v/>
      </c>
      <c r="C192" s="356"/>
      <c r="D192" s="356"/>
      <c r="E192" s="357"/>
      <c r="F192" s="163" t="str">
        <f>IF(Settings!$M$4=Settings!$Y$3,IF($AA192=1,"P",""),IF($AA192=1,"P",""))</f>
        <v/>
      </c>
      <c r="G192" s="164" t="str">
        <f>IF(Settings!$M$4=Settings!$Y$3,IF($AA192=1,"P",""),IF($AA192=2,"P",""))</f>
        <v/>
      </c>
      <c r="H192" s="164" t="str">
        <f>IF(Settings!$M$4=Settings!$Y$3,IF($AA192=1,"P",""),IF($AA192=3,"P",""))</f>
        <v/>
      </c>
      <c r="I192" s="164" t="str">
        <f>IF(Settings!$M$4=Settings!$Y$3,IF($AA192=1,"P",""),IF($AA192=4,"P",""))</f>
        <v/>
      </c>
      <c r="J192" s="164" t="str">
        <f>IF(Settings!$M$4=Settings!$Y$3,IF($AA192=2,"P",""),IF($AA192=5,"P",""))</f>
        <v/>
      </c>
      <c r="K192" s="164" t="str">
        <f>IF(Settings!$M$4=Settings!$Y$3,IF($AA192=2,"P",""),IF($AA192=6,"P",""))</f>
        <v/>
      </c>
      <c r="L192" s="164" t="str">
        <f>IF(Settings!$M$4=Settings!$Y$3,IF($AA192=2,"P",""),IF($AA192=7,"P",""))</f>
        <v/>
      </c>
      <c r="M192" s="164" t="str">
        <f>IF(Settings!$M$4=Settings!$Y$3,IF($AA192=2,"P",""),IF($AA192=8,"P",""))</f>
        <v/>
      </c>
      <c r="N192" s="164" t="str">
        <f>IF(Settings!$M$4=Settings!$Y$3,IF($AA192=3,"P",""),IF($AA192=9,"P",""))</f>
        <v/>
      </c>
      <c r="O192" s="165" t="str">
        <f>IF(Settings!$M$4=Settings!$Y$3,IF($AA192=3,"P",""),IF($AA192=10,"P",""))</f>
        <v/>
      </c>
      <c r="P192" s="22"/>
      <c r="Q192" s="22"/>
      <c r="R192" s="360" t="e">
        <f>IF(INDEX(TblDatabase[Comment14],MATCH(1,INDEX(($L$4=ListEmployeeNamesInDatabase)*(C171=TblDatabase[Year]),0,1),0))="","",INDEX(TblDatabase[Comment14],MATCH(1,INDEX(($L$4=ListEmployeeNamesInDatabase)*(C171=TblDatabase[Year]),0,1),0)))</f>
        <v>#N/A</v>
      </c>
      <c r="S192" s="360"/>
      <c r="T192" s="360"/>
      <c r="U192" s="360"/>
      <c r="V192" s="360"/>
      <c r="W192" s="360"/>
      <c r="X192" s="360"/>
      <c r="Y192" s="361"/>
      <c r="Z192" s="149"/>
      <c r="AA192" s="151">
        <f>SUMIFS(TblDatabase[Competency14],ListEmployeeNamesInDatabase,$L$4,TblDatabase[Year],C171)</f>
        <v>0</v>
      </c>
      <c r="AB192" s="149"/>
      <c r="AC192" s="149"/>
      <c r="AD192" s="149"/>
      <c r="AE192" s="149"/>
      <c r="AF192" s="149"/>
    </row>
    <row r="193" spans="2:32" s="148" customFormat="1" ht="15" hidden="1" customHeight="1">
      <c r="B193" s="350" t="str">
        <f t="shared" si="3"/>
        <v/>
      </c>
      <c r="C193" s="351"/>
      <c r="D193" s="351"/>
      <c r="E193" s="352"/>
      <c r="F193" s="157" t="str">
        <f>IF(Settings!$M$4=Settings!$Y$3,IF($AA193=1,"P",""),IF($AA193=1,"P",""))</f>
        <v/>
      </c>
      <c r="G193" s="158" t="str">
        <f>IF(Settings!$M$4=Settings!$Y$3,IF($AA193=1,"P",""),IF($AA193=2,"P",""))</f>
        <v/>
      </c>
      <c r="H193" s="158" t="str">
        <f>IF(Settings!$M$4=Settings!$Y$3,IF($AA193=1,"P",""),IF($AA193=3,"P",""))</f>
        <v/>
      </c>
      <c r="I193" s="158" t="str">
        <f>IF(Settings!$M$4=Settings!$Y$3,IF($AA193=1,"P",""),IF($AA193=4,"P",""))</f>
        <v/>
      </c>
      <c r="J193" s="158" t="str">
        <f>IF(Settings!$M$4=Settings!$Y$3,IF($AA193=2,"P",""),IF($AA193=5,"P",""))</f>
        <v/>
      </c>
      <c r="K193" s="158" t="str">
        <f>IF(Settings!$M$4=Settings!$Y$3,IF($AA193=2,"P",""),IF($AA193=6,"P",""))</f>
        <v/>
      </c>
      <c r="L193" s="158" t="str">
        <f>IF(Settings!$M$4=Settings!$Y$3,IF($AA193=2,"P",""),IF($AA193=7,"P",""))</f>
        <v/>
      </c>
      <c r="M193" s="158" t="str">
        <f>IF(Settings!$M$4=Settings!$Y$3,IF($AA193=2,"P",""),IF($AA193=8,"P",""))</f>
        <v/>
      </c>
      <c r="N193" s="158" t="str">
        <f>IF(Settings!$M$4=Settings!$Y$3,IF($AA193=3,"P",""),IF($AA193=9,"P",""))</f>
        <v/>
      </c>
      <c r="O193" s="159" t="str">
        <f>IF(Settings!$M$4=Settings!$Y$3,IF($AA193=3,"P",""),IF($AA193=10,"P",""))</f>
        <v/>
      </c>
      <c r="P193" s="22"/>
      <c r="Q193" s="22"/>
      <c r="R193" s="353" t="e">
        <f>IF(INDEX(TblDatabase[Comment15],MATCH(1,INDEX(($L$4=ListEmployeeNamesInDatabase)*(C171=TblDatabase[Year]),0,1),0))="","",INDEX(TblDatabase[Comment15],MATCH(1,INDEX(($L$4=ListEmployeeNamesInDatabase)*(C171=TblDatabase[Year]),0,1),0)))</f>
        <v>#N/A</v>
      </c>
      <c r="S193" s="353"/>
      <c r="T193" s="353"/>
      <c r="U193" s="353"/>
      <c r="V193" s="353"/>
      <c r="W193" s="353"/>
      <c r="X193" s="353"/>
      <c r="Y193" s="354"/>
      <c r="Z193" s="149"/>
      <c r="AA193" s="151">
        <f>SUMIFS(TblDatabase[Competency15],ListEmployeeNamesInDatabase,$L$4,TblDatabase[Year],C171)</f>
        <v>0</v>
      </c>
      <c r="AB193" s="149"/>
      <c r="AC193" s="149"/>
      <c r="AD193" s="149"/>
      <c r="AE193" s="149"/>
      <c r="AF193" s="149"/>
    </row>
    <row r="194" spans="2:32" s="148" customFormat="1" ht="15" hidden="1" customHeight="1">
      <c r="B194" s="355" t="str">
        <f t="shared" si="3"/>
        <v/>
      </c>
      <c r="C194" s="356"/>
      <c r="D194" s="356"/>
      <c r="E194" s="357"/>
      <c r="F194" s="163" t="str">
        <f>IF(Settings!$M$4=Settings!$Y$3,IF($AA194=1,"P",""),IF($AA194=1,"P",""))</f>
        <v/>
      </c>
      <c r="G194" s="164" t="str">
        <f>IF(Settings!$M$4=Settings!$Y$3,IF($AA194=1,"P",""),IF($AA194=2,"P",""))</f>
        <v/>
      </c>
      <c r="H194" s="164" t="str">
        <f>IF(Settings!$M$4=Settings!$Y$3,IF($AA194=1,"P",""),IF($AA194=3,"P",""))</f>
        <v/>
      </c>
      <c r="I194" s="164" t="str">
        <f>IF(Settings!$M$4=Settings!$Y$3,IF($AA194=1,"P",""),IF($AA194=4,"P",""))</f>
        <v/>
      </c>
      <c r="J194" s="164" t="str">
        <f>IF(Settings!$M$4=Settings!$Y$3,IF($AA194=2,"P",""),IF($AA194=5,"P",""))</f>
        <v/>
      </c>
      <c r="K194" s="164" t="str">
        <f>IF(Settings!$M$4=Settings!$Y$3,IF($AA194=2,"P",""),IF($AA194=6,"P",""))</f>
        <v/>
      </c>
      <c r="L194" s="164" t="str">
        <f>IF(Settings!$M$4=Settings!$Y$3,IF($AA194=2,"P",""),IF($AA194=7,"P",""))</f>
        <v/>
      </c>
      <c r="M194" s="164" t="str">
        <f>IF(Settings!$M$4=Settings!$Y$3,IF($AA194=2,"P",""),IF($AA194=8,"P",""))</f>
        <v/>
      </c>
      <c r="N194" s="164" t="str">
        <f>IF(Settings!$M$4=Settings!$Y$3,IF($AA194=3,"P",""),IF($AA194=9,"P",""))</f>
        <v/>
      </c>
      <c r="O194" s="165" t="str">
        <f>IF(Settings!$M$4=Settings!$Y$3,IF($AA194=3,"P",""),IF($AA194=10,"P",""))</f>
        <v/>
      </c>
      <c r="P194" s="22"/>
      <c r="Q194" s="22"/>
      <c r="R194" s="360" t="e">
        <f>IF(INDEX(TblDatabase[Comment16],MATCH(1,INDEX(($L$4=ListEmployeeNamesInDatabase)*(C171=TblDatabase[Year]),0,1),0))="","",INDEX(TblDatabase[Comment16],MATCH(1,INDEX(($L$4=ListEmployeeNamesInDatabase)*(C171=TblDatabase[Year]),0,1),0)))</f>
        <v>#N/A</v>
      </c>
      <c r="S194" s="360"/>
      <c r="T194" s="360"/>
      <c r="U194" s="360"/>
      <c r="V194" s="360"/>
      <c r="W194" s="360"/>
      <c r="X194" s="360"/>
      <c r="Y194" s="361"/>
      <c r="Z194" s="149"/>
      <c r="AA194" s="151">
        <f>SUMIFS(TblDatabase[Competency16],ListEmployeeNamesInDatabase,$L$4,TblDatabase[Year],C171)</f>
        <v>0</v>
      </c>
      <c r="AB194" s="149"/>
      <c r="AC194" s="149"/>
      <c r="AD194" s="149"/>
      <c r="AE194" s="149"/>
      <c r="AF194" s="149"/>
    </row>
    <row r="195" spans="2:32" s="148" customFormat="1" ht="15" hidden="1" customHeight="1">
      <c r="B195" s="350" t="str">
        <f t="shared" si="3"/>
        <v/>
      </c>
      <c r="C195" s="351"/>
      <c r="D195" s="351"/>
      <c r="E195" s="352"/>
      <c r="F195" s="157" t="str">
        <f>IF(Settings!$M$4=Settings!$Y$3,IF($AA195=1,"P",""),IF($AA195=1,"P",""))</f>
        <v/>
      </c>
      <c r="G195" s="158" t="str">
        <f>IF(Settings!$M$4=Settings!$Y$3,IF($AA195=1,"P",""),IF($AA195=2,"P",""))</f>
        <v/>
      </c>
      <c r="H195" s="158" t="str">
        <f>IF(Settings!$M$4=Settings!$Y$3,IF($AA195=1,"P",""),IF($AA195=3,"P",""))</f>
        <v/>
      </c>
      <c r="I195" s="158" t="str">
        <f>IF(Settings!$M$4=Settings!$Y$3,IF($AA195=1,"P",""),IF($AA195=4,"P",""))</f>
        <v/>
      </c>
      <c r="J195" s="158" t="str">
        <f>IF(Settings!$M$4=Settings!$Y$3,IF($AA195=2,"P",""),IF($AA195=5,"P",""))</f>
        <v/>
      </c>
      <c r="K195" s="158" t="str">
        <f>IF(Settings!$M$4=Settings!$Y$3,IF($AA195=2,"P",""),IF($AA195=6,"P",""))</f>
        <v/>
      </c>
      <c r="L195" s="158" t="str">
        <f>IF(Settings!$M$4=Settings!$Y$3,IF($AA195=2,"P",""),IF($AA195=7,"P",""))</f>
        <v/>
      </c>
      <c r="M195" s="158" t="str">
        <f>IF(Settings!$M$4=Settings!$Y$3,IF($AA195=2,"P",""),IF($AA195=8,"P",""))</f>
        <v/>
      </c>
      <c r="N195" s="158" t="str">
        <f>IF(Settings!$M$4=Settings!$Y$3,IF($AA195=3,"P",""),IF($AA195=9,"P",""))</f>
        <v/>
      </c>
      <c r="O195" s="159" t="str">
        <f>IF(Settings!$M$4=Settings!$Y$3,IF($AA195=3,"P",""),IF($AA195=10,"P",""))</f>
        <v/>
      </c>
      <c r="P195" s="22"/>
      <c r="Q195" s="22"/>
      <c r="R195" s="353" t="e">
        <f>IF(INDEX(TblDatabase[Comment17],MATCH(1,INDEX(($L$4=ListEmployeeNamesInDatabase)*(C171=TblDatabase[Year]),0,1),0))="","",INDEX(TblDatabase[Comment17],MATCH(1,INDEX(($L$4=ListEmployeeNamesInDatabase)*(C171=TblDatabase[Year]),0,1),0)))</f>
        <v>#N/A</v>
      </c>
      <c r="S195" s="353"/>
      <c r="T195" s="353"/>
      <c r="U195" s="353"/>
      <c r="V195" s="353"/>
      <c r="W195" s="353"/>
      <c r="X195" s="353"/>
      <c r="Y195" s="354"/>
      <c r="Z195" s="149"/>
      <c r="AA195" s="151">
        <f>SUMIFS(TblDatabase[Competency17],ListEmployeeNamesInDatabase,$L$4,TblDatabase[Year],C171)</f>
        <v>0</v>
      </c>
      <c r="AB195" s="149"/>
      <c r="AC195" s="149"/>
      <c r="AD195" s="149"/>
      <c r="AE195" s="149"/>
      <c r="AF195" s="149"/>
    </row>
    <row r="196" spans="2:32" s="148" customFormat="1" ht="15" hidden="1" customHeight="1">
      <c r="B196" s="355" t="str">
        <f t="shared" si="3"/>
        <v/>
      </c>
      <c r="C196" s="356"/>
      <c r="D196" s="356"/>
      <c r="E196" s="357"/>
      <c r="F196" s="163" t="str">
        <f>IF(Settings!$M$4=Settings!$Y$3,IF($AA196=1,"P",""),IF($AA196=1,"P",""))</f>
        <v/>
      </c>
      <c r="G196" s="164" t="str">
        <f>IF(Settings!$M$4=Settings!$Y$3,IF($AA196=1,"P",""),IF($AA196=2,"P",""))</f>
        <v/>
      </c>
      <c r="H196" s="164" t="str">
        <f>IF(Settings!$M$4=Settings!$Y$3,IF($AA196=1,"P",""),IF($AA196=3,"P",""))</f>
        <v/>
      </c>
      <c r="I196" s="164" t="str">
        <f>IF(Settings!$M$4=Settings!$Y$3,IF($AA196=1,"P",""),IF($AA196=4,"P",""))</f>
        <v/>
      </c>
      <c r="J196" s="164" t="str">
        <f>IF(Settings!$M$4=Settings!$Y$3,IF($AA196=2,"P",""),IF($AA196=5,"P",""))</f>
        <v/>
      </c>
      <c r="K196" s="164" t="str">
        <f>IF(Settings!$M$4=Settings!$Y$3,IF($AA196=2,"P",""),IF($AA196=6,"P",""))</f>
        <v/>
      </c>
      <c r="L196" s="164" t="str">
        <f>IF(Settings!$M$4=Settings!$Y$3,IF($AA196=2,"P",""),IF($AA196=7,"P",""))</f>
        <v/>
      </c>
      <c r="M196" s="164" t="str">
        <f>IF(Settings!$M$4=Settings!$Y$3,IF($AA196=2,"P",""),IF($AA196=8,"P",""))</f>
        <v/>
      </c>
      <c r="N196" s="164" t="str">
        <f>IF(Settings!$M$4=Settings!$Y$3,IF($AA196=3,"P",""),IF($AA196=9,"P",""))</f>
        <v/>
      </c>
      <c r="O196" s="165" t="str">
        <f>IF(Settings!$M$4=Settings!$Y$3,IF($AA196=3,"P",""),IF($AA196=10,"P",""))</f>
        <v/>
      </c>
      <c r="P196" s="22"/>
      <c r="Q196" s="22"/>
      <c r="R196" s="360" t="e">
        <f>IF(INDEX(TblDatabase[Comment18],MATCH(1,INDEX(($L$4=ListEmployeeNamesInDatabase)*(C171=TblDatabase[Year]),0,1),0))="","",INDEX(TblDatabase[Comment18],MATCH(1,INDEX(($L$4=ListEmployeeNamesInDatabase)*(C171=TblDatabase[Year]),0,1),0)))</f>
        <v>#N/A</v>
      </c>
      <c r="S196" s="360"/>
      <c r="T196" s="360"/>
      <c r="U196" s="360"/>
      <c r="V196" s="360"/>
      <c r="W196" s="360"/>
      <c r="X196" s="360"/>
      <c r="Y196" s="361"/>
      <c r="Z196" s="149"/>
      <c r="AA196" s="151">
        <f>SUMIFS(TblDatabase[Competency18],ListEmployeeNamesInDatabase,$L$4,TblDatabase[Year],C171)</f>
        <v>0</v>
      </c>
      <c r="AB196" s="149"/>
      <c r="AC196" s="149"/>
      <c r="AD196" s="149"/>
      <c r="AE196" s="149"/>
      <c r="AF196" s="149"/>
    </row>
    <row r="197" spans="2:32" s="148" customFormat="1" ht="15" hidden="1" customHeight="1">
      <c r="B197" s="350" t="str">
        <f t="shared" si="3"/>
        <v/>
      </c>
      <c r="C197" s="351"/>
      <c r="D197" s="351"/>
      <c r="E197" s="352"/>
      <c r="F197" s="157" t="str">
        <f>IF(Settings!$M$4=Settings!$Y$3,IF($AA197=1,"P",""),IF($AA197=1,"P",""))</f>
        <v/>
      </c>
      <c r="G197" s="158" t="str">
        <f>IF(Settings!$M$4=Settings!$Y$3,IF($AA197=1,"P",""),IF($AA197=2,"P",""))</f>
        <v/>
      </c>
      <c r="H197" s="158" t="str">
        <f>IF(Settings!$M$4=Settings!$Y$3,IF($AA197=1,"P",""),IF($AA197=3,"P",""))</f>
        <v/>
      </c>
      <c r="I197" s="158" t="str">
        <f>IF(Settings!$M$4=Settings!$Y$3,IF($AA197=1,"P",""),IF($AA197=4,"P",""))</f>
        <v/>
      </c>
      <c r="J197" s="158" t="str">
        <f>IF(Settings!$M$4=Settings!$Y$3,IF($AA197=2,"P",""),IF($AA197=5,"P",""))</f>
        <v/>
      </c>
      <c r="K197" s="158" t="str">
        <f>IF(Settings!$M$4=Settings!$Y$3,IF($AA197=2,"P",""),IF($AA197=6,"P",""))</f>
        <v/>
      </c>
      <c r="L197" s="158" t="str">
        <f>IF(Settings!$M$4=Settings!$Y$3,IF($AA197=2,"P",""),IF($AA197=7,"P",""))</f>
        <v/>
      </c>
      <c r="M197" s="158" t="str">
        <f>IF(Settings!$M$4=Settings!$Y$3,IF($AA197=2,"P",""),IF($AA197=8,"P",""))</f>
        <v/>
      </c>
      <c r="N197" s="158" t="str">
        <f>IF(Settings!$M$4=Settings!$Y$3,IF($AA197=3,"P",""),IF($AA197=9,"P",""))</f>
        <v/>
      </c>
      <c r="O197" s="159" t="str">
        <f>IF(Settings!$M$4=Settings!$Y$3,IF($AA197=3,"P",""),IF($AA197=10,"P",""))</f>
        <v/>
      </c>
      <c r="P197" s="22"/>
      <c r="Q197" s="22"/>
      <c r="R197" s="353" t="e">
        <f>IF(INDEX(TblDatabase[Comment19],MATCH(1,INDEX(($L$4=ListEmployeeNamesInDatabase)*(C171=TblDatabase[Year]),0,1),0))="","",INDEX(TblDatabase[Comment19],MATCH(1,INDEX(($L$4=ListEmployeeNamesInDatabase)*(C171=TblDatabase[Year]),0,1),0)))</f>
        <v>#N/A</v>
      </c>
      <c r="S197" s="353"/>
      <c r="T197" s="353"/>
      <c r="U197" s="353"/>
      <c r="V197" s="353"/>
      <c r="W197" s="353"/>
      <c r="X197" s="353"/>
      <c r="Y197" s="354"/>
      <c r="Z197" s="149"/>
      <c r="AA197" s="151">
        <f>SUMIFS(TblDatabase[Competency19],ListEmployeeNamesInDatabase,$L$4,TblDatabase[Year],C171)</f>
        <v>0</v>
      </c>
      <c r="AB197" s="149"/>
      <c r="AC197" s="149"/>
      <c r="AD197" s="149"/>
      <c r="AE197" s="149"/>
      <c r="AF197" s="149"/>
    </row>
    <row r="198" spans="2:32" s="148" customFormat="1" ht="15" hidden="1" customHeight="1">
      <c r="B198" s="362" t="str">
        <f t="shared" si="3"/>
        <v/>
      </c>
      <c r="C198" s="363"/>
      <c r="D198" s="363"/>
      <c r="E198" s="364"/>
      <c r="F198" s="166" t="str">
        <f>IF(Settings!$M$4=Settings!$Y$3,IF($AA198=1,"P",""),IF($AA198=1,"P",""))</f>
        <v/>
      </c>
      <c r="G198" s="167" t="str">
        <f>IF(Settings!$M$4=Settings!$Y$3,IF($AA198=1,"P",""),IF($AA198=2,"P",""))</f>
        <v/>
      </c>
      <c r="H198" s="167" t="str">
        <f>IF(Settings!$M$4=Settings!$Y$3,IF($AA198=1,"P",""),IF($AA198=3,"P",""))</f>
        <v/>
      </c>
      <c r="I198" s="167" t="str">
        <f>IF(Settings!$M$4=Settings!$Y$3,IF($AA198=1,"P",""),IF($AA198=4,"P",""))</f>
        <v/>
      </c>
      <c r="J198" s="167" t="str">
        <f>IF(Settings!$M$4=Settings!$Y$3,IF($AA198=2,"P",""),IF($AA198=5,"P",""))</f>
        <v/>
      </c>
      <c r="K198" s="167" t="str">
        <f>IF(Settings!$M$4=Settings!$Y$3,IF($AA198=2,"P",""),IF($AA198=6,"P",""))</f>
        <v/>
      </c>
      <c r="L198" s="167" t="str">
        <f>IF(Settings!$M$4=Settings!$Y$3,IF($AA198=2,"P",""),IF($AA198=7,"P",""))</f>
        <v/>
      </c>
      <c r="M198" s="167" t="str">
        <f>IF(Settings!$M$4=Settings!$Y$3,IF($AA198=2,"P",""),IF($AA198=8,"P",""))</f>
        <v/>
      </c>
      <c r="N198" s="167" t="str">
        <f>IF(Settings!$M$4=Settings!$Y$3,IF($AA198=3,"P",""),IF($AA198=9,"P",""))</f>
        <v/>
      </c>
      <c r="O198" s="168" t="str">
        <f>IF(Settings!$M$4=Settings!$Y$3,IF($AA198=3,"P",""),IF($AA198=10,"P",""))</f>
        <v/>
      </c>
      <c r="P198" s="22"/>
      <c r="Q198" s="22"/>
      <c r="R198" s="365" t="e">
        <f>IF(INDEX(TblDatabase[Comment20],MATCH(1,INDEX(($L$4=ListEmployeeNamesInDatabase)*(C171=TblDatabase[Year]),0,1),0))="","",INDEX(TblDatabase[Comment20],MATCH(1,INDEX(($L$4=ListEmployeeNamesInDatabase)*(C171=TblDatabase[Year]),0,1),0)))</f>
        <v>#N/A</v>
      </c>
      <c r="S198" s="365"/>
      <c r="T198" s="365"/>
      <c r="U198" s="365"/>
      <c r="V198" s="365"/>
      <c r="W198" s="365"/>
      <c r="X198" s="365"/>
      <c r="Y198" s="366"/>
      <c r="Z198" s="149"/>
      <c r="AA198" s="151">
        <f>SUMIFS(TblDatabase[Competency20],ListEmployeeNamesInDatabase,$L$4,TblDatabase[Year],C171)</f>
        <v>0</v>
      </c>
      <c r="AB198" s="149"/>
      <c r="AC198" s="149"/>
      <c r="AD198" s="149"/>
      <c r="AE198" s="149"/>
      <c r="AF198" s="149"/>
    </row>
    <row r="199" spans="2:32" s="148" customFormat="1" hidden="1">
      <c r="B199" s="414" t="s">
        <v>26</v>
      </c>
      <c r="C199" s="415"/>
      <c r="D199" s="415"/>
      <c r="E199" s="371">
        <f ca="1">SUM(OFFSET(AA179,0,0,NumberOfCompetencies))</f>
        <v>0</v>
      </c>
      <c r="F199" s="372"/>
      <c r="G199" s="152"/>
      <c r="H199" s="152"/>
      <c r="I199" s="152"/>
      <c r="J199" s="152"/>
      <c r="K199" s="152"/>
      <c r="L199" s="152"/>
      <c r="M199" s="152"/>
      <c r="N199" s="152"/>
      <c r="O199" s="152"/>
      <c r="P199" s="152"/>
      <c r="Q199" s="152"/>
      <c r="R199" s="152"/>
      <c r="S199" s="152"/>
      <c r="T199" s="152"/>
      <c r="U199" s="152"/>
      <c r="V199" s="152"/>
      <c r="W199" s="152"/>
      <c r="X199" s="152"/>
      <c r="Y199" s="152"/>
      <c r="Z199" s="149"/>
      <c r="AA199" s="149"/>
      <c r="AB199" s="149"/>
      <c r="AC199" s="149"/>
      <c r="AD199" s="149"/>
      <c r="AE199" s="149"/>
      <c r="AF199" s="149"/>
    </row>
    <row r="200" spans="2:32" s="148" customFormat="1" hidden="1">
      <c r="B200" s="369" t="s">
        <v>27</v>
      </c>
      <c r="C200" s="370"/>
      <c r="D200" s="370"/>
      <c r="E200" s="358">
        <f ca="1">E199/NumberOfCompetencies</f>
        <v>0</v>
      </c>
      <c r="F200" s="359"/>
      <c r="G200" s="153"/>
      <c r="H200" s="153"/>
      <c r="I200" s="153"/>
      <c r="J200" s="153"/>
      <c r="K200" s="153"/>
      <c r="L200" s="153"/>
      <c r="M200" s="153"/>
      <c r="N200" s="153"/>
      <c r="O200" s="153"/>
      <c r="P200" s="153"/>
      <c r="Q200" s="153"/>
      <c r="R200" s="153"/>
      <c r="S200" s="153"/>
      <c r="T200" s="153"/>
      <c r="U200" s="153"/>
      <c r="V200" s="153"/>
      <c r="W200" s="153"/>
      <c r="X200" s="153"/>
      <c r="Y200" s="153"/>
      <c r="Z200" s="149"/>
      <c r="AA200" s="149"/>
      <c r="AB200" s="149"/>
      <c r="AC200" s="149"/>
      <c r="AD200" s="149"/>
      <c r="AE200" s="149"/>
      <c r="AF200" s="149"/>
    </row>
    <row r="201" spans="2:32" s="148" customFormat="1" hidden="1">
      <c r="B201" s="154"/>
      <c r="C201" s="154"/>
      <c r="D201" s="154"/>
      <c r="E201" s="154"/>
      <c r="F201" s="154"/>
      <c r="G201" s="154"/>
      <c r="H201" s="154"/>
      <c r="I201" s="154"/>
      <c r="J201" s="154"/>
      <c r="K201" s="154"/>
      <c r="L201" s="154"/>
      <c r="M201" s="154"/>
      <c r="N201" s="154"/>
      <c r="O201" s="154"/>
      <c r="P201" s="154"/>
      <c r="Q201" s="154"/>
      <c r="R201" s="154"/>
      <c r="S201" s="154"/>
      <c r="T201" s="154"/>
      <c r="U201" s="154"/>
      <c r="V201" s="154"/>
      <c r="W201" s="154"/>
      <c r="X201" s="154"/>
      <c r="Y201" s="154"/>
      <c r="Z201" s="149"/>
      <c r="AA201" s="149"/>
      <c r="AB201" s="149"/>
      <c r="AC201" s="149"/>
      <c r="AD201" s="149"/>
      <c r="AE201" s="149"/>
      <c r="AF201" s="149"/>
    </row>
    <row r="202" spans="2:32" s="148" customFormat="1" hidden="1">
      <c r="B202" s="338" t="str">
        <f>Settings!$N$15</f>
        <v>Previously agreed actions</v>
      </c>
      <c r="C202" s="339"/>
      <c r="D202" s="339"/>
      <c r="E202" s="339"/>
      <c r="F202" s="339"/>
      <c r="G202" s="339"/>
      <c r="H202" s="339"/>
      <c r="I202" s="339"/>
      <c r="J202" s="339"/>
      <c r="K202" s="339"/>
      <c r="L202" s="339"/>
      <c r="M202" s="339"/>
      <c r="N202" s="339"/>
      <c r="O202" s="339"/>
      <c r="P202" s="339"/>
      <c r="Q202" s="339"/>
      <c r="R202" s="339"/>
      <c r="S202" s="339"/>
      <c r="T202" s="339"/>
      <c r="U202" s="339"/>
      <c r="V202" s="339"/>
      <c r="W202" s="339"/>
      <c r="X202" s="339"/>
      <c r="Y202" s="340"/>
      <c r="Z202" s="149"/>
      <c r="AA202" s="149"/>
      <c r="AB202" s="149"/>
      <c r="AC202" s="149"/>
      <c r="AD202" s="149"/>
      <c r="AE202" s="149"/>
      <c r="AF202" s="149"/>
    </row>
    <row r="203" spans="2:32" s="148" customFormat="1" hidden="1">
      <c r="B203" s="341" t="e">
        <f>IF(INDEX(TblDatabase[Feedback Does Well],MATCH(1,INDEX(($L$4=ListEmployeeNamesInDatabase)*(C171=TblDatabase[Year]),0,1),0))="","",INDEX(TblDatabase[Feedback Does Well],MATCH(1,INDEX(($L$4=ListEmployeeNamesInDatabase)*(C171=TblDatabase[Year]),0,1),0)))</f>
        <v>#N/A</v>
      </c>
      <c r="C203" s="342"/>
      <c r="D203" s="342"/>
      <c r="E203" s="342"/>
      <c r="F203" s="342"/>
      <c r="G203" s="342"/>
      <c r="H203" s="342"/>
      <c r="I203" s="342"/>
      <c r="J203" s="342"/>
      <c r="K203" s="342"/>
      <c r="L203" s="342"/>
      <c r="M203" s="342"/>
      <c r="N203" s="342"/>
      <c r="O203" s="342"/>
      <c r="P203" s="342"/>
      <c r="Q203" s="342"/>
      <c r="R203" s="342"/>
      <c r="S203" s="342"/>
      <c r="T203" s="342"/>
      <c r="U203" s="342"/>
      <c r="V203" s="342"/>
      <c r="W203" s="342"/>
      <c r="X203" s="342"/>
      <c r="Y203" s="343"/>
      <c r="Z203" s="149"/>
      <c r="AA203" s="149"/>
      <c r="AB203" s="149"/>
      <c r="AC203" s="149"/>
      <c r="AD203" s="149"/>
      <c r="AE203" s="149"/>
      <c r="AF203" s="149"/>
    </row>
    <row r="204" spans="2:32" s="148" customFormat="1" hidden="1">
      <c r="B204" s="344"/>
      <c r="C204" s="345"/>
      <c r="D204" s="345"/>
      <c r="E204" s="345"/>
      <c r="F204" s="345"/>
      <c r="G204" s="345"/>
      <c r="H204" s="345"/>
      <c r="I204" s="345"/>
      <c r="J204" s="345"/>
      <c r="K204" s="345"/>
      <c r="L204" s="345"/>
      <c r="M204" s="345"/>
      <c r="N204" s="345"/>
      <c r="O204" s="345"/>
      <c r="P204" s="345"/>
      <c r="Q204" s="345"/>
      <c r="R204" s="345"/>
      <c r="S204" s="345"/>
      <c r="T204" s="345"/>
      <c r="U204" s="345"/>
      <c r="V204" s="345"/>
      <c r="W204" s="345"/>
      <c r="X204" s="345"/>
      <c r="Y204" s="346"/>
      <c r="Z204" s="149"/>
      <c r="AA204" s="149"/>
      <c r="AB204" s="149"/>
      <c r="AC204" s="149"/>
      <c r="AD204" s="149"/>
      <c r="AE204" s="149"/>
      <c r="AF204" s="149"/>
    </row>
    <row r="205" spans="2:32" s="148" customFormat="1" hidden="1">
      <c r="B205" s="347"/>
      <c r="C205" s="348"/>
      <c r="D205" s="348"/>
      <c r="E205" s="348"/>
      <c r="F205" s="348"/>
      <c r="G205" s="348"/>
      <c r="H205" s="348"/>
      <c r="I205" s="348"/>
      <c r="J205" s="348"/>
      <c r="K205" s="348"/>
      <c r="L205" s="348"/>
      <c r="M205" s="348"/>
      <c r="N205" s="348"/>
      <c r="O205" s="348"/>
      <c r="P205" s="348"/>
      <c r="Q205" s="348"/>
      <c r="R205" s="348"/>
      <c r="S205" s="348"/>
      <c r="T205" s="348"/>
      <c r="U205" s="348"/>
      <c r="V205" s="348"/>
      <c r="W205" s="348"/>
      <c r="X205" s="348"/>
      <c r="Y205" s="349"/>
      <c r="Z205" s="149"/>
      <c r="AA205" s="149"/>
      <c r="AB205" s="149"/>
      <c r="AC205" s="149"/>
      <c r="AD205" s="149"/>
      <c r="AE205" s="149"/>
      <c r="AF205" s="149"/>
    </row>
    <row r="206" spans="2:32" s="148" customFormat="1" hidden="1">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49"/>
      <c r="AA206" s="149"/>
      <c r="AB206" s="149"/>
      <c r="AC206" s="149"/>
      <c r="AD206" s="149"/>
      <c r="AE206" s="149"/>
      <c r="AF206" s="149"/>
    </row>
    <row r="207" spans="2:32" s="148" customFormat="1" hidden="1">
      <c r="B207" s="338" t="str">
        <f>Settings!$N$16</f>
        <v>Actions agreed during this review</v>
      </c>
      <c r="C207" s="339"/>
      <c r="D207" s="339"/>
      <c r="E207" s="339"/>
      <c r="F207" s="339"/>
      <c r="G207" s="339"/>
      <c r="H207" s="339"/>
      <c r="I207" s="339"/>
      <c r="J207" s="339"/>
      <c r="K207" s="339"/>
      <c r="L207" s="339"/>
      <c r="M207" s="339"/>
      <c r="N207" s="339"/>
      <c r="O207" s="339"/>
      <c r="P207" s="339"/>
      <c r="Q207" s="339"/>
      <c r="R207" s="339"/>
      <c r="S207" s="339"/>
      <c r="T207" s="339"/>
      <c r="U207" s="339"/>
      <c r="V207" s="339"/>
      <c r="W207" s="339"/>
      <c r="X207" s="339"/>
      <c r="Y207" s="340"/>
      <c r="Z207" s="149"/>
      <c r="AA207" s="149"/>
      <c r="AB207" s="149"/>
      <c r="AC207" s="149"/>
      <c r="AD207" s="149"/>
      <c r="AE207" s="149"/>
      <c r="AF207" s="149"/>
    </row>
    <row r="208" spans="2:32" s="148" customFormat="1" hidden="1">
      <c r="B208" s="341" t="e">
        <f>IF(INDEX(TblDatabase[Feedback To Improve],MATCH(1,INDEX(($L$4=ListEmployeeNamesInDatabase)*(C171=TblDatabase[Year]),0,1),0))="","",INDEX(TblDatabase[Feedback To Improve],MATCH(1,INDEX(($L$4=ListEmployeeNamesInDatabase)*(C171=TblDatabase[Year]),0,1),0)))</f>
        <v>#N/A</v>
      </c>
      <c r="C208" s="342"/>
      <c r="D208" s="342"/>
      <c r="E208" s="342"/>
      <c r="F208" s="342"/>
      <c r="G208" s="342"/>
      <c r="H208" s="342"/>
      <c r="I208" s="342"/>
      <c r="J208" s="342"/>
      <c r="K208" s="342"/>
      <c r="L208" s="342"/>
      <c r="M208" s="342"/>
      <c r="N208" s="342"/>
      <c r="O208" s="342"/>
      <c r="P208" s="342"/>
      <c r="Q208" s="342"/>
      <c r="R208" s="342"/>
      <c r="S208" s="342"/>
      <c r="T208" s="342"/>
      <c r="U208" s="342"/>
      <c r="V208" s="342"/>
      <c r="W208" s="342"/>
      <c r="X208" s="342"/>
      <c r="Y208" s="343"/>
      <c r="Z208" s="149"/>
      <c r="AA208" s="149"/>
      <c r="AB208" s="149"/>
      <c r="AC208" s="149"/>
      <c r="AD208" s="149"/>
      <c r="AE208" s="149"/>
      <c r="AF208" s="149"/>
    </row>
    <row r="209" spans="1:32" s="148" customFormat="1" hidden="1">
      <c r="B209" s="344"/>
      <c r="C209" s="345"/>
      <c r="D209" s="345"/>
      <c r="E209" s="345"/>
      <c r="F209" s="345"/>
      <c r="G209" s="345"/>
      <c r="H209" s="345"/>
      <c r="I209" s="345"/>
      <c r="J209" s="345"/>
      <c r="K209" s="345"/>
      <c r="L209" s="345"/>
      <c r="M209" s="345"/>
      <c r="N209" s="345"/>
      <c r="O209" s="345"/>
      <c r="P209" s="345"/>
      <c r="Q209" s="345"/>
      <c r="R209" s="345"/>
      <c r="S209" s="345"/>
      <c r="T209" s="345"/>
      <c r="U209" s="345"/>
      <c r="V209" s="345"/>
      <c r="W209" s="345"/>
      <c r="X209" s="345"/>
      <c r="Y209" s="346"/>
      <c r="Z209" s="149"/>
      <c r="AA209" s="149"/>
      <c r="AB209" s="149"/>
      <c r="AC209" s="149"/>
      <c r="AD209" s="149"/>
      <c r="AE209" s="149"/>
      <c r="AF209" s="149"/>
    </row>
    <row r="210" spans="1:32" s="148" customFormat="1" hidden="1">
      <c r="B210" s="347"/>
      <c r="C210" s="348"/>
      <c r="D210" s="348"/>
      <c r="E210" s="348"/>
      <c r="F210" s="348"/>
      <c r="G210" s="348"/>
      <c r="H210" s="348"/>
      <c r="I210" s="348"/>
      <c r="J210" s="348"/>
      <c r="K210" s="348"/>
      <c r="L210" s="348"/>
      <c r="M210" s="348"/>
      <c r="N210" s="348"/>
      <c r="O210" s="348"/>
      <c r="P210" s="348"/>
      <c r="Q210" s="348"/>
      <c r="R210" s="348"/>
      <c r="S210" s="348"/>
      <c r="T210" s="348"/>
      <c r="U210" s="348"/>
      <c r="V210" s="348"/>
      <c r="W210" s="348"/>
      <c r="X210" s="348"/>
      <c r="Y210" s="349"/>
      <c r="Z210" s="149"/>
      <c r="AA210" s="149"/>
      <c r="AB210" s="149"/>
      <c r="AC210" s="149"/>
      <c r="AD210" s="149"/>
      <c r="AE210" s="149"/>
      <c r="AF210" s="149"/>
    </row>
    <row r="211" spans="1:32" s="148" customFormat="1" hidden="1">
      <c r="B211" s="156"/>
      <c r="C211" s="156"/>
      <c r="D211" s="156"/>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49"/>
      <c r="AA211" s="149"/>
      <c r="AB211" s="149"/>
      <c r="AC211" s="149"/>
      <c r="AD211" s="149"/>
      <c r="AE211" s="149"/>
      <c r="AF211" s="149"/>
    </row>
    <row r="212" spans="1:32" s="148" customFormat="1" hidden="1">
      <c r="A212" s="150">
        <f>A171+1</f>
        <v>5</v>
      </c>
      <c r="B212" s="27" t="s">
        <v>14</v>
      </c>
      <c r="C212" s="333">
        <f>C171-1</f>
        <v>2016</v>
      </c>
      <c r="D212" s="334"/>
      <c r="Y212" s="149"/>
      <c r="Z212" s="149"/>
      <c r="AA212" s="149"/>
      <c r="AB212" s="149"/>
      <c r="AC212" s="149"/>
      <c r="AD212" s="149"/>
      <c r="AE212" s="149"/>
      <c r="AF212" s="149"/>
    </row>
    <row r="213" spans="1:32" s="148" customFormat="1" hidden="1">
      <c r="Y213" s="149"/>
      <c r="Z213" s="149"/>
      <c r="AA213" s="149"/>
      <c r="AB213" s="149"/>
      <c r="AC213" s="149"/>
      <c r="AD213" s="149"/>
      <c r="AE213" s="149"/>
      <c r="AF213" s="149"/>
    </row>
    <row r="214" spans="1:32" s="148" customFormat="1" hidden="1">
      <c r="B214" s="338" t="str">
        <f>Settings!$N$14</f>
        <v>Employee's comments</v>
      </c>
      <c r="C214" s="339"/>
      <c r="D214" s="339"/>
      <c r="E214" s="339"/>
      <c r="F214" s="339"/>
      <c r="G214" s="339"/>
      <c r="H214" s="339"/>
      <c r="I214" s="339"/>
      <c r="J214" s="339"/>
      <c r="K214" s="339"/>
      <c r="L214" s="339"/>
      <c r="M214" s="339"/>
      <c r="N214" s="339"/>
      <c r="O214" s="339"/>
      <c r="P214" s="339"/>
      <c r="Q214" s="339"/>
      <c r="R214" s="339"/>
      <c r="S214" s="339"/>
      <c r="T214" s="339"/>
      <c r="U214" s="339"/>
      <c r="V214" s="339"/>
      <c r="W214" s="339"/>
      <c r="X214" s="339"/>
      <c r="Y214" s="340"/>
      <c r="Z214" s="149"/>
      <c r="AA214" s="149"/>
      <c r="AB214" s="149"/>
      <c r="AC214" s="149"/>
      <c r="AD214" s="149"/>
      <c r="AE214" s="149"/>
      <c r="AF214" s="149"/>
    </row>
    <row r="215" spans="1:32" s="148" customFormat="1" hidden="1">
      <c r="B215" s="341" t="e">
        <f>IF(INDEX(TblDatabase[Feedback Warnings],MATCH(1,INDEX(($L$4=ListEmployeeNamesInDatabase)*(C212=TblDatabase[Year]),0,1),0))="","",INDEX(TblDatabase[Feedback Warnings],MATCH(1,INDEX(($L$4=ListEmployeeNamesInDatabase)*(C212=TblDatabase[Year]),0,1),0)))</f>
        <v>#N/A</v>
      </c>
      <c r="C215" s="342"/>
      <c r="D215" s="342"/>
      <c r="E215" s="342"/>
      <c r="F215" s="342"/>
      <c r="G215" s="342"/>
      <c r="H215" s="342"/>
      <c r="I215" s="342"/>
      <c r="J215" s="342"/>
      <c r="K215" s="342"/>
      <c r="L215" s="342"/>
      <c r="M215" s="342"/>
      <c r="N215" s="342"/>
      <c r="O215" s="342"/>
      <c r="P215" s="342"/>
      <c r="Q215" s="342"/>
      <c r="R215" s="342"/>
      <c r="S215" s="342"/>
      <c r="T215" s="342"/>
      <c r="U215" s="342"/>
      <c r="V215" s="342"/>
      <c r="W215" s="342"/>
      <c r="X215" s="342"/>
      <c r="Y215" s="343"/>
      <c r="Z215" s="149"/>
      <c r="AA215" s="149"/>
      <c r="AB215" s="149"/>
      <c r="AC215" s="149"/>
      <c r="AD215" s="149"/>
      <c r="AE215" s="149"/>
      <c r="AF215" s="149"/>
    </row>
    <row r="216" spans="1:32" s="148" customFormat="1" hidden="1">
      <c r="B216" s="344"/>
      <c r="C216" s="345"/>
      <c r="D216" s="345"/>
      <c r="E216" s="345"/>
      <c r="F216" s="345"/>
      <c r="G216" s="345"/>
      <c r="H216" s="345"/>
      <c r="I216" s="345"/>
      <c r="J216" s="345"/>
      <c r="K216" s="345"/>
      <c r="L216" s="345"/>
      <c r="M216" s="345"/>
      <c r="N216" s="345"/>
      <c r="O216" s="345"/>
      <c r="P216" s="345"/>
      <c r="Q216" s="345"/>
      <c r="R216" s="345"/>
      <c r="S216" s="345"/>
      <c r="T216" s="345"/>
      <c r="U216" s="345"/>
      <c r="V216" s="345"/>
      <c r="W216" s="345"/>
      <c r="X216" s="345"/>
      <c r="Y216" s="346"/>
      <c r="Z216" s="149"/>
      <c r="AA216" s="149"/>
      <c r="AB216" s="149"/>
      <c r="AC216" s="149"/>
      <c r="AD216" s="149"/>
      <c r="AE216" s="149"/>
      <c r="AF216" s="149"/>
    </row>
    <row r="217" spans="1:32" s="148" customFormat="1" hidden="1">
      <c r="B217" s="347"/>
      <c r="C217" s="348"/>
      <c r="D217" s="348"/>
      <c r="E217" s="348"/>
      <c r="F217" s="348"/>
      <c r="G217" s="348"/>
      <c r="H217" s="348"/>
      <c r="I217" s="348"/>
      <c r="J217" s="348"/>
      <c r="K217" s="348"/>
      <c r="L217" s="348"/>
      <c r="M217" s="348"/>
      <c r="N217" s="348"/>
      <c r="O217" s="348"/>
      <c r="P217" s="348"/>
      <c r="Q217" s="348"/>
      <c r="R217" s="348"/>
      <c r="S217" s="348"/>
      <c r="T217" s="348"/>
      <c r="U217" s="348"/>
      <c r="V217" s="348"/>
      <c r="W217" s="348"/>
      <c r="X217" s="348"/>
      <c r="Y217" s="349"/>
      <c r="Z217" s="149"/>
      <c r="AA217" s="149"/>
      <c r="AB217" s="149"/>
      <c r="AC217" s="149"/>
      <c r="AD217" s="149"/>
      <c r="AE217" s="149"/>
      <c r="AF217" s="149"/>
    </row>
    <row r="218" spans="1:32" s="148" customFormat="1" hidden="1">
      <c r="Y218" s="149"/>
      <c r="Z218" s="149"/>
      <c r="AA218" s="149"/>
      <c r="AB218" s="149"/>
      <c r="AC218" s="149"/>
      <c r="AD218" s="149"/>
      <c r="AE218" s="149"/>
      <c r="AF218" s="149"/>
    </row>
    <row r="219" spans="1:32" s="148" customFormat="1" ht="15" hidden="1" customHeight="1">
      <c r="B219" s="320" t="s">
        <v>8</v>
      </c>
      <c r="C219" s="321"/>
      <c r="D219" s="321"/>
      <c r="E219" s="321"/>
      <c r="F219" s="233">
        <f>IF(Settings!$M$4=Settings!$Y$3,Settings!$O$19,1)</f>
        <v>1</v>
      </c>
      <c r="G219" s="234">
        <f>IF(Settings!$M$4=Settings!$Y$3,Settings!$O$19,2)</f>
        <v>2</v>
      </c>
      <c r="H219" s="234">
        <f>IF(Settings!$M$4=Settings!$Y$3,Settings!$O$19,3)</f>
        <v>3</v>
      </c>
      <c r="I219" s="234">
        <f>IF(Settings!$M$4=Settings!$Y$3,Settings!$O$19,4)</f>
        <v>4</v>
      </c>
      <c r="J219" s="234">
        <f>IF(Settings!$M$4=Settings!$Y$3,Settings!$O$20,5)</f>
        <v>5</v>
      </c>
      <c r="K219" s="234">
        <f>IF(Settings!$M$4=Settings!$Y$3,Settings!$O$20,6)</f>
        <v>6</v>
      </c>
      <c r="L219" s="234">
        <f>IF(Settings!$M$4=Settings!$Y$3,Settings!$O$20,7)</f>
        <v>7</v>
      </c>
      <c r="M219" s="234">
        <f>IF(Settings!$M$4=Settings!$Y$3,Settings!$O$20,8)</f>
        <v>8</v>
      </c>
      <c r="N219" s="234">
        <f>IF(Settings!$M$4=Settings!$Y$3,Settings!$O$21,9)</f>
        <v>9</v>
      </c>
      <c r="O219" s="235">
        <f>IF(Settings!$M$4=Settings!$Y$3,Settings!$O$21,10)</f>
        <v>10</v>
      </c>
      <c r="P219" s="22"/>
      <c r="Q219" s="22"/>
      <c r="R219" s="333" t="s">
        <v>24</v>
      </c>
      <c r="S219" s="333"/>
      <c r="T219" s="333"/>
      <c r="U219" s="333"/>
      <c r="V219" s="333"/>
      <c r="W219" s="333"/>
      <c r="X219" s="333"/>
      <c r="Y219" s="334"/>
      <c r="Z219" s="149"/>
      <c r="AA219" s="149"/>
      <c r="AB219" s="149"/>
      <c r="AC219" s="149"/>
      <c r="AD219" s="149"/>
      <c r="AE219" s="149"/>
      <c r="AF219" s="149"/>
    </row>
    <row r="220" spans="1:32" s="148" customFormat="1" ht="15" hidden="1" customHeight="1">
      <c r="B220" s="335" t="str">
        <f t="shared" ref="B220:B239" si="4">B179</f>
        <v>Quality of Work</v>
      </c>
      <c r="C220" s="336"/>
      <c r="D220" s="336"/>
      <c r="E220" s="337"/>
      <c r="F220" s="162" t="str">
        <f>IF(Settings!$M$4=Settings!$Y$3,IF($AA220=1,"P",""),IF($AA220=1,"P",""))</f>
        <v/>
      </c>
      <c r="G220" s="160" t="str">
        <f>IF(Settings!$M$4=Settings!$Y$3,IF($AA220=1,"P",""),IF($AA220=2,"P",""))</f>
        <v/>
      </c>
      <c r="H220" s="160" t="str">
        <f>IF(Settings!$M$4=Settings!$Y$3,IF($AA220=1,"P",""),IF($AA220=3,"P",""))</f>
        <v/>
      </c>
      <c r="I220" s="160" t="str">
        <f>IF(Settings!$M$4=Settings!$Y$3,IF($AA220=1,"P",""),IF($AA220=4,"P",""))</f>
        <v/>
      </c>
      <c r="J220" s="160" t="str">
        <f>IF(Settings!$M$4=Settings!$Y$3,IF($AA220=2,"P",""),IF($AA220=5,"P",""))</f>
        <v/>
      </c>
      <c r="K220" s="160" t="str">
        <f>IF(Settings!$M$4=Settings!$Y$3,IF($AA220=2,"P",""),IF($AA220=6,"P",""))</f>
        <v/>
      </c>
      <c r="L220" s="160" t="str">
        <f>IF(Settings!$M$4=Settings!$Y$3,IF($AA220=2,"P",""),IF($AA220=7,"P",""))</f>
        <v/>
      </c>
      <c r="M220" s="160" t="str">
        <f>IF(Settings!$M$4=Settings!$Y$3,IF($AA220=2,"P",""),IF($AA220=8,"P",""))</f>
        <v/>
      </c>
      <c r="N220" s="160" t="str">
        <f>IF(Settings!$M$4=Settings!$Y$3,IF($AA220=3,"P",""),IF($AA220=9,"P",""))</f>
        <v/>
      </c>
      <c r="O220" s="161" t="str">
        <f>IF(Settings!$M$4=Settings!$Y$3,IF($AA220=3,"P",""),IF($AA220=10,"P",""))</f>
        <v/>
      </c>
      <c r="P220" s="22"/>
      <c r="Q220" s="22"/>
      <c r="R220" s="367" t="e">
        <f>IF(INDEX(TblDatabase[Comment1],MATCH(1,INDEX(($L$4=ListEmployeeNamesInDatabase)*(C212=TblDatabase[Year]),0,1),0))="","",INDEX(TblDatabase[Comment1],MATCH(1,INDEX(($L$4=ListEmployeeNamesInDatabase)*(C212=TblDatabase[Year]),0,1),0)))</f>
        <v>#N/A</v>
      </c>
      <c r="S220" s="367"/>
      <c r="T220" s="367"/>
      <c r="U220" s="367"/>
      <c r="V220" s="367"/>
      <c r="W220" s="367"/>
      <c r="X220" s="367"/>
      <c r="Y220" s="368"/>
      <c r="Z220" s="149"/>
      <c r="AA220" s="151">
        <f>SUMIFS(TblDatabase[Competency1],ListEmployeeNamesInDatabase,$L$4,TblDatabase[Year],C212)</f>
        <v>0</v>
      </c>
      <c r="AB220" s="149"/>
      <c r="AC220" s="149"/>
      <c r="AD220" s="149"/>
      <c r="AE220" s="149"/>
      <c r="AF220" s="149"/>
    </row>
    <row r="221" spans="1:32" s="148" customFormat="1" ht="15" hidden="1" customHeight="1">
      <c r="B221" s="355" t="str">
        <f t="shared" si="4"/>
        <v>CaLL flow</v>
      </c>
      <c r="C221" s="356"/>
      <c r="D221" s="356"/>
      <c r="E221" s="357"/>
      <c r="F221" s="163" t="str">
        <f>IF(Settings!$M$4=Settings!$Y$3,IF($AA221=1,"P",""),IF($AA221=1,"P",""))</f>
        <v/>
      </c>
      <c r="G221" s="164" t="str">
        <f>IF(Settings!$M$4=Settings!$Y$3,IF($AA221=1,"P",""),IF($AA221=2,"P",""))</f>
        <v/>
      </c>
      <c r="H221" s="164" t="str">
        <f>IF(Settings!$M$4=Settings!$Y$3,IF($AA221=1,"P",""),IF($AA221=3,"P",""))</f>
        <v/>
      </c>
      <c r="I221" s="164" t="str">
        <f>IF(Settings!$M$4=Settings!$Y$3,IF($AA221=1,"P",""),IF($AA221=4,"P",""))</f>
        <v/>
      </c>
      <c r="J221" s="164" t="str">
        <f>IF(Settings!$M$4=Settings!$Y$3,IF($AA221=2,"P",""),IF($AA221=5,"P",""))</f>
        <v/>
      </c>
      <c r="K221" s="164" t="str">
        <f>IF(Settings!$M$4=Settings!$Y$3,IF($AA221=2,"P",""),IF($AA221=6,"P",""))</f>
        <v/>
      </c>
      <c r="L221" s="164" t="str">
        <f>IF(Settings!$M$4=Settings!$Y$3,IF($AA221=2,"P",""),IF($AA221=7,"P",""))</f>
        <v/>
      </c>
      <c r="M221" s="164" t="str">
        <f>IF(Settings!$M$4=Settings!$Y$3,IF($AA221=2,"P",""),IF($AA221=8,"P",""))</f>
        <v/>
      </c>
      <c r="N221" s="164" t="str">
        <f>IF(Settings!$M$4=Settings!$Y$3,IF($AA221=3,"P",""),IF($AA221=9,"P",""))</f>
        <v/>
      </c>
      <c r="O221" s="165" t="str">
        <f>IF(Settings!$M$4=Settings!$Y$3,IF($AA221=3,"P",""),IF($AA221=10,"P",""))</f>
        <v/>
      </c>
      <c r="P221" s="22"/>
      <c r="Q221" s="22"/>
      <c r="R221" s="360" t="e">
        <f>IF(INDEX(TblDatabase[Comment2],MATCH(1,INDEX(($L$4=ListEmployeeNamesInDatabase)*(C212=TblDatabase[Year]),0,1),0))="","",INDEX(TblDatabase[Comment2],MATCH(1,INDEX(($L$4=ListEmployeeNamesInDatabase)*(C212=TblDatabase[Year]),0,1),0)))</f>
        <v>#N/A</v>
      </c>
      <c r="S221" s="360"/>
      <c r="T221" s="360"/>
      <c r="U221" s="360"/>
      <c r="V221" s="360"/>
      <c r="W221" s="360"/>
      <c r="X221" s="360"/>
      <c r="Y221" s="361"/>
      <c r="Z221" s="149"/>
      <c r="AA221" s="151">
        <f>SUMIFS(TblDatabase[Competency2],ListEmployeeNamesInDatabase,$L$4,TblDatabase[Year],C212)</f>
        <v>0</v>
      </c>
      <c r="AB221" s="149"/>
      <c r="AC221" s="149"/>
      <c r="AD221" s="149"/>
      <c r="AE221" s="149"/>
      <c r="AF221" s="149"/>
    </row>
    <row r="222" spans="1:32" s="148" customFormat="1" ht="15" hidden="1" customHeight="1">
      <c r="B222" s="350" t="str">
        <f t="shared" si="4"/>
        <v>Job Knowledge</v>
      </c>
      <c r="C222" s="351"/>
      <c r="D222" s="351"/>
      <c r="E222" s="352"/>
      <c r="F222" s="157" t="str">
        <f>IF(Settings!$M$4=Settings!$Y$3,IF($AA222=1,"P",""),IF($AA222=1,"P",""))</f>
        <v/>
      </c>
      <c r="G222" s="158" t="str">
        <f>IF(Settings!$M$4=Settings!$Y$3,IF($AA222=1,"P",""),IF($AA222=2,"P",""))</f>
        <v/>
      </c>
      <c r="H222" s="158" t="str">
        <f>IF(Settings!$M$4=Settings!$Y$3,IF($AA222=1,"P",""),IF($AA222=3,"P",""))</f>
        <v/>
      </c>
      <c r="I222" s="158" t="str">
        <f>IF(Settings!$M$4=Settings!$Y$3,IF($AA222=1,"P",""),IF($AA222=4,"P",""))</f>
        <v/>
      </c>
      <c r="J222" s="158" t="str">
        <f>IF(Settings!$M$4=Settings!$Y$3,IF($AA222=2,"P",""),IF($AA222=5,"P",""))</f>
        <v/>
      </c>
      <c r="K222" s="158" t="str">
        <f>IF(Settings!$M$4=Settings!$Y$3,IF($AA222=2,"P",""),IF($AA222=6,"P",""))</f>
        <v/>
      </c>
      <c r="L222" s="158" t="str">
        <f>IF(Settings!$M$4=Settings!$Y$3,IF($AA222=2,"P",""),IF($AA222=7,"P",""))</f>
        <v/>
      </c>
      <c r="M222" s="158" t="str">
        <f>IF(Settings!$M$4=Settings!$Y$3,IF($AA222=2,"P",""),IF($AA222=8,"P",""))</f>
        <v/>
      </c>
      <c r="N222" s="158" t="str">
        <f>IF(Settings!$M$4=Settings!$Y$3,IF($AA222=3,"P",""),IF($AA222=9,"P",""))</f>
        <v/>
      </c>
      <c r="O222" s="159" t="str">
        <f>IF(Settings!$M$4=Settings!$Y$3,IF($AA222=3,"P",""),IF($AA222=10,"P",""))</f>
        <v/>
      </c>
      <c r="P222" s="22"/>
      <c r="Q222" s="22"/>
      <c r="R222" s="353" t="e">
        <f>IF(INDEX(TblDatabase[Comment3],MATCH(1,INDEX(($L$4=ListEmployeeNamesInDatabase)*(C212=TblDatabase[Year]),0,1),0))="","",INDEX(TblDatabase[Comment3],MATCH(1,INDEX(($L$4=ListEmployeeNamesInDatabase)*(C212=TblDatabase[Year]),0,1),0)))</f>
        <v>#N/A</v>
      </c>
      <c r="S222" s="353"/>
      <c r="T222" s="353"/>
      <c r="U222" s="353"/>
      <c r="V222" s="353"/>
      <c r="W222" s="353"/>
      <c r="X222" s="353"/>
      <c r="Y222" s="354"/>
      <c r="Z222" s="149"/>
      <c r="AA222" s="151">
        <f>SUMIFS(TblDatabase[Competency3],ListEmployeeNamesInDatabase,$L$4,TblDatabase[Year],C212)</f>
        <v>0</v>
      </c>
      <c r="AB222" s="149"/>
      <c r="AC222" s="149"/>
      <c r="AD222" s="149"/>
      <c r="AE222" s="149"/>
      <c r="AF222" s="149"/>
    </row>
    <row r="223" spans="1:32" s="148" customFormat="1" ht="15" hidden="1" customHeight="1">
      <c r="B223" s="355" t="str">
        <f t="shared" si="4"/>
        <v>Client Service</v>
      </c>
      <c r="C223" s="356"/>
      <c r="D223" s="356"/>
      <c r="E223" s="357"/>
      <c r="F223" s="163" t="str">
        <f>IF(Settings!$M$4=Settings!$Y$3,IF($AA223=1,"P",""),IF($AA223=1,"P",""))</f>
        <v/>
      </c>
      <c r="G223" s="164" t="str">
        <f>IF(Settings!$M$4=Settings!$Y$3,IF($AA223=1,"P",""),IF($AA223=2,"P",""))</f>
        <v/>
      </c>
      <c r="H223" s="164" t="str">
        <f>IF(Settings!$M$4=Settings!$Y$3,IF($AA223=1,"P",""),IF($AA223=3,"P",""))</f>
        <v/>
      </c>
      <c r="I223" s="164" t="str">
        <f>IF(Settings!$M$4=Settings!$Y$3,IF($AA223=1,"P",""),IF($AA223=4,"P",""))</f>
        <v/>
      </c>
      <c r="J223" s="164" t="str">
        <f>IF(Settings!$M$4=Settings!$Y$3,IF($AA223=2,"P",""),IF($AA223=5,"P",""))</f>
        <v/>
      </c>
      <c r="K223" s="164" t="str">
        <f>IF(Settings!$M$4=Settings!$Y$3,IF($AA223=2,"P",""),IF($AA223=6,"P",""))</f>
        <v/>
      </c>
      <c r="L223" s="164" t="str">
        <f>IF(Settings!$M$4=Settings!$Y$3,IF($AA223=2,"P",""),IF($AA223=7,"P",""))</f>
        <v/>
      </c>
      <c r="M223" s="164" t="str">
        <f>IF(Settings!$M$4=Settings!$Y$3,IF($AA223=2,"P",""),IF($AA223=8,"P",""))</f>
        <v/>
      </c>
      <c r="N223" s="164" t="str">
        <f>IF(Settings!$M$4=Settings!$Y$3,IF($AA223=3,"P",""),IF($AA223=9,"P",""))</f>
        <v/>
      </c>
      <c r="O223" s="165" t="str">
        <f>IF(Settings!$M$4=Settings!$Y$3,IF($AA223=3,"P",""),IF($AA223=10,"P",""))</f>
        <v/>
      </c>
      <c r="P223" s="22"/>
      <c r="Q223" s="22"/>
      <c r="R223" s="360" t="e">
        <f>IF(INDEX(TblDatabase[Comment4],MATCH(1,INDEX(($L$4=ListEmployeeNamesInDatabase)*(C212=TblDatabase[Year]),0,1),0))="","",INDEX(TblDatabase[Comment4],MATCH(1,INDEX(($L$4=ListEmployeeNamesInDatabase)*(C212=TblDatabase[Year]),0,1),0)))</f>
        <v>#N/A</v>
      </c>
      <c r="S223" s="360"/>
      <c r="T223" s="360"/>
      <c r="U223" s="360"/>
      <c r="V223" s="360"/>
      <c r="W223" s="360"/>
      <c r="X223" s="360"/>
      <c r="Y223" s="361"/>
      <c r="Z223" s="149"/>
      <c r="AA223" s="151">
        <f>SUMIFS(TblDatabase[Competency4],ListEmployeeNamesInDatabase,$L$4,TblDatabase[Year],C212)</f>
        <v>0</v>
      </c>
      <c r="AB223" s="149"/>
      <c r="AC223" s="149"/>
      <c r="AD223" s="149"/>
      <c r="AE223" s="149"/>
      <c r="AF223" s="149"/>
    </row>
    <row r="224" spans="1:32" s="148" customFormat="1" ht="15" hidden="1" customHeight="1">
      <c r="B224" s="350" t="str">
        <f t="shared" si="4"/>
        <v>Teamwork</v>
      </c>
      <c r="C224" s="351"/>
      <c r="D224" s="351"/>
      <c r="E224" s="352"/>
      <c r="F224" s="157" t="str">
        <f>IF(Settings!$M$4=Settings!$Y$3,IF($AA224=1,"P",""),IF($AA224=1,"P",""))</f>
        <v/>
      </c>
      <c r="G224" s="158" t="str">
        <f>IF(Settings!$M$4=Settings!$Y$3,IF($AA224=1,"P",""),IF($AA224=2,"P",""))</f>
        <v/>
      </c>
      <c r="H224" s="158" t="str">
        <f>IF(Settings!$M$4=Settings!$Y$3,IF($AA224=1,"P",""),IF($AA224=3,"P",""))</f>
        <v/>
      </c>
      <c r="I224" s="158" t="str">
        <f>IF(Settings!$M$4=Settings!$Y$3,IF($AA224=1,"P",""),IF($AA224=4,"P",""))</f>
        <v/>
      </c>
      <c r="J224" s="158" t="str">
        <f>IF(Settings!$M$4=Settings!$Y$3,IF($AA224=2,"P",""),IF($AA224=5,"P",""))</f>
        <v/>
      </c>
      <c r="K224" s="158" t="str">
        <f>IF(Settings!$M$4=Settings!$Y$3,IF($AA224=2,"P",""),IF($AA224=6,"P",""))</f>
        <v/>
      </c>
      <c r="L224" s="158" t="str">
        <f>IF(Settings!$M$4=Settings!$Y$3,IF($AA224=2,"P",""),IF($AA224=7,"P",""))</f>
        <v/>
      </c>
      <c r="M224" s="158" t="str">
        <f>IF(Settings!$M$4=Settings!$Y$3,IF($AA224=2,"P",""),IF($AA224=8,"P",""))</f>
        <v/>
      </c>
      <c r="N224" s="158" t="str">
        <f>IF(Settings!$M$4=Settings!$Y$3,IF($AA224=3,"P",""),IF($AA224=9,"P",""))</f>
        <v/>
      </c>
      <c r="O224" s="159" t="str">
        <f>IF(Settings!$M$4=Settings!$Y$3,IF($AA224=3,"P",""),IF($AA224=10,"P",""))</f>
        <v/>
      </c>
      <c r="P224" s="22"/>
      <c r="Q224" s="22"/>
      <c r="R224" s="353" t="e">
        <f>IF(INDEX(TblDatabase[Comment5],MATCH(1,INDEX(($L$4=ListEmployeeNamesInDatabase)*(C212=TblDatabase[Year]),0,1),0))="","",INDEX(TblDatabase[Comment5],MATCH(1,INDEX(($L$4=ListEmployeeNamesInDatabase)*(C212=TblDatabase[Year]),0,1),0)))</f>
        <v>#N/A</v>
      </c>
      <c r="S224" s="353"/>
      <c r="T224" s="353"/>
      <c r="U224" s="353"/>
      <c r="V224" s="353"/>
      <c r="W224" s="353"/>
      <c r="X224" s="353"/>
      <c r="Y224" s="354"/>
      <c r="Z224" s="149"/>
      <c r="AA224" s="151">
        <f>SUMIFS(TblDatabase[Competency5],ListEmployeeNamesInDatabase,$L$4,TblDatabase[Year],C212)</f>
        <v>0</v>
      </c>
      <c r="AB224" s="149"/>
      <c r="AC224" s="149"/>
      <c r="AD224" s="149"/>
      <c r="AE224" s="149"/>
      <c r="AF224" s="149"/>
    </row>
    <row r="225" spans="2:32" s="148" customFormat="1" ht="15" hidden="1" customHeight="1">
      <c r="B225" s="355" t="str">
        <f t="shared" si="4"/>
        <v>Safety</v>
      </c>
      <c r="C225" s="356"/>
      <c r="D225" s="356"/>
      <c r="E225" s="357"/>
      <c r="F225" s="163" t="str">
        <f>IF(Settings!$M$4=Settings!$Y$3,IF($AA225=1,"P",""),IF($AA225=1,"P",""))</f>
        <v/>
      </c>
      <c r="G225" s="164" t="str">
        <f>IF(Settings!$M$4=Settings!$Y$3,IF($AA225=1,"P",""),IF($AA225=2,"P",""))</f>
        <v/>
      </c>
      <c r="H225" s="164" t="str">
        <f>IF(Settings!$M$4=Settings!$Y$3,IF($AA225=1,"P",""),IF($AA225=3,"P",""))</f>
        <v/>
      </c>
      <c r="I225" s="164" t="str">
        <f>IF(Settings!$M$4=Settings!$Y$3,IF($AA225=1,"P",""),IF($AA225=4,"P",""))</f>
        <v/>
      </c>
      <c r="J225" s="164" t="str">
        <f>IF(Settings!$M$4=Settings!$Y$3,IF($AA225=2,"P",""),IF($AA225=5,"P",""))</f>
        <v/>
      </c>
      <c r="K225" s="164" t="str">
        <f>IF(Settings!$M$4=Settings!$Y$3,IF($AA225=2,"P",""),IF($AA225=6,"P",""))</f>
        <v/>
      </c>
      <c r="L225" s="164" t="str">
        <f>IF(Settings!$M$4=Settings!$Y$3,IF($AA225=2,"P",""),IF($AA225=7,"P",""))</f>
        <v/>
      </c>
      <c r="M225" s="164" t="str">
        <f>IF(Settings!$M$4=Settings!$Y$3,IF($AA225=2,"P",""),IF($AA225=8,"P",""))</f>
        <v/>
      </c>
      <c r="N225" s="164" t="str">
        <f>IF(Settings!$M$4=Settings!$Y$3,IF($AA225=3,"P",""),IF($AA225=9,"P",""))</f>
        <v/>
      </c>
      <c r="O225" s="165" t="str">
        <f>IF(Settings!$M$4=Settings!$Y$3,IF($AA225=3,"P",""),IF($AA225=10,"P",""))</f>
        <v/>
      </c>
      <c r="P225" s="22"/>
      <c r="Q225" s="22"/>
      <c r="R225" s="360" t="e">
        <f>IF(INDEX(TblDatabase[Comment6],MATCH(1,INDEX(($L$4=ListEmployeeNamesInDatabase)*(C212=TblDatabase[Year]),0,1),0))="","",INDEX(TblDatabase[Comment6],MATCH(1,INDEX(($L$4=ListEmployeeNamesInDatabase)*(C212=TblDatabase[Year]),0,1),0)))</f>
        <v>#N/A</v>
      </c>
      <c r="S225" s="360"/>
      <c r="T225" s="360"/>
      <c r="U225" s="360"/>
      <c r="V225" s="360"/>
      <c r="W225" s="360"/>
      <c r="X225" s="360"/>
      <c r="Y225" s="361"/>
      <c r="Z225" s="149"/>
      <c r="AA225" s="151">
        <f>SUMIFS(TblDatabase[Competency6],ListEmployeeNamesInDatabase,$L$4,TblDatabase[Year],C212)</f>
        <v>0</v>
      </c>
      <c r="AB225" s="149"/>
      <c r="AC225" s="149"/>
      <c r="AD225" s="149"/>
      <c r="AE225" s="149"/>
      <c r="AF225" s="149"/>
    </row>
    <row r="226" spans="2:32" s="148" customFormat="1" ht="15" hidden="1" customHeight="1">
      <c r="B226" s="350" t="str">
        <f t="shared" si="4"/>
        <v>Reliability</v>
      </c>
      <c r="C226" s="351"/>
      <c r="D226" s="351"/>
      <c r="E226" s="352"/>
      <c r="F226" s="157" t="str">
        <f>IF(Settings!$M$4=Settings!$Y$3,IF($AA226=1,"P",""),IF($AA226=1,"P",""))</f>
        <v/>
      </c>
      <c r="G226" s="158" t="str">
        <f>IF(Settings!$M$4=Settings!$Y$3,IF($AA226=1,"P",""),IF($AA226=2,"P",""))</f>
        <v/>
      </c>
      <c r="H226" s="158" t="str">
        <f>IF(Settings!$M$4=Settings!$Y$3,IF($AA226=1,"P",""),IF($AA226=3,"P",""))</f>
        <v/>
      </c>
      <c r="I226" s="158" t="str">
        <f>IF(Settings!$M$4=Settings!$Y$3,IF($AA226=1,"P",""),IF($AA226=4,"P",""))</f>
        <v/>
      </c>
      <c r="J226" s="158" t="str">
        <f>IF(Settings!$M$4=Settings!$Y$3,IF($AA226=2,"P",""),IF($AA226=5,"P",""))</f>
        <v/>
      </c>
      <c r="K226" s="158" t="str">
        <f>IF(Settings!$M$4=Settings!$Y$3,IF($AA226=2,"P",""),IF($AA226=6,"P",""))</f>
        <v/>
      </c>
      <c r="L226" s="158" t="str">
        <f>IF(Settings!$M$4=Settings!$Y$3,IF($AA226=2,"P",""),IF($AA226=7,"P",""))</f>
        <v/>
      </c>
      <c r="M226" s="158" t="str">
        <f>IF(Settings!$M$4=Settings!$Y$3,IF($AA226=2,"P",""),IF($AA226=8,"P",""))</f>
        <v/>
      </c>
      <c r="N226" s="158" t="str">
        <f>IF(Settings!$M$4=Settings!$Y$3,IF($AA226=3,"P",""),IF($AA226=9,"P",""))</f>
        <v/>
      </c>
      <c r="O226" s="159" t="str">
        <f>IF(Settings!$M$4=Settings!$Y$3,IF($AA226=3,"P",""),IF($AA226=10,"P",""))</f>
        <v/>
      </c>
      <c r="P226" s="22"/>
      <c r="Q226" s="22"/>
      <c r="R226" s="353" t="e">
        <f>IF(INDEX(TblDatabase[Comment7],MATCH(1,INDEX(($L$4=ListEmployeeNamesInDatabase)*(C212=TblDatabase[Year]),0,1),0))="","",INDEX(TblDatabase[Comment7],MATCH(1,INDEX(($L$4=ListEmployeeNamesInDatabase)*(C212=TblDatabase[Year]),0,1),0)))</f>
        <v>#N/A</v>
      </c>
      <c r="S226" s="353"/>
      <c r="T226" s="353"/>
      <c r="U226" s="353"/>
      <c r="V226" s="353"/>
      <c r="W226" s="353"/>
      <c r="X226" s="353"/>
      <c r="Y226" s="354"/>
      <c r="Z226" s="149"/>
      <c r="AA226" s="151">
        <f>SUMIFS(TblDatabase[Competency7],ListEmployeeNamesInDatabase,$L$4,TblDatabase[Year],C212)</f>
        <v>0</v>
      </c>
      <c r="AB226" s="149"/>
      <c r="AC226" s="149"/>
      <c r="AD226" s="149"/>
      <c r="AE226" s="149"/>
      <c r="AF226" s="149"/>
    </row>
    <row r="227" spans="2:32" s="148" customFormat="1" ht="15" hidden="1" customHeight="1">
      <c r="B227" s="355" t="str">
        <f t="shared" si="4"/>
        <v>Initiative/Adaptability</v>
      </c>
      <c r="C227" s="356"/>
      <c r="D227" s="356"/>
      <c r="E227" s="357"/>
      <c r="F227" s="163" t="str">
        <f>IF(Settings!$M$4=Settings!$Y$3,IF($AA227=1,"P",""),IF($AA227=1,"P",""))</f>
        <v/>
      </c>
      <c r="G227" s="164" t="str">
        <f>IF(Settings!$M$4=Settings!$Y$3,IF($AA227=1,"P",""),IF($AA227=2,"P",""))</f>
        <v/>
      </c>
      <c r="H227" s="164" t="str">
        <f>IF(Settings!$M$4=Settings!$Y$3,IF($AA227=1,"P",""),IF($AA227=3,"P",""))</f>
        <v/>
      </c>
      <c r="I227" s="164" t="str">
        <f>IF(Settings!$M$4=Settings!$Y$3,IF($AA227=1,"P",""),IF($AA227=4,"P",""))</f>
        <v/>
      </c>
      <c r="J227" s="164" t="str">
        <f>IF(Settings!$M$4=Settings!$Y$3,IF($AA227=2,"P",""),IF($AA227=5,"P",""))</f>
        <v/>
      </c>
      <c r="K227" s="164" t="str">
        <f>IF(Settings!$M$4=Settings!$Y$3,IF($AA227=2,"P",""),IF($AA227=6,"P",""))</f>
        <v/>
      </c>
      <c r="L227" s="164" t="str">
        <f>IF(Settings!$M$4=Settings!$Y$3,IF($AA227=2,"P",""),IF($AA227=7,"P",""))</f>
        <v/>
      </c>
      <c r="M227" s="164" t="str">
        <f>IF(Settings!$M$4=Settings!$Y$3,IF($AA227=2,"P",""),IF($AA227=8,"P",""))</f>
        <v/>
      </c>
      <c r="N227" s="164" t="str">
        <f>IF(Settings!$M$4=Settings!$Y$3,IF($AA227=3,"P",""),IF($AA227=9,"P",""))</f>
        <v/>
      </c>
      <c r="O227" s="165" t="str">
        <f>IF(Settings!$M$4=Settings!$Y$3,IF($AA227=3,"P",""),IF($AA227=10,"P",""))</f>
        <v/>
      </c>
      <c r="P227" s="22"/>
      <c r="Q227" s="22"/>
      <c r="R227" s="360" t="e">
        <f>IF(INDEX(TblDatabase[Comment8],MATCH(1,INDEX(($L$4=ListEmployeeNamesInDatabase)*(C212=TblDatabase[Year]),0,1),0))="","",INDEX(TblDatabase[Comment8],MATCH(1,INDEX(($L$4=ListEmployeeNamesInDatabase)*(C212=TblDatabase[Year]),0,1),0)))</f>
        <v>#N/A</v>
      </c>
      <c r="S227" s="360"/>
      <c r="T227" s="360"/>
      <c r="U227" s="360"/>
      <c r="V227" s="360"/>
      <c r="W227" s="360"/>
      <c r="X227" s="360"/>
      <c r="Y227" s="361"/>
      <c r="Z227" s="149"/>
      <c r="AA227" s="151">
        <f>SUMIFS(TblDatabase[Competency8],ListEmployeeNamesInDatabase,$L$4,TblDatabase[Year],C212)</f>
        <v>0</v>
      </c>
      <c r="AB227" s="149"/>
      <c r="AC227" s="149"/>
      <c r="AD227" s="149"/>
      <c r="AE227" s="149"/>
      <c r="AF227" s="149"/>
    </row>
    <row r="228" spans="2:32" s="148" customFormat="1" ht="15" hidden="1" customHeight="1">
      <c r="B228" s="350" t="str">
        <f t="shared" si="4"/>
        <v/>
      </c>
      <c r="C228" s="351"/>
      <c r="D228" s="351"/>
      <c r="E228" s="352"/>
      <c r="F228" s="157" t="str">
        <f>IF(Settings!$M$4=Settings!$Y$3,IF($AA228=1,"P",""),IF($AA228=1,"P",""))</f>
        <v/>
      </c>
      <c r="G228" s="158" t="str">
        <f>IF(Settings!$M$4=Settings!$Y$3,IF($AA228=1,"P",""),IF($AA228=2,"P",""))</f>
        <v/>
      </c>
      <c r="H228" s="158" t="str">
        <f>IF(Settings!$M$4=Settings!$Y$3,IF($AA228=1,"P",""),IF($AA228=3,"P",""))</f>
        <v/>
      </c>
      <c r="I228" s="158" t="str">
        <f>IF(Settings!$M$4=Settings!$Y$3,IF($AA228=1,"P",""),IF($AA228=4,"P",""))</f>
        <v/>
      </c>
      <c r="J228" s="158" t="str">
        <f>IF(Settings!$M$4=Settings!$Y$3,IF($AA228=2,"P",""),IF($AA228=5,"P",""))</f>
        <v/>
      </c>
      <c r="K228" s="158" t="str">
        <f>IF(Settings!$M$4=Settings!$Y$3,IF($AA228=2,"P",""),IF($AA228=6,"P",""))</f>
        <v/>
      </c>
      <c r="L228" s="158" t="str">
        <f>IF(Settings!$M$4=Settings!$Y$3,IF($AA228=2,"P",""),IF($AA228=7,"P",""))</f>
        <v/>
      </c>
      <c r="M228" s="158" t="str">
        <f>IF(Settings!$M$4=Settings!$Y$3,IF($AA228=2,"P",""),IF($AA228=8,"P",""))</f>
        <v/>
      </c>
      <c r="N228" s="158" t="str">
        <f>IF(Settings!$M$4=Settings!$Y$3,IF($AA228=3,"P",""),IF($AA228=9,"P",""))</f>
        <v/>
      </c>
      <c r="O228" s="159" t="str">
        <f>IF(Settings!$M$4=Settings!$Y$3,IF($AA228=3,"P",""),IF($AA228=10,"P",""))</f>
        <v/>
      </c>
      <c r="P228" s="22"/>
      <c r="Q228" s="22"/>
      <c r="R228" s="353" t="e">
        <f>IF(INDEX(TblDatabase[Comment9],MATCH(1,INDEX(($L$4=ListEmployeeNamesInDatabase)*(C212=TblDatabase[Year]),0,1),0))="","",INDEX(TblDatabase[Comment9],MATCH(1,INDEX(($L$4=ListEmployeeNamesInDatabase)*(C212=TblDatabase[Year]),0,1),0)))</f>
        <v>#N/A</v>
      </c>
      <c r="S228" s="353"/>
      <c r="T228" s="353"/>
      <c r="U228" s="353"/>
      <c r="V228" s="353"/>
      <c r="W228" s="353"/>
      <c r="X228" s="353"/>
      <c r="Y228" s="354"/>
      <c r="Z228" s="149"/>
      <c r="AA228" s="151">
        <f>SUMIFS(TblDatabase[Competency9],ListEmployeeNamesInDatabase,$L$4,TblDatabase[Year],C212)</f>
        <v>0</v>
      </c>
      <c r="AB228" s="149"/>
      <c r="AC228" s="149"/>
      <c r="AD228" s="149"/>
      <c r="AE228" s="149"/>
      <c r="AF228" s="149"/>
    </row>
    <row r="229" spans="2:32" s="148" customFormat="1" ht="15" hidden="1" customHeight="1">
      <c r="B229" s="355" t="str">
        <f t="shared" si="4"/>
        <v/>
      </c>
      <c r="C229" s="356"/>
      <c r="D229" s="356"/>
      <c r="E229" s="357"/>
      <c r="F229" s="163" t="str">
        <f>IF(Settings!$M$4=Settings!$Y$3,IF($AA229=1,"P",""),IF($AA229=1,"P",""))</f>
        <v/>
      </c>
      <c r="G229" s="164" t="str">
        <f>IF(Settings!$M$4=Settings!$Y$3,IF($AA229=1,"P",""),IF($AA229=2,"P",""))</f>
        <v/>
      </c>
      <c r="H229" s="164" t="str">
        <f>IF(Settings!$M$4=Settings!$Y$3,IF($AA229=1,"P",""),IF($AA229=3,"P",""))</f>
        <v/>
      </c>
      <c r="I229" s="164" t="str">
        <f>IF(Settings!$M$4=Settings!$Y$3,IF($AA229=1,"P",""),IF($AA229=4,"P",""))</f>
        <v/>
      </c>
      <c r="J229" s="164" t="str">
        <f>IF(Settings!$M$4=Settings!$Y$3,IF($AA229=2,"P",""),IF($AA229=5,"P",""))</f>
        <v/>
      </c>
      <c r="K229" s="164" t="str">
        <f>IF(Settings!$M$4=Settings!$Y$3,IF($AA229=2,"P",""),IF($AA229=6,"P",""))</f>
        <v/>
      </c>
      <c r="L229" s="164" t="str">
        <f>IF(Settings!$M$4=Settings!$Y$3,IF($AA229=2,"P",""),IF($AA229=7,"P",""))</f>
        <v/>
      </c>
      <c r="M229" s="164" t="str">
        <f>IF(Settings!$M$4=Settings!$Y$3,IF($AA229=2,"P",""),IF($AA229=8,"P",""))</f>
        <v/>
      </c>
      <c r="N229" s="164" t="str">
        <f>IF(Settings!$M$4=Settings!$Y$3,IF($AA229=3,"P",""),IF($AA229=9,"P",""))</f>
        <v/>
      </c>
      <c r="O229" s="165" t="str">
        <f>IF(Settings!$M$4=Settings!$Y$3,IF($AA229=3,"P",""),IF($AA229=10,"P",""))</f>
        <v/>
      </c>
      <c r="P229" s="22"/>
      <c r="Q229" s="22"/>
      <c r="R229" s="360" t="e">
        <f>IF(INDEX(TblDatabase[Comment10],MATCH(1,INDEX(($L$4=ListEmployeeNamesInDatabase)*(C212=TblDatabase[Year]),0,1),0))="","",INDEX(TblDatabase[Comment10],MATCH(1,INDEX(($L$4=ListEmployeeNamesInDatabase)*(C212=TblDatabase[Year]),0,1),0)))</f>
        <v>#N/A</v>
      </c>
      <c r="S229" s="360"/>
      <c r="T229" s="360"/>
      <c r="U229" s="360"/>
      <c r="V229" s="360"/>
      <c r="W229" s="360"/>
      <c r="X229" s="360"/>
      <c r="Y229" s="361"/>
      <c r="Z229" s="149"/>
      <c r="AA229" s="151">
        <f>SUMIFS(TblDatabase[Competency10],ListEmployeeNamesInDatabase,$L$4,TblDatabase[Year],C212)</f>
        <v>0</v>
      </c>
      <c r="AB229" s="149"/>
      <c r="AC229" s="149"/>
      <c r="AD229" s="149"/>
      <c r="AE229" s="149"/>
      <c r="AF229" s="149"/>
    </row>
    <row r="230" spans="2:32" s="148" customFormat="1" ht="15" hidden="1" customHeight="1">
      <c r="B230" s="350" t="str">
        <f t="shared" si="4"/>
        <v/>
      </c>
      <c r="C230" s="351"/>
      <c r="D230" s="351"/>
      <c r="E230" s="352"/>
      <c r="F230" s="157" t="str">
        <f>IF(Settings!$M$4=Settings!$Y$3,IF($AA230=1,"P",""),IF($AA230=1,"P",""))</f>
        <v/>
      </c>
      <c r="G230" s="158" t="str">
        <f>IF(Settings!$M$4=Settings!$Y$3,IF($AA230=1,"P",""),IF($AA230=2,"P",""))</f>
        <v/>
      </c>
      <c r="H230" s="158" t="str">
        <f>IF(Settings!$M$4=Settings!$Y$3,IF($AA230=1,"P",""),IF($AA230=3,"P",""))</f>
        <v/>
      </c>
      <c r="I230" s="158" t="str">
        <f>IF(Settings!$M$4=Settings!$Y$3,IF($AA230=1,"P",""),IF($AA230=4,"P",""))</f>
        <v/>
      </c>
      <c r="J230" s="158" t="str">
        <f>IF(Settings!$M$4=Settings!$Y$3,IF($AA230=2,"P",""),IF($AA230=5,"P",""))</f>
        <v/>
      </c>
      <c r="K230" s="158" t="str">
        <f>IF(Settings!$M$4=Settings!$Y$3,IF($AA230=2,"P",""),IF($AA230=6,"P",""))</f>
        <v/>
      </c>
      <c r="L230" s="158" t="str">
        <f>IF(Settings!$M$4=Settings!$Y$3,IF($AA230=2,"P",""),IF($AA230=7,"P",""))</f>
        <v/>
      </c>
      <c r="M230" s="158" t="str">
        <f>IF(Settings!$M$4=Settings!$Y$3,IF($AA230=2,"P",""),IF($AA230=8,"P",""))</f>
        <v/>
      </c>
      <c r="N230" s="158" t="str">
        <f>IF(Settings!$M$4=Settings!$Y$3,IF($AA230=3,"P",""),IF($AA230=9,"P",""))</f>
        <v/>
      </c>
      <c r="O230" s="159" t="str">
        <f>IF(Settings!$M$4=Settings!$Y$3,IF($AA230=3,"P",""),IF($AA230=10,"P",""))</f>
        <v/>
      </c>
      <c r="P230" s="22"/>
      <c r="Q230" s="22"/>
      <c r="R230" s="353" t="e">
        <f>IF(INDEX(TblDatabase[Comment11],MATCH(1,INDEX(($L$4=ListEmployeeNamesInDatabase)*(C212=TblDatabase[Year]),0,1),0))="","",INDEX(TblDatabase[Comment11],MATCH(1,INDEX(($L$4=ListEmployeeNamesInDatabase)*(C212=TblDatabase[Year]),0,1),0)))</f>
        <v>#N/A</v>
      </c>
      <c r="S230" s="353"/>
      <c r="T230" s="353"/>
      <c r="U230" s="353"/>
      <c r="V230" s="353"/>
      <c r="W230" s="353"/>
      <c r="X230" s="353"/>
      <c r="Y230" s="354"/>
      <c r="Z230" s="149"/>
      <c r="AA230" s="151">
        <f>SUMIFS(TblDatabase[Competency11],ListEmployeeNamesInDatabase,$L$4,TblDatabase[Year],C212)</f>
        <v>0</v>
      </c>
      <c r="AB230" s="149"/>
      <c r="AC230" s="149"/>
      <c r="AD230" s="149"/>
      <c r="AE230" s="149"/>
      <c r="AF230" s="149"/>
    </row>
    <row r="231" spans="2:32" s="148" customFormat="1" ht="15" hidden="1" customHeight="1">
      <c r="B231" s="355" t="str">
        <f t="shared" si="4"/>
        <v/>
      </c>
      <c r="C231" s="356"/>
      <c r="D231" s="356"/>
      <c r="E231" s="357"/>
      <c r="F231" s="163" t="str">
        <f>IF(Settings!$M$4=Settings!$Y$3,IF($AA231=1,"P",""),IF($AA231=1,"P",""))</f>
        <v/>
      </c>
      <c r="G231" s="164" t="str">
        <f>IF(Settings!$M$4=Settings!$Y$3,IF($AA231=1,"P",""),IF($AA231=2,"P",""))</f>
        <v/>
      </c>
      <c r="H231" s="164" t="str">
        <f>IF(Settings!$M$4=Settings!$Y$3,IF($AA231=1,"P",""),IF($AA231=3,"P",""))</f>
        <v/>
      </c>
      <c r="I231" s="164" t="str">
        <f>IF(Settings!$M$4=Settings!$Y$3,IF($AA231=1,"P",""),IF($AA231=4,"P",""))</f>
        <v/>
      </c>
      <c r="J231" s="164" t="str">
        <f>IF(Settings!$M$4=Settings!$Y$3,IF($AA231=2,"P",""),IF($AA231=5,"P",""))</f>
        <v/>
      </c>
      <c r="K231" s="164" t="str">
        <f>IF(Settings!$M$4=Settings!$Y$3,IF($AA231=2,"P",""),IF($AA231=6,"P",""))</f>
        <v/>
      </c>
      <c r="L231" s="164" t="str">
        <f>IF(Settings!$M$4=Settings!$Y$3,IF($AA231=2,"P",""),IF($AA231=7,"P",""))</f>
        <v/>
      </c>
      <c r="M231" s="164" t="str">
        <f>IF(Settings!$M$4=Settings!$Y$3,IF($AA231=2,"P",""),IF($AA231=8,"P",""))</f>
        <v/>
      </c>
      <c r="N231" s="164" t="str">
        <f>IF(Settings!$M$4=Settings!$Y$3,IF($AA231=3,"P",""),IF($AA231=9,"P",""))</f>
        <v/>
      </c>
      <c r="O231" s="165" t="str">
        <f>IF(Settings!$M$4=Settings!$Y$3,IF($AA231=3,"P",""),IF($AA231=10,"P",""))</f>
        <v/>
      </c>
      <c r="P231" s="22"/>
      <c r="Q231" s="22"/>
      <c r="R231" s="360" t="e">
        <f>IF(INDEX(TblDatabase[Comment12],MATCH(1,INDEX(($L$4=ListEmployeeNamesInDatabase)*(C212=TblDatabase[Year]),0,1),0))="","",INDEX(TblDatabase[Comment12],MATCH(1,INDEX(($L$4=ListEmployeeNamesInDatabase)*(C212=TblDatabase[Year]),0,1),0)))</f>
        <v>#N/A</v>
      </c>
      <c r="S231" s="360"/>
      <c r="T231" s="360"/>
      <c r="U231" s="360"/>
      <c r="V231" s="360"/>
      <c r="W231" s="360"/>
      <c r="X231" s="360"/>
      <c r="Y231" s="361"/>
      <c r="Z231" s="149"/>
      <c r="AA231" s="151">
        <f>SUMIFS(TblDatabase[Competency12],ListEmployeeNamesInDatabase,$L$4,TblDatabase[Year],C212)</f>
        <v>0</v>
      </c>
      <c r="AB231" s="149"/>
      <c r="AC231" s="149"/>
      <c r="AD231" s="149"/>
      <c r="AE231" s="149"/>
      <c r="AF231" s="149"/>
    </row>
    <row r="232" spans="2:32" s="148" customFormat="1" ht="15" hidden="1" customHeight="1">
      <c r="B232" s="350" t="str">
        <f t="shared" si="4"/>
        <v/>
      </c>
      <c r="C232" s="351"/>
      <c r="D232" s="351"/>
      <c r="E232" s="352"/>
      <c r="F232" s="157" t="str">
        <f>IF(Settings!$M$4=Settings!$Y$3,IF($AA232=1,"P",""),IF($AA232=1,"P",""))</f>
        <v/>
      </c>
      <c r="G232" s="158" t="str">
        <f>IF(Settings!$M$4=Settings!$Y$3,IF($AA232=1,"P",""),IF($AA232=2,"P",""))</f>
        <v/>
      </c>
      <c r="H232" s="158" t="str">
        <f>IF(Settings!$M$4=Settings!$Y$3,IF($AA232=1,"P",""),IF($AA232=3,"P",""))</f>
        <v/>
      </c>
      <c r="I232" s="158" t="str">
        <f>IF(Settings!$M$4=Settings!$Y$3,IF($AA232=1,"P",""),IF($AA232=4,"P",""))</f>
        <v/>
      </c>
      <c r="J232" s="158" t="str">
        <f>IF(Settings!$M$4=Settings!$Y$3,IF($AA232=2,"P",""),IF($AA232=5,"P",""))</f>
        <v/>
      </c>
      <c r="K232" s="158" t="str">
        <f>IF(Settings!$M$4=Settings!$Y$3,IF($AA232=2,"P",""),IF($AA232=6,"P",""))</f>
        <v/>
      </c>
      <c r="L232" s="158" t="str">
        <f>IF(Settings!$M$4=Settings!$Y$3,IF($AA232=2,"P",""),IF($AA232=7,"P",""))</f>
        <v/>
      </c>
      <c r="M232" s="158" t="str">
        <f>IF(Settings!$M$4=Settings!$Y$3,IF($AA232=2,"P",""),IF($AA232=8,"P",""))</f>
        <v/>
      </c>
      <c r="N232" s="158" t="str">
        <f>IF(Settings!$M$4=Settings!$Y$3,IF($AA232=3,"P",""),IF($AA232=9,"P",""))</f>
        <v/>
      </c>
      <c r="O232" s="159" t="str">
        <f>IF(Settings!$M$4=Settings!$Y$3,IF($AA232=3,"P",""),IF($AA232=10,"P",""))</f>
        <v/>
      </c>
      <c r="P232" s="22"/>
      <c r="Q232" s="22"/>
      <c r="R232" s="353" t="e">
        <f>IF(INDEX(TblDatabase[Comment13],MATCH(1,INDEX(($L$4=ListEmployeeNamesInDatabase)*(C212=TblDatabase[Year]),0,1),0))="","",INDEX(TblDatabase[Comment13],MATCH(1,INDEX(($L$4=ListEmployeeNamesInDatabase)*(C212=TblDatabase[Year]),0,1),0)))</f>
        <v>#N/A</v>
      </c>
      <c r="S232" s="353"/>
      <c r="T232" s="353"/>
      <c r="U232" s="353"/>
      <c r="V232" s="353"/>
      <c r="W232" s="353"/>
      <c r="X232" s="353"/>
      <c r="Y232" s="354"/>
      <c r="Z232" s="149"/>
      <c r="AA232" s="151">
        <f>SUMIFS(TblDatabase[Competency13],ListEmployeeNamesInDatabase,$L$4,TblDatabase[Year],C212)</f>
        <v>0</v>
      </c>
      <c r="AB232" s="149"/>
      <c r="AC232" s="149"/>
      <c r="AD232" s="149"/>
      <c r="AE232" s="149"/>
      <c r="AF232" s="149"/>
    </row>
    <row r="233" spans="2:32" s="148" customFormat="1" ht="15" hidden="1" customHeight="1">
      <c r="B233" s="355" t="str">
        <f t="shared" si="4"/>
        <v/>
      </c>
      <c r="C233" s="356"/>
      <c r="D233" s="356"/>
      <c r="E233" s="357"/>
      <c r="F233" s="163" t="str">
        <f>IF(Settings!$M$4=Settings!$Y$3,IF($AA233=1,"P",""),IF($AA233=1,"P",""))</f>
        <v/>
      </c>
      <c r="G233" s="164" t="str">
        <f>IF(Settings!$M$4=Settings!$Y$3,IF($AA233=1,"P",""),IF($AA233=2,"P",""))</f>
        <v/>
      </c>
      <c r="H233" s="164" t="str">
        <f>IF(Settings!$M$4=Settings!$Y$3,IF($AA233=1,"P",""),IF($AA233=3,"P",""))</f>
        <v/>
      </c>
      <c r="I233" s="164" t="str">
        <f>IF(Settings!$M$4=Settings!$Y$3,IF($AA233=1,"P",""),IF($AA233=4,"P",""))</f>
        <v/>
      </c>
      <c r="J233" s="164" t="str">
        <f>IF(Settings!$M$4=Settings!$Y$3,IF($AA233=2,"P",""),IF($AA233=5,"P",""))</f>
        <v/>
      </c>
      <c r="K233" s="164" t="str">
        <f>IF(Settings!$M$4=Settings!$Y$3,IF($AA233=2,"P",""),IF($AA233=6,"P",""))</f>
        <v/>
      </c>
      <c r="L233" s="164" t="str">
        <f>IF(Settings!$M$4=Settings!$Y$3,IF($AA233=2,"P",""),IF($AA233=7,"P",""))</f>
        <v/>
      </c>
      <c r="M233" s="164" t="str">
        <f>IF(Settings!$M$4=Settings!$Y$3,IF($AA233=2,"P",""),IF($AA233=8,"P",""))</f>
        <v/>
      </c>
      <c r="N233" s="164" t="str">
        <f>IF(Settings!$M$4=Settings!$Y$3,IF($AA233=3,"P",""),IF($AA233=9,"P",""))</f>
        <v/>
      </c>
      <c r="O233" s="165" t="str">
        <f>IF(Settings!$M$4=Settings!$Y$3,IF($AA233=3,"P",""),IF($AA233=10,"P",""))</f>
        <v/>
      </c>
      <c r="P233" s="22"/>
      <c r="Q233" s="22"/>
      <c r="R233" s="360" t="e">
        <f>IF(INDEX(TblDatabase[Comment14],MATCH(1,INDEX(($L$4=ListEmployeeNamesInDatabase)*(C212=TblDatabase[Year]),0,1),0))="","",INDEX(TblDatabase[Comment14],MATCH(1,INDEX(($L$4=ListEmployeeNamesInDatabase)*(C212=TblDatabase[Year]),0,1),0)))</f>
        <v>#N/A</v>
      </c>
      <c r="S233" s="360"/>
      <c r="T233" s="360"/>
      <c r="U233" s="360"/>
      <c r="V233" s="360"/>
      <c r="W233" s="360"/>
      <c r="X233" s="360"/>
      <c r="Y233" s="361"/>
      <c r="Z233" s="149"/>
      <c r="AA233" s="151">
        <f>SUMIFS(TblDatabase[Competency14],ListEmployeeNamesInDatabase,$L$4,TblDatabase[Year],C212)</f>
        <v>0</v>
      </c>
      <c r="AB233" s="149"/>
      <c r="AC233" s="149"/>
      <c r="AD233" s="149"/>
      <c r="AE233" s="149"/>
      <c r="AF233" s="149"/>
    </row>
    <row r="234" spans="2:32" s="148" customFormat="1" ht="15" hidden="1" customHeight="1">
      <c r="B234" s="350" t="str">
        <f t="shared" si="4"/>
        <v/>
      </c>
      <c r="C234" s="351"/>
      <c r="D234" s="351"/>
      <c r="E234" s="352"/>
      <c r="F234" s="157" t="str">
        <f>IF(Settings!$M$4=Settings!$Y$3,IF($AA234=1,"P",""),IF($AA234=1,"P",""))</f>
        <v/>
      </c>
      <c r="G234" s="158" t="str">
        <f>IF(Settings!$M$4=Settings!$Y$3,IF($AA234=1,"P",""),IF($AA234=2,"P",""))</f>
        <v/>
      </c>
      <c r="H234" s="158" t="str">
        <f>IF(Settings!$M$4=Settings!$Y$3,IF($AA234=1,"P",""),IF($AA234=3,"P",""))</f>
        <v/>
      </c>
      <c r="I234" s="158" t="str">
        <f>IF(Settings!$M$4=Settings!$Y$3,IF($AA234=1,"P",""),IF($AA234=4,"P",""))</f>
        <v/>
      </c>
      <c r="J234" s="158" t="str">
        <f>IF(Settings!$M$4=Settings!$Y$3,IF($AA234=2,"P",""),IF($AA234=5,"P",""))</f>
        <v/>
      </c>
      <c r="K234" s="158" t="str">
        <f>IF(Settings!$M$4=Settings!$Y$3,IF($AA234=2,"P",""),IF($AA234=6,"P",""))</f>
        <v/>
      </c>
      <c r="L234" s="158" t="str">
        <f>IF(Settings!$M$4=Settings!$Y$3,IF($AA234=2,"P",""),IF($AA234=7,"P",""))</f>
        <v/>
      </c>
      <c r="M234" s="158" t="str">
        <f>IF(Settings!$M$4=Settings!$Y$3,IF($AA234=2,"P",""),IF($AA234=8,"P",""))</f>
        <v/>
      </c>
      <c r="N234" s="158" t="str">
        <f>IF(Settings!$M$4=Settings!$Y$3,IF($AA234=3,"P",""),IF($AA234=9,"P",""))</f>
        <v/>
      </c>
      <c r="O234" s="159" t="str">
        <f>IF(Settings!$M$4=Settings!$Y$3,IF($AA234=3,"P",""),IF($AA234=10,"P",""))</f>
        <v/>
      </c>
      <c r="P234" s="22"/>
      <c r="Q234" s="22"/>
      <c r="R234" s="353" t="e">
        <f>IF(INDEX(TblDatabase[Comment15],MATCH(1,INDEX(($L$4=ListEmployeeNamesInDatabase)*(C212=TblDatabase[Year]),0,1),0))="","",INDEX(TblDatabase[Comment15],MATCH(1,INDEX(($L$4=ListEmployeeNamesInDatabase)*(C212=TblDatabase[Year]),0,1),0)))</f>
        <v>#N/A</v>
      </c>
      <c r="S234" s="353"/>
      <c r="T234" s="353"/>
      <c r="U234" s="353"/>
      <c r="V234" s="353"/>
      <c r="W234" s="353"/>
      <c r="X234" s="353"/>
      <c r="Y234" s="354"/>
      <c r="Z234" s="149"/>
      <c r="AA234" s="151">
        <f>SUMIFS(TblDatabase[Competency15],ListEmployeeNamesInDatabase,$L$4,TblDatabase[Year],C212)</f>
        <v>0</v>
      </c>
      <c r="AB234" s="149"/>
      <c r="AC234" s="149"/>
      <c r="AD234" s="149"/>
      <c r="AE234" s="149"/>
      <c r="AF234" s="149"/>
    </row>
    <row r="235" spans="2:32" s="148" customFormat="1" ht="15" hidden="1" customHeight="1">
      <c r="B235" s="355" t="str">
        <f t="shared" si="4"/>
        <v/>
      </c>
      <c r="C235" s="356"/>
      <c r="D235" s="356"/>
      <c r="E235" s="357"/>
      <c r="F235" s="163" t="str">
        <f>IF(Settings!$M$4=Settings!$Y$3,IF($AA235=1,"P",""),IF($AA235=1,"P",""))</f>
        <v/>
      </c>
      <c r="G235" s="164" t="str">
        <f>IF(Settings!$M$4=Settings!$Y$3,IF($AA235=1,"P",""),IF($AA235=2,"P",""))</f>
        <v/>
      </c>
      <c r="H235" s="164" t="str">
        <f>IF(Settings!$M$4=Settings!$Y$3,IF($AA235=1,"P",""),IF($AA235=3,"P",""))</f>
        <v/>
      </c>
      <c r="I235" s="164" t="str">
        <f>IF(Settings!$M$4=Settings!$Y$3,IF($AA235=1,"P",""),IF($AA235=4,"P",""))</f>
        <v/>
      </c>
      <c r="J235" s="164" t="str">
        <f>IF(Settings!$M$4=Settings!$Y$3,IF($AA235=2,"P",""),IF($AA235=5,"P",""))</f>
        <v/>
      </c>
      <c r="K235" s="164" t="str">
        <f>IF(Settings!$M$4=Settings!$Y$3,IF($AA235=2,"P",""),IF($AA235=6,"P",""))</f>
        <v/>
      </c>
      <c r="L235" s="164" t="str">
        <f>IF(Settings!$M$4=Settings!$Y$3,IF($AA235=2,"P",""),IF($AA235=7,"P",""))</f>
        <v/>
      </c>
      <c r="M235" s="164" t="str">
        <f>IF(Settings!$M$4=Settings!$Y$3,IF($AA235=2,"P",""),IF($AA235=8,"P",""))</f>
        <v/>
      </c>
      <c r="N235" s="164" t="str">
        <f>IF(Settings!$M$4=Settings!$Y$3,IF($AA235=3,"P",""),IF($AA235=9,"P",""))</f>
        <v/>
      </c>
      <c r="O235" s="165" t="str">
        <f>IF(Settings!$M$4=Settings!$Y$3,IF($AA235=3,"P",""),IF($AA235=10,"P",""))</f>
        <v/>
      </c>
      <c r="P235" s="22"/>
      <c r="Q235" s="22"/>
      <c r="R235" s="360" t="e">
        <f>IF(INDEX(TblDatabase[Comment16],MATCH(1,INDEX(($L$4=ListEmployeeNamesInDatabase)*(C212=TblDatabase[Year]),0,1),0))="","",INDEX(TblDatabase[Comment16],MATCH(1,INDEX(($L$4=ListEmployeeNamesInDatabase)*(C212=TblDatabase[Year]),0,1),0)))</f>
        <v>#N/A</v>
      </c>
      <c r="S235" s="360"/>
      <c r="T235" s="360"/>
      <c r="U235" s="360"/>
      <c r="V235" s="360"/>
      <c r="W235" s="360"/>
      <c r="X235" s="360"/>
      <c r="Y235" s="361"/>
      <c r="Z235" s="149"/>
      <c r="AA235" s="151">
        <f>SUMIFS(TblDatabase[Competency16],ListEmployeeNamesInDatabase,$L$4,TblDatabase[Year],C212)</f>
        <v>0</v>
      </c>
      <c r="AB235" s="149"/>
      <c r="AC235" s="149"/>
      <c r="AD235" s="149"/>
      <c r="AE235" s="149"/>
      <c r="AF235" s="149"/>
    </row>
    <row r="236" spans="2:32" s="148" customFormat="1" ht="15" hidden="1" customHeight="1">
      <c r="B236" s="350" t="str">
        <f t="shared" si="4"/>
        <v/>
      </c>
      <c r="C236" s="351"/>
      <c r="D236" s="351"/>
      <c r="E236" s="352"/>
      <c r="F236" s="157" t="str">
        <f>IF(Settings!$M$4=Settings!$Y$3,IF($AA236=1,"P",""),IF($AA236=1,"P",""))</f>
        <v/>
      </c>
      <c r="G236" s="158" t="str">
        <f>IF(Settings!$M$4=Settings!$Y$3,IF($AA236=1,"P",""),IF($AA236=2,"P",""))</f>
        <v/>
      </c>
      <c r="H236" s="158" t="str">
        <f>IF(Settings!$M$4=Settings!$Y$3,IF($AA236=1,"P",""),IF($AA236=3,"P",""))</f>
        <v/>
      </c>
      <c r="I236" s="158" t="str">
        <f>IF(Settings!$M$4=Settings!$Y$3,IF($AA236=1,"P",""),IF($AA236=4,"P",""))</f>
        <v/>
      </c>
      <c r="J236" s="158" t="str">
        <f>IF(Settings!$M$4=Settings!$Y$3,IF($AA236=2,"P",""),IF($AA236=5,"P",""))</f>
        <v/>
      </c>
      <c r="K236" s="158" t="str">
        <f>IF(Settings!$M$4=Settings!$Y$3,IF($AA236=2,"P",""),IF($AA236=6,"P",""))</f>
        <v/>
      </c>
      <c r="L236" s="158" t="str">
        <f>IF(Settings!$M$4=Settings!$Y$3,IF($AA236=2,"P",""),IF($AA236=7,"P",""))</f>
        <v/>
      </c>
      <c r="M236" s="158" t="str">
        <f>IF(Settings!$M$4=Settings!$Y$3,IF($AA236=2,"P",""),IF($AA236=8,"P",""))</f>
        <v/>
      </c>
      <c r="N236" s="158" t="str">
        <f>IF(Settings!$M$4=Settings!$Y$3,IF($AA236=3,"P",""),IF($AA236=9,"P",""))</f>
        <v/>
      </c>
      <c r="O236" s="159" t="str">
        <f>IF(Settings!$M$4=Settings!$Y$3,IF($AA236=3,"P",""),IF($AA236=10,"P",""))</f>
        <v/>
      </c>
      <c r="P236" s="22"/>
      <c r="Q236" s="22"/>
      <c r="R236" s="353" t="e">
        <f>IF(INDEX(TblDatabase[Comment17],MATCH(1,INDEX(($L$4=ListEmployeeNamesInDatabase)*(C212=TblDatabase[Year]),0,1),0))="","",INDEX(TblDatabase[Comment17],MATCH(1,INDEX(($L$4=ListEmployeeNamesInDatabase)*(C212=TblDatabase[Year]),0,1),0)))</f>
        <v>#N/A</v>
      </c>
      <c r="S236" s="353"/>
      <c r="T236" s="353"/>
      <c r="U236" s="353"/>
      <c r="V236" s="353"/>
      <c r="W236" s="353"/>
      <c r="X236" s="353"/>
      <c r="Y236" s="354"/>
      <c r="Z236" s="149"/>
      <c r="AA236" s="151">
        <f>SUMIFS(TblDatabase[Competency17],ListEmployeeNamesInDatabase,$L$4,TblDatabase[Year],C212)</f>
        <v>0</v>
      </c>
      <c r="AB236" s="149"/>
      <c r="AC236" s="149"/>
      <c r="AD236" s="149"/>
      <c r="AE236" s="149"/>
      <c r="AF236" s="149"/>
    </row>
    <row r="237" spans="2:32" s="148" customFormat="1" ht="15" hidden="1" customHeight="1">
      <c r="B237" s="355" t="str">
        <f t="shared" si="4"/>
        <v/>
      </c>
      <c r="C237" s="356"/>
      <c r="D237" s="356"/>
      <c r="E237" s="357"/>
      <c r="F237" s="163" t="str">
        <f>IF(Settings!$M$4=Settings!$Y$3,IF($AA237=1,"P",""),IF($AA237=1,"P",""))</f>
        <v/>
      </c>
      <c r="G237" s="164" t="str">
        <f>IF(Settings!$M$4=Settings!$Y$3,IF($AA237=1,"P",""),IF($AA237=2,"P",""))</f>
        <v/>
      </c>
      <c r="H237" s="164" t="str">
        <f>IF(Settings!$M$4=Settings!$Y$3,IF($AA237=1,"P",""),IF($AA237=3,"P",""))</f>
        <v/>
      </c>
      <c r="I237" s="164" t="str">
        <f>IF(Settings!$M$4=Settings!$Y$3,IF($AA237=1,"P",""),IF($AA237=4,"P",""))</f>
        <v/>
      </c>
      <c r="J237" s="164" t="str">
        <f>IF(Settings!$M$4=Settings!$Y$3,IF($AA237=2,"P",""),IF($AA237=5,"P",""))</f>
        <v/>
      </c>
      <c r="K237" s="164" t="str">
        <f>IF(Settings!$M$4=Settings!$Y$3,IF($AA237=2,"P",""),IF($AA237=6,"P",""))</f>
        <v/>
      </c>
      <c r="L237" s="164" t="str">
        <f>IF(Settings!$M$4=Settings!$Y$3,IF($AA237=2,"P",""),IF($AA237=7,"P",""))</f>
        <v/>
      </c>
      <c r="M237" s="164" t="str">
        <f>IF(Settings!$M$4=Settings!$Y$3,IF($AA237=2,"P",""),IF($AA237=8,"P",""))</f>
        <v/>
      </c>
      <c r="N237" s="164" t="str">
        <f>IF(Settings!$M$4=Settings!$Y$3,IF($AA237=3,"P",""),IF($AA237=9,"P",""))</f>
        <v/>
      </c>
      <c r="O237" s="165" t="str">
        <f>IF(Settings!$M$4=Settings!$Y$3,IF($AA237=3,"P",""),IF($AA237=10,"P",""))</f>
        <v/>
      </c>
      <c r="P237" s="22"/>
      <c r="Q237" s="22"/>
      <c r="R237" s="360" t="e">
        <f>IF(INDEX(TblDatabase[Comment18],MATCH(1,INDEX(($L$4=ListEmployeeNamesInDatabase)*(C212=TblDatabase[Year]),0,1),0))="","",INDEX(TblDatabase[Comment18],MATCH(1,INDEX(($L$4=ListEmployeeNamesInDatabase)*(C212=TblDatabase[Year]),0,1),0)))</f>
        <v>#N/A</v>
      </c>
      <c r="S237" s="360"/>
      <c r="T237" s="360"/>
      <c r="U237" s="360"/>
      <c r="V237" s="360"/>
      <c r="W237" s="360"/>
      <c r="X237" s="360"/>
      <c r="Y237" s="361"/>
      <c r="Z237" s="149"/>
      <c r="AA237" s="151">
        <f>SUMIFS(TblDatabase[Competency18],ListEmployeeNamesInDatabase,$L$4,TblDatabase[Year],C212)</f>
        <v>0</v>
      </c>
      <c r="AB237" s="149"/>
      <c r="AC237" s="149"/>
      <c r="AD237" s="149"/>
      <c r="AE237" s="149"/>
      <c r="AF237" s="149"/>
    </row>
    <row r="238" spans="2:32" s="148" customFormat="1" ht="15" hidden="1" customHeight="1">
      <c r="B238" s="350" t="str">
        <f t="shared" si="4"/>
        <v/>
      </c>
      <c r="C238" s="351"/>
      <c r="D238" s="351"/>
      <c r="E238" s="352"/>
      <c r="F238" s="157" t="str">
        <f>IF(Settings!$M$4=Settings!$Y$3,IF($AA238=1,"P",""),IF($AA238=1,"P",""))</f>
        <v/>
      </c>
      <c r="G238" s="158" t="str">
        <f>IF(Settings!$M$4=Settings!$Y$3,IF($AA238=1,"P",""),IF($AA238=2,"P",""))</f>
        <v/>
      </c>
      <c r="H238" s="158" t="str">
        <f>IF(Settings!$M$4=Settings!$Y$3,IF($AA238=1,"P",""),IF($AA238=3,"P",""))</f>
        <v/>
      </c>
      <c r="I238" s="158" t="str">
        <f>IF(Settings!$M$4=Settings!$Y$3,IF($AA238=1,"P",""),IF($AA238=4,"P",""))</f>
        <v/>
      </c>
      <c r="J238" s="158" t="str">
        <f>IF(Settings!$M$4=Settings!$Y$3,IF($AA238=2,"P",""),IF($AA238=5,"P",""))</f>
        <v/>
      </c>
      <c r="K238" s="158" t="str">
        <f>IF(Settings!$M$4=Settings!$Y$3,IF($AA238=2,"P",""),IF($AA238=6,"P",""))</f>
        <v/>
      </c>
      <c r="L238" s="158" t="str">
        <f>IF(Settings!$M$4=Settings!$Y$3,IF($AA238=2,"P",""),IF($AA238=7,"P",""))</f>
        <v/>
      </c>
      <c r="M238" s="158" t="str">
        <f>IF(Settings!$M$4=Settings!$Y$3,IF($AA238=2,"P",""),IF($AA238=8,"P",""))</f>
        <v/>
      </c>
      <c r="N238" s="158" t="str">
        <f>IF(Settings!$M$4=Settings!$Y$3,IF($AA238=3,"P",""),IF($AA238=9,"P",""))</f>
        <v/>
      </c>
      <c r="O238" s="159" t="str">
        <f>IF(Settings!$M$4=Settings!$Y$3,IF($AA238=3,"P",""),IF($AA238=10,"P",""))</f>
        <v/>
      </c>
      <c r="P238" s="22"/>
      <c r="Q238" s="22"/>
      <c r="R238" s="353" t="e">
        <f>IF(INDEX(TblDatabase[Comment19],MATCH(1,INDEX(($L$4=ListEmployeeNamesInDatabase)*(C212=TblDatabase[Year]),0,1),0))="","",INDEX(TblDatabase[Comment19],MATCH(1,INDEX(($L$4=ListEmployeeNamesInDatabase)*(C212=TblDatabase[Year]),0,1),0)))</f>
        <v>#N/A</v>
      </c>
      <c r="S238" s="353"/>
      <c r="T238" s="353"/>
      <c r="U238" s="353"/>
      <c r="V238" s="353"/>
      <c r="W238" s="353"/>
      <c r="X238" s="353"/>
      <c r="Y238" s="354"/>
      <c r="Z238" s="149"/>
      <c r="AA238" s="151">
        <f>SUMIFS(TblDatabase[Competency19],ListEmployeeNamesInDatabase,$L$4,TblDatabase[Year],C212)</f>
        <v>0</v>
      </c>
      <c r="AB238" s="149"/>
      <c r="AC238" s="149"/>
      <c r="AD238" s="149"/>
      <c r="AE238" s="149"/>
      <c r="AF238" s="149"/>
    </row>
    <row r="239" spans="2:32" s="148" customFormat="1" ht="15" hidden="1" customHeight="1">
      <c r="B239" s="362" t="str">
        <f t="shared" si="4"/>
        <v/>
      </c>
      <c r="C239" s="363"/>
      <c r="D239" s="363"/>
      <c r="E239" s="364"/>
      <c r="F239" s="166" t="str">
        <f>IF(Settings!$M$4=Settings!$Y$3,IF($AA239=1,"P",""),IF($AA239=1,"P",""))</f>
        <v/>
      </c>
      <c r="G239" s="167" t="str">
        <f>IF(Settings!$M$4=Settings!$Y$3,IF($AA239=1,"P",""),IF($AA239=2,"P",""))</f>
        <v/>
      </c>
      <c r="H239" s="167" t="str">
        <f>IF(Settings!$M$4=Settings!$Y$3,IF($AA239=1,"P",""),IF($AA239=3,"P",""))</f>
        <v/>
      </c>
      <c r="I239" s="167" t="str">
        <f>IF(Settings!$M$4=Settings!$Y$3,IF($AA239=1,"P",""),IF($AA239=4,"P",""))</f>
        <v/>
      </c>
      <c r="J239" s="167" t="str">
        <f>IF(Settings!$M$4=Settings!$Y$3,IF($AA239=2,"P",""),IF($AA239=5,"P",""))</f>
        <v/>
      </c>
      <c r="K239" s="167" t="str">
        <f>IF(Settings!$M$4=Settings!$Y$3,IF($AA239=2,"P",""),IF($AA239=6,"P",""))</f>
        <v/>
      </c>
      <c r="L239" s="167" t="str">
        <f>IF(Settings!$M$4=Settings!$Y$3,IF($AA239=2,"P",""),IF($AA239=7,"P",""))</f>
        <v/>
      </c>
      <c r="M239" s="167" t="str">
        <f>IF(Settings!$M$4=Settings!$Y$3,IF($AA239=2,"P",""),IF($AA239=8,"P",""))</f>
        <v/>
      </c>
      <c r="N239" s="167" t="str">
        <f>IF(Settings!$M$4=Settings!$Y$3,IF($AA239=3,"P",""),IF($AA239=9,"P",""))</f>
        <v/>
      </c>
      <c r="O239" s="168" t="str">
        <f>IF(Settings!$M$4=Settings!$Y$3,IF($AA239=3,"P",""),IF($AA239=10,"P",""))</f>
        <v/>
      </c>
      <c r="P239" s="22"/>
      <c r="Q239" s="22"/>
      <c r="R239" s="365" t="e">
        <f>IF(INDEX(TblDatabase[Comment20],MATCH(1,INDEX(($L$4=ListEmployeeNamesInDatabase)*(C212=TblDatabase[Year]),0,1),0))="","",INDEX(TblDatabase[Comment20],MATCH(1,INDEX(($L$4=ListEmployeeNamesInDatabase)*(C212=TblDatabase[Year]),0,1),0)))</f>
        <v>#N/A</v>
      </c>
      <c r="S239" s="365"/>
      <c r="T239" s="365"/>
      <c r="U239" s="365"/>
      <c r="V239" s="365"/>
      <c r="W239" s="365"/>
      <c r="X239" s="365"/>
      <c r="Y239" s="366"/>
      <c r="Z239" s="149"/>
      <c r="AA239" s="151">
        <f>SUMIFS(TblDatabase[Competency20],ListEmployeeNamesInDatabase,$L$4,TblDatabase[Year],C212)</f>
        <v>0</v>
      </c>
      <c r="AB239" s="149"/>
      <c r="AC239" s="149"/>
      <c r="AD239" s="149"/>
      <c r="AE239" s="149"/>
      <c r="AF239" s="149"/>
    </row>
    <row r="240" spans="2:32" s="148" customFormat="1" hidden="1">
      <c r="B240" s="414" t="s">
        <v>26</v>
      </c>
      <c r="C240" s="415"/>
      <c r="D240" s="415"/>
      <c r="E240" s="371">
        <f ca="1">SUM(OFFSET(AA220,0,0,NumberOfCompetencies))</f>
        <v>0</v>
      </c>
      <c r="F240" s="372"/>
      <c r="G240" s="152"/>
      <c r="H240" s="152"/>
      <c r="I240" s="152"/>
      <c r="J240" s="152"/>
      <c r="K240" s="152"/>
      <c r="L240" s="152"/>
      <c r="M240" s="152"/>
      <c r="N240" s="152"/>
      <c r="O240" s="152"/>
      <c r="P240" s="152"/>
      <c r="Q240" s="152"/>
      <c r="R240" s="152"/>
      <c r="S240" s="152"/>
      <c r="T240" s="152"/>
      <c r="U240" s="152"/>
      <c r="V240" s="152"/>
      <c r="W240" s="152"/>
      <c r="X240" s="152"/>
      <c r="Y240" s="152"/>
      <c r="Z240" s="149"/>
      <c r="AA240" s="149"/>
      <c r="AB240" s="149"/>
      <c r="AC240" s="149"/>
      <c r="AD240" s="149"/>
      <c r="AE240" s="149"/>
      <c r="AF240" s="149"/>
    </row>
    <row r="241" spans="1:32" s="148" customFormat="1" hidden="1">
      <c r="B241" s="369" t="s">
        <v>27</v>
      </c>
      <c r="C241" s="370"/>
      <c r="D241" s="370"/>
      <c r="E241" s="358">
        <f ca="1">E240/NumberOfCompetencies</f>
        <v>0</v>
      </c>
      <c r="F241" s="359"/>
      <c r="G241" s="153"/>
      <c r="H241" s="153"/>
      <c r="I241" s="153"/>
      <c r="J241" s="153"/>
      <c r="K241" s="153"/>
      <c r="L241" s="153"/>
      <c r="M241" s="153"/>
      <c r="N241" s="153"/>
      <c r="O241" s="153"/>
      <c r="P241" s="153"/>
      <c r="Q241" s="153"/>
      <c r="R241" s="153"/>
      <c r="S241" s="153"/>
      <c r="T241" s="153"/>
      <c r="U241" s="153"/>
      <c r="V241" s="153"/>
      <c r="W241" s="153"/>
      <c r="X241" s="153"/>
      <c r="Y241" s="153"/>
      <c r="Z241" s="149"/>
      <c r="AA241" s="149"/>
      <c r="AB241" s="149"/>
      <c r="AC241" s="149"/>
      <c r="AD241" s="149"/>
      <c r="AE241" s="149"/>
      <c r="AF241" s="149"/>
    </row>
    <row r="242" spans="1:32" s="148" customFormat="1" hidden="1">
      <c r="B242" s="154"/>
      <c r="C242" s="154"/>
      <c r="D242" s="154"/>
      <c r="E242" s="154"/>
      <c r="F242" s="154"/>
      <c r="G242" s="154"/>
      <c r="H242" s="154"/>
      <c r="I242" s="154"/>
      <c r="J242" s="154"/>
      <c r="K242" s="154"/>
      <c r="L242" s="154"/>
      <c r="M242" s="154"/>
      <c r="N242" s="154"/>
      <c r="O242" s="154"/>
      <c r="P242" s="154"/>
      <c r="Q242" s="154"/>
      <c r="R242" s="154"/>
      <c r="S242" s="154"/>
      <c r="T242" s="154"/>
      <c r="U242" s="154"/>
      <c r="V242" s="154"/>
      <c r="W242" s="154"/>
      <c r="X242" s="154"/>
      <c r="Y242" s="154"/>
      <c r="Z242" s="149"/>
      <c r="AA242" s="149"/>
      <c r="AB242" s="149"/>
      <c r="AC242" s="149"/>
      <c r="AD242" s="149"/>
      <c r="AE242" s="149"/>
      <c r="AF242" s="149"/>
    </row>
    <row r="243" spans="1:32" s="148" customFormat="1" hidden="1">
      <c r="B243" s="338" t="str">
        <f>Settings!$N$15</f>
        <v>Previously agreed actions</v>
      </c>
      <c r="C243" s="339"/>
      <c r="D243" s="339"/>
      <c r="E243" s="339"/>
      <c r="F243" s="339"/>
      <c r="G243" s="339"/>
      <c r="H243" s="339"/>
      <c r="I243" s="339"/>
      <c r="J243" s="339"/>
      <c r="K243" s="339"/>
      <c r="L243" s="339"/>
      <c r="M243" s="339"/>
      <c r="N243" s="339"/>
      <c r="O243" s="339"/>
      <c r="P243" s="339"/>
      <c r="Q243" s="339"/>
      <c r="R243" s="339"/>
      <c r="S243" s="339"/>
      <c r="T243" s="339"/>
      <c r="U243" s="339"/>
      <c r="V243" s="339"/>
      <c r="W243" s="339"/>
      <c r="X243" s="339"/>
      <c r="Y243" s="340"/>
      <c r="Z243" s="149"/>
      <c r="AA243" s="149"/>
      <c r="AB243" s="149"/>
      <c r="AC243" s="149"/>
      <c r="AD243" s="149"/>
      <c r="AE243" s="149"/>
      <c r="AF243" s="149"/>
    </row>
    <row r="244" spans="1:32" s="148" customFormat="1" hidden="1">
      <c r="B244" s="341" t="e">
        <f>IF(INDEX(TblDatabase[Feedback Does Well],MATCH(1,INDEX(($L$4=ListEmployeeNamesInDatabase)*(C212=TblDatabase[Year]),0,1),0))="","",INDEX(TblDatabase[Feedback Does Well],MATCH(1,INDEX(($L$4=ListEmployeeNamesInDatabase)*(C212=TblDatabase[Year]),0,1),0)))</f>
        <v>#N/A</v>
      </c>
      <c r="C244" s="342"/>
      <c r="D244" s="342"/>
      <c r="E244" s="342"/>
      <c r="F244" s="342"/>
      <c r="G244" s="342"/>
      <c r="H244" s="342"/>
      <c r="I244" s="342"/>
      <c r="J244" s="342"/>
      <c r="K244" s="342"/>
      <c r="L244" s="342"/>
      <c r="M244" s="342"/>
      <c r="N244" s="342"/>
      <c r="O244" s="342"/>
      <c r="P244" s="342"/>
      <c r="Q244" s="342"/>
      <c r="R244" s="342"/>
      <c r="S244" s="342"/>
      <c r="T244" s="342"/>
      <c r="U244" s="342"/>
      <c r="V244" s="342"/>
      <c r="W244" s="342"/>
      <c r="X244" s="342"/>
      <c r="Y244" s="343"/>
      <c r="Z244" s="149"/>
      <c r="AA244" s="149"/>
      <c r="AB244" s="149"/>
      <c r="AC244" s="149"/>
      <c r="AD244" s="149"/>
      <c r="AE244" s="149"/>
      <c r="AF244" s="149"/>
    </row>
    <row r="245" spans="1:32" s="148" customFormat="1" hidden="1">
      <c r="B245" s="344"/>
      <c r="C245" s="345"/>
      <c r="D245" s="345"/>
      <c r="E245" s="345"/>
      <c r="F245" s="345"/>
      <c r="G245" s="345"/>
      <c r="H245" s="345"/>
      <c r="I245" s="345"/>
      <c r="J245" s="345"/>
      <c r="K245" s="345"/>
      <c r="L245" s="345"/>
      <c r="M245" s="345"/>
      <c r="N245" s="345"/>
      <c r="O245" s="345"/>
      <c r="P245" s="345"/>
      <c r="Q245" s="345"/>
      <c r="R245" s="345"/>
      <c r="S245" s="345"/>
      <c r="T245" s="345"/>
      <c r="U245" s="345"/>
      <c r="V245" s="345"/>
      <c r="W245" s="345"/>
      <c r="X245" s="345"/>
      <c r="Y245" s="346"/>
      <c r="Z245" s="149"/>
      <c r="AA245" s="149"/>
      <c r="AB245" s="149"/>
      <c r="AC245" s="149"/>
      <c r="AD245" s="149"/>
      <c r="AE245" s="149"/>
      <c r="AF245" s="149"/>
    </row>
    <row r="246" spans="1:32" s="148" customFormat="1" hidden="1">
      <c r="B246" s="347"/>
      <c r="C246" s="348"/>
      <c r="D246" s="348"/>
      <c r="E246" s="348"/>
      <c r="F246" s="348"/>
      <c r="G246" s="348"/>
      <c r="H246" s="348"/>
      <c r="I246" s="348"/>
      <c r="J246" s="348"/>
      <c r="K246" s="348"/>
      <c r="L246" s="348"/>
      <c r="M246" s="348"/>
      <c r="N246" s="348"/>
      <c r="O246" s="348"/>
      <c r="P246" s="348"/>
      <c r="Q246" s="348"/>
      <c r="R246" s="348"/>
      <c r="S246" s="348"/>
      <c r="T246" s="348"/>
      <c r="U246" s="348"/>
      <c r="V246" s="348"/>
      <c r="W246" s="348"/>
      <c r="X246" s="348"/>
      <c r="Y246" s="349"/>
      <c r="Z246" s="149"/>
      <c r="AA246" s="149"/>
      <c r="AB246" s="149"/>
      <c r="AC246" s="149"/>
      <c r="AD246" s="149"/>
      <c r="AE246" s="149"/>
      <c r="AF246" s="149"/>
    </row>
    <row r="247" spans="1:32" s="148" customFormat="1" hidden="1">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49"/>
      <c r="AA247" s="149"/>
      <c r="AB247" s="149"/>
      <c r="AC247" s="149"/>
      <c r="AD247" s="149"/>
      <c r="AE247" s="149"/>
      <c r="AF247" s="149"/>
    </row>
    <row r="248" spans="1:32" s="148" customFormat="1" hidden="1">
      <c r="B248" s="338" t="str">
        <f>Settings!$N$16</f>
        <v>Actions agreed during this review</v>
      </c>
      <c r="C248" s="339"/>
      <c r="D248" s="339"/>
      <c r="E248" s="339"/>
      <c r="F248" s="339"/>
      <c r="G248" s="339"/>
      <c r="H248" s="339"/>
      <c r="I248" s="339"/>
      <c r="J248" s="339"/>
      <c r="K248" s="339"/>
      <c r="L248" s="339"/>
      <c r="M248" s="339"/>
      <c r="N248" s="339"/>
      <c r="O248" s="339"/>
      <c r="P248" s="339"/>
      <c r="Q248" s="339"/>
      <c r="R248" s="339"/>
      <c r="S248" s="339"/>
      <c r="T248" s="339"/>
      <c r="U248" s="339"/>
      <c r="V248" s="339"/>
      <c r="W248" s="339"/>
      <c r="X248" s="339"/>
      <c r="Y248" s="340"/>
      <c r="Z248" s="149"/>
      <c r="AA248" s="149"/>
      <c r="AB248" s="149"/>
      <c r="AC248" s="149"/>
      <c r="AD248" s="149"/>
      <c r="AE248" s="149"/>
      <c r="AF248" s="149"/>
    </row>
    <row r="249" spans="1:32" s="148" customFormat="1" hidden="1">
      <c r="B249" s="341" t="e">
        <f>IF(INDEX(TblDatabase[Feedback To Improve],MATCH(1,INDEX(($L$4=ListEmployeeNamesInDatabase)*(C212=TblDatabase[Year]),0,1),0))="","",INDEX(TblDatabase[Feedback To Improve],MATCH(1,INDEX(($L$4=ListEmployeeNamesInDatabase)*(C212=TblDatabase[Year]),0,1),0)))</f>
        <v>#N/A</v>
      </c>
      <c r="C249" s="342"/>
      <c r="D249" s="342"/>
      <c r="E249" s="342"/>
      <c r="F249" s="342"/>
      <c r="G249" s="342"/>
      <c r="H249" s="342"/>
      <c r="I249" s="342"/>
      <c r="J249" s="342"/>
      <c r="K249" s="342"/>
      <c r="L249" s="342"/>
      <c r="M249" s="342"/>
      <c r="N249" s="342"/>
      <c r="O249" s="342"/>
      <c r="P249" s="342"/>
      <c r="Q249" s="342"/>
      <c r="R249" s="342"/>
      <c r="S249" s="342"/>
      <c r="T249" s="342"/>
      <c r="U249" s="342"/>
      <c r="V249" s="342"/>
      <c r="W249" s="342"/>
      <c r="X249" s="342"/>
      <c r="Y249" s="343"/>
      <c r="Z249" s="149"/>
      <c r="AA249" s="149"/>
      <c r="AB249" s="149"/>
      <c r="AC249" s="149"/>
      <c r="AD249" s="149"/>
      <c r="AE249" s="149"/>
      <c r="AF249" s="149"/>
    </row>
    <row r="250" spans="1:32" s="148" customFormat="1" hidden="1">
      <c r="B250" s="344"/>
      <c r="C250" s="345"/>
      <c r="D250" s="345"/>
      <c r="E250" s="345"/>
      <c r="F250" s="345"/>
      <c r="G250" s="345"/>
      <c r="H250" s="345"/>
      <c r="I250" s="345"/>
      <c r="J250" s="345"/>
      <c r="K250" s="345"/>
      <c r="L250" s="345"/>
      <c r="M250" s="345"/>
      <c r="N250" s="345"/>
      <c r="O250" s="345"/>
      <c r="P250" s="345"/>
      <c r="Q250" s="345"/>
      <c r="R250" s="345"/>
      <c r="S250" s="345"/>
      <c r="T250" s="345"/>
      <c r="U250" s="345"/>
      <c r="V250" s="345"/>
      <c r="W250" s="345"/>
      <c r="X250" s="345"/>
      <c r="Y250" s="346"/>
      <c r="Z250" s="149"/>
      <c r="AA250" s="149"/>
      <c r="AB250" s="149"/>
      <c r="AC250" s="149"/>
      <c r="AD250" s="149"/>
      <c r="AE250" s="149"/>
      <c r="AF250" s="149"/>
    </row>
    <row r="251" spans="1:32" s="148" customFormat="1" hidden="1">
      <c r="B251" s="347"/>
      <c r="C251" s="348"/>
      <c r="D251" s="348"/>
      <c r="E251" s="348"/>
      <c r="F251" s="348"/>
      <c r="G251" s="348"/>
      <c r="H251" s="348"/>
      <c r="I251" s="348"/>
      <c r="J251" s="348"/>
      <c r="K251" s="348"/>
      <c r="L251" s="348"/>
      <c r="M251" s="348"/>
      <c r="N251" s="348"/>
      <c r="O251" s="348"/>
      <c r="P251" s="348"/>
      <c r="Q251" s="348"/>
      <c r="R251" s="348"/>
      <c r="S251" s="348"/>
      <c r="T251" s="348"/>
      <c r="U251" s="348"/>
      <c r="V251" s="348"/>
      <c r="W251" s="348"/>
      <c r="X251" s="348"/>
      <c r="Y251" s="349"/>
      <c r="Z251" s="149"/>
      <c r="AA251" s="149"/>
      <c r="AB251" s="149"/>
      <c r="AC251" s="149"/>
      <c r="AD251" s="149"/>
      <c r="AE251" s="149"/>
      <c r="AF251" s="149"/>
    </row>
    <row r="252" spans="1:32" s="148" customFormat="1" hidden="1">
      <c r="B252" s="156"/>
      <c r="C252" s="156"/>
      <c r="D252" s="156"/>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49"/>
      <c r="AA252" s="149"/>
      <c r="AB252" s="149"/>
      <c r="AC252" s="149"/>
      <c r="AD252" s="149"/>
      <c r="AE252" s="149"/>
      <c r="AF252" s="149"/>
    </row>
    <row r="253" spans="1:32" s="148" customFormat="1" hidden="1">
      <c r="A253" s="150">
        <f>A212+1</f>
        <v>6</v>
      </c>
      <c r="B253" s="27" t="s">
        <v>14</v>
      </c>
      <c r="C253" s="333">
        <f>C212-1</f>
        <v>2015</v>
      </c>
      <c r="D253" s="334"/>
      <c r="Y253" s="149"/>
      <c r="Z253" s="149"/>
      <c r="AA253" s="149"/>
      <c r="AB253" s="149"/>
      <c r="AC253" s="149"/>
      <c r="AD253" s="149"/>
      <c r="AE253" s="149"/>
      <c r="AF253" s="149"/>
    </row>
    <row r="254" spans="1:32" s="148" customFormat="1" hidden="1">
      <c r="Y254" s="149"/>
      <c r="Z254" s="149"/>
      <c r="AA254" s="149"/>
      <c r="AB254" s="149"/>
      <c r="AC254" s="149"/>
      <c r="AD254" s="149"/>
      <c r="AE254" s="149"/>
      <c r="AF254" s="149"/>
    </row>
    <row r="255" spans="1:32" s="148" customFormat="1" hidden="1">
      <c r="B255" s="338" t="str">
        <f>Settings!$N$14</f>
        <v>Employee's comments</v>
      </c>
      <c r="C255" s="339"/>
      <c r="D255" s="339"/>
      <c r="E255" s="339"/>
      <c r="F255" s="339"/>
      <c r="G255" s="339"/>
      <c r="H255" s="339"/>
      <c r="I255" s="339"/>
      <c r="J255" s="339"/>
      <c r="K255" s="339"/>
      <c r="L255" s="339"/>
      <c r="M255" s="339"/>
      <c r="N255" s="339"/>
      <c r="O255" s="339"/>
      <c r="P255" s="339"/>
      <c r="Q255" s="339"/>
      <c r="R255" s="339"/>
      <c r="S255" s="339"/>
      <c r="T255" s="339"/>
      <c r="U255" s="339"/>
      <c r="V255" s="339"/>
      <c r="W255" s="339"/>
      <c r="X255" s="339"/>
      <c r="Y255" s="340"/>
      <c r="Z255" s="149"/>
      <c r="AA255" s="149"/>
      <c r="AB255" s="149"/>
      <c r="AC255" s="149"/>
      <c r="AD255" s="149"/>
      <c r="AE255" s="149"/>
      <c r="AF255" s="149"/>
    </row>
    <row r="256" spans="1:32" s="148" customFormat="1" hidden="1">
      <c r="B256" s="341" t="e">
        <f>IF(INDEX(TblDatabase[Feedback Warnings],MATCH(1,INDEX(($L$4=ListEmployeeNamesInDatabase)*(C253=TblDatabase[Year]),0,1),0))="","",INDEX(TblDatabase[Feedback Warnings],MATCH(1,INDEX(($L$4=ListEmployeeNamesInDatabase)*(C253=TblDatabase[Year]),0,1),0)))</f>
        <v>#N/A</v>
      </c>
      <c r="C256" s="342"/>
      <c r="D256" s="342"/>
      <c r="E256" s="342"/>
      <c r="F256" s="342"/>
      <c r="G256" s="342"/>
      <c r="H256" s="342"/>
      <c r="I256" s="342"/>
      <c r="J256" s="342"/>
      <c r="K256" s="342"/>
      <c r="L256" s="342"/>
      <c r="M256" s="342"/>
      <c r="N256" s="342"/>
      <c r="O256" s="342"/>
      <c r="P256" s="342"/>
      <c r="Q256" s="342"/>
      <c r="R256" s="342"/>
      <c r="S256" s="342"/>
      <c r="T256" s="342"/>
      <c r="U256" s="342"/>
      <c r="V256" s="342"/>
      <c r="W256" s="342"/>
      <c r="X256" s="342"/>
      <c r="Y256" s="343"/>
      <c r="Z256" s="149"/>
      <c r="AA256" s="149"/>
      <c r="AB256" s="149"/>
      <c r="AC256" s="149"/>
      <c r="AD256" s="149"/>
      <c r="AE256" s="149"/>
      <c r="AF256" s="149"/>
    </row>
    <row r="257" spans="2:32" s="148" customFormat="1" hidden="1">
      <c r="B257" s="344"/>
      <c r="C257" s="345"/>
      <c r="D257" s="345"/>
      <c r="E257" s="345"/>
      <c r="F257" s="345"/>
      <c r="G257" s="345"/>
      <c r="H257" s="345"/>
      <c r="I257" s="345"/>
      <c r="J257" s="345"/>
      <c r="K257" s="345"/>
      <c r="L257" s="345"/>
      <c r="M257" s="345"/>
      <c r="N257" s="345"/>
      <c r="O257" s="345"/>
      <c r="P257" s="345"/>
      <c r="Q257" s="345"/>
      <c r="R257" s="345"/>
      <c r="S257" s="345"/>
      <c r="T257" s="345"/>
      <c r="U257" s="345"/>
      <c r="V257" s="345"/>
      <c r="W257" s="345"/>
      <c r="X257" s="345"/>
      <c r="Y257" s="346"/>
      <c r="Z257" s="149"/>
      <c r="AA257" s="149"/>
      <c r="AB257" s="149"/>
      <c r="AC257" s="149"/>
      <c r="AD257" s="149"/>
      <c r="AE257" s="149"/>
      <c r="AF257" s="149"/>
    </row>
    <row r="258" spans="2:32" s="148" customFormat="1" hidden="1">
      <c r="B258" s="347"/>
      <c r="C258" s="348"/>
      <c r="D258" s="348"/>
      <c r="E258" s="348"/>
      <c r="F258" s="348"/>
      <c r="G258" s="348"/>
      <c r="H258" s="348"/>
      <c r="I258" s="348"/>
      <c r="J258" s="348"/>
      <c r="K258" s="348"/>
      <c r="L258" s="348"/>
      <c r="M258" s="348"/>
      <c r="N258" s="348"/>
      <c r="O258" s="348"/>
      <c r="P258" s="348"/>
      <c r="Q258" s="348"/>
      <c r="R258" s="348"/>
      <c r="S258" s="348"/>
      <c r="T258" s="348"/>
      <c r="U258" s="348"/>
      <c r="V258" s="348"/>
      <c r="W258" s="348"/>
      <c r="X258" s="348"/>
      <c r="Y258" s="349"/>
      <c r="Z258" s="149"/>
      <c r="AA258" s="149"/>
      <c r="AB258" s="149"/>
      <c r="AC258" s="149"/>
      <c r="AD258" s="149"/>
      <c r="AE258" s="149"/>
      <c r="AF258" s="149"/>
    </row>
    <row r="259" spans="2:32" s="148" customFormat="1" hidden="1">
      <c r="Y259" s="149"/>
      <c r="Z259" s="149"/>
      <c r="AA259" s="149"/>
      <c r="AB259" s="149"/>
      <c r="AC259" s="149"/>
      <c r="AD259" s="149"/>
      <c r="AE259" s="149"/>
      <c r="AF259" s="149"/>
    </row>
    <row r="260" spans="2:32" s="148" customFormat="1" ht="15" hidden="1" customHeight="1">
      <c r="B260" s="320" t="s">
        <v>8</v>
      </c>
      <c r="C260" s="321"/>
      <c r="D260" s="321"/>
      <c r="E260" s="321"/>
      <c r="F260" s="233">
        <f>IF(Settings!$M$4=Settings!$Y$3,Settings!$O$19,1)</f>
        <v>1</v>
      </c>
      <c r="G260" s="234">
        <f>IF(Settings!$M$4=Settings!$Y$3,Settings!$O$19,2)</f>
        <v>2</v>
      </c>
      <c r="H260" s="234">
        <f>IF(Settings!$M$4=Settings!$Y$3,Settings!$O$19,3)</f>
        <v>3</v>
      </c>
      <c r="I260" s="234">
        <f>IF(Settings!$M$4=Settings!$Y$3,Settings!$O$19,4)</f>
        <v>4</v>
      </c>
      <c r="J260" s="234">
        <f>IF(Settings!$M$4=Settings!$Y$3,Settings!$O$20,5)</f>
        <v>5</v>
      </c>
      <c r="K260" s="234">
        <f>IF(Settings!$M$4=Settings!$Y$3,Settings!$O$20,6)</f>
        <v>6</v>
      </c>
      <c r="L260" s="234">
        <f>IF(Settings!$M$4=Settings!$Y$3,Settings!$O$20,7)</f>
        <v>7</v>
      </c>
      <c r="M260" s="234">
        <f>IF(Settings!$M$4=Settings!$Y$3,Settings!$O$20,8)</f>
        <v>8</v>
      </c>
      <c r="N260" s="234">
        <f>IF(Settings!$M$4=Settings!$Y$3,Settings!$O$21,9)</f>
        <v>9</v>
      </c>
      <c r="O260" s="235">
        <f>IF(Settings!$M$4=Settings!$Y$3,Settings!$O$21,10)</f>
        <v>10</v>
      </c>
      <c r="P260" s="22"/>
      <c r="Q260" s="22"/>
      <c r="R260" s="333" t="s">
        <v>24</v>
      </c>
      <c r="S260" s="333"/>
      <c r="T260" s="333"/>
      <c r="U260" s="333"/>
      <c r="V260" s="333"/>
      <c r="W260" s="333"/>
      <c r="X260" s="333"/>
      <c r="Y260" s="334"/>
      <c r="Z260" s="149"/>
      <c r="AA260" s="149"/>
      <c r="AB260" s="149"/>
      <c r="AC260" s="149"/>
      <c r="AD260" s="149"/>
      <c r="AE260" s="149"/>
      <c r="AF260" s="149"/>
    </row>
    <row r="261" spans="2:32" s="148" customFormat="1" ht="15" hidden="1" customHeight="1">
      <c r="B261" s="335" t="str">
        <f t="shared" ref="B261:B280" si="5">B220</f>
        <v>Quality of Work</v>
      </c>
      <c r="C261" s="336"/>
      <c r="D261" s="336"/>
      <c r="E261" s="337"/>
      <c r="F261" s="162" t="str">
        <f>IF(Settings!$M$4=Settings!$Y$3,IF($AA261=1,"P",""),IF($AA261=1,"P",""))</f>
        <v/>
      </c>
      <c r="G261" s="160" t="str">
        <f>IF(Settings!$M$4=Settings!$Y$3,IF($AA261=1,"P",""),IF($AA261=2,"P",""))</f>
        <v/>
      </c>
      <c r="H261" s="160" t="str">
        <f>IF(Settings!$M$4=Settings!$Y$3,IF($AA261=1,"P",""),IF($AA261=3,"P",""))</f>
        <v/>
      </c>
      <c r="I261" s="160" t="str">
        <f>IF(Settings!$M$4=Settings!$Y$3,IF($AA261=1,"P",""),IF($AA261=4,"P",""))</f>
        <v/>
      </c>
      <c r="J261" s="160" t="str">
        <f>IF(Settings!$M$4=Settings!$Y$3,IF($AA261=2,"P",""),IF($AA261=5,"P",""))</f>
        <v/>
      </c>
      <c r="K261" s="160" t="str">
        <f>IF(Settings!$M$4=Settings!$Y$3,IF($AA261=2,"P",""),IF($AA261=6,"P",""))</f>
        <v/>
      </c>
      <c r="L261" s="160" t="str">
        <f>IF(Settings!$M$4=Settings!$Y$3,IF($AA261=2,"P",""),IF($AA261=7,"P",""))</f>
        <v/>
      </c>
      <c r="M261" s="160" t="str">
        <f>IF(Settings!$M$4=Settings!$Y$3,IF($AA261=2,"P",""),IF($AA261=8,"P",""))</f>
        <v/>
      </c>
      <c r="N261" s="160" t="str">
        <f>IF(Settings!$M$4=Settings!$Y$3,IF($AA261=3,"P",""),IF($AA261=9,"P",""))</f>
        <v/>
      </c>
      <c r="O261" s="161" t="str">
        <f>IF(Settings!$M$4=Settings!$Y$3,IF($AA261=3,"P",""),IF($AA261=10,"P",""))</f>
        <v/>
      </c>
      <c r="P261" s="22"/>
      <c r="Q261" s="22"/>
      <c r="R261" s="367" t="e">
        <f>IF(INDEX(TblDatabase[Comment1],MATCH(1,INDEX(($L$4=ListEmployeeNamesInDatabase)*(C253=TblDatabase[Year]),0,1),0))="","",INDEX(TblDatabase[Comment1],MATCH(1,INDEX(($L$4=ListEmployeeNamesInDatabase)*(C253=TblDatabase[Year]),0,1),0)))</f>
        <v>#N/A</v>
      </c>
      <c r="S261" s="367"/>
      <c r="T261" s="367"/>
      <c r="U261" s="367"/>
      <c r="V261" s="367"/>
      <c r="W261" s="367"/>
      <c r="X261" s="367"/>
      <c r="Y261" s="368"/>
      <c r="Z261" s="149"/>
      <c r="AA261" s="151">
        <f>SUMIFS(TblDatabase[Competency1],ListEmployeeNamesInDatabase,$L$4,TblDatabase[Year],C253)</f>
        <v>0</v>
      </c>
      <c r="AB261" s="149"/>
      <c r="AC261" s="149"/>
      <c r="AD261" s="149"/>
      <c r="AE261" s="149"/>
      <c r="AF261" s="149"/>
    </row>
    <row r="262" spans="2:32" s="148" customFormat="1" ht="15" hidden="1" customHeight="1">
      <c r="B262" s="355" t="str">
        <f t="shared" si="5"/>
        <v>CaLL flow</v>
      </c>
      <c r="C262" s="356"/>
      <c r="D262" s="356"/>
      <c r="E262" s="357"/>
      <c r="F262" s="163" t="str">
        <f>IF(Settings!$M$4=Settings!$Y$3,IF($AA262=1,"P",""),IF($AA262=1,"P",""))</f>
        <v/>
      </c>
      <c r="G262" s="164" t="str">
        <f>IF(Settings!$M$4=Settings!$Y$3,IF($AA262=1,"P",""),IF($AA262=2,"P",""))</f>
        <v/>
      </c>
      <c r="H262" s="164" t="str">
        <f>IF(Settings!$M$4=Settings!$Y$3,IF($AA262=1,"P",""),IF($AA262=3,"P",""))</f>
        <v/>
      </c>
      <c r="I262" s="164" t="str">
        <f>IF(Settings!$M$4=Settings!$Y$3,IF($AA262=1,"P",""),IF($AA262=4,"P",""))</f>
        <v/>
      </c>
      <c r="J262" s="164" t="str">
        <f>IF(Settings!$M$4=Settings!$Y$3,IF($AA262=2,"P",""),IF($AA262=5,"P",""))</f>
        <v/>
      </c>
      <c r="K262" s="164" t="str">
        <f>IF(Settings!$M$4=Settings!$Y$3,IF($AA262=2,"P",""),IF($AA262=6,"P",""))</f>
        <v/>
      </c>
      <c r="L262" s="164" t="str">
        <f>IF(Settings!$M$4=Settings!$Y$3,IF($AA262=2,"P",""),IF($AA262=7,"P",""))</f>
        <v/>
      </c>
      <c r="M262" s="164" t="str">
        <f>IF(Settings!$M$4=Settings!$Y$3,IF($AA262=2,"P",""),IF($AA262=8,"P",""))</f>
        <v/>
      </c>
      <c r="N262" s="164" t="str">
        <f>IF(Settings!$M$4=Settings!$Y$3,IF($AA262=3,"P",""),IF($AA262=9,"P",""))</f>
        <v/>
      </c>
      <c r="O262" s="165" t="str">
        <f>IF(Settings!$M$4=Settings!$Y$3,IF($AA262=3,"P",""),IF($AA262=10,"P",""))</f>
        <v/>
      </c>
      <c r="P262" s="22"/>
      <c r="Q262" s="22"/>
      <c r="R262" s="360" t="e">
        <f>IF(INDEX(TblDatabase[Comment2],MATCH(1,INDEX(($L$4=ListEmployeeNamesInDatabase)*(C253=TblDatabase[Year]),0,1),0))="","",INDEX(TblDatabase[Comment2],MATCH(1,INDEX(($L$4=ListEmployeeNamesInDatabase)*(C253=TblDatabase[Year]),0,1),0)))</f>
        <v>#N/A</v>
      </c>
      <c r="S262" s="360"/>
      <c r="T262" s="360"/>
      <c r="U262" s="360"/>
      <c r="V262" s="360"/>
      <c r="W262" s="360"/>
      <c r="X262" s="360"/>
      <c r="Y262" s="361"/>
      <c r="Z262" s="149"/>
      <c r="AA262" s="151">
        <f>SUMIFS(TblDatabase[Competency2],ListEmployeeNamesInDatabase,$L$4,TblDatabase[Year],C253)</f>
        <v>0</v>
      </c>
      <c r="AB262" s="149"/>
      <c r="AC262" s="149"/>
      <c r="AD262" s="149"/>
      <c r="AE262" s="149"/>
      <c r="AF262" s="149"/>
    </row>
    <row r="263" spans="2:32" s="148" customFormat="1" ht="15" hidden="1" customHeight="1">
      <c r="B263" s="350" t="str">
        <f t="shared" si="5"/>
        <v>Job Knowledge</v>
      </c>
      <c r="C263" s="351"/>
      <c r="D263" s="351"/>
      <c r="E263" s="352"/>
      <c r="F263" s="157" t="str">
        <f>IF(Settings!$M$4=Settings!$Y$3,IF($AA263=1,"P",""),IF($AA263=1,"P",""))</f>
        <v/>
      </c>
      <c r="G263" s="158" t="str">
        <f>IF(Settings!$M$4=Settings!$Y$3,IF($AA263=1,"P",""),IF($AA263=2,"P",""))</f>
        <v/>
      </c>
      <c r="H263" s="158" t="str">
        <f>IF(Settings!$M$4=Settings!$Y$3,IF($AA263=1,"P",""),IF($AA263=3,"P",""))</f>
        <v/>
      </c>
      <c r="I263" s="158" t="str">
        <f>IF(Settings!$M$4=Settings!$Y$3,IF($AA263=1,"P",""),IF($AA263=4,"P",""))</f>
        <v/>
      </c>
      <c r="J263" s="158" t="str">
        <f>IF(Settings!$M$4=Settings!$Y$3,IF($AA263=2,"P",""),IF($AA263=5,"P",""))</f>
        <v/>
      </c>
      <c r="K263" s="158" t="str">
        <f>IF(Settings!$M$4=Settings!$Y$3,IF($AA263=2,"P",""),IF($AA263=6,"P",""))</f>
        <v/>
      </c>
      <c r="L263" s="158" t="str">
        <f>IF(Settings!$M$4=Settings!$Y$3,IF($AA263=2,"P",""),IF($AA263=7,"P",""))</f>
        <v/>
      </c>
      <c r="M263" s="158" t="str">
        <f>IF(Settings!$M$4=Settings!$Y$3,IF($AA263=2,"P",""),IF($AA263=8,"P",""))</f>
        <v/>
      </c>
      <c r="N263" s="158" t="str">
        <f>IF(Settings!$M$4=Settings!$Y$3,IF($AA263=3,"P",""),IF($AA263=9,"P",""))</f>
        <v/>
      </c>
      <c r="O263" s="159" t="str">
        <f>IF(Settings!$M$4=Settings!$Y$3,IF($AA263=3,"P",""),IF($AA263=10,"P",""))</f>
        <v/>
      </c>
      <c r="P263" s="22"/>
      <c r="Q263" s="22"/>
      <c r="R263" s="353" t="e">
        <f>IF(INDEX(TblDatabase[Comment3],MATCH(1,INDEX(($L$4=ListEmployeeNamesInDatabase)*(C253=TblDatabase[Year]),0,1),0))="","",INDEX(TblDatabase[Comment3],MATCH(1,INDEX(($L$4=ListEmployeeNamesInDatabase)*(C253=TblDatabase[Year]),0,1),0)))</f>
        <v>#N/A</v>
      </c>
      <c r="S263" s="353"/>
      <c r="T263" s="353"/>
      <c r="U263" s="353"/>
      <c r="V263" s="353"/>
      <c r="W263" s="353"/>
      <c r="X263" s="353"/>
      <c r="Y263" s="354"/>
      <c r="Z263" s="149"/>
      <c r="AA263" s="151">
        <f>SUMIFS(TblDatabase[Competency3],ListEmployeeNamesInDatabase,$L$4,TblDatabase[Year],C253)</f>
        <v>0</v>
      </c>
      <c r="AB263" s="149"/>
      <c r="AC263" s="149"/>
      <c r="AD263" s="149"/>
      <c r="AE263" s="149"/>
      <c r="AF263" s="149"/>
    </row>
    <row r="264" spans="2:32" s="148" customFormat="1" ht="15" hidden="1" customHeight="1">
      <c r="B264" s="355" t="str">
        <f t="shared" si="5"/>
        <v>Client Service</v>
      </c>
      <c r="C264" s="356"/>
      <c r="D264" s="356"/>
      <c r="E264" s="357"/>
      <c r="F264" s="163" t="str">
        <f>IF(Settings!$M$4=Settings!$Y$3,IF($AA264=1,"P",""),IF($AA264=1,"P",""))</f>
        <v/>
      </c>
      <c r="G264" s="164" t="str">
        <f>IF(Settings!$M$4=Settings!$Y$3,IF($AA264=1,"P",""),IF($AA264=2,"P",""))</f>
        <v/>
      </c>
      <c r="H264" s="164" t="str">
        <f>IF(Settings!$M$4=Settings!$Y$3,IF($AA264=1,"P",""),IF($AA264=3,"P",""))</f>
        <v/>
      </c>
      <c r="I264" s="164" t="str">
        <f>IF(Settings!$M$4=Settings!$Y$3,IF($AA264=1,"P",""),IF($AA264=4,"P",""))</f>
        <v/>
      </c>
      <c r="J264" s="164" t="str">
        <f>IF(Settings!$M$4=Settings!$Y$3,IF($AA264=2,"P",""),IF($AA264=5,"P",""))</f>
        <v/>
      </c>
      <c r="K264" s="164" t="str">
        <f>IF(Settings!$M$4=Settings!$Y$3,IF($AA264=2,"P",""),IF($AA264=6,"P",""))</f>
        <v/>
      </c>
      <c r="L264" s="164" t="str">
        <f>IF(Settings!$M$4=Settings!$Y$3,IF($AA264=2,"P",""),IF($AA264=7,"P",""))</f>
        <v/>
      </c>
      <c r="M264" s="164" t="str">
        <f>IF(Settings!$M$4=Settings!$Y$3,IF($AA264=2,"P",""),IF($AA264=8,"P",""))</f>
        <v/>
      </c>
      <c r="N264" s="164" t="str">
        <f>IF(Settings!$M$4=Settings!$Y$3,IF($AA264=3,"P",""),IF($AA264=9,"P",""))</f>
        <v/>
      </c>
      <c r="O264" s="165" t="str">
        <f>IF(Settings!$M$4=Settings!$Y$3,IF($AA264=3,"P",""),IF($AA264=10,"P",""))</f>
        <v/>
      </c>
      <c r="P264" s="22"/>
      <c r="Q264" s="22"/>
      <c r="R264" s="360" t="e">
        <f>IF(INDEX(TblDatabase[Comment4],MATCH(1,INDEX(($L$4=ListEmployeeNamesInDatabase)*(C253=TblDatabase[Year]),0,1),0))="","",INDEX(TblDatabase[Comment4],MATCH(1,INDEX(($L$4=ListEmployeeNamesInDatabase)*(C253=TblDatabase[Year]),0,1),0)))</f>
        <v>#N/A</v>
      </c>
      <c r="S264" s="360"/>
      <c r="T264" s="360"/>
      <c r="U264" s="360"/>
      <c r="V264" s="360"/>
      <c r="W264" s="360"/>
      <c r="X264" s="360"/>
      <c r="Y264" s="361"/>
      <c r="Z264" s="149"/>
      <c r="AA264" s="151">
        <f>SUMIFS(TblDatabase[Competency4],ListEmployeeNamesInDatabase,$L$4,TblDatabase[Year],C253)</f>
        <v>0</v>
      </c>
      <c r="AB264" s="149"/>
      <c r="AC264" s="149"/>
      <c r="AD264" s="149"/>
      <c r="AE264" s="149"/>
      <c r="AF264" s="149"/>
    </row>
    <row r="265" spans="2:32" s="148" customFormat="1" ht="15" hidden="1" customHeight="1">
      <c r="B265" s="350" t="str">
        <f t="shared" si="5"/>
        <v>Teamwork</v>
      </c>
      <c r="C265" s="351"/>
      <c r="D265" s="351"/>
      <c r="E265" s="352"/>
      <c r="F265" s="157" t="str">
        <f>IF(Settings!$M$4=Settings!$Y$3,IF($AA265=1,"P",""),IF($AA265=1,"P",""))</f>
        <v/>
      </c>
      <c r="G265" s="158" t="str">
        <f>IF(Settings!$M$4=Settings!$Y$3,IF($AA265=1,"P",""),IF($AA265=2,"P",""))</f>
        <v/>
      </c>
      <c r="H265" s="158" t="str">
        <f>IF(Settings!$M$4=Settings!$Y$3,IF($AA265=1,"P",""),IF($AA265=3,"P",""))</f>
        <v/>
      </c>
      <c r="I265" s="158" t="str">
        <f>IF(Settings!$M$4=Settings!$Y$3,IF($AA265=1,"P",""),IF($AA265=4,"P",""))</f>
        <v/>
      </c>
      <c r="J265" s="158" t="str">
        <f>IF(Settings!$M$4=Settings!$Y$3,IF($AA265=2,"P",""),IF($AA265=5,"P",""))</f>
        <v/>
      </c>
      <c r="K265" s="158" t="str">
        <f>IF(Settings!$M$4=Settings!$Y$3,IF($AA265=2,"P",""),IF($AA265=6,"P",""))</f>
        <v/>
      </c>
      <c r="L265" s="158" t="str">
        <f>IF(Settings!$M$4=Settings!$Y$3,IF($AA265=2,"P",""),IF($AA265=7,"P",""))</f>
        <v/>
      </c>
      <c r="M265" s="158" t="str">
        <f>IF(Settings!$M$4=Settings!$Y$3,IF($AA265=2,"P",""),IF($AA265=8,"P",""))</f>
        <v/>
      </c>
      <c r="N265" s="158" t="str">
        <f>IF(Settings!$M$4=Settings!$Y$3,IF($AA265=3,"P",""),IF($AA265=9,"P",""))</f>
        <v/>
      </c>
      <c r="O265" s="159" t="str">
        <f>IF(Settings!$M$4=Settings!$Y$3,IF($AA265=3,"P",""),IF($AA265=10,"P",""))</f>
        <v/>
      </c>
      <c r="P265" s="22"/>
      <c r="Q265" s="22"/>
      <c r="R265" s="353" t="e">
        <f>IF(INDEX(TblDatabase[Comment5],MATCH(1,INDEX(($L$4=ListEmployeeNamesInDatabase)*(C253=TblDatabase[Year]),0,1),0))="","",INDEX(TblDatabase[Comment5],MATCH(1,INDEX(($L$4=ListEmployeeNamesInDatabase)*(C253=TblDatabase[Year]),0,1),0)))</f>
        <v>#N/A</v>
      </c>
      <c r="S265" s="353"/>
      <c r="T265" s="353"/>
      <c r="U265" s="353"/>
      <c r="V265" s="353"/>
      <c r="W265" s="353"/>
      <c r="X265" s="353"/>
      <c r="Y265" s="354"/>
      <c r="Z265" s="149"/>
      <c r="AA265" s="151">
        <f>SUMIFS(TblDatabase[Competency5],ListEmployeeNamesInDatabase,$L$4,TblDatabase[Year],C253)</f>
        <v>0</v>
      </c>
      <c r="AB265" s="149"/>
      <c r="AC265" s="149"/>
      <c r="AD265" s="149"/>
      <c r="AE265" s="149"/>
      <c r="AF265" s="149"/>
    </row>
    <row r="266" spans="2:32" s="148" customFormat="1" ht="15" hidden="1" customHeight="1">
      <c r="B266" s="355" t="str">
        <f t="shared" si="5"/>
        <v>Safety</v>
      </c>
      <c r="C266" s="356"/>
      <c r="D266" s="356"/>
      <c r="E266" s="357"/>
      <c r="F266" s="163" t="str">
        <f>IF(Settings!$M$4=Settings!$Y$3,IF($AA266=1,"P",""),IF($AA266=1,"P",""))</f>
        <v/>
      </c>
      <c r="G266" s="164" t="str">
        <f>IF(Settings!$M$4=Settings!$Y$3,IF($AA266=1,"P",""),IF($AA266=2,"P",""))</f>
        <v/>
      </c>
      <c r="H266" s="164" t="str">
        <f>IF(Settings!$M$4=Settings!$Y$3,IF($AA266=1,"P",""),IF($AA266=3,"P",""))</f>
        <v/>
      </c>
      <c r="I266" s="164" t="str">
        <f>IF(Settings!$M$4=Settings!$Y$3,IF($AA266=1,"P",""),IF($AA266=4,"P",""))</f>
        <v/>
      </c>
      <c r="J266" s="164" t="str">
        <f>IF(Settings!$M$4=Settings!$Y$3,IF($AA266=2,"P",""),IF($AA266=5,"P",""))</f>
        <v/>
      </c>
      <c r="K266" s="164" t="str">
        <f>IF(Settings!$M$4=Settings!$Y$3,IF($AA266=2,"P",""),IF($AA266=6,"P",""))</f>
        <v/>
      </c>
      <c r="L266" s="164" t="str">
        <f>IF(Settings!$M$4=Settings!$Y$3,IF($AA266=2,"P",""),IF($AA266=7,"P",""))</f>
        <v/>
      </c>
      <c r="M266" s="164" t="str">
        <f>IF(Settings!$M$4=Settings!$Y$3,IF($AA266=2,"P",""),IF($AA266=8,"P",""))</f>
        <v/>
      </c>
      <c r="N266" s="164" t="str">
        <f>IF(Settings!$M$4=Settings!$Y$3,IF($AA266=3,"P",""),IF($AA266=9,"P",""))</f>
        <v/>
      </c>
      <c r="O266" s="165" t="str">
        <f>IF(Settings!$M$4=Settings!$Y$3,IF($AA266=3,"P",""),IF($AA266=10,"P",""))</f>
        <v/>
      </c>
      <c r="P266" s="22"/>
      <c r="Q266" s="22"/>
      <c r="R266" s="360" t="e">
        <f>IF(INDEX(TblDatabase[Comment6],MATCH(1,INDEX(($L$4=ListEmployeeNamesInDatabase)*(C253=TblDatabase[Year]),0,1),0))="","",INDEX(TblDatabase[Comment6],MATCH(1,INDEX(($L$4=ListEmployeeNamesInDatabase)*(C253=TblDatabase[Year]),0,1),0)))</f>
        <v>#N/A</v>
      </c>
      <c r="S266" s="360"/>
      <c r="T266" s="360"/>
      <c r="U266" s="360"/>
      <c r="V266" s="360"/>
      <c r="W266" s="360"/>
      <c r="X266" s="360"/>
      <c r="Y266" s="361"/>
      <c r="Z266" s="149"/>
      <c r="AA266" s="151">
        <f>SUMIFS(TblDatabase[Competency6],ListEmployeeNamesInDatabase,$L$4,TblDatabase[Year],C253)</f>
        <v>0</v>
      </c>
      <c r="AB266" s="149"/>
      <c r="AC266" s="149"/>
      <c r="AD266" s="149"/>
      <c r="AE266" s="149"/>
      <c r="AF266" s="149"/>
    </row>
    <row r="267" spans="2:32" s="148" customFormat="1" ht="15" hidden="1" customHeight="1">
      <c r="B267" s="350" t="str">
        <f t="shared" si="5"/>
        <v>Reliability</v>
      </c>
      <c r="C267" s="351"/>
      <c r="D267" s="351"/>
      <c r="E267" s="352"/>
      <c r="F267" s="157" t="str">
        <f>IF(Settings!$M$4=Settings!$Y$3,IF($AA267=1,"P",""),IF($AA267=1,"P",""))</f>
        <v/>
      </c>
      <c r="G267" s="158" t="str">
        <f>IF(Settings!$M$4=Settings!$Y$3,IF($AA267=1,"P",""),IF($AA267=2,"P",""))</f>
        <v/>
      </c>
      <c r="H267" s="158" t="str">
        <f>IF(Settings!$M$4=Settings!$Y$3,IF($AA267=1,"P",""),IF($AA267=3,"P",""))</f>
        <v/>
      </c>
      <c r="I267" s="158" t="str">
        <f>IF(Settings!$M$4=Settings!$Y$3,IF($AA267=1,"P",""),IF($AA267=4,"P",""))</f>
        <v/>
      </c>
      <c r="J267" s="158" t="str">
        <f>IF(Settings!$M$4=Settings!$Y$3,IF($AA267=2,"P",""),IF($AA267=5,"P",""))</f>
        <v/>
      </c>
      <c r="K267" s="158" t="str">
        <f>IF(Settings!$M$4=Settings!$Y$3,IF($AA267=2,"P",""),IF($AA267=6,"P",""))</f>
        <v/>
      </c>
      <c r="L267" s="158" t="str">
        <f>IF(Settings!$M$4=Settings!$Y$3,IF($AA267=2,"P",""),IF($AA267=7,"P",""))</f>
        <v/>
      </c>
      <c r="M267" s="158" t="str">
        <f>IF(Settings!$M$4=Settings!$Y$3,IF($AA267=2,"P",""),IF($AA267=8,"P",""))</f>
        <v/>
      </c>
      <c r="N267" s="158" t="str">
        <f>IF(Settings!$M$4=Settings!$Y$3,IF($AA267=3,"P",""),IF($AA267=9,"P",""))</f>
        <v/>
      </c>
      <c r="O267" s="159" t="str">
        <f>IF(Settings!$M$4=Settings!$Y$3,IF($AA267=3,"P",""),IF($AA267=10,"P",""))</f>
        <v/>
      </c>
      <c r="P267" s="22"/>
      <c r="Q267" s="22"/>
      <c r="R267" s="353" t="e">
        <f>IF(INDEX(TblDatabase[Comment7],MATCH(1,INDEX(($L$4=ListEmployeeNamesInDatabase)*(C253=TblDatabase[Year]),0,1),0))="","",INDEX(TblDatabase[Comment7],MATCH(1,INDEX(($L$4=ListEmployeeNamesInDatabase)*(C253=TblDatabase[Year]),0,1),0)))</f>
        <v>#N/A</v>
      </c>
      <c r="S267" s="353"/>
      <c r="T267" s="353"/>
      <c r="U267" s="353"/>
      <c r="V267" s="353"/>
      <c r="W267" s="353"/>
      <c r="X267" s="353"/>
      <c r="Y267" s="354"/>
      <c r="Z267" s="149"/>
      <c r="AA267" s="151">
        <f>SUMIFS(TblDatabase[Competency7],ListEmployeeNamesInDatabase,$L$4,TblDatabase[Year],C253)</f>
        <v>0</v>
      </c>
      <c r="AB267" s="149"/>
      <c r="AC267" s="149"/>
      <c r="AD267" s="149"/>
      <c r="AE267" s="149"/>
      <c r="AF267" s="149"/>
    </row>
    <row r="268" spans="2:32" s="148" customFormat="1" ht="15" hidden="1" customHeight="1">
      <c r="B268" s="355" t="str">
        <f t="shared" si="5"/>
        <v>Initiative/Adaptability</v>
      </c>
      <c r="C268" s="356"/>
      <c r="D268" s="356"/>
      <c r="E268" s="357"/>
      <c r="F268" s="163" t="str">
        <f>IF(Settings!$M$4=Settings!$Y$3,IF($AA268=1,"P",""),IF($AA268=1,"P",""))</f>
        <v/>
      </c>
      <c r="G268" s="164" t="str">
        <f>IF(Settings!$M$4=Settings!$Y$3,IF($AA268=1,"P",""),IF($AA268=2,"P",""))</f>
        <v/>
      </c>
      <c r="H268" s="164" t="str">
        <f>IF(Settings!$M$4=Settings!$Y$3,IF($AA268=1,"P",""),IF($AA268=3,"P",""))</f>
        <v/>
      </c>
      <c r="I268" s="164" t="str">
        <f>IF(Settings!$M$4=Settings!$Y$3,IF($AA268=1,"P",""),IF($AA268=4,"P",""))</f>
        <v/>
      </c>
      <c r="J268" s="164" t="str">
        <f>IF(Settings!$M$4=Settings!$Y$3,IF($AA268=2,"P",""),IF($AA268=5,"P",""))</f>
        <v/>
      </c>
      <c r="K268" s="164" t="str">
        <f>IF(Settings!$M$4=Settings!$Y$3,IF($AA268=2,"P",""),IF($AA268=6,"P",""))</f>
        <v/>
      </c>
      <c r="L268" s="164" t="str">
        <f>IF(Settings!$M$4=Settings!$Y$3,IF($AA268=2,"P",""),IF($AA268=7,"P",""))</f>
        <v/>
      </c>
      <c r="M268" s="164" t="str">
        <f>IF(Settings!$M$4=Settings!$Y$3,IF($AA268=2,"P",""),IF($AA268=8,"P",""))</f>
        <v/>
      </c>
      <c r="N268" s="164" t="str">
        <f>IF(Settings!$M$4=Settings!$Y$3,IF($AA268=3,"P",""),IF($AA268=9,"P",""))</f>
        <v/>
      </c>
      <c r="O268" s="165" t="str">
        <f>IF(Settings!$M$4=Settings!$Y$3,IF($AA268=3,"P",""),IF($AA268=10,"P",""))</f>
        <v/>
      </c>
      <c r="P268" s="22"/>
      <c r="Q268" s="22"/>
      <c r="R268" s="360" t="e">
        <f>IF(INDEX(TblDatabase[Comment8],MATCH(1,INDEX(($L$4=ListEmployeeNamesInDatabase)*(C253=TblDatabase[Year]),0,1),0))="","",INDEX(TblDatabase[Comment8],MATCH(1,INDEX(($L$4=ListEmployeeNamesInDatabase)*(C253=TblDatabase[Year]),0,1),0)))</f>
        <v>#N/A</v>
      </c>
      <c r="S268" s="360"/>
      <c r="T268" s="360"/>
      <c r="U268" s="360"/>
      <c r="V268" s="360"/>
      <c r="W268" s="360"/>
      <c r="X268" s="360"/>
      <c r="Y268" s="361"/>
      <c r="Z268" s="149"/>
      <c r="AA268" s="151">
        <f>SUMIFS(TblDatabase[Competency8],ListEmployeeNamesInDatabase,$L$4,TblDatabase[Year],C253)</f>
        <v>0</v>
      </c>
      <c r="AB268" s="149"/>
      <c r="AC268" s="149"/>
      <c r="AD268" s="149"/>
      <c r="AE268" s="149"/>
      <c r="AF268" s="149"/>
    </row>
    <row r="269" spans="2:32" s="148" customFormat="1" ht="15" hidden="1" customHeight="1">
      <c r="B269" s="350" t="str">
        <f t="shared" si="5"/>
        <v/>
      </c>
      <c r="C269" s="351"/>
      <c r="D269" s="351"/>
      <c r="E269" s="352"/>
      <c r="F269" s="157" t="str">
        <f>IF(Settings!$M$4=Settings!$Y$3,IF($AA269=1,"P",""),IF($AA269=1,"P",""))</f>
        <v/>
      </c>
      <c r="G269" s="158" t="str">
        <f>IF(Settings!$M$4=Settings!$Y$3,IF($AA269=1,"P",""),IF($AA269=2,"P",""))</f>
        <v/>
      </c>
      <c r="H269" s="158" t="str">
        <f>IF(Settings!$M$4=Settings!$Y$3,IF($AA269=1,"P",""),IF($AA269=3,"P",""))</f>
        <v/>
      </c>
      <c r="I269" s="158" t="str">
        <f>IF(Settings!$M$4=Settings!$Y$3,IF($AA269=1,"P",""),IF($AA269=4,"P",""))</f>
        <v/>
      </c>
      <c r="J269" s="158" t="str">
        <f>IF(Settings!$M$4=Settings!$Y$3,IF($AA269=2,"P",""),IF($AA269=5,"P",""))</f>
        <v/>
      </c>
      <c r="K269" s="158" t="str">
        <f>IF(Settings!$M$4=Settings!$Y$3,IF($AA269=2,"P",""),IF($AA269=6,"P",""))</f>
        <v/>
      </c>
      <c r="L269" s="158" t="str">
        <f>IF(Settings!$M$4=Settings!$Y$3,IF($AA269=2,"P",""),IF($AA269=7,"P",""))</f>
        <v/>
      </c>
      <c r="M269" s="158" t="str">
        <f>IF(Settings!$M$4=Settings!$Y$3,IF($AA269=2,"P",""),IF($AA269=8,"P",""))</f>
        <v/>
      </c>
      <c r="N269" s="158" t="str">
        <f>IF(Settings!$M$4=Settings!$Y$3,IF($AA269=3,"P",""),IF($AA269=9,"P",""))</f>
        <v/>
      </c>
      <c r="O269" s="159" t="str">
        <f>IF(Settings!$M$4=Settings!$Y$3,IF($AA269=3,"P",""),IF($AA269=10,"P",""))</f>
        <v/>
      </c>
      <c r="P269" s="22"/>
      <c r="Q269" s="22"/>
      <c r="R269" s="353" t="e">
        <f>IF(INDEX(TblDatabase[Comment9],MATCH(1,INDEX(($L$4=ListEmployeeNamesInDatabase)*(C253=TblDatabase[Year]),0,1),0))="","",INDEX(TblDatabase[Comment9],MATCH(1,INDEX(($L$4=ListEmployeeNamesInDatabase)*(C253=TblDatabase[Year]),0,1),0)))</f>
        <v>#N/A</v>
      </c>
      <c r="S269" s="353"/>
      <c r="T269" s="353"/>
      <c r="U269" s="353"/>
      <c r="V269" s="353"/>
      <c r="W269" s="353"/>
      <c r="X269" s="353"/>
      <c r="Y269" s="354"/>
      <c r="Z269" s="149"/>
      <c r="AA269" s="151">
        <f>SUMIFS(TblDatabase[Competency9],ListEmployeeNamesInDatabase,$L$4,TblDatabase[Year],C253)</f>
        <v>0</v>
      </c>
      <c r="AB269" s="149"/>
      <c r="AC269" s="149"/>
      <c r="AD269" s="149"/>
      <c r="AE269" s="149"/>
      <c r="AF269" s="149"/>
    </row>
    <row r="270" spans="2:32" s="148" customFormat="1" ht="15" hidden="1" customHeight="1">
      <c r="B270" s="355" t="str">
        <f t="shared" si="5"/>
        <v/>
      </c>
      <c r="C270" s="356"/>
      <c r="D270" s="356"/>
      <c r="E270" s="357"/>
      <c r="F270" s="163" t="str">
        <f>IF(Settings!$M$4=Settings!$Y$3,IF($AA270=1,"P",""),IF($AA270=1,"P",""))</f>
        <v/>
      </c>
      <c r="G270" s="164" t="str">
        <f>IF(Settings!$M$4=Settings!$Y$3,IF($AA270=1,"P",""),IF($AA270=2,"P",""))</f>
        <v/>
      </c>
      <c r="H270" s="164" t="str">
        <f>IF(Settings!$M$4=Settings!$Y$3,IF($AA270=1,"P",""),IF($AA270=3,"P",""))</f>
        <v/>
      </c>
      <c r="I270" s="164" t="str">
        <f>IF(Settings!$M$4=Settings!$Y$3,IF($AA270=1,"P",""),IF($AA270=4,"P",""))</f>
        <v/>
      </c>
      <c r="J270" s="164" t="str">
        <f>IF(Settings!$M$4=Settings!$Y$3,IF($AA270=2,"P",""),IF($AA270=5,"P",""))</f>
        <v/>
      </c>
      <c r="K270" s="164" t="str">
        <f>IF(Settings!$M$4=Settings!$Y$3,IF($AA270=2,"P",""),IF($AA270=6,"P",""))</f>
        <v/>
      </c>
      <c r="L270" s="164" t="str">
        <f>IF(Settings!$M$4=Settings!$Y$3,IF($AA270=2,"P",""),IF($AA270=7,"P",""))</f>
        <v/>
      </c>
      <c r="M270" s="164" t="str">
        <f>IF(Settings!$M$4=Settings!$Y$3,IF($AA270=2,"P",""),IF($AA270=8,"P",""))</f>
        <v/>
      </c>
      <c r="N270" s="164" t="str">
        <f>IF(Settings!$M$4=Settings!$Y$3,IF($AA270=3,"P",""),IF($AA270=9,"P",""))</f>
        <v/>
      </c>
      <c r="O270" s="165" t="str">
        <f>IF(Settings!$M$4=Settings!$Y$3,IF($AA270=3,"P",""),IF($AA270=10,"P",""))</f>
        <v/>
      </c>
      <c r="P270" s="22"/>
      <c r="Q270" s="22"/>
      <c r="R270" s="360" t="e">
        <f>IF(INDEX(TblDatabase[Comment10],MATCH(1,INDEX(($L$4=ListEmployeeNamesInDatabase)*(C253=TblDatabase[Year]),0,1),0))="","",INDEX(TblDatabase[Comment10],MATCH(1,INDEX(($L$4=ListEmployeeNamesInDatabase)*(C253=TblDatabase[Year]),0,1),0)))</f>
        <v>#N/A</v>
      </c>
      <c r="S270" s="360"/>
      <c r="T270" s="360"/>
      <c r="U270" s="360"/>
      <c r="V270" s="360"/>
      <c r="W270" s="360"/>
      <c r="X270" s="360"/>
      <c r="Y270" s="361"/>
      <c r="Z270" s="149"/>
      <c r="AA270" s="151">
        <f>SUMIFS(TblDatabase[Competency10],ListEmployeeNamesInDatabase,$L$4,TblDatabase[Year],C253)</f>
        <v>0</v>
      </c>
      <c r="AB270" s="149"/>
      <c r="AC270" s="149"/>
      <c r="AD270" s="149"/>
      <c r="AE270" s="149"/>
      <c r="AF270" s="149"/>
    </row>
    <row r="271" spans="2:32" s="148" customFormat="1" ht="15" hidden="1" customHeight="1">
      <c r="B271" s="350" t="str">
        <f t="shared" si="5"/>
        <v/>
      </c>
      <c r="C271" s="351"/>
      <c r="D271" s="351"/>
      <c r="E271" s="352"/>
      <c r="F271" s="157" t="str">
        <f>IF(Settings!$M$4=Settings!$Y$3,IF($AA271=1,"P",""),IF($AA271=1,"P",""))</f>
        <v/>
      </c>
      <c r="G271" s="158" t="str">
        <f>IF(Settings!$M$4=Settings!$Y$3,IF($AA271=1,"P",""),IF($AA271=2,"P",""))</f>
        <v/>
      </c>
      <c r="H271" s="158" t="str">
        <f>IF(Settings!$M$4=Settings!$Y$3,IF($AA271=1,"P",""),IF($AA271=3,"P",""))</f>
        <v/>
      </c>
      <c r="I271" s="158" t="str">
        <f>IF(Settings!$M$4=Settings!$Y$3,IF($AA271=1,"P",""),IF($AA271=4,"P",""))</f>
        <v/>
      </c>
      <c r="J271" s="158" t="str">
        <f>IF(Settings!$M$4=Settings!$Y$3,IF($AA271=2,"P",""),IF($AA271=5,"P",""))</f>
        <v/>
      </c>
      <c r="K271" s="158" t="str">
        <f>IF(Settings!$M$4=Settings!$Y$3,IF($AA271=2,"P",""),IF($AA271=6,"P",""))</f>
        <v/>
      </c>
      <c r="L271" s="158" t="str">
        <f>IF(Settings!$M$4=Settings!$Y$3,IF($AA271=2,"P",""),IF($AA271=7,"P",""))</f>
        <v/>
      </c>
      <c r="M271" s="158" t="str">
        <f>IF(Settings!$M$4=Settings!$Y$3,IF($AA271=2,"P",""),IF($AA271=8,"P",""))</f>
        <v/>
      </c>
      <c r="N271" s="158" t="str">
        <f>IF(Settings!$M$4=Settings!$Y$3,IF($AA271=3,"P",""),IF($AA271=9,"P",""))</f>
        <v/>
      </c>
      <c r="O271" s="159" t="str">
        <f>IF(Settings!$M$4=Settings!$Y$3,IF($AA271=3,"P",""),IF($AA271=10,"P",""))</f>
        <v/>
      </c>
      <c r="P271" s="22"/>
      <c r="Q271" s="22"/>
      <c r="R271" s="353" t="e">
        <f>IF(INDEX(TblDatabase[Comment11],MATCH(1,INDEX(($L$4=ListEmployeeNamesInDatabase)*(C253=TblDatabase[Year]),0,1),0))="","",INDEX(TblDatabase[Comment11],MATCH(1,INDEX(($L$4=ListEmployeeNamesInDatabase)*(C253=TblDatabase[Year]),0,1),0)))</f>
        <v>#N/A</v>
      </c>
      <c r="S271" s="353"/>
      <c r="T271" s="353"/>
      <c r="U271" s="353"/>
      <c r="V271" s="353"/>
      <c r="W271" s="353"/>
      <c r="X271" s="353"/>
      <c r="Y271" s="354"/>
      <c r="Z271" s="149"/>
      <c r="AA271" s="151">
        <f>SUMIFS(TblDatabase[Competency11],ListEmployeeNamesInDatabase,$L$4,TblDatabase[Year],C253)</f>
        <v>0</v>
      </c>
      <c r="AB271" s="149"/>
      <c r="AC271" s="149"/>
      <c r="AD271" s="149"/>
      <c r="AE271" s="149"/>
      <c r="AF271" s="149"/>
    </row>
    <row r="272" spans="2:32" s="148" customFormat="1" ht="15" hidden="1" customHeight="1">
      <c r="B272" s="355" t="str">
        <f t="shared" si="5"/>
        <v/>
      </c>
      <c r="C272" s="356"/>
      <c r="D272" s="356"/>
      <c r="E272" s="357"/>
      <c r="F272" s="163" t="str">
        <f>IF(Settings!$M$4=Settings!$Y$3,IF($AA272=1,"P",""),IF($AA272=1,"P",""))</f>
        <v/>
      </c>
      <c r="G272" s="164" t="str">
        <f>IF(Settings!$M$4=Settings!$Y$3,IF($AA272=1,"P",""),IF($AA272=2,"P",""))</f>
        <v/>
      </c>
      <c r="H272" s="164" t="str">
        <f>IF(Settings!$M$4=Settings!$Y$3,IF($AA272=1,"P",""),IF($AA272=3,"P",""))</f>
        <v/>
      </c>
      <c r="I272" s="164" t="str">
        <f>IF(Settings!$M$4=Settings!$Y$3,IF($AA272=1,"P",""),IF($AA272=4,"P",""))</f>
        <v/>
      </c>
      <c r="J272" s="164" t="str">
        <f>IF(Settings!$M$4=Settings!$Y$3,IF($AA272=2,"P",""),IF($AA272=5,"P",""))</f>
        <v/>
      </c>
      <c r="K272" s="164" t="str">
        <f>IF(Settings!$M$4=Settings!$Y$3,IF($AA272=2,"P",""),IF($AA272=6,"P",""))</f>
        <v/>
      </c>
      <c r="L272" s="164" t="str">
        <f>IF(Settings!$M$4=Settings!$Y$3,IF($AA272=2,"P",""),IF($AA272=7,"P",""))</f>
        <v/>
      </c>
      <c r="M272" s="164" t="str">
        <f>IF(Settings!$M$4=Settings!$Y$3,IF($AA272=2,"P",""),IF($AA272=8,"P",""))</f>
        <v/>
      </c>
      <c r="N272" s="164" t="str">
        <f>IF(Settings!$M$4=Settings!$Y$3,IF($AA272=3,"P",""),IF($AA272=9,"P",""))</f>
        <v/>
      </c>
      <c r="O272" s="165" t="str">
        <f>IF(Settings!$M$4=Settings!$Y$3,IF($AA272=3,"P",""),IF($AA272=10,"P",""))</f>
        <v/>
      </c>
      <c r="P272" s="22"/>
      <c r="Q272" s="22"/>
      <c r="R272" s="360" t="e">
        <f>IF(INDEX(TblDatabase[Comment12],MATCH(1,INDEX(($L$4=ListEmployeeNamesInDatabase)*(C253=TblDatabase[Year]),0,1),0))="","",INDEX(TblDatabase[Comment12],MATCH(1,INDEX(($L$4=ListEmployeeNamesInDatabase)*(C253=TblDatabase[Year]),0,1),0)))</f>
        <v>#N/A</v>
      </c>
      <c r="S272" s="360"/>
      <c r="T272" s="360"/>
      <c r="U272" s="360"/>
      <c r="V272" s="360"/>
      <c r="W272" s="360"/>
      <c r="X272" s="360"/>
      <c r="Y272" s="361"/>
      <c r="Z272" s="149"/>
      <c r="AA272" s="151">
        <f>SUMIFS(TblDatabase[Competency12],ListEmployeeNamesInDatabase,$L$4,TblDatabase[Year],C253)</f>
        <v>0</v>
      </c>
      <c r="AB272" s="149"/>
      <c r="AC272" s="149"/>
      <c r="AD272" s="149"/>
      <c r="AE272" s="149"/>
      <c r="AF272" s="149"/>
    </row>
    <row r="273" spans="2:32" s="148" customFormat="1" ht="15" hidden="1" customHeight="1">
      <c r="B273" s="350" t="str">
        <f t="shared" si="5"/>
        <v/>
      </c>
      <c r="C273" s="351"/>
      <c r="D273" s="351"/>
      <c r="E273" s="352"/>
      <c r="F273" s="157" t="str">
        <f>IF(Settings!$M$4=Settings!$Y$3,IF($AA273=1,"P",""),IF($AA273=1,"P",""))</f>
        <v/>
      </c>
      <c r="G273" s="158" t="str">
        <f>IF(Settings!$M$4=Settings!$Y$3,IF($AA273=1,"P",""),IF($AA273=2,"P",""))</f>
        <v/>
      </c>
      <c r="H273" s="158" t="str">
        <f>IF(Settings!$M$4=Settings!$Y$3,IF($AA273=1,"P",""),IF($AA273=3,"P",""))</f>
        <v/>
      </c>
      <c r="I273" s="158" t="str">
        <f>IF(Settings!$M$4=Settings!$Y$3,IF($AA273=1,"P",""),IF($AA273=4,"P",""))</f>
        <v/>
      </c>
      <c r="J273" s="158" t="str">
        <f>IF(Settings!$M$4=Settings!$Y$3,IF($AA273=2,"P",""),IF($AA273=5,"P",""))</f>
        <v/>
      </c>
      <c r="K273" s="158" t="str">
        <f>IF(Settings!$M$4=Settings!$Y$3,IF($AA273=2,"P",""),IF($AA273=6,"P",""))</f>
        <v/>
      </c>
      <c r="L273" s="158" t="str">
        <f>IF(Settings!$M$4=Settings!$Y$3,IF($AA273=2,"P",""),IF($AA273=7,"P",""))</f>
        <v/>
      </c>
      <c r="M273" s="158" t="str">
        <f>IF(Settings!$M$4=Settings!$Y$3,IF($AA273=2,"P",""),IF($AA273=8,"P",""))</f>
        <v/>
      </c>
      <c r="N273" s="158" t="str">
        <f>IF(Settings!$M$4=Settings!$Y$3,IF($AA273=3,"P",""),IF($AA273=9,"P",""))</f>
        <v/>
      </c>
      <c r="O273" s="159" t="str">
        <f>IF(Settings!$M$4=Settings!$Y$3,IF($AA273=3,"P",""),IF($AA273=10,"P",""))</f>
        <v/>
      </c>
      <c r="P273" s="22"/>
      <c r="Q273" s="22"/>
      <c r="R273" s="353" t="e">
        <f>IF(INDEX(TblDatabase[Comment13],MATCH(1,INDEX(($L$4=ListEmployeeNamesInDatabase)*(C253=TblDatabase[Year]),0,1),0))="","",INDEX(TblDatabase[Comment13],MATCH(1,INDEX(($L$4=ListEmployeeNamesInDatabase)*(C253=TblDatabase[Year]),0,1),0)))</f>
        <v>#N/A</v>
      </c>
      <c r="S273" s="353"/>
      <c r="T273" s="353"/>
      <c r="U273" s="353"/>
      <c r="V273" s="353"/>
      <c r="W273" s="353"/>
      <c r="X273" s="353"/>
      <c r="Y273" s="354"/>
      <c r="Z273" s="149"/>
      <c r="AA273" s="151">
        <f>SUMIFS(TblDatabase[Competency13],ListEmployeeNamesInDatabase,$L$4,TblDatabase[Year],C253)</f>
        <v>0</v>
      </c>
      <c r="AB273" s="149"/>
      <c r="AC273" s="149"/>
      <c r="AD273" s="149"/>
      <c r="AE273" s="149"/>
      <c r="AF273" s="149"/>
    </row>
    <row r="274" spans="2:32" s="148" customFormat="1" ht="15" hidden="1" customHeight="1">
      <c r="B274" s="355" t="str">
        <f t="shared" si="5"/>
        <v/>
      </c>
      <c r="C274" s="356"/>
      <c r="D274" s="356"/>
      <c r="E274" s="357"/>
      <c r="F274" s="163" t="str">
        <f>IF(Settings!$M$4=Settings!$Y$3,IF($AA274=1,"P",""),IF($AA274=1,"P",""))</f>
        <v/>
      </c>
      <c r="G274" s="164" t="str">
        <f>IF(Settings!$M$4=Settings!$Y$3,IF($AA274=1,"P",""),IF($AA274=2,"P",""))</f>
        <v/>
      </c>
      <c r="H274" s="164" t="str">
        <f>IF(Settings!$M$4=Settings!$Y$3,IF($AA274=1,"P",""),IF($AA274=3,"P",""))</f>
        <v/>
      </c>
      <c r="I274" s="164" t="str">
        <f>IF(Settings!$M$4=Settings!$Y$3,IF($AA274=1,"P",""),IF($AA274=4,"P",""))</f>
        <v/>
      </c>
      <c r="J274" s="164" t="str">
        <f>IF(Settings!$M$4=Settings!$Y$3,IF($AA274=2,"P",""),IF($AA274=5,"P",""))</f>
        <v/>
      </c>
      <c r="K274" s="164" t="str">
        <f>IF(Settings!$M$4=Settings!$Y$3,IF($AA274=2,"P",""),IF($AA274=6,"P",""))</f>
        <v/>
      </c>
      <c r="L274" s="164" t="str">
        <f>IF(Settings!$M$4=Settings!$Y$3,IF($AA274=2,"P",""),IF($AA274=7,"P",""))</f>
        <v/>
      </c>
      <c r="M274" s="164" t="str">
        <f>IF(Settings!$M$4=Settings!$Y$3,IF($AA274=2,"P",""),IF($AA274=8,"P",""))</f>
        <v/>
      </c>
      <c r="N274" s="164" t="str">
        <f>IF(Settings!$M$4=Settings!$Y$3,IF($AA274=3,"P",""),IF($AA274=9,"P",""))</f>
        <v/>
      </c>
      <c r="O274" s="165" t="str">
        <f>IF(Settings!$M$4=Settings!$Y$3,IF($AA274=3,"P",""),IF($AA274=10,"P",""))</f>
        <v/>
      </c>
      <c r="P274" s="22"/>
      <c r="Q274" s="22"/>
      <c r="R274" s="360" t="e">
        <f>IF(INDEX(TblDatabase[Comment14],MATCH(1,INDEX(($L$4=ListEmployeeNamesInDatabase)*(C253=TblDatabase[Year]),0,1),0))="","",INDEX(TblDatabase[Comment14],MATCH(1,INDEX(($L$4=ListEmployeeNamesInDatabase)*(C253=TblDatabase[Year]),0,1),0)))</f>
        <v>#N/A</v>
      </c>
      <c r="S274" s="360"/>
      <c r="T274" s="360"/>
      <c r="U274" s="360"/>
      <c r="V274" s="360"/>
      <c r="W274" s="360"/>
      <c r="X274" s="360"/>
      <c r="Y274" s="361"/>
      <c r="Z274" s="149"/>
      <c r="AA274" s="151">
        <f>SUMIFS(TblDatabase[Competency14],ListEmployeeNamesInDatabase,$L$4,TblDatabase[Year],C253)</f>
        <v>0</v>
      </c>
      <c r="AB274" s="149"/>
      <c r="AC274" s="149"/>
      <c r="AD274" s="149"/>
      <c r="AE274" s="149"/>
      <c r="AF274" s="149"/>
    </row>
    <row r="275" spans="2:32" s="148" customFormat="1" ht="15" hidden="1" customHeight="1">
      <c r="B275" s="350" t="str">
        <f t="shared" si="5"/>
        <v/>
      </c>
      <c r="C275" s="351"/>
      <c r="D275" s="351"/>
      <c r="E275" s="352"/>
      <c r="F275" s="157" t="str">
        <f>IF(Settings!$M$4=Settings!$Y$3,IF($AA275=1,"P",""),IF($AA275=1,"P",""))</f>
        <v/>
      </c>
      <c r="G275" s="158" t="str">
        <f>IF(Settings!$M$4=Settings!$Y$3,IF($AA275=1,"P",""),IF($AA275=2,"P",""))</f>
        <v/>
      </c>
      <c r="H275" s="158" t="str">
        <f>IF(Settings!$M$4=Settings!$Y$3,IF($AA275=1,"P",""),IF($AA275=3,"P",""))</f>
        <v/>
      </c>
      <c r="I275" s="158" t="str">
        <f>IF(Settings!$M$4=Settings!$Y$3,IF($AA275=1,"P",""),IF($AA275=4,"P",""))</f>
        <v/>
      </c>
      <c r="J275" s="158" t="str">
        <f>IF(Settings!$M$4=Settings!$Y$3,IF($AA275=2,"P",""),IF($AA275=5,"P",""))</f>
        <v/>
      </c>
      <c r="K275" s="158" t="str">
        <f>IF(Settings!$M$4=Settings!$Y$3,IF($AA275=2,"P",""),IF($AA275=6,"P",""))</f>
        <v/>
      </c>
      <c r="L275" s="158" t="str">
        <f>IF(Settings!$M$4=Settings!$Y$3,IF($AA275=2,"P",""),IF($AA275=7,"P",""))</f>
        <v/>
      </c>
      <c r="M275" s="158" t="str">
        <f>IF(Settings!$M$4=Settings!$Y$3,IF($AA275=2,"P",""),IF($AA275=8,"P",""))</f>
        <v/>
      </c>
      <c r="N275" s="158" t="str">
        <f>IF(Settings!$M$4=Settings!$Y$3,IF($AA275=3,"P",""),IF($AA275=9,"P",""))</f>
        <v/>
      </c>
      <c r="O275" s="159" t="str">
        <f>IF(Settings!$M$4=Settings!$Y$3,IF($AA275=3,"P",""),IF($AA275=10,"P",""))</f>
        <v/>
      </c>
      <c r="P275" s="22"/>
      <c r="Q275" s="22"/>
      <c r="R275" s="353" t="e">
        <f>IF(INDEX(TblDatabase[Comment15],MATCH(1,INDEX(($L$4=ListEmployeeNamesInDatabase)*(C253=TblDatabase[Year]),0,1),0))="","",INDEX(TblDatabase[Comment15],MATCH(1,INDEX(($L$4=ListEmployeeNamesInDatabase)*(C253=TblDatabase[Year]),0,1),0)))</f>
        <v>#N/A</v>
      </c>
      <c r="S275" s="353"/>
      <c r="T275" s="353"/>
      <c r="U275" s="353"/>
      <c r="V275" s="353"/>
      <c r="W275" s="353"/>
      <c r="X275" s="353"/>
      <c r="Y275" s="354"/>
      <c r="Z275" s="149"/>
      <c r="AA275" s="151">
        <f>SUMIFS(TblDatabase[Competency15],ListEmployeeNamesInDatabase,$L$4,TblDatabase[Year],C253)</f>
        <v>0</v>
      </c>
      <c r="AB275" s="149"/>
      <c r="AC275" s="149"/>
      <c r="AD275" s="149"/>
      <c r="AE275" s="149"/>
      <c r="AF275" s="149"/>
    </row>
    <row r="276" spans="2:32" s="148" customFormat="1" ht="15" hidden="1" customHeight="1">
      <c r="B276" s="355" t="str">
        <f t="shared" si="5"/>
        <v/>
      </c>
      <c r="C276" s="356"/>
      <c r="D276" s="356"/>
      <c r="E276" s="357"/>
      <c r="F276" s="163" t="str">
        <f>IF(Settings!$M$4=Settings!$Y$3,IF($AA276=1,"P",""),IF($AA276=1,"P",""))</f>
        <v/>
      </c>
      <c r="G276" s="164" t="str">
        <f>IF(Settings!$M$4=Settings!$Y$3,IF($AA276=1,"P",""),IF($AA276=2,"P",""))</f>
        <v/>
      </c>
      <c r="H276" s="164" t="str">
        <f>IF(Settings!$M$4=Settings!$Y$3,IF($AA276=1,"P",""),IF($AA276=3,"P",""))</f>
        <v/>
      </c>
      <c r="I276" s="164" t="str">
        <f>IF(Settings!$M$4=Settings!$Y$3,IF($AA276=1,"P",""),IF($AA276=4,"P",""))</f>
        <v/>
      </c>
      <c r="J276" s="164" t="str">
        <f>IF(Settings!$M$4=Settings!$Y$3,IF($AA276=2,"P",""),IF($AA276=5,"P",""))</f>
        <v/>
      </c>
      <c r="K276" s="164" t="str">
        <f>IF(Settings!$M$4=Settings!$Y$3,IF($AA276=2,"P",""),IF($AA276=6,"P",""))</f>
        <v/>
      </c>
      <c r="L276" s="164" t="str">
        <f>IF(Settings!$M$4=Settings!$Y$3,IF($AA276=2,"P",""),IF($AA276=7,"P",""))</f>
        <v/>
      </c>
      <c r="M276" s="164" t="str">
        <f>IF(Settings!$M$4=Settings!$Y$3,IF($AA276=2,"P",""),IF($AA276=8,"P",""))</f>
        <v/>
      </c>
      <c r="N276" s="164" t="str">
        <f>IF(Settings!$M$4=Settings!$Y$3,IF($AA276=3,"P",""),IF($AA276=9,"P",""))</f>
        <v/>
      </c>
      <c r="O276" s="165" t="str">
        <f>IF(Settings!$M$4=Settings!$Y$3,IF($AA276=3,"P",""),IF($AA276=10,"P",""))</f>
        <v/>
      </c>
      <c r="P276" s="22"/>
      <c r="Q276" s="22"/>
      <c r="R276" s="360" t="e">
        <f>IF(INDEX(TblDatabase[Comment16],MATCH(1,INDEX(($L$4=ListEmployeeNamesInDatabase)*(C253=TblDatabase[Year]),0,1),0))="","",INDEX(TblDatabase[Comment16],MATCH(1,INDEX(($L$4=ListEmployeeNamesInDatabase)*(C253=TblDatabase[Year]),0,1),0)))</f>
        <v>#N/A</v>
      </c>
      <c r="S276" s="360"/>
      <c r="T276" s="360"/>
      <c r="U276" s="360"/>
      <c r="V276" s="360"/>
      <c r="W276" s="360"/>
      <c r="X276" s="360"/>
      <c r="Y276" s="361"/>
      <c r="Z276" s="149"/>
      <c r="AA276" s="151">
        <f>SUMIFS(TblDatabase[Competency16],ListEmployeeNamesInDatabase,$L$4,TblDatabase[Year],C253)</f>
        <v>0</v>
      </c>
      <c r="AB276" s="149"/>
      <c r="AC276" s="149"/>
      <c r="AD276" s="149"/>
      <c r="AE276" s="149"/>
      <c r="AF276" s="149"/>
    </row>
    <row r="277" spans="2:32" s="148" customFormat="1" ht="15" hidden="1" customHeight="1">
      <c r="B277" s="350" t="str">
        <f t="shared" si="5"/>
        <v/>
      </c>
      <c r="C277" s="351"/>
      <c r="D277" s="351"/>
      <c r="E277" s="352"/>
      <c r="F277" s="157" t="str">
        <f>IF(Settings!$M$4=Settings!$Y$3,IF($AA277=1,"P",""),IF($AA277=1,"P",""))</f>
        <v/>
      </c>
      <c r="G277" s="158" t="str">
        <f>IF(Settings!$M$4=Settings!$Y$3,IF($AA277=1,"P",""),IF($AA277=2,"P",""))</f>
        <v/>
      </c>
      <c r="H277" s="158" t="str">
        <f>IF(Settings!$M$4=Settings!$Y$3,IF($AA277=1,"P",""),IF($AA277=3,"P",""))</f>
        <v/>
      </c>
      <c r="I277" s="158" t="str">
        <f>IF(Settings!$M$4=Settings!$Y$3,IF($AA277=1,"P",""),IF($AA277=4,"P",""))</f>
        <v/>
      </c>
      <c r="J277" s="158" t="str">
        <f>IF(Settings!$M$4=Settings!$Y$3,IF($AA277=2,"P",""),IF($AA277=5,"P",""))</f>
        <v/>
      </c>
      <c r="K277" s="158" t="str">
        <f>IF(Settings!$M$4=Settings!$Y$3,IF($AA277=2,"P",""),IF($AA277=6,"P",""))</f>
        <v/>
      </c>
      <c r="L277" s="158" t="str">
        <f>IF(Settings!$M$4=Settings!$Y$3,IF($AA277=2,"P",""),IF($AA277=7,"P",""))</f>
        <v/>
      </c>
      <c r="M277" s="158" t="str">
        <f>IF(Settings!$M$4=Settings!$Y$3,IF($AA277=2,"P",""),IF($AA277=8,"P",""))</f>
        <v/>
      </c>
      <c r="N277" s="158" t="str">
        <f>IF(Settings!$M$4=Settings!$Y$3,IF($AA277=3,"P",""),IF($AA277=9,"P",""))</f>
        <v/>
      </c>
      <c r="O277" s="159" t="str">
        <f>IF(Settings!$M$4=Settings!$Y$3,IF($AA277=3,"P",""),IF($AA277=10,"P",""))</f>
        <v/>
      </c>
      <c r="P277" s="22"/>
      <c r="Q277" s="22"/>
      <c r="R277" s="353" t="e">
        <f>IF(INDEX(TblDatabase[Comment17],MATCH(1,INDEX(($L$4=ListEmployeeNamesInDatabase)*(C253=TblDatabase[Year]),0,1),0))="","",INDEX(TblDatabase[Comment17],MATCH(1,INDEX(($L$4=ListEmployeeNamesInDatabase)*(C253=TblDatabase[Year]),0,1),0)))</f>
        <v>#N/A</v>
      </c>
      <c r="S277" s="353"/>
      <c r="T277" s="353"/>
      <c r="U277" s="353"/>
      <c r="V277" s="353"/>
      <c r="W277" s="353"/>
      <c r="X277" s="353"/>
      <c r="Y277" s="354"/>
      <c r="Z277" s="149"/>
      <c r="AA277" s="151">
        <f>SUMIFS(TblDatabase[Competency17],ListEmployeeNamesInDatabase,$L$4,TblDatabase[Year],C253)</f>
        <v>0</v>
      </c>
      <c r="AB277" s="149"/>
      <c r="AC277" s="149"/>
      <c r="AD277" s="149"/>
      <c r="AE277" s="149"/>
      <c r="AF277" s="149"/>
    </row>
    <row r="278" spans="2:32" s="148" customFormat="1" ht="15" hidden="1" customHeight="1">
      <c r="B278" s="355" t="str">
        <f t="shared" si="5"/>
        <v/>
      </c>
      <c r="C278" s="356"/>
      <c r="D278" s="356"/>
      <c r="E278" s="357"/>
      <c r="F278" s="163" t="str">
        <f>IF(Settings!$M$4=Settings!$Y$3,IF($AA278=1,"P",""),IF($AA278=1,"P",""))</f>
        <v/>
      </c>
      <c r="G278" s="164" t="str">
        <f>IF(Settings!$M$4=Settings!$Y$3,IF($AA278=1,"P",""),IF($AA278=2,"P",""))</f>
        <v/>
      </c>
      <c r="H278" s="164" t="str">
        <f>IF(Settings!$M$4=Settings!$Y$3,IF($AA278=1,"P",""),IF($AA278=3,"P",""))</f>
        <v/>
      </c>
      <c r="I278" s="164" t="str">
        <f>IF(Settings!$M$4=Settings!$Y$3,IF($AA278=1,"P",""),IF($AA278=4,"P",""))</f>
        <v/>
      </c>
      <c r="J278" s="164" t="str">
        <f>IF(Settings!$M$4=Settings!$Y$3,IF($AA278=2,"P",""),IF($AA278=5,"P",""))</f>
        <v/>
      </c>
      <c r="K278" s="164" t="str">
        <f>IF(Settings!$M$4=Settings!$Y$3,IF($AA278=2,"P",""),IF($AA278=6,"P",""))</f>
        <v/>
      </c>
      <c r="L278" s="164" t="str">
        <f>IF(Settings!$M$4=Settings!$Y$3,IF($AA278=2,"P",""),IF($AA278=7,"P",""))</f>
        <v/>
      </c>
      <c r="M278" s="164" t="str">
        <f>IF(Settings!$M$4=Settings!$Y$3,IF($AA278=2,"P",""),IF($AA278=8,"P",""))</f>
        <v/>
      </c>
      <c r="N278" s="164" t="str">
        <f>IF(Settings!$M$4=Settings!$Y$3,IF($AA278=3,"P",""),IF($AA278=9,"P",""))</f>
        <v/>
      </c>
      <c r="O278" s="165" t="str">
        <f>IF(Settings!$M$4=Settings!$Y$3,IF($AA278=3,"P",""),IF($AA278=10,"P",""))</f>
        <v/>
      </c>
      <c r="P278" s="22"/>
      <c r="Q278" s="22"/>
      <c r="R278" s="360" t="e">
        <f>IF(INDEX(TblDatabase[Comment18],MATCH(1,INDEX(($L$4=ListEmployeeNamesInDatabase)*(C253=TblDatabase[Year]),0,1),0))="","",INDEX(TblDatabase[Comment18],MATCH(1,INDEX(($L$4=ListEmployeeNamesInDatabase)*(C253=TblDatabase[Year]),0,1),0)))</f>
        <v>#N/A</v>
      </c>
      <c r="S278" s="360"/>
      <c r="T278" s="360"/>
      <c r="U278" s="360"/>
      <c r="V278" s="360"/>
      <c r="W278" s="360"/>
      <c r="X278" s="360"/>
      <c r="Y278" s="361"/>
      <c r="Z278" s="149"/>
      <c r="AA278" s="151">
        <f>SUMIFS(TblDatabase[Competency18],ListEmployeeNamesInDatabase,$L$4,TblDatabase[Year],C253)</f>
        <v>0</v>
      </c>
      <c r="AB278" s="149"/>
      <c r="AC278" s="149"/>
      <c r="AD278" s="149"/>
      <c r="AE278" s="149"/>
      <c r="AF278" s="149"/>
    </row>
    <row r="279" spans="2:32" s="148" customFormat="1" ht="15" hidden="1" customHeight="1">
      <c r="B279" s="350" t="str">
        <f t="shared" si="5"/>
        <v/>
      </c>
      <c r="C279" s="351"/>
      <c r="D279" s="351"/>
      <c r="E279" s="352"/>
      <c r="F279" s="157" t="str">
        <f>IF(Settings!$M$4=Settings!$Y$3,IF($AA279=1,"P",""),IF($AA279=1,"P",""))</f>
        <v/>
      </c>
      <c r="G279" s="158" t="str">
        <f>IF(Settings!$M$4=Settings!$Y$3,IF($AA279=1,"P",""),IF($AA279=2,"P",""))</f>
        <v/>
      </c>
      <c r="H279" s="158" t="str">
        <f>IF(Settings!$M$4=Settings!$Y$3,IF($AA279=1,"P",""),IF($AA279=3,"P",""))</f>
        <v/>
      </c>
      <c r="I279" s="158" t="str">
        <f>IF(Settings!$M$4=Settings!$Y$3,IF($AA279=1,"P",""),IF($AA279=4,"P",""))</f>
        <v/>
      </c>
      <c r="J279" s="158" t="str">
        <f>IF(Settings!$M$4=Settings!$Y$3,IF($AA279=2,"P",""),IF($AA279=5,"P",""))</f>
        <v/>
      </c>
      <c r="K279" s="158" t="str">
        <f>IF(Settings!$M$4=Settings!$Y$3,IF($AA279=2,"P",""),IF($AA279=6,"P",""))</f>
        <v/>
      </c>
      <c r="L279" s="158" t="str">
        <f>IF(Settings!$M$4=Settings!$Y$3,IF($AA279=2,"P",""),IF($AA279=7,"P",""))</f>
        <v/>
      </c>
      <c r="M279" s="158" t="str">
        <f>IF(Settings!$M$4=Settings!$Y$3,IF($AA279=2,"P",""),IF($AA279=8,"P",""))</f>
        <v/>
      </c>
      <c r="N279" s="158" t="str">
        <f>IF(Settings!$M$4=Settings!$Y$3,IF($AA279=3,"P",""),IF($AA279=9,"P",""))</f>
        <v/>
      </c>
      <c r="O279" s="159" t="str">
        <f>IF(Settings!$M$4=Settings!$Y$3,IF($AA279=3,"P",""),IF($AA279=10,"P",""))</f>
        <v/>
      </c>
      <c r="P279" s="22"/>
      <c r="Q279" s="22"/>
      <c r="R279" s="353" t="e">
        <f>IF(INDEX(TblDatabase[Comment19],MATCH(1,INDEX(($L$4=ListEmployeeNamesInDatabase)*(C253=TblDatabase[Year]),0,1),0))="","",INDEX(TblDatabase[Comment19],MATCH(1,INDEX(($L$4=ListEmployeeNamesInDatabase)*(C253=TblDatabase[Year]),0,1),0)))</f>
        <v>#N/A</v>
      </c>
      <c r="S279" s="353"/>
      <c r="T279" s="353"/>
      <c r="U279" s="353"/>
      <c r="V279" s="353"/>
      <c r="W279" s="353"/>
      <c r="X279" s="353"/>
      <c r="Y279" s="354"/>
      <c r="Z279" s="149"/>
      <c r="AA279" s="151">
        <f>SUMIFS(TblDatabase[Competency19],ListEmployeeNamesInDatabase,$L$4,TblDatabase[Year],C253)</f>
        <v>0</v>
      </c>
      <c r="AB279" s="149"/>
      <c r="AC279" s="149"/>
      <c r="AD279" s="149"/>
      <c r="AE279" s="149"/>
      <c r="AF279" s="149"/>
    </row>
    <row r="280" spans="2:32" s="148" customFormat="1" ht="15" hidden="1" customHeight="1">
      <c r="B280" s="362" t="str">
        <f t="shared" si="5"/>
        <v/>
      </c>
      <c r="C280" s="363"/>
      <c r="D280" s="363"/>
      <c r="E280" s="364"/>
      <c r="F280" s="166" t="str">
        <f>IF(Settings!$M$4=Settings!$Y$3,IF($AA280=1,"P",""),IF($AA280=1,"P",""))</f>
        <v/>
      </c>
      <c r="G280" s="167" t="str">
        <f>IF(Settings!$M$4=Settings!$Y$3,IF($AA280=1,"P",""),IF($AA280=2,"P",""))</f>
        <v/>
      </c>
      <c r="H280" s="167" t="str">
        <f>IF(Settings!$M$4=Settings!$Y$3,IF($AA280=1,"P",""),IF($AA280=3,"P",""))</f>
        <v/>
      </c>
      <c r="I280" s="167" t="str">
        <f>IF(Settings!$M$4=Settings!$Y$3,IF($AA280=1,"P",""),IF($AA280=4,"P",""))</f>
        <v/>
      </c>
      <c r="J280" s="167" t="str">
        <f>IF(Settings!$M$4=Settings!$Y$3,IF($AA280=2,"P",""),IF($AA280=5,"P",""))</f>
        <v/>
      </c>
      <c r="K280" s="167" t="str">
        <f>IF(Settings!$M$4=Settings!$Y$3,IF($AA280=2,"P",""),IF($AA280=6,"P",""))</f>
        <v/>
      </c>
      <c r="L280" s="167" t="str">
        <f>IF(Settings!$M$4=Settings!$Y$3,IF($AA280=2,"P",""),IF($AA280=7,"P",""))</f>
        <v/>
      </c>
      <c r="M280" s="167" t="str">
        <f>IF(Settings!$M$4=Settings!$Y$3,IF($AA280=2,"P",""),IF($AA280=8,"P",""))</f>
        <v/>
      </c>
      <c r="N280" s="167" t="str">
        <f>IF(Settings!$M$4=Settings!$Y$3,IF($AA280=3,"P",""),IF($AA280=9,"P",""))</f>
        <v/>
      </c>
      <c r="O280" s="168" t="str">
        <f>IF(Settings!$M$4=Settings!$Y$3,IF($AA280=3,"P",""),IF($AA280=10,"P",""))</f>
        <v/>
      </c>
      <c r="P280" s="22"/>
      <c r="Q280" s="22"/>
      <c r="R280" s="365" t="e">
        <f>IF(INDEX(TblDatabase[Comment20],MATCH(1,INDEX(($L$4=ListEmployeeNamesInDatabase)*(C253=TblDatabase[Year]),0,1),0))="","",INDEX(TblDatabase[Comment20],MATCH(1,INDEX(($L$4=ListEmployeeNamesInDatabase)*(C253=TblDatabase[Year]),0,1),0)))</f>
        <v>#N/A</v>
      </c>
      <c r="S280" s="365"/>
      <c r="T280" s="365"/>
      <c r="U280" s="365"/>
      <c r="V280" s="365"/>
      <c r="W280" s="365"/>
      <c r="X280" s="365"/>
      <c r="Y280" s="366"/>
      <c r="Z280" s="149"/>
      <c r="AA280" s="151">
        <f>SUMIFS(TblDatabase[Competency20],ListEmployeeNamesInDatabase,$L$4,TblDatabase[Year],C253)</f>
        <v>0</v>
      </c>
      <c r="AB280" s="149"/>
      <c r="AC280" s="149"/>
      <c r="AD280" s="149"/>
      <c r="AE280" s="149"/>
      <c r="AF280" s="149"/>
    </row>
    <row r="281" spans="2:32" s="148" customFormat="1" hidden="1">
      <c r="B281" s="414" t="s">
        <v>26</v>
      </c>
      <c r="C281" s="415"/>
      <c r="D281" s="415"/>
      <c r="E281" s="371">
        <f ca="1">SUM(OFFSET(AA261,0,0,NumberOfCompetencies))</f>
        <v>0</v>
      </c>
      <c r="F281" s="372"/>
      <c r="G281" s="152"/>
      <c r="H281" s="152"/>
      <c r="I281" s="152"/>
      <c r="J281" s="152"/>
      <c r="K281" s="152"/>
      <c r="L281" s="152"/>
      <c r="M281" s="152"/>
      <c r="N281" s="152"/>
      <c r="O281" s="152"/>
      <c r="P281" s="152"/>
      <c r="Q281" s="152"/>
      <c r="R281" s="152"/>
      <c r="S281" s="152"/>
      <c r="T281" s="152"/>
      <c r="U281" s="152"/>
      <c r="V281" s="152"/>
      <c r="W281" s="152"/>
      <c r="X281" s="152"/>
      <c r="Y281" s="152"/>
      <c r="Z281" s="149"/>
      <c r="AA281" s="149"/>
      <c r="AB281" s="149"/>
      <c r="AC281" s="149"/>
      <c r="AD281" s="149"/>
      <c r="AE281" s="149"/>
      <c r="AF281" s="149"/>
    </row>
    <row r="282" spans="2:32" s="148" customFormat="1" hidden="1">
      <c r="B282" s="369" t="s">
        <v>27</v>
      </c>
      <c r="C282" s="370"/>
      <c r="D282" s="370"/>
      <c r="E282" s="358">
        <f ca="1">E281/NumberOfCompetencies</f>
        <v>0</v>
      </c>
      <c r="F282" s="359"/>
      <c r="G282" s="153"/>
      <c r="H282" s="153"/>
      <c r="I282" s="153"/>
      <c r="J282" s="153"/>
      <c r="K282" s="153"/>
      <c r="L282" s="153"/>
      <c r="M282" s="153"/>
      <c r="N282" s="153"/>
      <c r="O282" s="153"/>
      <c r="P282" s="153"/>
      <c r="Q282" s="153"/>
      <c r="R282" s="153"/>
      <c r="S282" s="153"/>
      <c r="T282" s="153"/>
      <c r="U282" s="153"/>
      <c r="V282" s="153"/>
      <c r="W282" s="153"/>
      <c r="X282" s="153"/>
      <c r="Y282" s="153"/>
      <c r="Z282" s="149"/>
      <c r="AA282" s="149"/>
      <c r="AB282" s="149"/>
      <c r="AC282" s="149"/>
      <c r="AD282" s="149"/>
      <c r="AE282" s="149"/>
      <c r="AF282" s="149"/>
    </row>
    <row r="283" spans="2:32" s="148" customFormat="1" hidden="1">
      <c r="B283" s="154"/>
      <c r="C283" s="154"/>
      <c r="D283" s="154"/>
      <c r="E283" s="154"/>
      <c r="F283" s="154"/>
      <c r="G283" s="154"/>
      <c r="H283" s="154"/>
      <c r="I283" s="154"/>
      <c r="J283" s="154"/>
      <c r="K283" s="154"/>
      <c r="L283" s="154"/>
      <c r="M283" s="154"/>
      <c r="N283" s="154"/>
      <c r="O283" s="154"/>
      <c r="P283" s="154"/>
      <c r="Q283" s="154"/>
      <c r="R283" s="154"/>
      <c r="S283" s="154"/>
      <c r="T283" s="154"/>
      <c r="U283" s="154"/>
      <c r="V283" s="154"/>
      <c r="W283" s="154"/>
      <c r="X283" s="154"/>
      <c r="Y283" s="154"/>
      <c r="Z283" s="149"/>
      <c r="AA283" s="149"/>
      <c r="AB283" s="149"/>
      <c r="AC283" s="149"/>
      <c r="AD283" s="149"/>
      <c r="AE283" s="149"/>
      <c r="AF283" s="149"/>
    </row>
    <row r="284" spans="2:32" s="148" customFormat="1" hidden="1">
      <c r="B284" s="338" t="str">
        <f>Settings!$N$15</f>
        <v>Previously agreed actions</v>
      </c>
      <c r="C284" s="339"/>
      <c r="D284" s="339"/>
      <c r="E284" s="339"/>
      <c r="F284" s="339"/>
      <c r="G284" s="339"/>
      <c r="H284" s="339"/>
      <c r="I284" s="339"/>
      <c r="J284" s="339"/>
      <c r="K284" s="339"/>
      <c r="L284" s="339"/>
      <c r="M284" s="339"/>
      <c r="N284" s="339"/>
      <c r="O284" s="339"/>
      <c r="P284" s="339"/>
      <c r="Q284" s="339"/>
      <c r="R284" s="339"/>
      <c r="S284" s="339"/>
      <c r="T284" s="339"/>
      <c r="U284" s="339"/>
      <c r="V284" s="339"/>
      <c r="W284" s="339"/>
      <c r="X284" s="339"/>
      <c r="Y284" s="340"/>
      <c r="Z284" s="149"/>
      <c r="AA284" s="149"/>
      <c r="AB284" s="149"/>
      <c r="AC284" s="149"/>
      <c r="AD284" s="149"/>
      <c r="AE284" s="149"/>
      <c r="AF284" s="149"/>
    </row>
    <row r="285" spans="2:32" s="148" customFormat="1" hidden="1">
      <c r="B285" s="341" t="e">
        <f>IF(INDEX(TblDatabase[Feedback Does Well],MATCH(1,INDEX(($L$4=ListEmployeeNamesInDatabase)*(C253=TblDatabase[Year]),0,1),0))="","",INDEX(TblDatabase[Feedback Does Well],MATCH(1,INDEX(($L$4=ListEmployeeNamesInDatabase)*(C253=TblDatabase[Year]),0,1),0)))</f>
        <v>#N/A</v>
      </c>
      <c r="C285" s="342"/>
      <c r="D285" s="342"/>
      <c r="E285" s="342"/>
      <c r="F285" s="342"/>
      <c r="G285" s="342"/>
      <c r="H285" s="342"/>
      <c r="I285" s="342"/>
      <c r="J285" s="342"/>
      <c r="K285" s="342"/>
      <c r="L285" s="342"/>
      <c r="M285" s="342"/>
      <c r="N285" s="342"/>
      <c r="O285" s="342"/>
      <c r="P285" s="342"/>
      <c r="Q285" s="342"/>
      <c r="R285" s="342"/>
      <c r="S285" s="342"/>
      <c r="T285" s="342"/>
      <c r="U285" s="342"/>
      <c r="V285" s="342"/>
      <c r="W285" s="342"/>
      <c r="X285" s="342"/>
      <c r="Y285" s="343"/>
      <c r="Z285" s="149"/>
      <c r="AA285" s="149"/>
      <c r="AB285" s="149"/>
      <c r="AC285" s="149"/>
      <c r="AD285" s="149"/>
      <c r="AE285" s="149"/>
      <c r="AF285" s="149"/>
    </row>
    <row r="286" spans="2:32" s="148" customFormat="1" hidden="1">
      <c r="B286" s="344"/>
      <c r="C286" s="345"/>
      <c r="D286" s="345"/>
      <c r="E286" s="345"/>
      <c r="F286" s="345"/>
      <c r="G286" s="345"/>
      <c r="H286" s="345"/>
      <c r="I286" s="345"/>
      <c r="J286" s="345"/>
      <c r="K286" s="345"/>
      <c r="L286" s="345"/>
      <c r="M286" s="345"/>
      <c r="N286" s="345"/>
      <c r="O286" s="345"/>
      <c r="P286" s="345"/>
      <c r="Q286" s="345"/>
      <c r="R286" s="345"/>
      <c r="S286" s="345"/>
      <c r="T286" s="345"/>
      <c r="U286" s="345"/>
      <c r="V286" s="345"/>
      <c r="W286" s="345"/>
      <c r="X286" s="345"/>
      <c r="Y286" s="346"/>
      <c r="Z286" s="149"/>
      <c r="AA286" s="149"/>
      <c r="AB286" s="149"/>
      <c r="AC286" s="149"/>
      <c r="AD286" s="149"/>
      <c r="AE286" s="149"/>
      <c r="AF286" s="149"/>
    </row>
    <row r="287" spans="2:32" s="148" customFormat="1" hidden="1">
      <c r="B287" s="347"/>
      <c r="C287" s="348"/>
      <c r="D287" s="348"/>
      <c r="E287" s="348"/>
      <c r="F287" s="348"/>
      <c r="G287" s="348"/>
      <c r="H287" s="348"/>
      <c r="I287" s="348"/>
      <c r="J287" s="348"/>
      <c r="K287" s="348"/>
      <c r="L287" s="348"/>
      <c r="M287" s="348"/>
      <c r="N287" s="348"/>
      <c r="O287" s="348"/>
      <c r="P287" s="348"/>
      <c r="Q287" s="348"/>
      <c r="R287" s="348"/>
      <c r="S287" s="348"/>
      <c r="T287" s="348"/>
      <c r="U287" s="348"/>
      <c r="V287" s="348"/>
      <c r="W287" s="348"/>
      <c r="X287" s="348"/>
      <c r="Y287" s="349"/>
      <c r="Z287" s="149"/>
      <c r="AA287" s="149"/>
      <c r="AB287" s="149"/>
      <c r="AC287" s="149"/>
      <c r="AD287" s="149"/>
      <c r="AE287" s="149"/>
      <c r="AF287" s="149"/>
    </row>
    <row r="288" spans="2:32" s="148" customFormat="1" hidden="1">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49"/>
      <c r="AA288" s="149"/>
      <c r="AB288" s="149"/>
      <c r="AC288" s="149"/>
      <c r="AD288" s="149"/>
      <c r="AE288" s="149"/>
      <c r="AF288" s="149"/>
    </row>
    <row r="289" spans="1:32" s="148" customFormat="1" hidden="1">
      <c r="B289" s="338" t="str">
        <f>Settings!$N$16</f>
        <v>Actions agreed during this review</v>
      </c>
      <c r="C289" s="339"/>
      <c r="D289" s="339"/>
      <c r="E289" s="339"/>
      <c r="F289" s="339"/>
      <c r="G289" s="339"/>
      <c r="H289" s="339"/>
      <c r="I289" s="339"/>
      <c r="J289" s="339"/>
      <c r="K289" s="339"/>
      <c r="L289" s="339"/>
      <c r="M289" s="339"/>
      <c r="N289" s="339"/>
      <c r="O289" s="339"/>
      <c r="P289" s="339"/>
      <c r="Q289" s="339"/>
      <c r="R289" s="339"/>
      <c r="S289" s="339"/>
      <c r="T289" s="339"/>
      <c r="U289" s="339"/>
      <c r="V289" s="339"/>
      <c r="W289" s="339"/>
      <c r="X289" s="339"/>
      <c r="Y289" s="340"/>
      <c r="Z289" s="149"/>
      <c r="AA289" s="149"/>
      <c r="AB289" s="149"/>
      <c r="AC289" s="149"/>
      <c r="AD289" s="149"/>
      <c r="AE289" s="149"/>
      <c r="AF289" s="149"/>
    </row>
    <row r="290" spans="1:32" s="148" customFormat="1" hidden="1">
      <c r="B290" s="341" t="e">
        <f>IF(INDEX(TblDatabase[Feedback To Improve],MATCH(1,INDEX(($L$4=ListEmployeeNamesInDatabase)*(C253=TblDatabase[Year]),0,1),0))="","",INDEX(TblDatabase[Feedback To Improve],MATCH(1,INDEX(($L$4=ListEmployeeNamesInDatabase)*(C253=TblDatabase[Year]),0,1),0)))</f>
        <v>#N/A</v>
      </c>
      <c r="C290" s="342"/>
      <c r="D290" s="342"/>
      <c r="E290" s="342"/>
      <c r="F290" s="342"/>
      <c r="G290" s="342"/>
      <c r="H290" s="342"/>
      <c r="I290" s="342"/>
      <c r="J290" s="342"/>
      <c r="K290" s="342"/>
      <c r="L290" s="342"/>
      <c r="M290" s="342"/>
      <c r="N290" s="342"/>
      <c r="O290" s="342"/>
      <c r="P290" s="342"/>
      <c r="Q290" s="342"/>
      <c r="R290" s="342"/>
      <c r="S290" s="342"/>
      <c r="T290" s="342"/>
      <c r="U290" s="342"/>
      <c r="V290" s="342"/>
      <c r="W290" s="342"/>
      <c r="X290" s="342"/>
      <c r="Y290" s="343"/>
      <c r="Z290" s="149"/>
      <c r="AA290" s="149"/>
      <c r="AB290" s="149"/>
      <c r="AC290" s="149"/>
      <c r="AD290" s="149"/>
      <c r="AE290" s="149"/>
      <c r="AF290" s="149"/>
    </row>
    <row r="291" spans="1:32" s="148" customFormat="1" hidden="1">
      <c r="B291" s="344"/>
      <c r="C291" s="345"/>
      <c r="D291" s="345"/>
      <c r="E291" s="345"/>
      <c r="F291" s="345"/>
      <c r="G291" s="345"/>
      <c r="H291" s="345"/>
      <c r="I291" s="345"/>
      <c r="J291" s="345"/>
      <c r="K291" s="345"/>
      <c r="L291" s="345"/>
      <c r="M291" s="345"/>
      <c r="N291" s="345"/>
      <c r="O291" s="345"/>
      <c r="P291" s="345"/>
      <c r="Q291" s="345"/>
      <c r="R291" s="345"/>
      <c r="S291" s="345"/>
      <c r="T291" s="345"/>
      <c r="U291" s="345"/>
      <c r="V291" s="345"/>
      <c r="W291" s="345"/>
      <c r="X291" s="345"/>
      <c r="Y291" s="346"/>
      <c r="Z291" s="149"/>
      <c r="AA291" s="149"/>
      <c r="AB291" s="149"/>
      <c r="AC291" s="149"/>
      <c r="AD291" s="149"/>
      <c r="AE291" s="149"/>
      <c r="AF291" s="149"/>
    </row>
    <row r="292" spans="1:32" s="148" customFormat="1" hidden="1">
      <c r="B292" s="347"/>
      <c r="C292" s="348"/>
      <c r="D292" s="348"/>
      <c r="E292" s="348"/>
      <c r="F292" s="348"/>
      <c r="G292" s="348"/>
      <c r="H292" s="348"/>
      <c r="I292" s="348"/>
      <c r="J292" s="348"/>
      <c r="K292" s="348"/>
      <c r="L292" s="348"/>
      <c r="M292" s="348"/>
      <c r="N292" s="348"/>
      <c r="O292" s="348"/>
      <c r="P292" s="348"/>
      <c r="Q292" s="348"/>
      <c r="R292" s="348"/>
      <c r="S292" s="348"/>
      <c r="T292" s="348"/>
      <c r="U292" s="348"/>
      <c r="V292" s="348"/>
      <c r="W292" s="348"/>
      <c r="X292" s="348"/>
      <c r="Y292" s="349"/>
      <c r="Z292" s="149"/>
      <c r="AA292" s="149"/>
      <c r="AB292" s="149"/>
      <c r="AC292" s="149"/>
      <c r="AD292" s="149"/>
      <c r="AE292" s="149"/>
      <c r="AF292" s="149"/>
    </row>
    <row r="293" spans="1:32" s="148" customFormat="1" hidden="1">
      <c r="B293" s="156"/>
      <c r="C293" s="156"/>
      <c r="D293" s="156"/>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49"/>
      <c r="AA293" s="149"/>
      <c r="AB293" s="149"/>
      <c r="AC293" s="149"/>
      <c r="AD293" s="149"/>
      <c r="AE293" s="149"/>
      <c r="AF293" s="149"/>
    </row>
    <row r="294" spans="1:32" s="148" customFormat="1" hidden="1">
      <c r="A294" s="150">
        <f>A253+1</f>
        <v>7</v>
      </c>
      <c r="B294" s="27" t="s">
        <v>14</v>
      </c>
      <c r="C294" s="333">
        <f>C253-1</f>
        <v>2014</v>
      </c>
      <c r="D294" s="334"/>
      <c r="Y294" s="149"/>
      <c r="Z294" s="149"/>
      <c r="AA294" s="149"/>
      <c r="AB294" s="149"/>
      <c r="AC294" s="149"/>
      <c r="AD294" s="149"/>
      <c r="AE294" s="149"/>
      <c r="AF294" s="149"/>
    </row>
    <row r="295" spans="1:32" s="148" customFormat="1" hidden="1">
      <c r="Y295" s="149"/>
      <c r="Z295" s="149"/>
      <c r="AA295" s="149"/>
      <c r="AB295" s="149"/>
      <c r="AC295" s="149"/>
      <c r="AD295" s="149"/>
      <c r="AE295" s="149"/>
      <c r="AF295" s="149"/>
    </row>
    <row r="296" spans="1:32" s="148" customFormat="1" hidden="1">
      <c r="B296" s="338" t="str">
        <f>Settings!$N$14</f>
        <v>Employee's comments</v>
      </c>
      <c r="C296" s="339"/>
      <c r="D296" s="339"/>
      <c r="E296" s="339"/>
      <c r="F296" s="339"/>
      <c r="G296" s="339"/>
      <c r="H296" s="339"/>
      <c r="I296" s="339"/>
      <c r="J296" s="339"/>
      <c r="K296" s="339"/>
      <c r="L296" s="339"/>
      <c r="M296" s="339"/>
      <c r="N296" s="339"/>
      <c r="O296" s="339"/>
      <c r="P296" s="339"/>
      <c r="Q296" s="339"/>
      <c r="R296" s="339"/>
      <c r="S296" s="339"/>
      <c r="T296" s="339"/>
      <c r="U296" s="339"/>
      <c r="V296" s="339"/>
      <c r="W296" s="339"/>
      <c r="X296" s="339"/>
      <c r="Y296" s="340"/>
      <c r="Z296" s="149"/>
      <c r="AA296" s="149"/>
      <c r="AB296" s="149"/>
      <c r="AC296" s="149"/>
      <c r="AD296" s="149"/>
      <c r="AE296" s="149"/>
      <c r="AF296" s="149"/>
    </row>
    <row r="297" spans="1:32" s="148" customFormat="1" hidden="1">
      <c r="B297" s="341" t="e">
        <f>IF(INDEX(TblDatabase[Feedback Warnings],MATCH(1,INDEX(($L$4=ListEmployeeNamesInDatabase)*(C294=TblDatabase[Year]),0,1),0))="","",INDEX(TblDatabase[Feedback Warnings],MATCH(1,INDEX(($L$4=ListEmployeeNamesInDatabase)*(C294=TblDatabase[Year]),0,1),0)))</f>
        <v>#N/A</v>
      </c>
      <c r="C297" s="342"/>
      <c r="D297" s="342"/>
      <c r="E297" s="342"/>
      <c r="F297" s="342"/>
      <c r="G297" s="342"/>
      <c r="H297" s="342"/>
      <c r="I297" s="342"/>
      <c r="J297" s="342"/>
      <c r="K297" s="342"/>
      <c r="L297" s="342"/>
      <c r="M297" s="342"/>
      <c r="N297" s="342"/>
      <c r="O297" s="342"/>
      <c r="P297" s="342"/>
      <c r="Q297" s="342"/>
      <c r="R297" s="342"/>
      <c r="S297" s="342"/>
      <c r="T297" s="342"/>
      <c r="U297" s="342"/>
      <c r="V297" s="342"/>
      <c r="W297" s="342"/>
      <c r="X297" s="342"/>
      <c r="Y297" s="343"/>
      <c r="Z297" s="149"/>
      <c r="AA297" s="149"/>
      <c r="AB297" s="149"/>
      <c r="AC297" s="149"/>
      <c r="AD297" s="149"/>
      <c r="AE297" s="149"/>
      <c r="AF297" s="149"/>
    </row>
    <row r="298" spans="1:32" s="148" customFormat="1" hidden="1">
      <c r="B298" s="344"/>
      <c r="C298" s="345"/>
      <c r="D298" s="345"/>
      <c r="E298" s="345"/>
      <c r="F298" s="345"/>
      <c r="G298" s="345"/>
      <c r="H298" s="345"/>
      <c r="I298" s="345"/>
      <c r="J298" s="345"/>
      <c r="K298" s="345"/>
      <c r="L298" s="345"/>
      <c r="M298" s="345"/>
      <c r="N298" s="345"/>
      <c r="O298" s="345"/>
      <c r="P298" s="345"/>
      <c r="Q298" s="345"/>
      <c r="R298" s="345"/>
      <c r="S298" s="345"/>
      <c r="T298" s="345"/>
      <c r="U298" s="345"/>
      <c r="V298" s="345"/>
      <c r="W298" s="345"/>
      <c r="X298" s="345"/>
      <c r="Y298" s="346"/>
      <c r="Z298" s="149"/>
      <c r="AA298" s="149"/>
      <c r="AB298" s="149"/>
      <c r="AC298" s="149"/>
      <c r="AD298" s="149"/>
      <c r="AE298" s="149"/>
      <c r="AF298" s="149"/>
    </row>
    <row r="299" spans="1:32" s="148" customFormat="1" hidden="1">
      <c r="B299" s="347"/>
      <c r="C299" s="348"/>
      <c r="D299" s="348"/>
      <c r="E299" s="348"/>
      <c r="F299" s="348"/>
      <c r="G299" s="348"/>
      <c r="H299" s="348"/>
      <c r="I299" s="348"/>
      <c r="J299" s="348"/>
      <c r="K299" s="348"/>
      <c r="L299" s="348"/>
      <c r="M299" s="348"/>
      <c r="N299" s="348"/>
      <c r="O299" s="348"/>
      <c r="P299" s="348"/>
      <c r="Q299" s="348"/>
      <c r="R299" s="348"/>
      <c r="S299" s="348"/>
      <c r="T299" s="348"/>
      <c r="U299" s="348"/>
      <c r="V299" s="348"/>
      <c r="W299" s="348"/>
      <c r="X299" s="348"/>
      <c r="Y299" s="349"/>
      <c r="Z299" s="149"/>
      <c r="AA299" s="149"/>
      <c r="AB299" s="149"/>
      <c r="AC299" s="149"/>
      <c r="AD299" s="149"/>
      <c r="AE299" s="149"/>
      <c r="AF299" s="149"/>
    </row>
    <row r="300" spans="1:32" s="148" customFormat="1" hidden="1">
      <c r="Y300" s="149"/>
      <c r="Z300" s="149"/>
      <c r="AA300" s="149"/>
      <c r="AB300" s="149"/>
      <c r="AC300" s="149"/>
      <c r="AD300" s="149"/>
      <c r="AE300" s="149"/>
      <c r="AF300" s="149"/>
    </row>
    <row r="301" spans="1:32" s="148" customFormat="1" ht="15" hidden="1" customHeight="1">
      <c r="B301" s="320" t="s">
        <v>8</v>
      </c>
      <c r="C301" s="321"/>
      <c r="D301" s="321"/>
      <c r="E301" s="321"/>
      <c r="F301" s="233">
        <f>IF(Settings!$M$4=Settings!$Y$3,Settings!$O$19,1)</f>
        <v>1</v>
      </c>
      <c r="G301" s="234">
        <f>IF(Settings!$M$4=Settings!$Y$3,Settings!$O$19,2)</f>
        <v>2</v>
      </c>
      <c r="H301" s="234">
        <f>IF(Settings!$M$4=Settings!$Y$3,Settings!$O$19,3)</f>
        <v>3</v>
      </c>
      <c r="I301" s="234">
        <f>IF(Settings!$M$4=Settings!$Y$3,Settings!$O$19,4)</f>
        <v>4</v>
      </c>
      <c r="J301" s="234">
        <f>IF(Settings!$M$4=Settings!$Y$3,Settings!$O$20,5)</f>
        <v>5</v>
      </c>
      <c r="K301" s="234">
        <f>IF(Settings!$M$4=Settings!$Y$3,Settings!$O$20,6)</f>
        <v>6</v>
      </c>
      <c r="L301" s="234">
        <f>IF(Settings!$M$4=Settings!$Y$3,Settings!$O$20,7)</f>
        <v>7</v>
      </c>
      <c r="M301" s="234">
        <f>IF(Settings!$M$4=Settings!$Y$3,Settings!$O$20,8)</f>
        <v>8</v>
      </c>
      <c r="N301" s="234">
        <f>IF(Settings!$M$4=Settings!$Y$3,Settings!$O$21,9)</f>
        <v>9</v>
      </c>
      <c r="O301" s="235">
        <f>IF(Settings!$M$4=Settings!$Y$3,Settings!$O$21,10)</f>
        <v>10</v>
      </c>
      <c r="P301" s="22"/>
      <c r="Q301" s="22"/>
      <c r="R301" s="333" t="s">
        <v>24</v>
      </c>
      <c r="S301" s="333"/>
      <c r="T301" s="333"/>
      <c r="U301" s="333"/>
      <c r="V301" s="333"/>
      <c r="W301" s="333"/>
      <c r="X301" s="333"/>
      <c r="Y301" s="334"/>
      <c r="Z301" s="149"/>
      <c r="AA301" s="149"/>
      <c r="AB301" s="149"/>
      <c r="AC301" s="149"/>
      <c r="AD301" s="149"/>
      <c r="AE301" s="149"/>
      <c r="AF301" s="149"/>
    </row>
    <row r="302" spans="1:32" s="148" customFormat="1" ht="15" hidden="1" customHeight="1">
      <c r="B302" s="335" t="str">
        <f t="shared" ref="B302:B321" si="6">B261</f>
        <v>Quality of Work</v>
      </c>
      <c r="C302" s="336"/>
      <c r="D302" s="336"/>
      <c r="E302" s="337"/>
      <c r="F302" s="162" t="str">
        <f>IF(Settings!$M$4=Settings!$Y$3,IF($AA302=1,"P",""),IF($AA302=1,"P",""))</f>
        <v/>
      </c>
      <c r="G302" s="160" t="str">
        <f>IF(Settings!$M$4=Settings!$Y$3,IF($AA302=1,"P",""),IF($AA302=2,"P",""))</f>
        <v/>
      </c>
      <c r="H302" s="160" t="str">
        <f>IF(Settings!$M$4=Settings!$Y$3,IF($AA302=1,"P",""),IF($AA302=3,"P",""))</f>
        <v/>
      </c>
      <c r="I302" s="160" t="str">
        <f>IF(Settings!$M$4=Settings!$Y$3,IF($AA302=1,"P",""),IF($AA302=4,"P",""))</f>
        <v/>
      </c>
      <c r="J302" s="160" t="str">
        <f>IF(Settings!$M$4=Settings!$Y$3,IF($AA302=2,"P",""),IF($AA302=5,"P",""))</f>
        <v/>
      </c>
      <c r="K302" s="160" t="str">
        <f>IF(Settings!$M$4=Settings!$Y$3,IF($AA302=2,"P",""),IF($AA302=6,"P",""))</f>
        <v/>
      </c>
      <c r="L302" s="160" t="str">
        <f>IF(Settings!$M$4=Settings!$Y$3,IF($AA302=2,"P",""),IF($AA302=7,"P",""))</f>
        <v/>
      </c>
      <c r="M302" s="160" t="str">
        <f>IF(Settings!$M$4=Settings!$Y$3,IF($AA302=2,"P",""),IF($AA302=8,"P",""))</f>
        <v/>
      </c>
      <c r="N302" s="160" t="str">
        <f>IF(Settings!$M$4=Settings!$Y$3,IF($AA302=3,"P",""),IF($AA302=9,"P",""))</f>
        <v/>
      </c>
      <c r="O302" s="161" t="str">
        <f>IF(Settings!$M$4=Settings!$Y$3,IF($AA302=3,"P",""),IF($AA302=10,"P",""))</f>
        <v/>
      </c>
      <c r="P302" s="22"/>
      <c r="Q302" s="22"/>
      <c r="R302" s="367" t="e">
        <f>IF(INDEX(TblDatabase[Comment1],MATCH(1,INDEX(($L$4=ListEmployeeNamesInDatabase)*(C294=TblDatabase[Year]),0,1),0))="","",INDEX(TblDatabase[Comment1],MATCH(1,INDEX(($L$4=ListEmployeeNamesInDatabase)*(C294=TblDatabase[Year]),0,1),0)))</f>
        <v>#N/A</v>
      </c>
      <c r="S302" s="367"/>
      <c r="T302" s="367"/>
      <c r="U302" s="367"/>
      <c r="V302" s="367"/>
      <c r="W302" s="367"/>
      <c r="X302" s="367"/>
      <c r="Y302" s="368"/>
      <c r="Z302" s="149"/>
      <c r="AA302" s="151">
        <f>SUMIFS(TblDatabase[Competency1],ListEmployeeNamesInDatabase,$L$4,TblDatabase[Year],C294)</f>
        <v>0</v>
      </c>
      <c r="AB302" s="149"/>
      <c r="AC302" s="149"/>
      <c r="AD302" s="149"/>
      <c r="AE302" s="149"/>
      <c r="AF302" s="149"/>
    </row>
    <row r="303" spans="1:32" s="148" customFormat="1" ht="15" hidden="1" customHeight="1">
      <c r="B303" s="355" t="str">
        <f t="shared" si="6"/>
        <v>CaLL flow</v>
      </c>
      <c r="C303" s="356"/>
      <c r="D303" s="356"/>
      <c r="E303" s="357"/>
      <c r="F303" s="163" t="str">
        <f>IF(Settings!$M$4=Settings!$Y$3,IF($AA303=1,"P",""),IF($AA303=1,"P",""))</f>
        <v/>
      </c>
      <c r="G303" s="164" t="str">
        <f>IF(Settings!$M$4=Settings!$Y$3,IF($AA303=1,"P",""),IF($AA303=2,"P",""))</f>
        <v/>
      </c>
      <c r="H303" s="164" t="str">
        <f>IF(Settings!$M$4=Settings!$Y$3,IF($AA303=1,"P",""),IF($AA303=3,"P",""))</f>
        <v/>
      </c>
      <c r="I303" s="164" t="str">
        <f>IF(Settings!$M$4=Settings!$Y$3,IF($AA303=1,"P",""),IF($AA303=4,"P",""))</f>
        <v/>
      </c>
      <c r="J303" s="164" t="str">
        <f>IF(Settings!$M$4=Settings!$Y$3,IF($AA303=2,"P",""),IF($AA303=5,"P",""))</f>
        <v/>
      </c>
      <c r="K303" s="164" t="str">
        <f>IF(Settings!$M$4=Settings!$Y$3,IF($AA303=2,"P",""),IF($AA303=6,"P",""))</f>
        <v/>
      </c>
      <c r="L303" s="164" t="str">
        <f>IF(Settings!$M$4=Settings!$Y$3,IF($AA303=2,"P",""),IF($AA303=7,"P",""))</f>
        <v/>
      </c>
      <c r="M303" s="164" t="str">
        <f>IF(Settings!$M$4=Settings!$Y$3,IF($AA303=2,"P",""),IF($AA303=8,"P",""))</f>
        <v/>
      </c>
      <c r="N303" s="164" t="str">
        <f>IF(Settings!$M$4=Settings!$Y$3,IF($AA303=3,"P",""),IF($AA303=9,"P",""))</f>
        <v/>
      </c>
      <c r="O303" s="165" t="str">
        <f>IF(Settings!$M$4=Settings!$Y$3,IF($AA303=3,"P",""),IF($AA303=10,"P",""))</f>
        <v/>
      </c>
      <c r="P303" s="22"/>
      <c r="Q303" s="22"/>
      <c r="R303" s="360" t="e">
        <f>IF(INDEX(TblDatabase[Comment2],MATCH(1,INDEX(($L$4=ListEmployeeNamesInDatabase)*(C294=TblDatabase[Year]),0,1),0))="","",INDEX(TblDatabase[Comment2],MATCH(1,INDEX(($L$4=ListEmployeeNamesInDatabase)*(C294=TblDatabase[Year]),0,1),0)))</f>
        <v>#N/A</v>
      </c>
      <c r="S303" s="360"/>
      <c r="T303" s="360"/>
      <c r="U303" s="360"/>
      <c r="V303" s="360"/>
      <c r="W303" s="360"/>
      <c r="X303" s="360"/>
      <c r="Y303" s="361"/>
      <c r="Z303" s="149"/>
      <c r="AA303" s="151">
        <f>SUMIFS(TblDatabase[Competency2],ListEmployeeNamesInDatabase,$L$4,TblDatabase[Year],C294)</f>
        <v>0</v>
      </c>
      <c r="AB303" s="149"/>
      <c r="AC303" s="149"/>
      <c r="AD303" s="149"/>
      <c r="AE303" s="149"/>
      <c r="AF303" s="149"/>
    </row>
    <row r="304" spans="1:32" s="148" customFormat="1" ht="15" hidden="1" customHeight="1">
      <c r="B304" s="350" t="str">
        <f t="shared" si="6"/>
        <v>Job Knowledge</v>
      </c>
      <c r="C304" s="351"/>
      <c r="D304" s="351"/>
      <c r="E304" s="352"/>
      <c r="F304" s="157" t="str">
        <f>IF(Settings!$M$4=Settings!$Y$3,IF($AA304=1,"P",""),IF($AA304=1,"P",""))</f>
        <v/>
      </c>
      <c r="G304" s="158" t="str">
        <f>IF(Settings!$M$4=Settings!$Y$3,IF($AA304=1,"P",""),IF($AA304=2,"P",""))</f>
        <v/>
      </c>
      <c r="H304" s="158" t="str">
        <f>IF(Settings!$M$4=Settings!$Y$3,IF($AA304=1,"P",""),IF($AA304=3,"P",""))</f>
        <v/>
      </c>
      <c r="I304" s="158" t="str">
        <f>IF(Settings!$M$4=Settings!$Y$3,IF($AA304=1,"P",""),IF($AA304=4,"P",""))</f>
        <v/>
      </c>
      <c r="J304" s="158" t="str">
        <f>IF(Settings!$M$4=Settings!$Y$3,IF($AA304=2,"P",""),IF($AA304=5,"P",""))</f>
        <v/>
      </c>
      <c r="K304" s="158" t="str">
        <f>IF(Settings!$M$4=Settings!$Y$3,IF($AA304=2,"P",""),IF($AA304=6,"P",""))</f>
        <v/>
      </c>
      <c r="L304" s="158" t="str">
        <f>IF(Settings!$M$4=Settings!$Y$3,IF($AA304=2,"P",""),IF($AA304=7,"P",""))</f>
        <v/>
      </c>
      <c r="M304" s="158" t="str">
        <f>IF(Settings!$M$4=Settings!$Y$3,IF($AA304=2,"P",""),IF($AA304=8,"P",""))</f>
        <v/>
      </c>
      <c r="N304" s="158" t="str">
        <f>IF(Settings!$M$4=Settings!$Y$3,IF($AA304=3,"P",""),IF($AA304=9,"P",""))</f>
        <v/>
      </c>
      <c r="O304" s="159" t="str">
        <f>IF(Settings!$M$4=Settings!$Y$3,IF($AA304=3,"P",""),IF($AA304=10,"P",""))</f>
        <v/>
      </c>
      <c r="P304" s="22"/>
      <c r="Q304" s="22"/>
      <c r="R304" s="353" t="e">
        <f>IF(INDEX(TblDatabase[Comment3],MATCH(1,INDEX(($L$4=ListEmployeeNamesInDatabase)*(C294=TblDatabase[Year]),0,1),0))="","",INDEX(TblDatabase[Comment3],MATCH(1,INDEX(($L$4=ListEmployeeNamesInDatabase)*(C294=TblDatabase[Year]),0,1),0)))</f>
        <v>#N/A</v>
      </c>
      <c r="S304" s="353"/>
      <c r="T304" s="353"/>
      <c r="U304" s="353"/>
      <c r="V304" s="353"/>
      <c r="W304" s="353"/>
      <c r="X304" s="353"/>
      <c r="Y304" s="354"/>
      <c r="Z304" s="149"/>
      <c r="AA304" s="151">
        <f>SUMIFS(TblDatabase[Competency3],ListEmployeeNamesInDatabase,$L$4,TblDatabase[Year],C294)</f>
        <v>0</v>
      </c>
      <c r="AB304" s="149"/>
      <c r="AC304" s="149"/>
      <c r="AD304" s="149"/>
      <c r="AE304" s="149"/>
      <c r="AF304" s="149"/>
    </row>
    <row r="305" spans="2:32" s="148" customFormat="1" ht="15" hidden="1" customHeight="1">
      <c r="B305" s="355" t="str">
        <f t="shared" si="6"/>
        <v>Client Service</v>
      </c>
      <c r="C305" s="356"/>
      <c r="D305" s="356"/>
      <c r="E305" s="357"/>
      <c r="F305" s="163" t="str">
        <f>IF(Settings!$M$4=Settings!$Y$3,IF($AA305=1,"P",""),IF($AA305=1,"P",""))</f>
        <v/>
      </c>
      <c r="G305" s="164" t="str">
        <f>IF(Settings!$M$4=Settings!$Y$3,IF($AA305=1,"P",""),IF($AA305=2,"P",""))</f>
        <v/>
      </c>
      <c r="H305" s="164" t="str">
        <f>IF(Settings!$M$4=Settings!$Y$3,IF($AA305=1,"P",""),IF($AA305=3,"P",""))</f>
        <v/>
      </c>
      <c r="I305" s="164" t="str">
        <f>IF(Settings!$M$4=Settings!$Y$3,IF($AA305=1,"P",""),IF($AA305=4,"P",""))</f>
        <v/>
      </c>
      <c r="J305" s="164" t="str">
        <f>IF(Settings!$M$4=Settings!$Y$3,IF($AA305=2,"P",""),IF($AA305=5,"P",""))</f>
        <v/>
      </c>
      <c r="K305" s="164" t="str">
        <f>IF(Settings!$M$4=Settings!$Y$3,IF($AA305=2,"P",""),IF($AA305=6,"P",""))</f>
        <v/>
      </c>
      <c r="L305" s="164" t="str">
        <f>IF(Settings!$M$4=Settings!$Y$3,IF($AA305=2,"P",""),IF($AA305=7,"P",""))</f>
        <v/>
      </c>
      <c r="M305" s="164" t="str">
        <f>IF(Settings!$M$4=Settings!$Y$3,IF($AA305=2,"P",""),IF($AA305=8,"P",""))</f>
        <v/>
      </c>
      <c r="N305" s="164" t="str">
        <f>IF(Settings!$M$4=Settings!$Y$3,IF($AA305=3,"P",""),IF($AA305=9,"P",""))</f>
        <v/>
      </c>
      <c r="O305" s="165" t="str">
        <f>IF(Settings!$M$4=Settings!$Y$3,IF($AA305=3,"P",""),IF($AA305=10,"P",""))</f>
        <v/>
      </c>
      <c r="P305" s="22"/>
      <c r="Q305" s="22"/>
      <c r="R305" s="360" t="e">
        <f>IF(INDEX(TblDatabase[Comment4],MATCH(1,INDEX(($L$4=ListEmployeeNamesInDatabase)*(C294=TblDatabase[Year]),0,1),0))="","",INDEX(TblDatabase[Comment4],MATCH(1,INDEX(($L$4=ListEmployeeNamesInDatabase)*(C294=TblDatabase[Year]),0,1),0)))</f>
        <v>#N/A</v>
      </c>
      <c r="S305" s="360"/>
      <c r="T305" s="360"/>
      <c r="U305" s="360"/>
      <c r="V305" s="360"/>
      <c r="W305" s="360"/>
      <c r="X305" s="360"/>
      <c r="Y305" s="361"/>
      <c r="Z305" s="149"/>
      <c r="AA305" s="151">
        <f>SUMIFS(TblDatabase[Competency4],ListEmployeeNamesInDatabase,$L$4,TblDatabase[Year],C294)</f>
        <v>0</v>
      </c>
      <c r="AB305" s="149"/>
      <c r="AC305" s="149"/>
      <c r="AD305" s="149"/>
      <c r="AE305" s="149"/>
      <c r="AF305" s="149"/>
    </row>
    <row r="306" spans="2:32" s="148" customFormat="1" ht="15" hidden="1" customHeight="1">
      <c r="B306" s="350" t="str">
        <f t="shared" si="6"/>
        <v>Teamwork</v>
      </c>
      <c r="C306" s="351"/>
      <c r="D306" s="351"/>
      <c r="E306" s="352"/>
      <c r="F306" s="157" t="str">
        <f>IF(Settings!$M$4=Settings!$Y$3,IF($AA306=1,"P",""),IF($AA306=1,"P",""))</f>
        <v/>
      </c>
      <c r="G306" s="158" t="str">
        <f>IF(Settings!$M$4=Settings!$Y$3,IF($AA306=1,"P",""),IF($AA306=2,"P",""))</f>
        <v/>
      </c>
      <c r="H306" s="158" t="str">
        <f>IF(Settings!$M$4=Settings!$Y$3,IF($AA306=1,"P",""),IF($AA306=3,"P",""))</f>
        <v/>
      </c>
      <c r="I306" s="158" t="str">
        <f>IF(Settings!$M$4=Settings!$Y$3,IF($AA306=1,"P",""),IF($AA306=4,"P",""))</f>
        <v/>
      </c>
      <c r="J306" s="158" t="str">
        <f>IF(Settings!$M$4=Settings!$Y$3,IF($AA306=2,"P",""),IF($AA306=5,"P",""))</f>
        <v/>
      </c>
      <c r="K306" s="158" t="str">
        <f>IF(Settings!$M$4=Settings!$Y$3,IF($AA306=2,"P",""),IF($AA306=6,"P",""))</f>
        <v/>
      </c>
      <c r="L306" s="158" t="str">
        <f>IF(Settings!$M$4=Settings!$Y$3,IF($AA306=2,"P",""),IF($AA306=7,"P",""))</f>
        <v/>
      </c>
      <c r="M306" s="158" t="str">
        <f>IF(Settings!$M$4=Settings!$Y$3,IF($AA306=2,"P",""),IF($AA306=8,"P",""))</f>
        <v/>
      </c>
      <c r="N306" s="158" t="str">
        <f>IF(Settings!$M$4=Settings!$Y$3,IF($AA306=3,"P",""),IF($AA306=9,"P",""))</f>
        <v/>
      </c>
      <c r="O306" s="159" t="str">
        <f>IF(Settings!$M$4=Settings!$Y$3,IF($AA306=3,"P",""),IF($AA306=10,"P",""))</f>
        <v/>
      </c>
      <c r="P306" s="22"/>
      <c r="Q306" s="22"/>
      <c r="R306" s="353" t="e">
        <f>IF(INDEX(TblDatabase[Comment5],MATCH(1,INDEX(($L$4=ListEmployeeNamesInDatabase)*(C294=TblDatabase[Year]),0,1),0))="","",INDEX(TblDatabase[Comment5],MATCH(1,INDEX(($L$4=ListEmployeeNamesInDatabase)*(C294=TblDatabase[Year]),0,1),0)))</f>
        <v>#N/A</v>
      </c>
      <c r="S306" s="353"/>
      <c r="T306" s="353"/>
      <c r="U306" s="353"/>
      <c r="V306" s="353"/>
      <c r="W306" s="353"/>
      <c r="X306" s="353"/>
      <c r="Y306" s="354"/>
      <c r="Z306" s="149"/>
      <c r="AA306" s="151">
        <f>SUMIFS(TblDatabase[Competency5],ListEmployeeNamesInDatabase,$L$4,TblDatabase[Year],C294)</f>
        <v>0</v>
      </c>
      <c r="AB306" s="149"/>
      <c r="AC306" s="149"/>
      <c r="AD306" s="149"/>
      <c r="AE306" s="149"/>
      <c r="AF306" s="149"/>
    </row>
    <row r="307" spans="2:32" s="148" customFormat="1" ht="15" hidden="1" customHeight="1">
      <c r="B307" s="355" t="str">
        <f t="shared" si="6"/>
        <v>Safety</v>
      </c>
      <c r="C307" s="356"/>
      <c r="D307" s="356"/>
      <c r="E307" s="357"/>
      <c r="F307" s="163" t="str">
        <f>IF(Settings!$M$4=Settings!$Y$3,IF($AA307=1,"P",""),IF($AA307=1,"P",""))</f>
        <v/>
      </c>
      <c r="G307" s="164" t="str">
        <f>IF(Settings!$M$4=Settings!$Y$3,IF($AA307=1,"P",""),IF($AA307=2,"P",""))</f>
        <v/>
      </c>
      <c r="H307" s="164" t="str">
        <f>IF(Settings!$M$4=Settings!$Y$3,IF($AA307=1,"P",""),IF($AA307=3,"P",""))</f>
        <v/>
      </c>
      <c r="I307" s="164" t="str">
        <f>IF(Settings!$M$4=Settings!$Y$3,IF($AA307=1,"P",""),IF($AA307=4,"P",""))</f>
        <v/>
      </c>
      <c r="J307" s="164" t="str">
        <f>IF(Settings!$M$4=Settings!$Y$3,IF($AA307=2,"P",""),IF($AA307=5,"P",""))</f>
        <v/>
      </c>
      <c r="K307" s="164" t="str">
        <f>IF(Settings!$M$4=Settings!$Y$3,IF($AA307=2,"P",""),IF($AA307=6,"P",""))</f>
        <v/>
      </c>
      <c r="L307" s="164" t="str">
        <f>IF(Settings!$M$4=Settings!$Y$3,IF($AA307=2,"P",""),IF($AA307=7,"P",""))</f>
        <v/>
      </c>
      <c r="M307" s="164" t="str">
        <f>IF(Settings!$M$4=Settings!$Y$3,IF($AA307=2,"P",""),IF($AA307=8,"P",""))</f>
        <v/>
      </c>
      <c r="N307" s="164" t="str">
        <f>IF(Settings!$M$4=Settings!$Y$3,IF($AA307=3,"P",""),IF($AA307=9,"P",""))</f>
        <v/>
      </c>
      <c r="O307" s="165" t="str">
        <f>IF(Settings!$M$4=Settings!$Y$3,IF($AA307=3,"P",""),IF($AA307=10,"P",""))</f>
        <v/>
      </c>
      <c r="P307" s="22"/>
      <c r="Q307" s="22"/>
      <c r="R307" s="360" t="e">
        <f>IF(INDEX(TblDatabase[Comment6],MATCH(1,INDEX(($L$4=ListEmployeeNamesInDatabase)*(C294=TblDatabase[Year]),0,1),0))="","",INDEX(TblDatabase[Comment6],MATCH(1,INDEX(($L$4=ListEmployeeNamesInDatabase)*(C294=TblDatabase[Year]),0,1),0)))</f>
        <v>#N/A</v>
      </c>
      <c r="S307" s="360"/>
      <c r="T307" s="360"/>
      <c r="U307" s="360"/>
      <c r="V307" s="360"/>
      <c r="W307" s="360"/>
      <c r="X307" s="360"/>
      <c r="Y307" s="361"/>
      <c r="Z307" s="149"/>
      <c r="AA307" s="151">
        <f>SUMIFS(TblDatabase[Competency6],ListEmployeeNamesInDatabase,$L$4,TblDatabase[Year],C294)</f>
        <v>0</v>
      </c>
      <c r="AB307" s="149"/>
      <c r="AC307" s="149"/>
      <c r="AD307" s="149"/>
      <c r="AE307" s="149"/>
      <c r="AF307" s="149"/>
    </row>
    <row r="308" spans="2:32" s="148" customFormat="1" ht="15" hidden="1" customHeight="1">
      <c r="B308" s="350" t="str">
        <f t="shared" si="6"/>
        <v>Reliability</v>
      </c>
      <c r="C308" s="351"/>
      <c r="D308" s="351"/>
      <c r="E308" s="352"/>
      <c r="F308" s="157" t="str">
        <f>IF(Settings!$M$4=Settings!$Y$3,IF($AA308=1,"P",""),IF($AA308=1,"P",""))</f>
        <v/>
      </c>
      <c r="G308" s="158" t="str">
        <f>IF(Settings!$M$4=Settings!$Y$3,IF($AA308=1,"P",""),IF($AA308=2,"P",""))</f>
        <v/>
      </c>
      <c r="H308" s="158" t="str">
        <f>IF(Settings!$M$4=Settings!$Y$3,IF($AA308=1,"P",""),IF($AA308=3,"P",""))</f>
        <v/>
      </c>
      <c r="I308" s="158" t="str">
        <f>IF(Settings!$M$4=Settings!$Y$3,IF($AA308=1,"P",""),IF($AA308=4,"P",""))</f>
        <v/>
      </c>
      <c r="J308" s="158" t="str">
        <f>IF(Settings!$M$4=Settings!$Y$3,IF($AA308=2,"P",""),IF($AA308=5,"P",""))</f>
        <v/>
      </c>
      <c r="K308" s="158" t="str">
        <f>IF(Settings!$M$4=Settings!$Y$3,IF($AA308=2,"P",""),IF($AA308=6,"P",""))</f>
        <v/>
      </c>
      <c r="L308" s="158" t="str">
        <f>IF(Settings!$M$4=Settings!$Y$3,IF($AA308=2,"P",""),IF($AA308=7,"P",""))</f>
        <v/>
      </c>
      <c r="M308" s="158" t="str">
        <f>IF(Settings!$M$4=Settings!$Y$3,IF($AA308=2,"P",""),IF($AA308=8,"P",""))</f>
        <v/>
      </c>
      <c r="N308" s="158" t="str">
        <f>IF(Settings!$M$4=Settings!$Y$3,IF($AA308=3,"P",""),IF($AA308=9,"P",""))</f>
        <v/>
      </c>
      <c r="O308" s="159" t="str">
        <f>IF(Settings!$M$4=Settings!$Y$3,IF($AA308=3,"P",""),IF($AA308=10,"P",""))</f>
        <v/>
      </c>
      <c r="P308" s="22"/>
      <c r="Q308" s="22"/>
      <c r="R308" s="353" t="e">
        <f>IF(INDEX(TblDatabase[Comment7],MATCH(1,INDEX(($L$4=ListEmployeeNamesInDatabase)*(C294=TblDatabase[Year]),0,1),0))="","",INDEX(TblDatabase[Comment7],MATCH(1,INDEX(($L$4=ListEmployeeNamesInDatabase)*(C294=TblDatabase[Year]),0,1),0)))</f>
        <v>#N/A</v>
      </c>
      <c r="S308" s="353"/>
      <c r="T308" s="353"/>
      <c r="U308" s="353"/>
      <c r="V308" s="353"/>
      <c r="W308" s="353"/>
      <c r="X308" s="353"/>
      <c r="Y308" s="354"/>
      <c r="Z308" s="149"/>
      <c r="AA308" s="151">
        <f>SUMIFS(TblDatabase[Competency7],ListEmployeeNamesInDatabase,$L$4,TblDatabase[Year],C294)</f>
        <v>0</v>
      </c>
      <c r="AB308" s="149"/>
      <c r="AC308" s="149"/>
      <c r="AD308" s="149"/>
      <c r="AE308" s="149"/>
      <c r="AF308" s="149"/>
    </row>
    <row r="309" spans="2:32" s="148" customFormat="1" ht="15" hidden="1" customHeight="1">
      <c r="B309" s="355" t="str">
        <f t="shared" si="6"/>
        <v>Initiative/Adaptability</v>
      </c>
      <c r="C309" s="356"/>
      <c r="D309" s="356"/>
      <c r="E309" s="357"/>
      <c r="F309" s="163" t="str">
        <f>IF(Settings!$M$4=Settings!$Y$3,IF($AA309=1,"P",""),IF($AA309=1,"P",""))</f>
        <v/>
      </c>
      <c r="G309" s="164" t="str">
        <f>IF(Settings!$M$4=Settings!$Y$3,IF($AA309=1,"P",""),IF($AA309=2,"P",""))</f>
        <v/>
      </c>
      <c r="H309" s="164" t="str">
        <f>IF(Settings!$M$4=Settings!$Y$3,IF($AA309=1,"P",""),IF($AA309=3,"P",""))</f>
        <v/>
      </c>
      <c r="I309" s="164" t="str">
        <f>IF(Settings!$M$4=Settings!$Y$3,IF($AA309=1,"P",""),IF($AA309=4,"P",""))</f>
        <v/>
      </c>
      <c r="J309" s="164" t="str">
        <f>IF(Settings!$M$4=Settings!$Y$3,IF($AA309=2,"P",""),IF($AA309=5,"P",""))</f>
        <v/>
      </c>
      <c r="K309" s="164" t="str">
        <f>IF(Settings!$M$4=Settings!$Y$3,IF($AA309=2,"P",""),IF($AA309=6,"P",""))</f>
        <v/>
      </c>
      <c r="L309" s="164" t="str">
        <f>IF(Settings!$M$4=Settings!$Y$3,IF($AA309=2,"P",""),IF($AA309=7,"P",""))</f>
        <v/>
      </c>
      <c r="M309" s="164" t="str">
        <f>IF(Settings!$M$4=Settings!$Y$3,IF($AA309=2,"P",""),IF($AA309=8,"P",""))</f>
        <v/>
      </c>
      <c r="N309" s="164" t="str">
        <f>IF(Settings!$M$4=Settings!$Y$3,IF($AA309=3,"P",""),IF($AA309=9,"P",""))</f>
        <v/>
      </c>
      <c r="O309" s="165" t="str">
        <f>IF(Settings!$M$4=Settings!$Y$3,IF($AA309=3,"P",""),IF($AA309=10,"P",""))</f>
        <v/>
      </c>
      <c r="P309" s="22"/>
      <c r="Q309" s="22"/>
      <c r="R309" s="360" t="e">
        <f>IF(INDEX(TblDatabase[Comment8],MATCH(1,INDEX(($L$4=ListEmployeeNamesInDatabase)*(C294=TblDatabase[Year]),0,1),0))="","",INDEX(TblDatabase[Comment8],MATCH(1,INDEX(($L$4=ListEmployeeNamesInDatabase)*(C294=TblDatabase[Year]),0,1),0)))</f>
        <v>#N/A</v>
      </c>
      <c r="S309" s="360"/>
      <c r="T309" s="360"/>
      <c r="U309" s="360"/>
      <c r="V309" s="360"/>
      <c r="W309" s="360"/>
      <c r="X309" s="360"/>
      <c r="Y309" s="361"/>
      <c r="Z309" s="149"/>
      <c r="AA309" s="151">
        <f>SUMIFS(TblDatabase[Competency8],ListEmployeeNamesInDatabase,$L$4,TblDatabase[Year],C294)</f>
        <v>0</v>
      </c>
      <c r="AB309" s="149"/>
      <c r="AC309" s="149"/>
      <c r="AD309" s="149"/>
      <c r="AE309" s="149"/>
      <c r="AF309" s="149"/>
    </row>
    <row r="310" spans="2:32" s="148" customFormat="1" ht="15" hidden="1" customHeight="1">
      <c r="B310" s="350" t="str">
        <f t="shared" si="6"/>
        <v/>
      </c>
      <c r="C310" s="351"/>
      <c r="D310" s="351"/>
      <c r="E310" s="352"/>
      <c r="F310" s="157" t="str">
        <f>IF(Settings!$M$4=Settings!$Y$3,IF($AA310=1,"P",""),IF($AA310=1,"P",""))</f>
        <v/>
      </c>
      <c r="G310" s="158" t="str">
        <f>IF(Settings!$M$4=Settings!$Y$3,IF($AA310=1,"P",""),IF($AA310=2,"P",""))</f>
        <v/>
      </c>
      <c r="H310" s="158" t="str">
        <f>IF(Settings!$M$4=Settings!$Y$3,IF($AA310=1,"P",""),IF($AA310=3,"P",""))</f>
        <v/>
      </c>
      <c r="I310" s="158" t="str">
        <f>IF(Settings!$M$4=Settings!$Y$3,IF($AA310=1,"P",""),IF($AA310=4,"P",""))</f>
        <v/>
      </c>
      <c r="J310" s="158" t="str">
        <f>IF(Settings!$M$4=Settings!$Y$3,IF($AA310=2,"P",""),IF($AA310=5,"P",""))</f>
        <v/>
      </c>
      <c r="K310" s="158" t="str">
        <f>IF(Settings!$M$4=Settings!$Y$3,IF($AA310=2,"P",""),IF($AA310=6,"P",""))</f>
        <v/>
      </c>
      <c r="L310" s="158" t="str">
        <f>IF(Settings!$M$4=Settings!$Y$3,IF($AA310=2,"P",""),IF($AA310=7,"P",""))</f>
        <v/>
      </c>
      <c r="M310" s="158" t="str">
        <f>IF(Settings!$M$4=Settings!$Y$3,IF($AA310=2,"P",""),IF($AA310=8,"P",""))</f>
        <v/>
      </c>
      <c r="N310" s="158" t="str">
        <f>IF(Settings!$M$4=Settings!$Y$3,IF($AA310=3,"P",""),IF($AA310=9,"P",""))</f>
        <v/>
      </c>
      <c r="O310" s="159" t="str">
        <f>IF(Settings!$M$4=Settings!$Y$3,IF($AA310=3,"P",""),IF($AA310=10,"P",""))</f>
        <v/>
      </c>
      <c r="P310" s="22"/>
      <c r="Q310" s="22"/>
      <c r="R310" s="353" t="e">
        <f>IF(INDEX(TblDatabase[Comment9],MATCH(1,INDEX(($L$4=ListEmployeeNamesInDatabase)*(C294=TblDatabase[Year]),0,1),0))="","",INDEX(TblDatabase[Comment9],MATCH(1,INDEX(($L$4=ListEmployeeNamesInDatabase)*(C294=TblDatabase[Year]),0,1),0)))</f>
        <v>#N/A</v>
      </c>
      <c r="S310" s="353"/>
      <c r="T310" s="353"/>
      <c r="U310" s="353"/>
      <c r="V310" s="353"/>
      <c r="W310" s="353"/>
      <c r="X310" s="353"/>
      <c r="Y310" s="354"/>
      <c r="Z310" s="149"/>
      <c r="AA310" s="151">
        <f>SUMIFS(TblDatabase[Competency9],ListEmployeeNamesInDatabase,$L$4,TblDatabase[Year],C294)</f>
        <v>0</v>
      </c>
      <c r="AB310" s="149"/>
      <c r="AC310" s="149"/>
      <c r="AD310" s="149"/>
      <c r="AE310" s="149"/>
      <c r="AF310" s="149"/>
    </row>
    <row r="311" spans="2:32" s="148" customFormat="1" ht="15" hidden="1" customHeight="1">
      <c r="B311" s="355" t="str">
        <f t="shared" si="6"/>
        <v/>
      </c>
      <c r="C311" s="356"/>
      <c r="D311" s="356"/>
      <c r="E311" s="357"/>
      <c r="F311" s="163" t="str">
        <f>IF(Settings!$M$4=Settings!$Y$3,IF($AA311=1,"P",""),IF($AA311=1,"P",""))</f>
        <v/>
      </c>
      <c r="G311" s="164" t="str">
        <f>IF(Settings!$M$4=Settings!$Y$3,IF($AA311=1,"P",""),IF($AA311=2,"P",""))</f>
        <v/>
      </c>
      <c r="H311" s="164" t="str">
        <f>IF(Settings!$M$4=Settings!$Y$3,IF($AA311=1,"P",""),IF($AA311=3,"P",""))</f>
        <v/>
      </c>
      <c r="I311" s="164" t="str">
        <f>IF(Settings!$M$4=Settings!$Y$3,IF($AA311=1,"P",""),IF($AA311=4,"P",""))</f>
        <v/>
      </c>
      <c r="J311" s="164" t="str">
        <f>IF(Settings!$M$4=Settings!$Y$3,IF($AA311=2,"P",""),IF($AA311=5,"P",""))</f>
        <v/>
      </c>
      <c r="K311" s="164" t="str">
        <f>IF(Settings!$M$4=Settings!$Y$3,IF($AA311=2,"P",""),IF($AA311=6,"P",""))</f>
        <v/>
      </c>
      <c r="L311" s="164" t="str">
        <f>IF(Settings!$M$4=Settings!$Y$3,IF($AA311=2,"P",""),IF($AA311=7,"P",""))</f>
        <v/>
      </c>
      <c r="M311" s="164" t="str">
        <f>IF(Settings!$M$4=Settings!$Y$3,IF($AA311=2,"P",""),IF($AA311=8,"P",""))</f>
        <v/>
      </c>
      <c r="N311" s="164" t="str">
        <f>IF(Settings!$M$4=Settings!$Y$3,IF($AA311=3,"P",""),IF($AA311=9,"P",""))</f>
        <v/>
      </c>
      <c r="O311" s="165" t="str">
        <f>IF(Settings!$M$4=Settings!$Y$3,IF($AA311=3,"P",""),IF($AA311=10,"P",""))</f>
        <v/>
      </c>
      <c r="P311" s="22"/>
      <c r="Q311" s="22"/>
      <c r="R311" s="360" t="e">
        <f>IF(INDEX(TblDatabase[Comment10],MATCH(1,INDEX(($L$4=ListEmployeeNamesInDatabase)*(C294=TblDatabase[Year]),0,1),0))="","",INDEX(TblDatabase[Comment10],MATCH(1,INDEX(($L$4=ListEmployeeNamesInDatabase)*(C294=TblDatabase[Year]),0,1),0)))</f>
        <v>#N/A</v>
      </c>
      <c r="S311" s="360"/>
      <c r="T311" s="360"/>
      <c r="U311" s="360"/>
      <c r="V311" s="360"/>
      <c r="W311" s="360"/>
      <c r="X311" s="360"/>
      <c r="Y311" s="361"/>
      <c r="Z311" s="149"/>
      <c r="AA311" s="151">
        <f>SUMIFS(TblDatabase[Competency10],ListEmployeeNamesInDatabase,$L$4,TblDatabase[Year],C294)</f>
        <v>0</v>
      </c>
      <c r="AB311" s="149"/>
      <c r="AC311" s="149"/>
      <c r="AD311" s="149"/>
      <c r="AE311" s="149"/>
      <c r="AF311" s="149"/>
    </row>
    <row r="312" spans="2:32" s="148" customFormat="1" ht="15" hidden="1" customHeight="1">
      <c r="B312" s="350" t="str">
        <f t="shared" si="6"/>
        <v/>
      </c>
      <c r="C312" s="351"/>
      <c r="D312" s="351"/>
      <c r="E312" s="352"/>
      <c r="F312" s="157" t="str">
        <f>IF(Settings!$M$4=Settings!$Y$3,IF($AA312=1,"P",""),IF($AA312=1,"P",""))</f>
        <v/>
      </c>
      <c r="G312" s="158" t="str">
        <f>IF(Settings!$M$4=Settings!$Y$3,IF($AA312=1,"P",""),IF($AA312=2,"P",""))</f>
        <v/>
      </c>
      <c r="H312" s="158" t="str">
        <f>IF(Settings!$M$4=Settings!$Y$3,IF($AA312=1,"P",""),IF($AA312=3,"P",""))</f>
        <v/>
      </c>
      <c r="I312" s="158" t="str">
        <f>IF(Settings!$M$4=Settings!$Y$3,IF($AA312=1,"P",""),IF($AA312=4,"P",""))</f>
        <v/>
      </c>
      <c r="J312" s="158" t="str">
        <f>IF(Settings!$M$4=Settings!$Y$3,IF($AA312=2,"P",""),IF($AA312=5,"P",""))</f>
        <v/>
      </c>
      <c r="K312" s="158" t="str">
        <f>IF(Settings!$M$4=Settings!$Y$3,IF($AA312=2,"P",""),IF($AA312=6,"P",""))</f>
        <v/>
      </c>
      <c r="L312" s="158" t="str">
        <f>IF(Settings!$M$4=Settings!$Y$3,IF($AA312=2,"P",""),IF($AA312=7,"P",""))</f>
        <v/>
      </c>
      <c r="M312" s="158" t="str">
        <f>IF(Settings!$M$4=Settings!$Y$3,IF($AA312=2,"P",""),IF($AA312=8,"P",""))</f>
        <v/>
      </c>
      <c r="N312" s="158" t="str">
        <f>IF(Settings!$M$4=Settings!$Y$3,IF($AA312=3,"P",""),IF($AA312=9,"P",""))</f>
        <v/>
      </c>
      <c r="O312" s="159" t="str">
        <f>IF(Settings!$M$4=Settings!$Y$3,IF($AA312=3,"P",""),IF($AA312=10,"P",""))</f>
        <v/>
      </c>
      <c r="P312" s="22"/>
      <c r="Q312" s="22"/>
      <c r="R312" s="353" t="e">
        <f>IF(INDEX(TblDatabase[Comment11],MATCH(1,INDEX(($L$4=ListEmployeeNamesInDatabase)*(C294=TblDatabase[Year]),0,1),0))="","",INDEX(TblDatabase[Comment11],MATCH(1,INDEX(($L$4=ListEmployeeNamesInDatabase)*(C294=TblDatabase[Year]),0,1),0)))</f>
        <v>#N/A</v>
      </c>
      <c r="S312" s="353"/>
      <c r="T312" s="353"/>
      <c r="U312" s="353"/>
      <c r="V312" s="353"/>
      <c r="W312" s="353"/>
      <c r="X312" s="353"/>
      <c r="Y312" s="354"/>
      <c r="Z312" s="149"/>
      <c r="AA312" s="151">
        <f>SUMIFS(TblDatabase[Competency11],ListEmployeeNamesInDatabase,$L$4,TblDatabase[Year],C294)</f>
        <v>0</v>
      </c>
      <c r="AB312" s="149"/>
      <c r="AC312" s="149"/>
      <c r="AD312" s="149"/>
      <c r="AE312" s="149"/>
      <c r="AF312" s="149"/>
    </row>
    <row r="313" spans="2:32" s="148" customFormat="1" ht="15" hidden="1" customHeight="1">
      <c r="B313" s="355" t="str">
        <f t="shared" si="6"/>
        <v/>
      </c>
      <c r="C313" s="356"/>
      <c r="D313" s="356"/>
      <c r="E313" s="357"/>
      <c r="F313" s="163" t="str">
        <f>IF(Settings!$M$4=Settings!$Y$3,IF($AA313=1,"P",""),IF($AA313=1,"P",""))</f>
        <v/>
      </c>
      <c r="G313" s="164" t="str">
        <f>IF(Settings!$M$4=Settings!$Y$3,IF($AA313=1,"P",""),IF($AA313=2,"P",""))</f>
        <v/>
      </c>
      <c r="H313" s="164" t="str">
        <f>IF(Settings!$M$4=Settings!$Y$3,IF($AA313=1,"P",""),IF($AA313=3,"P",""))</f>
        <v/>
      </c>
      <c r="I313" s="164" t="str">
        <f>IF(Settings!$M$4=Settings!$Y$3,IF($AA313=1,"P",""),IF($AA313=4,"P",""))</f>
        <v/>
      </c>
      <c r="J313" s="164" t="str">
        <f>IF(Settings!$M$4=Settings!$Y$3,IF($AA313=2,"P",""),IF($AA313=5,"P",""))</f>
        <v/>
      </c>
      <c r="K313" s="164" t="str">
        <f>IF(Settings!$M$4=Settings!$Y$3,IF($AA313=2,"P",""),IF($AA313=6,"P",""))</f>
        <v/>
      </c>
      <c r="L313" s="164" t="str">
        <f>IF(Settings!$M$4=Settings!$Y$3,IF($AA313=2,"P",""),IF($AA313=7,"P",""))</f>
        <v/>
      </c>
      <c r="M313" s="164" t="str">
        <f>IF(Settings!$M$4=Settings!$Y$3,IF($AA313=2,"P",""),IF($AA313=8,"P",""))</f>
        <v/>
      </c>
      <c r="N313" s="164" t="str">
        <f>IF(Settings!$M$4=Settings!$Y$3,IF($AA313=3,"P",""),IF($AA313=9,"P",""))</f>
        <v/>
      </c>
      <c r="O313" s="165" t="str">
        <f>IF(Settings!$M$4=Settings!$Y$3,IF($AA313=3,"P",""),IF($AA313=10,"P",""))</f>
        <v/>
      </c>
      <c r="P313" s="22"/>
      <c r="Q313" s="22"/>
      <c r="R313" s="360" t="e">
        <f>IF(INDEX(TblDatabase[Comment12],MATCH(1,INDEX(($L$4=ListEmployeeNamesInDatabase)*(C294=TblDatabase[Year]),0,1),0))="","",INDEX(TblDatabase[Comment12],MATCH(1,INDEX(($L$4=ListEmployeeNamesInDatabase)*(C294=TblDatabase[Year]),0,1),0)))</f>
        <v>#N/A</v>
      </c>
      <c r="S313" s="360"/>
      <c r="T313" s="360"/>
      <c r="U313" s="360"/>
      <c r="V313" s="360"/>
      <c r="W313" s="360"/>
      <c r="X313" s="360"/>
      <c r="Y313" s="361"/>
      <c r="Z313" s="149"/>
      <c r="AA313" s="151">
        <f>SUMIFS(TblDatabase[Competency12],ListEmployeeNamesInDatabase,$L$4,TblDatabase[Year],C294)</f>
        <v>0</v>
      </c>
      <c r="AB313" s="149"/>
      <c r="AC313" s="149"/>
      <c r="AD313" s="149"/>
      <c r="AE313" s="149"/>
      <c r="AF313" s="149"/>
    </row>
    <row r="314" spans="2:32" s="148" customFormat="1" ht="15" hidden="1" customHeight="1">
      <c r="B314" s="350" t="str">
        <f t="shared" si="6"/>
        <v/>
      </c>
      <c r="C314" s="351"/>
      <c r="D314" s="351"/>
      <c r="E314" s="352"/>
      <c r="F314" s="157" t="str">
        <f>IF(Settings!$M$4=Settings!$Y$3,IF($AA314=1,"P",""),IF($AA314=1,"P",""))</f>
        <v/>
      </c>
      <c r="G314" s="158" t="str">
        <f>IF(Settings!$M$4=Settings!$Y$3,IF($AA314=1,"P",""),IF($AA314=2,"P",""))</f>
        <v/>
      </c>
      <c r="H314" s="158" t="str">
        <f>IF(Settings!$M$4=Settings!$Y$3,IF($AA314=1,"P",""),IF($AA314=3,"P",""))</f>
        <v/>
      </c>
      <c r="I314" s="158" t="str">
        <f>IF(Settings!$M$4=Settings!$Y$3,IF($AA314=1,"P",""),IF($AA314=4,"P",""))</f>
        <v/>
      </c>
      <c r="J314" s="158" t="str">
        <f>IF(Settings!$M$4=Settings!$Y$3,IF($AA314=2,"P",""),IF($AA314=5,"P",""))</f>
        <v/>
      </c>
      <c r="K314" s="158" t="str">
        <f>IF(Settings!$M$4=Settings!$Y$3,IF($AA314=2,"P",""),IF($AA314=6,"P",""))</f>
        <v/>
      </c>
      <c r="L314" s="158" t="str">
        <f>IF(Settings!$M$4=Settings!$Y$3,IF($AA314=2,"P",""),IF($AA314=7,"P",""))</f>
        <v/>
      </c>
      <c r="M314" s="158" t="str">
        <f>IF(Settings!$M$4=Settings!$Y$3,IF($AA314=2,"P",""),IF($AA314=8,"P",""))</f>
        <v/>
      </c>
      <c r="N314" s="158" t="str">
        <f>IF(Settings!$M$4=Settings!$Y$3,IF($AA314=3,"P",""),IF($AA314=9,"P",""))</f>
        <v/>
      </c>
      <c r="O314" s="159" t="str">
        <f>IF(Settings!$M$4=Settings!$Y$3,IF($AA314=3,"P",""),IF($AA314=10,"P",""))</f>
        <v/>
      </c>
      <c r="P314" s="22"/>
      <c r="Q314" s="22"/>
      <c r="R314" s="353" t="e">
        <f>IF(INDEX(TblDatabase[Comment13],MATCH(1,INDEX(($L$4=ListEmployeeNamesInDatabase)*(C294=TblDatabase[Year]),0,1),0))="","",INDEX(TblDatabase[Comment13],MATCH(1,INDEX(($L$4=ListEmployeeNamesInDatabase)*(C294=TblDatabase[Year]),0,1),0)))</f>
        <v>#N/A</v>
      </c>
      <c r="S314" s="353"/>
      <c r="T314" s="353"/>
      <c r="U314" s="353"/>
      <c r="V314" s="353"/>
      <c r="W314" s="353"/>
      <c r="X314" s="353"/>
      <c r="Y314" s="354"/>
      <c r="Z314" s="149"/>
      <c r="AA314" s="151">
        <f>SUMIFS(TblDatabase[Competency13],ListEmployeeNamesInDatabase,$L$4,TblDatabase[Year],C294)</f>
        <v>0</v>
      </c>
      <c r="AB314" s="149"/>
      <c r="AC314" s="149"/>
      <c r="AD314" s="149"/>
      <c r="AE314" s="149"/>
      <c r="AF314" s="149"/>
    </row>
    <row r="315" spans="2:32" s="148" customFormat="1" ht="15" hidden="1" customHeight="1">
      <c r="B315" s="355" t="str">
        <f t="shared" si="6"/>
        <v/>
      </c>
      <c r="C315" s="356"/>
      <c r="D315" s="356"/>
      <c r="E315" s="357"/>
      <c r="F315" s="163" t="str">
        <f>IF(Settings!$M$4=Settings!$Y$3,IF($AA315=1,"P",""),IF($AA315=1,"P",""))</f>
        <v/>
      </c>
      <c r="G315" s="164" t="str">
        <f>IF(Settings!$M$4=Settings!$Y$3,IF($AA315=1,"P",""),IF($AA315=2,"P",""))</f>
        <v/>
      </c>
      <c r="H315" s="164" t="str">
        <f>IF(Settings!$M$4=Settings!$Y$3,IF($AA315=1,"P",""),IF($AA315=3,"P",""))</f>
        <v/>
      </c>
      <c r="I315" s="164" t="str">
        <f>IF(Settings!$M$4=Settings!$Y$3,IF($AA315=1,"P",""),IF($AA315=4,"P",""))</f>
        <v/>
      </c>
      <c r="J315" s="164" t="str">
        <f>IF(Settings!$M$4=Settings!$Y$3,IF($AA315=2,"P",""),IF($AA315=5,"P",""))</f>
        <v/>
      </c>
      <c r="K315" s="164" t="str">
        <f>IF(Settings!$M$4=Settings!$Y$3,IF($AA315=2,"P",""),IF($AA315=6,"P",""))</f>
        <v/>
      </c>
      <c r="L315" s="164" t="str">
        <f>IF(Settings!$M$4=Settings!$Y$3,IF($AA315=2,"P",""),IF($AA315=7,"P",""))</f>
        <v/>
      </c>
      <c r="M315" s="164" t="str">
        <f>IF(Settings!$M$4=Settings!$Y$3,IF($AA315=2,"P",""),IF($AA315=8,"P",""))</f>
        <v/>
      </c>
      <c r="N315" s="164" t="str">
        <f>IF(Settings!$M$4=Settings!$Y$3,IF($AA315=3,"P",""),IF($AA315=9,"P",""))</f>
        <v/>
      </c>
      <c r="O315" s="165" t="str">
        <f>IF(Settings!$M$4=Settings!$Y$3,IF($AA315=3,"P",""),IF($AA315=10,"P",""))</f>
        <v/>
      </c>
      <c r="P315" s="22"/>
      <c r="Q315" s="22"/>
      <c r="R315" s="360" t="e">
        <f>IF(INDEX(TblDatabase[Comment14],MATCH(1,INDEX(($L$4=ListEmployeeNamesInDatabase)*(C294=TblDatabase[Year]),0,1),0))="","",INDEX(TblDatabase[Comment14],MATCH(1,INDEX(($L$4=ListEmployeeNamesInDatabase)*(C294=TblDatabase[Year]),0,1),0)))</f>
        <v>#N/A</v>
      </c>
      <c r="S315" s="360"/>
      <c r="T315" s="360"/>
      <c r="U315" s="360"/>
      <c r="V315" s="360"/>
      <c r="W315" s="360"/>
      <c r="X315" s="360"/>
      <c r="Y315" s="361"/>
      <c r="Z315" s="149"/>
      <c r="AA315" s="151">
        <f>SUMIFS(TblDatabase[Competency14],ListEmployeeNamesInDatabase,$L$4,TblDatabase[Year],C294)</f>
        <v>0</v>
      </c>
      <c r="AB315" s="149"/>
      <c r="AC315" s="149"/>
      <c r="AD315" s="149"/>
      <c r="AE315" s="149"/>
      <c r="AF315" s="149"/>
    </row>
    <row r="316" spans="2:32" s="148" customFormat="1" ht="15" hidden="1" customHeight="1">
      <c r="B316" s="350" t="str">
        <f t="shared" si="6"/>
        <v/>
      </c>
      <c r="C316" s="351"/>
      <c r="D316" s="351"/>
      <c r="E316" s="352"/>
      <c r="F316" s="157" t="str">
        <f>IF(Settings!$M$4=Settings!$Y$3,IF($AA316=1,"P",""),IF($AA316=1,"P",""))</f>
        <v/>
      </c>
      <c r="G316" s="158" t="str">
        <f>IF(Settings!$M$4=Settings!$Y$3,IF($AA316=1,"P",""),IF($AA316=2,"P",""))</f>
        <v/>
      </c>
      <c r="H316" s="158" t="str">
        <f>IF(Settings!$M$4=Settings!$Y$3,IF($AA316=1,"P",""),IF($AA316=3,"P",""))</f>
        <v/>
      </c>
      <c r="I316" s="158" t="str">
        <f>IF(Settings!$M$4=Settings!$Y$3,IF($AA316=1,"P",""),IF($AA316=4,"P",""))</f>
        <v/>
      </c>
      <c r="J316" s="158" t="str">
        <f>IF(Settings!$M$4=Settings!$Y$3,IF($AA316=2,"P",""),IF($AA316=5,"P",""))</f>
        <v/>
      </c>
      <c r="K316" s="158" t="str">
        <f>IF(Settings!$M$4=Settings!$Y$3,IF($AA316=2,"P",""),IF($AA316=6,"P",""))</f>
        <v/>
      </c>
      <c r="L316" s="158" t="str">
        <f>IF(Settings!$M$4=Settings!$Y$3,IF($AA316=2,"P",""),IF($AA316=7,"P",""))</f>
        <v/>
      </c>
      <c r="M316" s="158" t="str">
        <f>IF(Settings!$M$4=Settings!$Y$3,IF($AA316=2,"P",""),IF($AA316=8,"P",""))</f>
        <v/>
      </c>
      <c r="N316" s="158" t="str">
        <f>IF(Settings!$M$4=Settings!$Y$3,IF($AA316=3,"P",""),IF($AA316=9,"P",""))</f>
        <v/>
      </c>
      <c r="O316" s="159" t="str">
        <f>IF(Settings!$M$4=Settings!$Y$3,IF($AA316=3,"P",""),IF($AA316=10,"P",""))</f>
        <v/>
      </c>
      <c r="P316" s="22"/>
      <c r="Q316" s="22"/>
      <c r="R316" s="353" t="e">
        <f>IF(INDEX(TblDatabase[Comment15],MATCH(1,INDEX(($L$4=ListEmployeeNamesInDatabase)*(C294=TblDatabase[Year]),0,1),0))="","",INDEX(TblDatabase[Comment15],MATCH(1,INDEX(($L$4=ListEmployeeNamesInDatabase)*(C294=TblDatabase[Year]),0,1),0)))</f>
        <v>#N/A</v>
      </c>
      <c r="S316" s="353"/>
      <c r="T316" s="353"/>
      <c r="U316" s="353"/>
      <c r="V316" s="353"/>
      <c r="W316" s="353"/>
      <c r="X316" s="353"/>
      <c r="Y316" s="354"/>
      <c r="Z316" s="149"/>
      <c r="AA316" s="151">
        <f>SUMIFS(TblDatabase[Competency15],ListEmployeeNamesInDatabase,$L$4,TblDatabase[Year],C294)</f>
        <v>0</v>
      </c>
      <c r="AB316" s="149"/>
      <c r="AC316" s="149"/>
      <c r="AD316" s="149"/>
      <c r="AE316" s="149"/>
      <c r="AF316" s="149"/>
    </row>
    <row r="317" spans="2:32" s="148" customFormat="1" ht="15" hidden="1" customHeight="1">
      <c r="B317" s="355" t="str">
        <f t="shared" si="6"/>
        <v/>
      </c>
      <c r="C317" s="356"/>
      <c r="D317" s="356"/>
      <c r="E317" s="357"/>
      <c r="F317" s="163" t="str">
        <f>IF(Settings!$M$4=Settings!$Y$3,IF($AA317=1,"P",""),IF($AA317=1,"P",""))</f>
        <v/>
      </c>
      <c r="G317" s="164" t="str">
        <f>IF(Settings!$M$4=Settings!$Y$3,IF($AA317=1,"P",""),IF($AA317=2,"P",""))</f>
        <v/>
      </c>
      <c r="H317" s="164" t="str">
        <f>IF(Settings!$M$4=Settings!$Y$3,IF($AA317=1,"P",""),IF($AA317=3,"P",""))</f>
        <v/>
      </c>
      <c r="I317" s="164" t="str">
        <f>IF(Settings!$M$4=Settings!$Y$3,IF($AA317=1,"P",""),IF($AA317=4,"P",""))</f>
        <v/>
      </c>
      <c r="J317" s="164" t="str">
        <f>IF(Settings!$M$4=Settings!$Y$3,IF($AA317=2,"P",""),IF($AA317=5,"P",""))</f>
        <v/>
      </c>
      <c r="K317" s="164" t="str">
        <f>IF(Settings!$M$4=Settings!$Y$3,IF($AA317=2,"P",""),IF($AA317=6,"P",""))</f>
        <v/>
      </c>
      <c r="L317" s="164" t="str">
        <f>IF(Settings!$M$4=Settings!$Y$3,IF($AA317=2,"P",""),IF($AA317=7,"P",""))</f>
        <v/>
      </c>
      <c r="M317" s="164" t="str">
        <f>IF(Settings!$M$4=Settings!$Y$3,IF($AA317=2,"P",""),IF($AA317=8,"P",""))</f>
        <v/>
      </c>
      <c r="N317" s="164" t="str">
        <f>IF(Settings!$M$4=Settings!$Y$3,IF($AA317=3,"P",""),IF($AA317=9,"P",""))</f>
        <v/>
      </c>
      <c r="O317" s="165" t="str">
        <f>IF(Settings!$M$4=Settings!$Y$3,IF($AA317=3,"P",""),IF($AA317=10,"P",""))</f>
        <v/>
      </c>
      <c r="P317" s="22"/>
      <c r="Q317" s="22"/>
      <c r="R317" s="360" t="e">
        <f>IF(INDEX(TblDatabase[Comment16],MATCH(1,INDEX(($L$4=ListEmployeeNamesInDatabase)*(C294=TblDatabase[Year]),0,1),0))="","",INDEX(TblDatabase[Comment16],MATCH(1,INDEX(($L$4=ListEmployeeNamesInDatabase)*(C294=TblDatabase[Year]),0,1),0)))</f>
        <v>#N/A</v>
      </c>
      <c r="S317" s="360"/>
      <c r="T317" s="360"/>
      <c r="U317" s="360"/>
      <c r="V317" s="360"/>
      <c r="W317" s="360"/>
      <c r="X317" s="360"/>
      <c r="Y317" s="361"/>
      <c r="Z317" s="149"/>
      <c r="AA317" s="151">
        <f>SUMIFS(TblDatabase[Competency16],ListEmployeeNamesInDatabase,$L$4,TblDatabase[Year],C294)</f>
        <v>0</v>
      </c>
      <c r="AB317" s="149"/>
      <c r="AC317" s="149"/>
      <c r="AD317" s="149"/>
      <c r="AE317" s="149"/>
      <c r="AF317" s="149"/>
    </row>
    <row r="318" spans="2:32" s="148" customFormat="1" ht="15" hidden="1" customHeight="1">
      <c r="B318" s="350" t="str">
        <f t="shared" si="6"/>
        <v/>
      </c>
      <c r="C318" s="351"/>
      <c r="D318" s="351"/>
      <c r="E318" s="352"/>
      <c r="F318" s="157" t="str">
        <f>IF(Settings!$M$4=Settings!$Y$3,IF($AA318=1,"P",""),IF($AA318=1,"P",""))</f>
        <v/>
      </c>
      <c r="G318" s="158" t="str">
        <f>IF(Settings!$M$4=Settings!$Y$3,IF($AA318=1,"P",""),IF($AA318=2,"P",""))</f>
        <v/>
      </c>
      <c r="H318" s="158" t="str">
        <f>IF(Settings!$M$4=Settings!$Y$3,IF($AA318=1,"P",""),IF($AA318=3,"P",""))</f>
        <v/>
      </c>
      <c r="I318" s="158" t="str">
        <f>IF(Settings!$M$4=Settings!$Y$3,IF($AA318=1,"P",""),IF($AA318=4,"P",""))</f>
        <v/>
      </c>
      <c r="J318" s="158" t="str">
        <f>IF(Settings!$M$4=Settings!$Y$3,IF($AA318=2,"P",""),IF($AA318=5,"P",""))</f>
        <v/>
      </c>
      <c r="K318" s="158" t="str">
        <f>IF(Settings!$M$4=Settings!$Y$3,IF($AA318=2,"P",""),IF($AA318=6,"P",""))</f>
        <v/>
      </c>
      <c r="L318" s="158" t="str">
        <f>IF(Settings!$M$4=Settings!$Y$3,IF($AA318=2,"P",""),IF($AA318=7,"P",""))</f>
        <v/>
      </c>
      <c r="M318" s="158" t="str">
        <f>IF(Settings!$M$4=Settings!$Y$3,IF($AA318=2,"P",""),IF($AA318=8,"P",""))</f>
        <v/>
      </c>
      <c r="N318" s="158" t="str">
        <f>IF(Settings!$M$4=Settings!$Y$3,IF($AA318=3,"P",""),IF($AA318=9,"P",""))</f>
        <v/>
      </c>
      <c r="O318" s="159" t="str">
        <f>IF(Settings!$M$4=Settings!$Y$3,IF($AA318=3,"P",""),IF($AA318=10,"P",""))</f>
        <v/>
      </c>
      <c r="P318" s="22"/>
      <c r="Q318" s="22"/>
      <c r="R318" s="353" t="e">
        <f>IF(INDEX(TblDatabase[Comment17],MATCH(1,INDEX(($L$4=ListEmployeeNamesInDatabase)*(C294=TblDatabase[Year]),0,1),0))="","",INDEX(TblDatabase[Comment17],MATCH(1,INDEX(($L$4=ListEmployeeNamesInDatabase)*(C294=TblDatabase[Year]),0,1),0)))</f>
        <v>#N/A</v>
      </c>
      <c r="S318" s="353"/>
      <c r="T318" s="353"/>
      <c r="U318" s="353"/>
      <c r="V318" s="353"/>
      <c r="W318" s="353"/>
      <c r="X318" s="353"/>
      <c r="Y318" s="354"/>
      <c r="Z318" s="149"/>
      <c r="AA318" s="151">
        <f>SUMIFS(TblDatabase[Competency17],ListEmployeeNamesInDatabase,$L$4,TblDatabase[Year],C294)</f>
        <v>0</v>
      </c>
      <c r="AB318" s="149"/>
      <c r="AC318" s="149"/>
      <c r="AD318" s="149"/>
      <c r="AE318" s="149"/>
      <c r="AF318" s="149"/>
    </row>
    <row r="319" spans="2:32" s="148" customFormat="1" ht="15" hidden="1" customHeight="1">
      <c r="B319" s="355" t="str">
        <f t="shared" si="6"/>
        <v/>
      </c>
      <c r="C319" s="356"/>
      <c r="D319" s="356"/>
      <c r="E319" s="357"/>
      <c r="F319" s="163" t="str">
        <f>IF(Settings!$M$4=Settings!$Y$3,IF($AA319=1,"P",""),IF($AA319=1,"P",""))</f>
        <v/>
      </c>
      <c r="G319" s="164" t="str">
        <f>IF(Settings!$M$4=Settings!$Y$3,IF($AA319=1,"P",""),IF($AA319=2,"P",""))</f>
        <v/>
      </c>
      <c r="H319" s="164" t="str">
        <f>IF(Settings!$M$4=Settings!$Y$3,IF($AA319=1,"P",""),IF($AA319=3,"P",""))</f>
        <v/>
      </c>
      <c r="I319" s="164" t="str">
        <f>IF(Settings!$M$4=Settings!$Y$3,IF($AA319=1,"P",""),IF($AA319=4,"P",""))</f>
        <v/>
      </c>
      <c r="J319" s="164" t="str">
        <f>IF(Settings!$M$4=Settings!$Y$3,IF($AA319=2,"P",""),IF($AA319=5,"P",""))</f>
        <v/>
      </c>
      <c r="K319" s="164" t="str">
        <f>IF(Settings!$M$4=Settings!$Y$3,IF($AA319=2,"P",""),IF($AA319=6,"P",""))</f>
        <v/>
      </c>
      <c r="L319" s="164" t="str">
        <f>IF(Settings!$M$4=Settings!$Y$3,IF($AA319=2,"P",""),IF($AA319=7,"P",""))</f>
        <v/>
      </c>
      <c r="M319" s="164" t="str">
        <f>IF(Settings!$M$4=Settings!$Y$3,IF($AA319=2,"P",""),IF($AA319=8,"P",""))</f>
        <v/>
      </c>
      <c r="N319" s="164" t="str">
        <f>IF(Settings!$M$4=Settings!$Y$3,IF($AA319=3,"P",""),IF($AA319=9,"P",""))</f>
        <v/>
      </c>
      <c r="O319" s="165" t="str">
        <f>IF(Settings!$M$4=Settings!$Y$3,IF($AA319=3,"P",""),IF($AA319=10,"P",""))</f>
        <v/>
      </c>
      <c r="P319" s="22"/>
      <c r="Q319" s="22"/>
      <c r="R319" s="360" t="e">
        <f>IF(INDEX(TblDatabase[Comment18],MATCH(1,INDEX(($L$4=ListEmployeeNamesInDatabase)*(C294=TblDatabase[Year]),0,1),0))="","",INDEX(TblDatabase[Comment18],MATCH(1,INDEX(($L$4=ListEmployeeNamesInDatabase)*(C294=TblDatabase[Year]),0,1),0)))</f>
        <v>#N/A</v>
      </c>
      <c r="S319" s="360"/>
      <c r="T319" s="360"/>
      <c r="U319" s="360"/>
      <c r="V319" s="360"/>
      <c r="W319" s="360"/>
      <c r="X319" s="360"/>
      <c r="Y319" s="361"/>
      <c r="Z319" s="149"/>
      <c r="AA319" s="151">
        <f>SUMIFS(TblDatabase[Competency18],ListEmployeeNamesInDatabase,$L$4,TblDatabase[Year],C294)</f>
        <v>0</v>
      </c>
      <c r="AB319" s="149"/>
      <c r="AC319" s="149"/>
      <c r="AD319" s="149"/>
      <c r="AE319" s="149"/>
      <c r="AF319" s="149"/>
    </row>
    <row r="320" spans="2:32" s="148" customFormat="1" ht="15" hidden="1" customHeight="1">
      <c r="B320" s="350" t="str">
        <f t="shared" si="6"/>
        <v/>
      </c>
      <c r="C320" s="351"/>
      <c r="D320" s="351"/>
      <c r="E320" s="352"/>
      <c r="F320" s="157" t="str">
        <f>IF(Settings!$M$4=Settings!$Y$3,IF($AA320=1,"P",""),IF($AA320=1,"P",""))</f>
        <v/>
      </c>
      <c r="G320" s="158" t="str">
        <f>IF(Settings!$M$4=Settings!$Y$3,IF($AA320=1,"P",""),IF($AA320=2,"P",""))</f>
        <v/>
      </c>
      <c r="H320" s="158" t="str">
        <f>IF(Settings!$M$4=Settings!$Y$3,IF($AA320=1,"P",""),IF($AA320=3,"P",""))</f>
        <v/>
      </c>
      <c r="I320" s="158" t="str">
        <f>IF(Settings!$M$4=Settings!$Y$3,IF($AA320=1,"P",""),IF($AA320=4,"P",""))</f>
        <v/>
      </c>
      <c r="J320" s="158" t="str">
        <f>IF(Settings!$M$4=Settings!$Y$3,IF($AA320=2,"P",""),IF($AA320=5,"P",""))</f>
        <v/>
      </c>
      <c r="K320" s="158" t="str">
        <f>IF(Settings!$M$4=Settings!$Y$3,IF($AA320=2,"P",""),IF($AA320=6,"P",""))</f>
        <v/>
      </c>
      <c r="L320" s="158" t="str">
        <f>IF(Settings!$M$4=Settings!$Y$3,IF($AA320=2,"P",""),IF($AA320=7,"P",""))</f>
        <v/>
      </c>
      <c r="M320" s="158" t="str">
        <f>IF(Settings!$M$4=Settings!$Y$3,IF($AA320=2,"P",""),IF($AA320=8,"P",""))</f>
        <v/>
      </c>
      <c r="N320" s="158" t="str">
        <f>IF(Settings!$M$4=Settings!$Y$3,IF($AA320=3,"P",""),IF($AA320=9,"P",""))</f>
        <v/>
      </c>
      <c r="O320" s="159" t="str">
        <f>IF(Settings!$M$4=Settings!$Y$3,IF($AA320=3,"P",""),IF($AA320=10,"P",""))</f>
        <v/>
      </c>
      <c r="P320" s="22"/>
      <c r="Q320" s="22"/>
      <c r="R320" s="353" t="e">
        <f>IF(INDEX(TblDatabase[Comment19],MATCH(1,INDEX(($L$4=ListEmployeeNamesInDatabase)*(C294=TblDatabase[Year]),0,1),0))="","",INDEX(TblDatabase[Comment19],MATCH(1,INDEX(($L$4=ListEmployeeNamesInDatabase)*(C294=TblDatabase[Year]),0,1),0)))</f>
        <v>#N/A</v>
      </c>
      <c r="S320" s="353"/>
      <c r="T320" s="353"/>
      <c r="U320" s="353"/>
      <c r="V320" s="353"/>
      <c r="W320" s="353"/>
      <c r="X320" s="353"/>
      <c r="Y320" s="354"/>
      <c r="Z320" s="149"/>
      <c r="AA320" s="151">
        <f>SUMIFS(TblDatabase[Competency19],ListEmployeeNamesInDatabase,$L$4,TblDatabase[Year],C294)</f>
        <v>0</v>
      </c>
      <c r="AB320" s="149"/>
      <c r="AC320" s="149"/>
      <c r="AD320" s="149"/>
      <c r="AE320" s="149"/>
      <c r="AF320" s="149"/>
    </row>
    <row r="321" spans="1:32" s="148" customFormat="1" ht="15" hidden="1" customHeight="1">
      <c r="B321" s="362" t="str">
        <f t="shared" si="6"/>
        <v/>
      </c>
      <c r="C321" s="363"/>
      <c r="D321" s="363"/>
      <c r="E321" s="364"/>
      <c r="F321" s="166" t="str">
        <f>IF(Settings!$M$4=Settings!$Y$3,IF($AA321=1,"P",""),IF($AA321=1,"P",""))</f>
        <v/>
      </c>
      <c r="G321" s="167" t="str">
        <f>IF(Settings!$M$4=Settings!$Y$3,IF($AA321=1,"P",""),IF($AA321=2,"P",""))</f>
        <v/>
      </c>
      <c r="H321" s="167" t="str">
        <f>IF(Settings!$M$4=Settings!$Y$3,IF($AA321=1,"P",""),IF($AA321=3,"P",""))</f>
        <v/>
      </c>
      <c r="I321" s="167" t="str">
        <f>IF(Settings!$M$4=Settings!$Y$3,IF($AA321=1,"P",""),IF($AA321=4,"P",""))</f>
        <v/>
      </c>
      <c r="J321" s="167" t="str">
        <f>IF(Settings!$M$4=Settings!$Y$3,IF($AA321=2,"P",""),IF($AA321=5,"P",""))</f>
        <v/>
      </c>
      <c r="K321" s="167" t="str">
        <f>IF(Settings!$M$4=Settings!$Y$3,IF($AA321=2,"P",""),IF($AA321=6,"P",""))</f>
        <v/>
      </c>
      <c r="L321" s="167" t="str">
        <f>IF(Settings!$M$4=Settings!$Y$3,IF($AA321=2,"P",""),IF($AA321=7,"P",""))</f>
        <v/>
      </c>
      <c r="M321" s="167" t="str">
        <f>IF(Settings!$M$4=Settings!$Y$3,IF($AA321=2,"P",""),IF($AA321=8,"P",""))</f>
        <v/>
      </c>
      <c r="N321" s="167" t="str">
        <f>IF(Settings!$M$4=Settings!$Y$3,IF($AA321=3,"P",""),IF($AA321=9,"P",""))</f>
        <v/>
      </c>
      <c r="O321" s="168" t="str">
        <f>IF(Settings!$M$4=Settings!$Y$3,IF($AA321=3,"P",""),IF($AA321=10,"P",""))</f>
        <v/>
      </c>
      <c r="P321" s="22"/>
      <c r="Q321" s="22"/>
      <c r="R321" s="365" t="e">
        <f>IF(INDEX(TblDatabase[Comment20],MATCH(1,INDEX(($L$4=ListEmployeeNamesInDatabase)*(C294=TblDatabase[Year]),0,1),0))="","",INDEX(TblDatabase[Comment20],MATCH(1,INDEX(($L$4=ListEmployeeNamesInDatabase)*(C294=TblDatabase[Year]),0,1),0)))</f>
        <v>#N/A</v>
      </c>
      <c r="S321" s="365"/>
      <c r="T321" s="365"/>
      <c r="U321" s="365"/>
      <c r="V321" s="365"/>
      <c r="W321" s="365"/>
      <c r="X321" s="365"/>
      <c r="Y321" s="366"/>
      <c r="Z321" s="149"/>
      <c r="AA321" s="151">
        <f>SUMIFS(TblDatabase[Competency20],ListEmployeeNamesInDatabase,$L$4,TblDatabase[Year],C294)</f>
        <v>0</v>
      </c>
      <c r="AB321" s="149"/>
      <c r="AC321" s="149"/>
      <c r="AD321" s="149"/>
      <c r="AE321" s="149"/>
      <c r="AF321" s="149"/>
    </row>
    <row r="322" spans="1:32" s="148" customFormat="1" hidden="1">
      <c r="B322" s="414" t="s">
        <v>26</v>
      </c>
      <c r="C322" s="415"/>
      <c r="D322" s="415"/>
      <c r="E322" s="371">
        <f ca="1">SUM(OFFSET(AA302,0,0,NumberOfCompetencies))</f>
        <v>0</v>
      </c>
      <c r="F322" s="372"/>
      <c r="G322" s="152"/>
      <c r="H322" s="152"/>
      <c r="I322" s="152"/>
      <c r="J322" s="152"/>
      <c r="K322" s="152"/>
      <c r="L322" s="152"/>
      <c r="M322" s="152"/>
      <c r="N322" s="152"/>
      <c r="O322" s="152"/>
      <c r="P322" s="152"/>
      <c r="Q322" s="152"/>
      <c r="R322" s="152"/>
      <c r="S322" s="152"/>
      <c r="T322" s="152"/>
      <c r="U322" s="152"/>
      <c r="V322" s="152"/>
      <c r="W322" s="152"/>
      <c r="X322" s="152"/>
      <c r="Y322" s="152"/>
      <c r="Z322" s="149"/>
      <c r="AA322" s="149"/>
      <c r="AB322" s="149"/>
      <c r="AC322" s="149"/>
      <c r="AD322" s="149"/>
      <c r="AE322" s="149"/>
      <c r="AF322" s="149"/>
    </row>
    <row r="323" spans="1:32" s="148" customFormat="1" hidden="1">
      <c r="B323" s="369" t="s">
        <v>27</v>
      </c>
      <c r="C323" s="370"/>
      <c r="D323" s="370"/>
      <c r="E323" s="358">
        <f ca="1">E322/NumberOfCompetencies</f>
        <v>0</v>
      </c>
      <c r="F323" s="359"/>
      <c r="G323" s="153"/>
      <c r="H323" s="153"/>
      <c r="I323" s="153"/>
      <c r="J323" s="153"/>
      <c r="K323" s="153"/>
      <c r="L323" s="153"/>
      <c r="M323" s="153"/>
      <c r="N323" s="153"/>
      <c r="O323" s="153"/>
      <c r="P323" s="153"/>
      <c r="Q323" s="153"/>
      <c r="R323" s="153"/>
      <c r="S323" s="153"/>
      <c r="T323" s="153"/>
      <c r="U323" s="153"/>
      <c r="V323" s="153"/>
      <c r="W323" s="153"/>
      <c r="X323" s="153"/>
      <c r="Y323" s="153"/>
      <c r="Z323" s="149"/>
      <c r="AA323" s="149"/>
      <c r="AB323" s="149"/>
      <c r="AC323" s="149"/>
      <c r="AD323" s="149"/>
      <c r="AE323" s="149"/>
      <c r="AF323" s="149"/>
    </row>
    <row r="324" spans="1:32" s="148" customFormat="1" hidden="1">
      <c r="B324" s="154"/>
      <c r="C324" s="154"/>
      <c r="D324" s="154"/>
      <c r="E324" s="154"/>
      <c r="F324" s="154"/>
      <c r="G324" s="154"/>
      <c r="H324" s="154"/>
      <c r="I324" s="154"/>
      <c r="J324" s="154"/>
      <c r="K324" s="154"/>
      <c r="L324" s="154"/>
      <c r="M324" s="154"/>
      <c r="N324" s="154"/>
      <c r="O324" s="154"/>
      <c r="P324" s="154"/>
      <c r="Q324" s="154"/>
      <c r="R324" s="154"/>
      <c r="S324" s="154"/>
      <c r="T324" s="154"/>
      <c r="U324" s="154"/>
      <c r="V324" s="154"/>
      <c r="W324" s="154"/>
      <c r="X324" s="154"/>
      <c r="Y324" s="154"/>
      <c r="Z324" s="149"/>
      <c r="AA324" s="149"/>
      <c r="AB324" s="149"/>
      <c r="AC324" s="149"/>
      <c r="AD324" s="149"/>
      <c r="AE324" s="149"/>
      <c r="AF324" s="149"/>
    </row>
    <row r="325" spans="1:32" s="148" customFormat="1" hidden="1">
      <c r="B325" s="338" t="str">
        <f>Settings!$N$15</f>
        <v>Previously agreed actions</v>
      </c>
      <c r="C325" s="339"/>
      <c r="D325" s="339"/>
      <c r="E325" s="339"/>
      <c r="F325" s="339"/>
      <c r="G325" s="339"/>
      <c r="H325" s="339"/>
      <c r="I325" s="339"/>
      <c r="J325" s="339"/>
      <c r="K325" s="339"/>
      <c r="L325" s="339"/>
      <c r="M325" s="339"/>
      <c r="N325" s="339"/>
      <c r="O325" s="339"/>
      <c r="P325" s="339"/>
      <c r="Q325" s="339"/>
      <c r="R325" s="339"/>
      <c r="S325" s="339"/>
      <c r="T325" s="339"/>
      <c r="U325" s="339"/>
      <c r="V325" s="339"/>
      <c r="W325" s="339"/>
      <c r="X325" s="339"/>
      <c r="Y325" s="340"/>
      <c r="Z325" s="149"/>
      <c r="AA325" s="149"/>
      <c r="AB325" s="149"/>
      <c r="AC325" s="149"/>
      <c r="AD325" s="149"/>
      <c r="AE325" s="149"/>
      <c r="AF325" s="149"/>
    </row>
    <row r="326" spans="1:32" s="148" customFormat="1" hidden="1">
      <c r="B326" s="341" t="e">
        <f>IF(INDEX(TblDatabase[Feedback Does Well],MATCH(1,INDEX(($L$4=ListEmployeeNamesInDatabase)*(C294=TblDatabase[Year]),0,1),0))="","",INDEX(TblDatabase[Feedback Does Well],MATCH(1,INDEX(($L$4=ListEmployeeNamesInDatabase)*(C294=TblDatabase[Year]),0,1),0)))</f>
        <v>#N/A</v>
      </c>
      <c r="C326" s="342"/>
      <c r="D326" s="342"/>
      <c r="E326" s="342"/>
      <c r="F326" s="342"/>
      <c r="G326" s="342"/>
      <c r="H326" s="342"/>
      <c r="I326" s="342"/>
      <c r="J326" s="342"/>
      <c r="K326" s="342"/>
      <c r="L326" s="342"/>
      <c r="M326" s="342"/>
      <c r="N326" s="342"/>
      <c r="O326" s="342"/>
      <c r="P326" s="342"/>
      <c r="Q326" s="342"/>
      <c r="R326" s="342"/>
      <c r="S326" s="342"/>
      <c r="T326" s="342"/>
      <c r="U326" s="342"/>
      <c r="V326" s="342"/>
      <c r="W326" s="342"/>
      <c r="X326" s="342"/>
      <c r="Y326" s="343"/>
      <c r="Z326" s="149"/>
      <c r="AA326" s="149"/>
      <c r="AB326" s="149"/>
      <c r="AC326" s="149"/>
      <c r="AD326" s="149"/>
      <c r="AE326" s="149"/>
      <c r="AF326" s="149"/>
    </row>
    <row r="327" spans="1:32" s="148" customFormat="1" hidden="1">
      <c r="B327" s="344"/>
      <c r="C327" s="345"/>
      <c r="D327" s="345"/>
      <c r="E327" s="345"/>
      <c r="F327" s="345"/>
      <c r="G327" s="345"/>
      <c r="H327" s="345"/>
      <c r="I327" s="345"/>
      <c r="J327" s="345"/>
      <c r="K327" s="345"/>
      <c r="L327" s="345"/>
      <c r="M327" s="345"/>
      <c r="N327" s="345"/>
      <c r="O327" s="345"/>
      <c r="P327" s="345"/>
      <c r="Q327" s="345"/>
      <c r="R327" s="345"/>
      <c r="S327" s="345"/>
      <c r="T327" s="345"/>
      <c r="U327" s="345"/>
      <c r="V327" s="345"/>
      <c r="W327" s="345"/>
      <c r="X327" s="345"/>
      <c r="Y327" s="346"/>
      <c r="Z327" s="149"/>
      <c r="AA327" s="149"/>
      <c r="AB327" s="149"/>
      <c r="AC327" s="149"/>
      <c r="AD327" s="149"/>
      <c r="AE327" s="149"/>
      <c r="AF327" s="149"/>
    </row>
    <row r="328" spans="1:32" s="148" customFormat="1" hidden="1">
      <c r="B328" s="347"/>
      <c r="C328" s="348"/>
      <c r="D328" s="348"/>
      <c r="E328" s="348"/>
      <c r="F328" s="348"/>
      <c r="G328" s="348"/>
      <c r="H328" s="348"/>
      <c r="I328" s="348"/>
      <c r="J328" s="348"/>
      <c r="K328" s="348"/>
      <c r="L328" s="348"/>
      <c r="M328" s="348"/>
      <c r="N328" s="348"/>
      <c r="O328" s="348"/>
      <c r="P328" s="348"/>
      <c r="Q328" s="348"/>
      <c r="R328" s="348"/>
      <c r="S328" s="348"/>
      <c r="T328" s="348"/>
      <c r="U328" s="348"/>
      <c r="V328" s="348"/>
      <c r="W328" s="348"/>
      <c r="X328" s="348"/>
      <c r="Y328" s="349"/>
      <c r="Z328" s="149"/>
      <c r="AA328" s="149"/>
      <c r="AB328" s="149"/>
      <c r="AC328" s="149"/>
      <c r="AD328" s="149"/>
      <c r="AE328" s="149"/>
      <c r="AF328" s="149"/>
    </row>
    <row r="329" spans="1:32" s="148" customFormat="1" hidden="1">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49"/>
      <c r="AA329" s="149"/>
      <c r="AB329" s="149"/>
      <c r="AC329" s="149"/>
      <c r="AD329" s="149"/>
      <c r="AE329" s="149"/>
      <c r="AF329" s="149"/>
    </row>
    <row r="330" spans="1:32" s="148" customFormat="1" hidden="1">
      <c r="B330" s="338" t="str">
        <f>Settings!$N$16</f>
        <v>Actions agreed during this review</v>
      </c>
      <c r="C330" s="339"/>
      <c r="D330" s="339"/>
      <c r="E330" s="339"/>
      <c r="F330" s="339"/>
      <c r="G330" s="339"/>
      <c r="H330" s="339"/>
      <c r="I330" s="339"/>
      <c r="J330" s="339"/>
      <c r="K330" s="339"/>
      <c r="L330" s="339"/>
      <c r="M330" s="339"/>
      <c r="N330" s="339"/>
      <c r="O330" s="339"/>
      <c r="P330" s="339"/>
      <c r="Q330" s="339"/>
      <c r="R330" s="339"/>
      <c r="S330" s="339"/>
      <c r="T330" s="339"/>
      <c r="U330" s="339"/>
      <c r="V330" s="339"/>
      <c r="W330" s="339"/>
      <c r="X330" s="339"/>
      <c r="Y330" s="340"/>
      <c r="Z330" s="149"/>
      <c r="AA330" s="149"/>
      <c r="AB330" s="149"/>
      <c r="AC330" s="149"/>
      <c r="AD330" s="149"/>
      <c r="AE330" s="149"/>
      <c r="AF330" s="149"/>
    </row>
    <row r="331" spans="1:32" s="148" customFormat="1" hidden="1">
      <c r="B331" s="341" t="e">
        <f>IF(INDEX(TblDatabase[Feedback To Improve],MATCH(1,INDEX(($L$4=ListEmployeeNamesInDatabase)*(C294=TblDatabase[Year]),0,1),0))="","",INDEX(TblDatabase[Feedback To Improve],MATCH(1,INDEX(($L$4=ListEmployeeNamesInDatabase)*(C294=TblDatabase[Year]),0,1),0)))</f>
        <v>#N/A</v>
      </c>
      <c r="C331" s="342"/>
      <c r="D331" s="342"/>
      <c r="E331" s="342"/>
      <c r="F331" s="342"/>
      <c r="G331" s="342"/>
      <c r="H331" s="342"/>
      <c r="I331" s="342"/>
      <c r="J331" s="342"/>
      <c r="K331" s="342"/>
      <c r="L331" s="342"/>
      <c r="M331" s="342"/>
      <c r="N331" s="342"/>
      <c r="O331" s="342"/>
      <c r="P331" s="342"/>
      <c r="Q331" s="342"/>
      <c r="R331" s="342"/>
      <c r="S331" s="342"/>
      <c r="T331" s="342"/>
      <c r="U331" s="342"/>
      <c r="V331" s="342"/>
      <c r="W331" s="342"/>
      <c r="X331" s="342"/>
      <c r="Y331" s="343"/>
      <c r="Z331" s="149"/>
      <c r="AA331" s="149"/>
      <c r="AB331" s="149"/>
      <c r="AC331" s="149"/>
      <c r="AD331" s="149"/>
      <c r="AE331" s="149"/>
      <c r="AF331" s="149"/>
    </row>
    <row r="332" spans="1:32" s="148" customFormat="1" hidden="1">
      <c r="B332" s="344"/>
      <c r="C332" s="345"/>
      <c r="D332" s="345"/>
      <c r="E332" s="345"/>
      <c r="F332" s="345"/>
      <c r="G332" s="345"/>
      <c r="H332" s="345"/>
      <c r="I332" s="345"/>
      <c r="J332" s="345"/>
      <c r="K332" s="345"/>
      <c r="L332" s="345"/>
      <c r="M332" s="345"/>
      <c r="N332" s="345"/>
      <c r="O332" s="345"/>
      <c r="P332" s="345"/>
      <c r="Q332" s="345"/>
      <c r="R332" s="345"/>
      <c r="S332" s="345"/>
      <c r="T332" s="345"/>
      <c r="U332" s="345"/>
      <c r="V332" s="345"/>
      <c r="W332" s="345"/>
      <c r="X332" s="345"/>
      <c r="Y332" s="346"/>
      <c r="Z332" s="149"/>
      <c r="AA332" s="149"/>
      <c r="AB332" s="149"/>
      <c r="AC332" s="149"/>
      <c r="AD332" s="149"/>
      <c r="AE332" s="149"/>
      <c r="AF332" s="149"/>
    </row>
    <row r="333" spans="1:32" s="148" customFormat="1" hidden="1">
      <c r="B333" s="347"/>
      <c r="C333" s="348"/>
      <c r="D333" s="348"/>
      <c r="E333" s="348"/>
      <c r="F333" s="348"/>
      <c r="G333" s="348"/>
      <c r="H333" s="348"/>
      <c r="I333" s="348"/>
      <c r="J333" s="348"/>
      <c r="K333" s="348"/>
      <c r="L333" s="348"/>
      <c r="M333" s="348"/>
      <c r="N333" s="348"/>
      <c r="O333" s="348"/>
      <c r="P333" s="348"/>
      <c r="Q333" s="348"/>
      <c r="R333" s="348"/>
      <c r="S333" s="348"/>
      <c r="T333" s="348"/>
      <c r="U333" s="348"/>
      <c r="V333" s="348"/>
      <c r="W333" s="348"/>
      <c r="X333" s="348"/>
      <c r="Y333" s="349"/>
      <c r="Z333" s="149"/>
      <c r="AA333" s="149"/>
      <c r="AB333" s="149"/>
      <c r="AC333" s="149"/>
      <c r="AD333" s="149"/>
      <c r="AE333" s="149"/>
      <c r="AF333" s="149"/>
    </row>
    <row r="334" spans="1:32" s="148" customFormat="1" hidden="1">
      <c r="B334" s="156"/>
      <c r="C334" s="156"/>
      <c r="D334" s="156"/>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49"/>
      <c r="AA334" s="149"/>
      <c r="AB334" s="149"/>
      <c r="AC334" s="149"/>
      <c r="AD334" s="149"/>
      <c r="AE334" s="149"/>
      <c r="AF334" s="149"/>
    </row>
    <row r="335" spans="1:32" s="148" customFormat="1" hidden="1">
      <c r="A335" s="150">
        <f>A294+1</f>
        <v>8</v>
      </c>
      <c r="B335" s="27" t="s">
        <v>14</v>
      </c>
      <c r="C335" s="333">
        <f>C294-1</f>
        <v>2013</v>
      </c>
      <c r="D335" s="334"/>
      <c r="Y335" s="149"/>
      <c r="Z335" s="149"/>
      <c r="AA335" s="149"/>
      <c r="AB335" s="149"/>
      <c r="AC335" s="149"/>
      <c r="AD335" s="149"/>
      <c r="AE335" s="149"/>
      <c r="AF335" s="149"/>
    </row>
    <row r="336" spans="1:32" s="148" customFormat="1" hidden="1">
      <c r="Y336" s="149"/>
      <c r="Z336" s="149"/>
      <c r="AA336" s="149"/>
      <c r="AB336" s="149"/>
      <c r="AC336" s="149"/>
      <c r="AD336" s="149"/>
      <c r="AE336" s="149"/>
      <c r="AF336" s="149"/>
    </row>
    <row r="337" spans="2:32" s="148" customFormat="1" hidden="1">
      <c r="B337" s="338" t="str">
        <f>Settings!$N$14</f>
        <v>Employee's comments</v>
      </c>
      <c r="C337" s="339"/>
      <c r="D337" s="339"/>
      <c r="E337" s="339"/>
      <c r="F337" s="339"/>
      <c r="G337" s="339"/>
      <c r="H337" s="339"/>
      <c r="I337" s="339"/>
      <c r="J337" s="339"/>
      <c r="K337" s="339"/>
      <c r="L337" s="339"/>
      <c r="M337" s="339"/>
      <c r="N337" s="339"/>
      <c r="O337" s="339"/>
      <c r="P337" s="339"/>
      <c r="Q337" s="339"/>
      <c r="R337" s="339"/>
      <c r="S337" s="339"/>
      <c r="T337" s="339"/>
      <c r="U337" s="339"/>
      <c r="V337" s="339"/>
      <c r="W337" s="339"/>
      <c r="X337" s="339"/>
      <c r="Y337" s="340"/>
      <c r="Z337" s="149"/>
      <c r="AA337" s="149"/>
      <c r="AB337" s="149"/>
      <c r="AC337" s="149"/>
      <c r="AD337" s="149"/>
      <c r="AE337" s="149"/>
      <c r="AF337" s="149"/>
    </row>
    <row r="338" spans="2:32" s="148" customFormat="1" hidden="1">
      <c r="B338" s="341" t="e">
        <f>IF(INDEX(TblDatabase[Feedback Warnings],MATCH(1,INDEX(($L$4=ListEmployeeNamesInDatabase)*(C335=TblDatabase[Year]),0,1),0))="","",INDEX(TblDatabase[Feedback Warnings],MATCH(1,INDEX(($L$4=ListEmployeeNamesInDatabase)*(C335=TblDatabase[Year]),0,1),0)))</f>
        <v>#N/A</v>
      </c>
      <c r="C338" s="342"/>
      <c r="D338" s="342"/>
      <c r="E338" s="342"/>
      <c r="F338" s="342"/>
      <c r="G338" s="342"/>
      <c r="H338" s="342"/>
      <c r="I338" s="342"/>
      <c r="J338" s="342"/>
      <c r="K338" s="342"/>
      <c r="L338" s="342"/>
      <c r="M338" s="342"/>
      <c r="N338" s="342"/>
      <c r="O338" s="342"/>
      <c r="P338" s="342"/>
      <c r="Q338" s="342"/>
      <c r="R338" s="342"/>
      <c r="S338" s="342"/>
      <c r="T338" s="342"/>
      <c r="U338" s="342"/>
      <c r="V338" s="342"/>
      <c r="W338" s="342"/>
      <c r="X338" s="342"/>
      <c r="Y338" s="343"/>
      <c r="Z338" s="149"/>
      <c r="AA338" s="149"/>
      <c r="AB338" s="149"/>
      <c r="AC338" s="149"/>
      <c r="AD338" s="149"/>
      <c r="AE338" s="149"/>
      <c r="AF338" s="149"/>
    </row>
    <row r="339" spans="2:32" s="148" customFormat="1" hidden="1">
      <c r="B339" s="344"/>
      <c r="C339" s="345"/>
      <c r="D339" s="345"/>
      <c r="E339" s="345"/>
      <c r="F339" s="345"/>
      <c r="G339" s="345"/>
      <c r="H339" s="345"/>
      <c r="I339" s="345"/>
      <c r="J339" s="345"/>
      <c r="K339" s="345"/>
      <c r="L339" s="345"/>
      <c r="M339" s="345"/>
      <c r="N339" s="345"/>
      <c r="O339" s="345"/>
      <c r="P339" s="345"/>
      <c r="Q339" s="345"/>
      <c r="R339" s="345"/>
      <c r="S339" s="345"/>
      <c r="T339" s="345"/>
      <c r="U339" s="345"/>
      <c r="V339" s="345"/>
      <c r="W339" s="345"/>
      <c r="X339" s="345"/>
      <c r="Y339" s="346"/>
      <c r="Z339" s="149"/>
      <c r="AA339" s="149"/>
      <c r="AB339" s="149"/>
      <c r="AC339" s="149"/>
      <c r="AD339" s="149"/>
      <c r="AE339" s="149"/>
      <c r="AF339" s="149"/>
    </row>
    <row r="340" spans="2:32" s="148" customFormat="1" hidden="1">
      <c r="B340" s="347"/>
      <c r="C340" s="348"/>
      <c r="D340" s="348"/>
      <c r="E340" s="348"/>
      <c r="F340" s="348"/>
      <c r="G340" s="348"/>
      <c r="H340" s="348"/>
      <c r="I340" s="348"/>
      <c r="J340" s="348"/>
      <c r="K340" s="348"/>
      <c r="L340" s="348"/>
      <c r="M340" s="348"/>
      <c r="N340" s="348"/>
      <c r="O340" s="348"/>
      <c r="P340" s="348"/>
      <c r="Q340" s="348"/>
      <c r="R340" s="348"/>
      <c r="S340" s="348"/>
      <c r="T340" s="348"/>
      <c r="U340" s="348"/>
      <c r="V340" s="348"/>
      <c r="W340" s="348"/>
      <c r="X340" s="348"/>
      <c r="Y340" s="349"/>
      <c r="Z340" s="149"/>
      <c r="AA340" s="149"/>
      <c r="AB340" s="149"/>
      <c r="AC340" s="149"/>
      <c r="AD340" s="149"/>
      <c r="AE340" s="149"/>
      <c r="AF340" s="149"/>
    </row>
    <row r="341" spans="2:32" s="148" customFormat="1" hidden="1">
      <c r="Y341" s="149"/>
      <c r="Z341" s="149"/>
      <c r="AA341" s="149"/>
      <c r="AB341" s="149"/>
      <c r="AC341" s="149"/>
      <c r="AD341" s="149"/>
      <c r="AE341" s="149"/>
      <c r="AF341" s="149"/>
    </row>
    <row r="342" spans="2:32" s="148" customFormat="1" ht="15" hidden="1" customHeight="1">
      <c r="B342" s="320" t="s">
        <v>8</v>
      </c>
      <c r="C342" s="321"/>
      <c r="D342" s="321"/>
      <c r="E342" s="321"/>
      <c r="F342" s="233">
        <f>IF(Settings!$M$4=Settings!$Y$3,Settings!$O$19,1)</f>
        <v>1</v>
      </c>
      <c r="G342" s="234">
        <f>IF(Settings!$M$4=Settings!$Y$3,Settings!$O$19,2)</f>
        <v>2</v>
      </c>
      <c r="H342" s="234">
        <f>IF(Settings!$M$4=Settings!$Y$3,Settings!$O$19,3)</f>
        <v>3</v>
      </c>
      <c r="I342" s="234">
        <f>IF(Settings!$M$4=Settings!$Y$3,Settings!$O$19,4)</f>
        <v>4</v>
      </c>
      <c r="J342" s="234">
        <f>IF(Settings!$M$4=Settings!$Y$3,Settings!$O$20,5)</f>
        <v>5</v>
      </c>
      <c r="K342" s="234">
        <f>IF(Settings!$M$4=Settings!$Y$3,Settings!$O$20,6)</f>
        <v>6</v>
      </c>
      <c r="L342" s="234">
        <f>IF(Settings!$M$4=Settings!$Y$3,Settings!$O$20,7)</f>
        <v>7</v>
      </c>
      <c r="M342" s="234">
        <f>IF(Settings!$M$4=Settings!$Y$3,Settings!$O$20,8)</f>
        <v>8</v>
      </c>
      <c r="N342" s="234">
        <f>IF(Settings!$M$4=Settings!$Y$3,Settings!$O$21,9)</f>
        <v>9</v>
      </c>
      <c r="O342" s="235">
        <f>IF(Settings!$M$4=Settings!$Y$3,Settings!$O$21,10)</f>
        <v>10</v>
      </c>
      <c r="P342" s="22"/>
      <c r="Q342" s="22"/>
      <c r="R342" s="333" t="s">
        <v>24</v>
      </c>
      <c r="S342" s="333"/>
      <c r="T342" s="333"/>
      <c r="U342" s="333"/>
      <c r="V342" s="333"/>
      <c r="W342" s="333"/>
      <c r="X342" s="333"/>
      <c r="Y342" s="334"/>
      <c r="Z342" s="149"/>
      <c r="AA342" s="149"/>
      <c r="AB342" s="149"/>
      <c r="AC342" s="149"/>
      <c r="AD342" s="149"/>
      <c r="AE342" s="149"/>
      <c r="AF342" s="149"/>
    </row>
    <row r="343" spans="2:32" s="148" customFormat="1" ht="15" hidden="1" customHeight="1">
      <c r="B343" s="335" t="str">
        <f t="shared" ref="B343:B362" si="7">B302</f>
        <v>Quality of Work</v>
      </c>
      <c r="C343" s="336"/>
      <c r="D343" s="336"/>
      <c r="E343" s="337"/>
      <c r="F343" s="162" t="str">
        <f>IF(Settings!$M$4=Settings!$Y$3,IF($AA343=1,"P",""),IF($AA343=1,"P",""))</f>
        <v/>
      </c>
      <c r="G343" s="160" t="str">
        <f>IF(Settings!$M$4=Settings!$Y$3,IF($AA343=1,"P",""),IF($AA343=2,"P",""))</f>
        <v/>
      </c>
      <c r="H343" s="160" t="str">
        <f>IF(Settings!$M$4=Settings!$Y$3,IF($AA343=1,"P",""),IF($AA343=3,"P",""))</f>
        <v/>
      </c>
      <c r="I343" s="160" t="str">
        <f>IF(Settings!$M$4=Settings!$Y$3,IF($AA343=1,"P",""),IF($AA343=4,"P",""))</f>
        <v/>
      </c>
      <c r="J343" s="160" t="str">
        <f>IF(Settings!$M$4=Settings!$Y$3,IF($AA343=2,"P",""),IF($AA343=5,"P",""))</f>
        <v/>
      </c>
      <c r="K343" s="160" t="str">
        <f>IF(Settings!$M$4=Settings!$Y$3,IF($AA343=2,"P",""),IF($AA343=6,"P",""))</f>
        <v/>
      </c>
      <c r="L343" s="160" t="str">
        <f>IF(Settings!$M$4=Settings!$Y$3,IF($AA343=2,"P",""),IF($AA343=7,"P",""))</f>
        <v/>
      </c>
      <c r="M343" s="160" t="str">
        <f>IF(Settings!$M$4=Settings!$Y$3,IF($AA343=2,"P",""),IF($AA343=8,"P",""))</f>
        <v/>
      </c>
      <c r="N343" s="160" t="str">
        <f>IF(Settings!$M$4=Settings!$Y$3,IF($AA343=3,"P",""),IF($AA343=9,"P",""))</f>
        <v/>
      </c>
      <c r="O343" s="161" t="str">
        <f>IF(Settings!$M$4=Settings!$Y$3,IF($AA343=3,"P",""),IF($AA343=10,"P",""))</f>
        <v/>
      </c>
      <c r="P343" s="22"/>
      <c r="Q343" s="22"/>
      <c r="R343" s="367" t="e">
        <f>IF(INDEX(TblDatabase[Comment1],MATCH(1,INDEX(($L$4=ListEmployeeNamesInDatabase)*(C335=TblDatabase[Year]),0,1),0))="","",INDEX(TblDatabase[Comment1],MATCH(1,INDEX(($L$4=ListEmployeeNamesInDatabase)*(C335=TblDatabase[Year]),0,1),0)))</f>
        <v>#N/A</v>
      </c>
      <c r="S343" s="367"/>
      <c r="T343" s="367"/>
      <c r="U343" s="367"/>
      <c r="V343" s="367"/>
      <c r="W343" s="367"/>
      <c r="X343" s="367"/>
      <c r="Y343" s="368"/>
      <c r="Z343" s="149"/>
      <c r="AA343" s="151">
        <f>SUMIFS(TblDatabase[Competency1],ListEmployeeNamesInDatabase,$L$4,TblDatabase[Year],C335)</f>
        <v>0</v>
      </c>
      <c r="AB343" s="149"/>
      <c r="AC343" s="149"/>
      <c r="AD343" s="149"/>
      <c r="AE343" s="149"/>
      <c r="AF343" s="149"/>
    </row>
    <row r="344" spans="2:32" s="148" customFormat="1" ht="15" hidden="1" customHeight="1">
      <c r="B344" s="355" t="str">
        <f t="shared" si="7"/>
        <v>CaLL flow</v>
      </c>
      <c r="C344" s="356"/>
      <c r="D344" s="356"/>
      <c r="E344" s="357"/>
      <c r="F344" s="163" t="str">
        <f>IF(Settings!$M$4=Settings!$Y$3,IF($AA344=1,"P",""),IF($AA344=1,"P",""))</f>
        <v/>
      </c>
      <c r="G344" s="164" t="str">
        <f>IF(Settings!$M$4=Settings!$Y$3,IF($AA344=1,"P",""),IF($AA344=2,"P",""))</f>
        <v/>
      </c>
      <c r="H344" s="164" t="str">
        <f>IF(Settings!$M$4=Settings!$Y$3,IF($AA344=1,"P",""),IF($AA344=3,"P",""))</f>
        <v/>
      </c>
      <c r="I344" s="164" t="str">
        <f>IF(Settings!$M$4=Settings!$Y$3,IF($AA344=1,"P",""),IF($AA344=4,"P",""))</f>
        <v/>
      </c>
      <c r="J344" s="164" t="str">
        <f>IF(Settings!$M$4=Settings!$Y$3,IF($AA344=2,"P",""),IF($AA344=5,"P",""))</f>
        <v/>
      </c>
      <c r="K344" s="164" t="str">
        <f>IF(Settings!$M$4=Settings!$Y$3,IF($AA344=2,"P",""),IF($AA344=6,"P",""))</f>
        <v/>
      </c>
      <c r="L344" s="164" t="str">
        <f>IF(Settings!$M$4=Settings!$Y$3,IF($AA344=2,"P",""),IF($AA344=7,"P",""))</f>
        <v/>
      </c>
      <c r="M344" s="164" t="str">
        <f>IF(Settings!$M$4=Settings!$Y$3,IF($AA344=2,"P",""),IF($AA344=8,"P",""))</f>
        <v/>
      </c>
      <c r="N344" s="164" t="str">
        <f>IF(Settings!$M$4=Settings!$Y$3,IF($AA344=3,"P",""),IF($AA344=9,"P",""))</f>
        <v/>
      </c>
      <c r="O344" s="165" t="str">
        <f>IF(Settings!$M$4=Settings!$Y$3,IF($AA344=3,"P",""),IF($AA344=10,"P",""))</f>
        <v/>
      </c>
      <c r="P344" s="22"/>
      <c r="Q344" s="22"/>
      <c r="R344" s="360" t="e">
        <f>IF(INDEX(TblDatabase[Comment2],MATCH(1,INDEX(($L$4=ListEmployeeNamesInDatabase)*(C335=TblDatabase[Year]),0,1),0))="","",INDEX(TblDatabase[Comment2],MATCH(1,INDEX(($L$4=ListEmployeeNamesInDatabase)*(C335=TblDatabase[Year]),0,1),0)))</f>
        <v>#N/A</v>
      </c>
      <c r="S344" s="360"/>
      <c r="T344" s="360"/>
      <c r="U344" s="360"/>
      <c r="V344" s="360"/>
      <c r="W344" s="360"/>
      <c r="X344" s="360"/>
      <c r="Y344" s="361"/>
      <c r="Z344" s="149"/>
      <c r="AA344" s="151">
        <f>SUMIFS(TblDatabase[Competency2],ListEmployeeNamesInDatabase,$L$4,TblDatabase[Year],C335)</f>
        <v>0</v>
      </c>
      <c r="AB344" s="149"/>
      <c r="AC344" s="149"/>
      <c r="AD344" s="149"/>
      <c r="AE344" s="149"/>
      <c r="AF344" s="149"/>
    </row>
    <row r="345" spans="2:32" s="148" customFormat="1" ht="15" hidden="1" customHeight="1">
      <c r="B345" s="350" t="str">
        <f t="shared" si="7"/>
        <v>Job Knowledge</v>
      </c>
      <c r="C345" s="351"/>
      <c r="D345" s="351"/>
      <c r="E345" s="352"/>
      <c r="F345" s="157" t="str">
        <f>IF(Settings!$M$4=Settings!$Y$3,IF($AA345=1,"P",""),IF($AA345=1,"P",""))</f>
        <v/>
      </c>
      <c r="G345" s="158" t="str">
        <f>IF(Settings!$M$4=Settings!$Y$3,IF($AA345=1,"P",""),IF($AA345=2,"P",""))</f>
        <v/>
      </c>
      <c r="H345" s="158" t="str">
        <f>IF(Settings!$M$4=Settings!$Y$3,IF($AA345=1,"P",""),IF($AA345=3,"P",""))</f>
        <v/>
      </c>
      <c r="I345" s="158" t="str">
        <f>IF(Settings!$M$4=Settings!$Y$3,IF($AA345=1,"P",""),IF($AA345=4,"P",""))</f>
        <v/>
      </c>
      <c r="J345" s="158" t="str">
        <f>IF(Settings!$M$4=Settings!$Y$3,IF($AA345=2,"P",""),IF($AA345=5,"P",""))</f>
        <v/>
      </c>
      <c r="K345" s="158" t="str">
        <f>IF(Settings!$M$4=Settings!$Y$3,IF($AA345=2,"P",""),IF($AA345=6,"P",""))</f>
        <v/>
      </c>
      <c r="L345" s="158" t="str">
        <f>IF(Settings!$M$4=Settings!$Y$3,IF($AA345=2,"P",""),IF($AA345=7,"P",""))</f>
        <v/>
      </c>
      <c r="M345" s="158" t="str">
        <f>IF(Settings!$M$4=Settings!$Y$3,IF($AA345=2,"P",""),IF($AA345=8,"P",""))</f>
        <v/>
      </c>
      <c r="N345" s="158" t="str">
        <f>IF(Settings!$M$4=Settings!$Y$3,IF($AA345=3,"P",""),IF($AA345=9,"P",""))</f>
        <v/>
      </c>
      <c r="O345" s="159" t="str">
        <f>IF(Settings!$M$4=Settings!$Y$3,IF($AA345=3,"P",""),IF($AA345=10,"P",""))</f>
        <v/>
      </c>
      <c r="P345" s="22"/>
      <c r="Q345" s="22"/>
      <c r="R345" s="353" t="e">
        <f>IF(INDEX(TblDatabase[Comment3],MATCH(1,INDEX(($L$4=ListEmployeeNamesInDatabase)*(C335=TblDatabase[Year]),0,1),0))="","",INDEX(TblDatabase[Comment3],MATCH(1,INDEX(($L$4=ListEmployeeNamesInDatabase)*(C335=TblDatabase[Year]),0,1),0)))</f>
        <v>#N/A</v>
      </c>
      <c r="S345" s="353"/>
      <c r="T345" s="353"/>
      <c r="U345" s="353"/>
      <c r="V345" s="353"/>
      <c r="W345" s="353"/>
      <c r="X345" s="353"/>
      <c r="Y345" s="354"/>
      <c r="Z345" s="149"/>
      <c r="AA345" s="151">
        <f>SUMIFS(TblDatabase[Competency3],ListEmployeeNamesInDatabase,$L$4,TblDatabase[Year],C335)</f>
        <v>0</v>
      </c>
      <c r="AB345" s="149"/>
      <c r="AC345" s="149"/>
      <c r="AD345" s="149"/>
      <c r="AE345" s="149"/>
      <c r="AF345" s="149"/>
    </row>
    <row r="346" spans="2:32" s="148" customFormat="1" ht="15" hidden="1" customHeight="1">
      <c r="B346" s="355" t="str">
        <f t="shared" si="7"/>
        <v>Client Service</v>
      </c>
      <c r="C346" s="356"/>
      <c r="D346" s="356"/>
      <c r="E346" s="357"/>
      <c r="F346" s="163" t="str">
        <f>IF(Settings!$M$4=Settings!$Y$3,IF($AA346=1,"P",""),IF($AA346=1,"P",""))</f>
        <v/>
      </c>
      <c r="G346" s="164" t="str">
        <f>IF(Settings!$M$4=Settings!$Y$3,IF($AA346=1,"P",""),IF($AA346=2,"P",""))</f>
        <v/>
      </c>
      <c r="H346" s="164" t="str">
        <f>IF(Settings!$M$4=Settings!$Y$3,IF($AA346=1,"P",""),IF($AA346=3,"P",""))</f>
        <v/>
      </c>
      <c r="I346" s="164" t="str">
        <f>IF(Settings!$M$4=Settings!$Y$3,IF($AA346=1,"P",""),IF($AA346=4,"P",""))</f>
        <v/>
      </c>
      <c r="J346" s="164" t="str">
        <f>IF(Settings!$M$4=Settings!$Y$3,IF($AA346=2,"P",""),IF($AA346=5,"P",""))</f>
        <v/>
      </c>
      <c r="K346" s="164" t="str">
        <f>IF(Settings!$M$4=Settings!$Y$3,IF($AA346=2,"P",""),IF($AA346=6,"P",""))</f>
        <v/>
      </c>
      <c r="L346" s="164" t="str">
        <f>IF(Settings!$M$4=Settings!$Y$3,IF($AA346=2,"P",""),IF($AA346=7,"P",""))</f>
        <v/>
      </c>
      <c r="M346" s="164" t="str">
        <f>IF(Settings!$M$4=Settings!$Y$3,IF($AA346=2,"P",""),IF($AA346=8,"P",""))</f>
        <v/>
      </c>
      <c r="N346" s="164" t="str">
        <f>IF(Settings!$M$4=Settings!$Y$3,IF($AA346=3,"P",""),IF($AA346=9,"P",""))</f>
        <v/>
      </c>
      <c r="O346" s="165" t="str">
        <f>IF(Settings!$M$4=Settings!$Y$3,IF($AA346=3,"P",""),IF($AA346=10,"P",""))</f>
        <v/>
      </c>
      <c r="P346" s="22"/>
      <c r="Q346" s="22"/>
      <c r="R346" s="360" t="e">
        <f>IF(INDEX(TblDatabase[Comment4],MATCH(1,INDEX(($L$4=ListEmployeeNamesInDatabase)*(C335=TblDatabase[Year]),0,1),0))="","",INDEX(TblDatabase[Comment4],MATCH(1,INDEX(($L$4=ListEmployeeNamesInDatabase)*(C335=TblDatabase[Year]),0,1),0)))</f>
        <v>#N/A</v>
      </c>
      <c r="S346" s="360"/>
      <c r="T346" s="360"/>
      <c r="U346" s="360"/>
      <c r="V346" s="360"/>
      <c r="W346" s="360"/>
      <c r="X346" s="360"/>
      <c r="Y346" s="361"/>
      <c r="Z346" s="149"/>
      <c r="AA346" s="151">
        <f>SUMIFS(TblDatabase[Competency4],ListEmployeeNamesInDatabase,$L$4,TblDatabase[Year],C335)</f>
        <v>0</v>
      </c>
      <c r="AB346" s="149"/>
      <c r="AC346" s="149"/>
      <c r="AD346" s="149"/>
      <c r="AE346" s="149"/>
      <c r="AF346" s="149"/>
    </row>
    <row r="347" spans="2:32" s="148" customFormat="1" ht="15" hidden="1" customHeight="1">
      <c r="B347" s="350" t="str">
        <f t="shared" si="7"/>
        <v>Teamwork</v>
      </c>
      <c r="C347" s="351"/>
      <c r="D347" s="351"/>
      <c r="E347" s="352"/>
      <c r="F347" s="157" t="str">
        <f>IF(Settings!$M$4=Settings!$Y$3,IF($AA347=1,"P",""),IF($AA347=1,"P",""))</f>
        <v/>
      </c>
      <c r="G347" s="158" t="str">
        <f>IF(Settings!$M$4=Settings!$Y$3,IF($AA347=1,"P",""),IF($AA347=2,"P",""))</f>
        <v/>
      </c>
      <c r="H347" s="158" t="str">
        <f>IF(Settings!$M$4=Settings!$Y$3,IF($AA347=1,"P",""),IF($AA347=3,"P",""))</f>
        <v/>
      </c>
      <c r="I347" s="158" t="str">
        <f>IF(Settings!$M$4=Settings!$Y$3,IF($AA347=1,"P",""),IF($AA347=4,"P",""))</f>
        <v/>
      </c>
      <c r="J347" s="158" t="str">
        <f>IF(Settings!$M$4=Settings!$Y$3,IF($AA347=2,"P",""),IF($AA347=5,"P",""))</f>
        <v/>
      </c>
      <c r="K347" s="158" t="str">
        <f>IF(Settings!$M$4=Settings!$Y$3,IF($AA347=2,"P",""),IF($AA347=6,"P",""))</f>
        <v/>
      </c>
      <c r="L347" s="158" t="str">
        <f>IF(Settings!$M$4=Settings!$Y$3,IF($AA347=2,"P",""),IF($AA347=7,"P",""))</f>
        <v/>
      </c>
      <c r="M347" s="158" t="str">
        <f>IF(Settings!$M$4=Settings!$Y$3,IF($AA347=2,"P",""),IF($AA347=8,"P",""))</f>
        <v/>
      </c>
      <c r="N347" s="158" t="str">
        <f>IF(Settings!$M$4=Settings!$Y$3,IF($AA347=3,"P",""),IF($AA347=9,"P",""))</f>
        <v/>
      </c>
      <c r="O347" s="159" t="str">
        <f>IF(Settings!$M$4=Settings!$Y$3,IF($AA347=3,"P",""),IF($AA347=10,"P",""))</f>
        <v/>
      </c>
      <c r="P347" s="22"/>
      <c r="Q347" s="22"/>
      <c r="R347" s="353" t="e">
        <f>IF(INDEX(TblDatabase[Comment5],MATCH(1,INDEX(($L$4=ListEmployeeNamesInDatabase)*(C335=TblDatabase[Year]),0,1),0))="","",INDEX(TblDatabase[Comment5],MATCH(1,INDEX(($L$4=ListEmployeeNamesInDatabase)*(C335=TblDatabase[Year]),0,1),0)))</f>
        <v>#N/A</v>
      </c>
      <c r="S347" s="353"/>
      <c r="T347" s="353"/>
      <c r="U347" s="353"/>
      <c r="V347" s="353"/>
      <c r="W347" s="353"/>
      <c r="X347" s="353"/>
      <c r="Y347" s="354"/>
      <c r="Z347" s="149"/>
      <c r="AA347" s="151">
        <f>SUMIFS(TblDatabase[Competency5],ListEmployeeNamesInDatabase,$L$4,TblDatabase[Year],C335)</f>
        <v>0</v>
      </c>
      <c r="AB347" s="149"/>
      <c r="AC347" s="149"/>
      <c r="AD347" s="149"/>
      <c r="AE347" s="149"/>
      <c r="AF347" s="149"/>
    </row>
    <row r="348" spans="2:32" s="148" customFormat="1" ht="15" hidden="1" customHeight="1">
      <c r="B348" s="355" t="str">
        <f t="shared" si="7"/>
        <v>Safety</v>
      </c>
      <c r="C348" s="356"/>
      <c r="D348" s="356"/>
      <c r="E348" s="357"/>
      <c r="F348" s="163" t="str">
        <f>IF(Settings!$M$4=Settings!$Y$3,IF($AA348=1,"P",""),IF($AA348=1,"P",""))</f>
        <v/>
      </c>
      <c r="G348" s="164" t="str">
        <f>IF(Settings!$M$4=Settings!$Y$3,IF($AA348=1,"P",""),IF($AA348=2,"P",""))</f>
        <v/>
      </c>
      <c r="H348" s="164" t="str">
        <f>IF(Settings!$M$4=Settings!$Y$3,IF($AA348=1,"P",""),IF($AA348=3,"P",""))</f>
        <v/>
      </c>
      <c r="I348" s="164" t="str">
        <f>IF(Settings!$M$4=Settings!$Y$3,IF($AA348=1,"P",""),IF($AA348=4,"P",""))</f>
        <v/>
      </c>
      <c r="J348" s="164" t="str">
        <f>IF(Settings!$M$4=Settings!$Y$3,IF($AA348=2,"P",""),IF($AA348=5,"P",""))</f>
        <v/>
      </c>
      <c r="K348" s="164" t="str">
        <f>IF(Settings!$M$4=Settings!$Y$3,IF($AA348=2,"P",""),IF($AA348=6,"P",""))</f>
        <v/>
      </c>
      <c r="L348" s="164" t="str">
        <f>IF(Settings!$M$4=Settings!$Y$3,IF($AA348=2,"P",""),IF($AA348=7,"P",""))</f>
        <v/>
      </c>
      <c r="M348" s="164" t="str">
        <f>IF(Settings!$M$4=Settings!$Y$3,IF($AA348=2,"P",""),IF($AA348=8,"P",""))</f>
        <v/>
      </c>
      <c r="N348" s="164" t="str">
        <f>IF(Settings!$M$4=Settings!$Y$3,IF($AA348=3,"P",""),IF($AA348=9,"P",""))</f>
        <v/>
      </c>
      <c r="O348" s="165" t="str">
        <f>IF(Settings!$M$4=Settings!$Y$3,IF($AA348=3,"P",""),IF($AA348=10,"P",""))</f>
        <v/>
      </c>
      <c r="P348" s="22"/>
      <c r="Q348" s="22"/>
      <c r="R348" s="360" t="e">
        <f>IF(INDEX(TblDatabase[Comment6],MATCH(1,INDEX(($L$4=ListEmployeeNamesInDatabase)*(C335=TblDatabase[Year]),0,1),0))="","",INDEX(TblDatabase[Comment6],MATCH(1,INDEX(($L$4=ListEmployeeNamesInDatabase)*(C335=TblDatabase[Year]),0,1),0)))</f>
        <v>#N/A</v>
      </c>
      <c r="S348" s="360"/>
      <c r="T348" s="360"/>
      <c r="U348" s="360"/>
      <c r="V348" s="360"/>
      <c r="W348" s="360"/>
      <c r="X348" s="360"/>
      <c r="Y348" s="361"/>
      <c r="Z348" s="149"/>
      <c r="AA348" s="151">
        <f>SUMIFS(TblDatabase[Competency6],ListEmployeeNamesInDatabase,$L$4,TblDatabase[Year],C335)</f>
        <v>0</v>
      </c>
      <c r="AB348" s="149"/>
      <c r="AC348" s="149"/>
      <c r="AD348" s="149"/>
      <c r="AE348" s="149"/>
      <c r="AF348" s="149"/>
    </row>
    <row r="349" spans="2:32" s="148" customFormat="1" ht="15" hidden="1" customHeight="1">
      <c r="B349" s="350" t="str">
        <f t="shared" si="7"/>
        <v>Reliability</v>
      </c>
      <c r="C349" s="351"/>
      <c r="D349" s="351"/>
      <c r="E349" s="352"/>
      <c r="F349" s="157" t="str">
        <f>IF(Settings!$M$4=Settings!$Y$3,IF($AA349=1,"P",""),IF($AA349=1,"P",""))</f>
        <v/>
      </c>
      <c r="G349" s="158" t="str">
        <f>IF(Settings!$M$4=Settings!$Y$3,IF($AA349=1,"P",""),IF($AA349=2,"P",""))</f>
        <v/>
      </c>
      <c r="H349" s="158" t="str">
        <f>IF(Settings!$M$4=Settings!$Y$3,IF($AA349=1,"P",""),IF($AA349=3,"P",""))</f>
        <v/>
      </c>
      <c r="I349" s="158" t="str">
        <f>IF(Settings!$M$4=Settings!$Y$3,IF($AA349=1,"P",""),IF($AA349=4,"P",""))</f>
        <v/>
      </c>
      <c r="J349" s="158" t="str">
        <f>IF(Settings!$M$4=Settings!$Y$3,IF($AA349=2,"P",""),IF($AA349=5,"P",""))</f>
        <v/>
      </c>
      <c r="K349" s="158" t="str">
        <f>IF(Settings!$M$4=Settings!$Y$3,IF($AA349=2,"P",""),IF($AA349=6,"P",""))</f>
        <v/>
      </c>
      <c r="L349" s="158" t="str">
        <f>IF(Settings!$M$4=Settings!$Y$3,IF($AA349=2,"P",""),IF($AA349=7,"P",""))</f>
        <v/>
      </c>
      <c r="M349" s="158" t="str">
        <f>IF(Settings!$M$4=Settings!$Y$3,IF($AA349=2,"P",""),IF($AA349=8,"P",""))</f>
        <v/>
      </c>
      <c r="N349" s="158" t="str">
        <f>IF(Settings!$M$4=Settings!$Y$3,IF($AA349=3,"P",""),IF($AA349=9,"P",""))</f>
        <v/>
      </c>
      <c r="O349" s="159" t="str">
        <f>IF(Settings!$M$4=Settings!$Y$3,IF($AA349=3,"P",""),IF($AA349=10,"P",""))</f>
        <v/>
      </c>
      <c r="P349" s="22"/>
      <c r="Q349" s="22"/>
      <c r="R349" s="353" t="e">
        <f>IF(INDEX(TblDatabase[Comment7],MATCH(1,INDEX(($L$4=ListEmployeeNamesInDatabase)*(C335=TblDatabase[Year]),0,1),0))="","",INDEX(TblDatabase[Comment7],MATCH(1,INDEX(($L$4=ListEmployeeNamesInDatabase)*(C335=TblDatabase[Year]),0,1),0)))</f>
        <v>#N/A</v>
      </c>
      <c r="S349" s="353"/>
      <c r="T349" s="353"/>
      <c r="U349" s="353"/>
      <c r="V349" s="353"/>
      <c r="W349" s="353"/>
      <c r="X349" s="353"/>
      <c r="Y349" s="354"/>
      <c r="Z349" s="149"/>
      <c r="AA349" s="151">
        <f>SUMIFS(TblDatabase[Competency7],ListEmployeeNamesInDatabase,$L$4,TblDatabase[Year],C335)</f>
        <v>0</v>
      </c>
      <c r="AB349" s="149"/>
      <c r="AC349" s="149"/>
      <c r="AD349" s="149"/>
      <c r="AE349" s="149"/>
      <c r="AF349" s="149"/>
    </row>
    <row r="350" spans="2:32" s="148" customFormat="1" ht="15" hidden="1" customHeight="1">
      <c r="B350" s="355" t="str">
        <f t="shared" si="7"/>
        <v>Initiative/Adaptability</v>
      </c>
      <c r="C350" s="356"/>
      <c r="D350" s="356"/>
      <c r="E350" s="357"/>
      <c r="F350" s="163" t="str">
        <f>IF(Settings!$M$4=Settings!$Y$3,IF($AA350=1,"P",""),IF($AA350=1,"P",""))</f>
        <v/>
      </c>
      <c r="G350" s="164" t="str">
        <f>IF(Settings!$M$4=Settings!$Y$3,IF($AA350=1,"P",""),IF($AA350=2,"P",""))</f>
        <v/>
      </c>
      <c r="H350" s="164" t="str">
        <f>IF(Settings!$M$4=Settings!$Y$3,IF($AA350=1,"P",""),IF($AA350=3,"P",""))</f>
        <v/>
      </c>
      <c r="I350" s="164" t="str">
        <f>IF(Settings!$M$4=Settings!$Y$3,IF($AA350=1,"P",""),IF($AA350=4,"P",""))</f>
        <v/>
      </c>
      <c r="J350" s="164" t="str">
        <f>IF(Settings!$M$4=Settings!$Y$3,IF($AA350=2,"P",""),IF($AA350=5,"P",""))</f>
        <v/>
      </c>
      <c r="K350" s="164" t="str">
        <f>IF(Settings!$M$4=Settings!$Y$3,IF($AA350=2,"P",""),IF($AA350=6,"P",""))</f>
        <v/>
      </c>
      <c r="L350" s="164" t="str">
        <f>IF(Settings!$M$4=Settings!$Y$3,IF($AA350=2,"P",""),IF($AA350=7,"P",""))</f>
        <v/>
      </c>
      <c r="M350" s="164" t="str">
        <f>IF(Settings!$M$4=Settings!$Y$3,IF($AA350=2,"P",""),IF($AA350=8,"P",""))</f>
        <v/>
      </c>
      <c r="N350" s="164" t="str">
        <f>IF(Settings!$M$4=Settings!$Y$3,IF($AA350=3,"P",""),IF($AA350=9,"P",""))</f>
        <v/>
      </c>
      <c r="O350" s="165" t="str">
        <f>IF(Settings!$M$4=Settings!$Y$3,IF($AA350=3,"P",""),IF($AA350=10,"P",""))</f>
        <v/>
      </c>
      <c r="P350" s="22"/>
      <c r="Q350" s="22"/>
      <c r="R350" s="360" t="e">
        <f>IF(INDEX(TblDatabase[Comment8],MATCH(1,INDEX(($L$4=ListEmployeeNamesInDatabase)*(C335=TblDatabase[Year]),0,1),0))="","",INDEX(TblDatabase[Comment8],MATCH(1,INDEX(($L$4=ListEmployeeNamesInDatabase)*(C335=TblDatabase[Year]),0,1),0)))</f>
        <v>#N/A</v>
      </c>
      <c r="S350" s="360"/>
      <c r="T350" s="360"/>
      <c r="U350" s="360"/>
      <c r="V350" s="360"/>
      <c r="W350" s="360"/>
      <c r="X350" s="360"/>
      <c r="Y350" s="361"/>
      <c r="Z350" s="149"/>
      <c r="AA350" s="151">
        <f>SUMIFS(TblDatabase[Competency8],ListEmployeeNamesInDatabase,$L$4,TblDatabase[Year],C335)</f>
        <v>0</v>
      </c>
      <c r="AB350" s="149"/>
      <c r="AC350" s="149"/>
      <c r="AD350" s="149"/>
      <c r="AE350" s="149"/>
      <c r="AF350" s="149"/>
    </row>
    <row r="351" spans="2:32" s="148" customFormat="1" ht="15" hidden="1" customHeight="1">
      <c r="B351" s="350" t="str">
        <f t="shared" si="7"/>
        <v/>
      </c>
      <c r="C351" s="351"/>
      <c r="D351" s="351"/>
      <c r="E351" s="352"/>
      <c r="F351" s="157" t="str">
        <f>IF(Settings!$M$4=Settings!$Y$3,IF($AA351=1,"P",""),IF($AA351=1,"P",""))</f>
        <v/>
      </c>
      <c r="G351" s="158" t="str">
        <f>IF(Settings!$M$4=Settings!$Y$3,IF($AA351=1,"P",""),IF($AA351=2,"P",""))</f>
        <v/>
      </c>
      <c r="H351" s="158" t="str">
        <f>IF(Settings!$M$4=Settings!$Y$3,IF($AA351=1,"P",""),IF($AA351=3,"P",""))</f>
        <v/>
      </c>
      <c r="I351" s="158" t="str">
        <f>IF(Settings!$M$4=Settings!$Y$3,IF($AA351=1,"P",""),IF($AA351=4,"P",""))</f>
        <v/>
      </c>
      <c r="J351" s="158" t="str">
        <f>IF(Settings!$M$4=Settings!$Y$3,IF($AA351=2,"P",""),IF($AA351=5,"P",""))</f>
        <v/>
      </c>
      <c r="K351" s="158" t="str">
        <f>IF(Settings!$M$4=Settings!$Y$3,IF($AA351=2,"P",""),IF($AA351=6,"P",""))</f>
        <v/>
      </c>
      <c r="L351" s="158" t="str">
        <f>IF(Settings!$M$4=Settings!$Y$3,IF($AA351=2,"P",""),IF($AA351=7,"P",""))</f>
        <v/>
      </c>
      <c r="M351" s="158" t="str">
        <f>IF(Settings!$M$4=Settings!$Y$3,IF($AA351=2,"P",""),IF($AA351=8,"P",""))</f>
        <v/>
      </c>
      <c r="N351" s="158" t="str">
        <f>IF(Settings!$M$4=Settings!$Y$3,IF($AA351=3,"P",""),IF($AA351=9,"P",""))</f>
        <v/>
      </c>
      <c r="O351" s="159" t="str">
        <f>IF(Settings!$M$4=Settings!$Y$3,IF($AA351=3,"P",""),IF($AA351=10,"P",""))</f>
        <v/>
      </c>
      <c r="P351" s="22"/>
      <c r="Q351" s="22"/>
      <c r="R351" s="353" t="e">
        <f>IF(INDEX(TblDatabase[Comment9],MATCH(1,INDEX(($L$4=ListEmployeeNamesInDatabase)*(C335=TblDatabase[Year]),0,1),0))="","",INDEX(TblDatabase[Comment9],MATCH(1,INDEX(($L$4=ListEmployeeNamesInDatabase)*(C335=TblDatabase[Year]),0,1),0)))</f>
        <v>#N/A</v>
      </c>
      <c r="S351" s="353"/>
      <c r="T351" s="353"/>
      <c r="U351" s="353"/>
      <c r="V351" s="353"/>
      <c r="W351" s="353"/>
      <c r="X351" s="353"/>
      <c r="Y351" s="354"/>
      <c r="Z351" s="149"/>
      <c r="AA351" s="151">
        <f>SUMIFS(TblDatabase[Competency9],ListEmployeeNamesInDatabase,$L$4,TblDatabase[Year],C335)</f>
        <v>0</v>
      </c>
      <c r="AB351" s="149"/>
      <c r="AC351" s="149"/>
      <c r="AD351" s="149"/>
      <c r="AE351" s="149"/>
      <c r="AF351" s="149"/>
    </row>
    <row r="352" spans="2:32" s="148" customFormat="1" ht="15" hidden="1" customHeight="1">
      <c r="B352" s="355" t="str">
        <f t="shared" si="7"/>
        <v/>
      </c>
      <c r="C352" s="356"/>
      <c r="D352" s="356"/>
      <c r="E352" s="357"/>
      <c r="F352" s="163" t="str">
        <f>IF(Settings!$M$4=Settings!$Y$3,IF($AA352=1,"P",""),IF($AA352=1,"P",""))</f>
        <v/>
      </c>
      <c r="G352" s="164" t="str">
        <f>IF(Settings!$M$4=Settings!$Y$3,IF($AA352=1,"P",""),IF($AA352=2,"P",""))</f>
        <v/>
      </c>
      <c r="H352" s="164" t="str">
        <f>IF(Settings!$M$4=Settings!$Y$3,IF($AA352=1,"P",""),IF($AA352=3,"P",""))</f>
        <v/>
      </c>
      <c r="I352" s="164" t="str">
        <f>IF(Settings!$M$4=Settings!$Y$3,IF($AA352=1,"P",""),IF($AA352=4,"P",""))</f>
        <v/>
      </c>
      <c r="J352" s="164" t="str">
        <f>IF(Settings!$M$4=Settings!$Y$3,IF($AA352=2,"P",""),IF($AA352=5,"P",""))</f>
        <v/>
      </c>
      <c r="K352" s="164" t="str">
        <f>IF(Settings!$M$4=Settings!$Y$3,IF($AA352=2,"P",""),IF($AA352=6,"P",""))</f>
        <v/>
      </c>
      <c r="L352" s="164" t="str">
        <f>IF(Settings!$M$4=Settings!$Y$3,IF($AA352=2,"P",""),IF($AA352=7,"P",""))</f>
        <v/>
      </c>
      <c r="M352" s="164" t="str">
        <f>IF(Settings!$M$4=Settings!$Y$3,IF($AA352=2,"P",""),IF($AA352=8,"P",""))</f>
        <v/>
      </c>
      <c r="N352" s="164" t="str">
        <f>IF(Settings!$M$4=Settings!$Y$3,IF($AA352=3,"P",""),IF($AA352=9,"P",""))</f>
        <v/>
      </c>
      <c r="O352" s="165" t="str">
        <f>IF(Settings!$M$4=Settings!$Y$3,IF($AA352=3,"P",""),IF($AA352=10,"P",""))</f>
        <v/>
      </c>
      <c r="P352" s="22"/>
      <c r="Q352" s="22"/>
      <c r="R352" s="360" t="e">
        <f>IF(INDEX(TblDatabase[Comment10],MATCH(1,INDEX(($L$4=ListEmployeeNamesInDatabase)*(C335=TblDatabase[Year]),0,1),0))="","",INDEX(TblDatabase[Comment10],MATCH(1,INDEX(($L$4=ListEmployeeNamesInDatabase)*(C335=TblDatabase[Year]),0,1),0)))</f>
        <v>#N/A</v>
      </c>
      <c r="S352" s="360"/>
      <c r="T352" s="360"/>
      <c r="U352" s="360"/>
      <c r="V352" s="360"/>
      <c r="W352" s="360"/>
      <c r="X352" s="360"/>
      <c r="Y352" s="361"/>
      <c r="Z352" s="149"/>
      <c r="AA352" s="151">
        <f>SUMIFS(TblDatabase[Competency10],ListEmployeeNamesInDatabase,$L$4,TblDatabase[Year],C335)</f>
        <v>0</v>
      </c>
      <c r="AB352" s="149"/>
      <c r="AC352" s="149"/>
      <c r="AD352" s="149"/>
      <c r="AE352" s="149"/>
      <c r="AF352" s="149"/>
    </row>
    <row r="353" spans="2:32" s="148" customFormat="1" ht="15" hidden="1" customHeight="1">
      <c r="B353" s="350" t="str">
        <f t="shared" si="7"/>
        <v/>
      </c>
      <c r="C353" s="351"/>
      <c r="D353" s="351"/>
      <c r="E353" s="352"/>
      <c r="F353" s="157" t="str">
        <f>IF(Settings!$M$4=Settings!$Y$3,IF($AA353=1,"P",""),IF($AA353=1,"P",""))</f>
        <v/>
      </c>
      <c r="G353" s="158" t="str">
        <f>IF(Settings!$M$4=Settings!$Y$3,IF($AA353=1,"P",""),IF($AA353=2,"P",""))</f>
        <v/>
      </c>
      <c r="H353" s="158" t="str">
        <f>IF(Settings!$M$4=Settings!$Y$3,IF($AA353=1,"P",""),IF($AA353=3,"P",""))</f>
        <v/>
      </c>
      <c r="I353" s="158" t="str">
        <f>IF(Settings!$M$4=Settings!$Y$3,IF($AA353=1,"P",""),IF($AA353=4,"P",""))</f>
        <v/>
      </c>
      <c r="J353" s="158" t="str">
        <f>IF(Settings!$M$4=Settings!$Y$3,IF($AA353=2,"P",""),IF($AA353=5,"P",""))</f>
        <v/>
      </c>
      <c r="K353" s="158" t="str">
        <f>IF(Settings!$M$4=Settings!$Y$3,IF($AA353=2,"P",""),IF($AA353=6,"P",""))</f>
        <v/>
      </c>
      <c r="L353" s="158" t="str">
        <f>IF(Settings!$M$4=Settings!$Y$3,IF($AA353=2,"P",""),IF($AA353=7,"P",""))</f>
        <v/>
      </c>
      <c r="M353" s="158" t="str">
        <f>IF(Settings!$M$4=Settings!$Y$3,IF($AA353=2,"P",""),IF($AA353=8,"P",""))</f>
        <v/>
      </c>
      <c r="N353" s="158" t="str">
        <f>IF(Settings!$M$4=Settings!$Y$3,IF($AA353=3,"P",""),IF($AA353=9,"P",""))</f>
        <v/>
      </c>
      <c r="O353" s="159" t="str">
        <f>IF(Settings!$M$4=Settings!$Y$3,IF($AA353=3,"P",""),IF($AA353=10,"P",""))</f>
        <v/>
      </c>
      <c r="P353" s="22"/>
      <c r="Q353" s="22"/>
      <c r="R353" s="353" t="e">
        <f>IF(INDEX(TblDatabase[Comment11],MATCH(1,INDEX(($L$4=ListEmployeeNamesInDatabase)*(C335=TblDatabase[Year]),0,1),0))="","",INDEX(TblDatabase[Comment11],MATCH(1,INDEX(($L$4=ListEmployeeNamesInDatabase)*(C335=TblDatabase[Year]),0,1),0)))</f>
        <v>#N/A</v>
      </c>
      <c r="S353" s="353"/>
      <c r="T353" s="353"/>
      <c r="U353" s="353"/>
      <c r="V353" s="353"/>
      <c r="W353" s="353"/>
      <c r="X353" s="353"/>
      <c r="Y353" s="354"/>
      <c r="Z353" s="149"/>
      <c r="AA353" s="151">
        <f>SUMIFS(TblDatabase[Competency11],ListEmployeeNamesInDatabase,$L$4,TblDatabase[Year],C335)</f>
        <v>0</v>
      </c>
      <c r="AB353" s="149"/>
      <c r="AC353" s="149"/>
      <c r="AD353" s="149"/>
      <c r="AE353" s="149"/>
      <c r="AF353" s="149"/>
    </row>
    <row r="354" spans="2:32" s="148" customFormat="1" ht="15" hidden="1" customHeight="1">
      <c r="B354" s="355" t="str">
        <f t="shared" si="7"/>
        <v/>
      </c>
      <c r="C354" s="356"/>
      <c r="D354" s="356"/>
      <c r="E354" s="357"/>
      <c r="F354" s="163" t="str">
        <f>IF(Settings!$M$4=Settings!$Y$3,IF($AA354=1,"P",""),IF($AA354=1,"P",""))</f>
        <v/>
      </c>
      <c r="G354" s="164" t="str">
        <f>IF(Settings!$M$4=Settings!$Y$3,IF($AA354=1,"P",""),IF($AA354=2,"P",""))</f>
        <v/>
      </c>
      <c r="H354" s="164" t="str">
        <f>IF(Settings!$M$4=Settings!$Y$3,IF($AA354=1,"P",""),IF($AA354=3,"P",""))</f>
        <v/>
      </c>
      <c r="I354" s="164" t="str">
        <f>IF(Settings!$M$4=Settings!$Y$3,IF($AA354=1,"P",""),IF($AA354=4,"P",""))</f>
        <v/>
      </c>
      <c r="J354" s="164" t="str">
        <f>IF(Settings!$M$4=Settings!$Y$3,IF($AA354=2,"P",""),IF($AA354=5,"P",""))</f>
        <v/>
      </c>
      <c r="K354" s="164" t="str">
        <f>IF(Settings!$M$4=Settings!$Y$3,IF($AA354=2,"P",""),IF($AA354=6,"P",""))</f>
        <v/>
      </c>
      <c r="L354" s="164" t="str">
        <f>IF(Settings!$M$4=Settings!$Y$3,IF($AA354=2,"P",""),IF($AA354=7,"P",""))</f>
        <v/>
      </c>
      <c r="M354" s="164" t="str">
        <f>IF(Settings!$M$4=Settings!$Y$3,IF($AA354=2,"P",""),IF($AA354=8,"P",""))</f>
        <v/>
      </c>
      <c r="N354" s="164" t="str">
        <f>IF(Settings!$M$4=Settings!$Y$3,IF($AA354=3,"P",""),IF($AA354=9,"P",""))</f>
        <v/>
      </c>
      <c r="O354" s="165" t="str">
        <f>IF(Settings!$M$4=Settings!$Y$3,IF($AA354=3,"P",""),IF($AA354=10,"P",""))</f>
        <v/>
      </c>
      <c r="P354" s="22"/>
      <c r="Q354" s="22"/>
      <c r="R354" s="360" t="e">
        <f>IF(INDEX(TblDatabase[Comment12],MATCH(1,INDEX(($L$4=ListEmployeeNamesInDatabase)*(C335=TblDatabase[Year]),0,1),0))="","",INDEX(TblDatabase[Comment12],MATCH(1,INDEX(($L$4=ListEmployeeNamesInDatabase)*(C335=TblDatabase[Year]),0,1),0)))</f>
        <v>#N/A</v>
      </c>
      <c r="S354" s="360"/>
      <c r="T354" s="360"/>
      <c r="U354" s="360"/>
      <c r="V354" s="360"/>
      <c r="W354" s="360"/>
      <c r="X354" s="360"/>
      <c r="Y354" s="361"/>
      <c r="Z354" s="149"/>
      <c r="AA354" s="151">
        <f>SUMIFS(TblDatabase[Competency12],ListEmployeeNamesInDatabase,$L$4,TblDatabase[Year],C335)</f>
        <v>0</v>
      </c>
      <c r="AB354" s="149"/>
      <c r="AC354" s="149"/>
      <c r="AD354" s="149"/>
      <c r="AE354" s="149"/>
      <c r="AF354" s="149"/>
    </row>
    <row r="355" spans="2:32" s="148" customFormat="1" ht="15" hidden="1" customHeight="1">
      <c r="B355" s="350" t="str">
        <f t="shared" si="7"/>
        <v/>
      </c>
      <c r="C355" s="351"/>
      <c r="D355" s="351"/>
      <c r="E355" s="352"/>
      <c r="F355" s="157" t="str">
        <f>IF(Settings!$M$4=Settings!$Y$3,IF($AA355=1,"P",""),IF($AA355=1,"P",""))</f>
        <v/>
      </c>
      <c r="G355" s="158" t="str">
        <f>IF(Settings!$M$4=Settings!$Y$3,IF($AA355=1,"P",""),IF($AA355=2,"P",""))</f>
        <v/>
      </c>
      <c r="H355" s="158" t="str">
        <f>IF(Settings!$M$4=Settings!$Y$3,IF($AA355=1,"P",""),IF($AA355=3,"P",""))</f>
        <v/>
      </c>
      <c r="I355" s="158" t="str">
        <f>IF(Settings!$M$4=Settings!$Y$3,IF($AA355=1,"P",""),IF($AA355=4,"P",""))</f>
        <v/>
      </c>
      <c r="J355" s="158" t="str">
        <f>IF(Settings!$M$4=Settings!$Y$3,IF($AA355=2,"P",""),IF($AA355=5,"P",""))</f>
        <v/>
      </c>
      <c r="K355" s="158" t="str">
        <f>IF(Settings!$M$4=Settings!$Y$3,IF($AA355=2,"P",""),IF($AA355=6,"P",""))</f>
        <v/>
      </c>
      <c r="L355" s="158" t="str">
        <f>IF(Settings!$M$4=Settings!$Y$3,IF($AA355=2,"P",""),IF($AA355=7,"P",""))</f>
        <v/>
      </c>
      <c r="M355" s="158" t="str">
        <f>IF(Settings!$M$4=Settings!$Y$3,IF($AA355=2,"P",""),IF($AA355=8,"P",""))</f>
        <v/>
      </c>
      <c r="N355" s="158" t="str">
        <f>IF(Settings!$M$4=Settings!$Y$3,IF($AA355=3,"P",""),IF($AA355=9,"P",""))</f>
        <v/>
      </c>
      <c r="O355" s="159" t="str">
        <f>IF(Settings!$M$4=Settings!$Y$3,IF($AA355=3,"P",""),IF($AA355=10,"P",""))</f>
        <v/>
      </c>
      <c r="P355" s="22"/>
      <c r="Q355" s="22"/>
      <c r="R355" s="353" t="e">
        <f>IF(INDEX(TblDatabase[Comment13],MATCH(1,INDEX(($L$4=ListEmployeeNamesInDatabase)*(C335=TblDatabase[Year]),0,1),0))="","",INDEX(TblDatabase[Comment13],MATCH(1,INDEX(($L$4=ListEmployeeNamesInDatabase)*(C335=TblDatabase[Year]),0,1),0)))</f>
        <v>#N/A</v>
      </c>
      <c r="S355" s="353"/>
      <c r="T355" s="353"/>
      <c r="U355" s="353"/>
      <c r="V355" s="353"/>
      <c r="W355" s="353"/>
      <c r="X355" s="353"/>
      <c r="Y355" s="354"/>
      <c r="Z355" s="149"/>
      <c r="AA355" s="151">
        <f>SUMIFS(TblDatabase[Competency13],ListEmployeeNamesInDatabase,$L$4,TblDatabase[Year],C335)</f>
        <v>0</v>
      </c>
      <c r="AB355" s="149"/>
      <c r="AC355" s="149"/>
      <c r="AD355" s="149"/>
      <c r="AE355" s="149"/>
      <c r="AF355" s="149"/>
    </row>
    <row r="356" spans="2:32" s="148" customFormat="1" ht="15" hidden="1" customHeight="1">
      <c r="B356" s="355" t="str">
        <f t="shared" si="7"/>
        <v/>
      </c>
      <c r="C356" s="356"/>
      <c r="D356" s="356"/>
      <c r="E356" s="357"/>
      <c r="F356" s="163" t="str">
        <f>IF(Settings!$M$4=Settings!$Y$3,IF($AA356=1,"P",""),IF($AA356=1,"P",""))</f>
        <v/>
      </c>
      <c r="G356" s="164" t="str">
        <f>IF(Settings!$M$4=Settings!$Y$3,IF($AA356=1,"P",""),IF($AA356=2,"P",""))</f>
        <v/>
      </c>
      <c r="H356" s="164" t="str">
        <f>IF(Settings!$M$4=Settings!$Y$3,IF($AA356=1,"P",""),IF($AA356=3,"P",""))</f>
        <v/>
      </c>
      <c r="I356" s="164" t="str">
        <f>IF(Settings!$M$4=Settings!$Y$3,IF($AA356=1,"P",""),IF($AA356=4,"P",""))</f>
        <v/>
      </c>
      <c r="J356" s="164" t="str">
        <f>IF(Settings!$M$4=Settings!$Y$3,IF($AA356=2,"P",""),IF($AA356=5,"P",""))</f>
        <v/>
      </c>
      <c r="K356" s="164" t="str">
        <f>IF(Settings!$M$4=Settings!$Y$3,IF($AA356=2,"P",""),IF($AA356=6,"P",""))</f>
        <v/>
      </c>
      <c r="L356" s="164" t="str">
        <f>IF(Settings!$M$4=Settings!$Y$3,IF($AA356=2,"P",""),IF($AA356=7,"P",""))</f>
        <v/>
      </c>
      <c r="M356" s="164" t="str">
        <f>IF(Settings!$M$4=Settings!$Y$3,IF($AA356=2,"P",""),IF($AA356=8,"P",""))</f>
        <v/>
      </c>
      <c r="N356" s="164" t="str">
        <f>IF(Settings!$M$4=Settings!$Y$3,IF($AA356=3,"P",""),IF($AA356=9,"P",""))</f>
        <v/>
      </c>
      <c r="O356" s="165" t="str">
        <f>IF(Settings!$M$4=Settings!$Y$3,IF($AA356=3,"P",""),IF($AA356=10,"P",""))</f>
        <v/>
      </c>
      <c r="P356" s="22"/>
      <c r="Q356" s="22"/>
      <c r="R356" s="360" t="e">
        <f>IF(INDEX(TblDatabase[Comment14],MATCH(1,INDEX(($L$4=ListEmployeeNamesInDatabase)*(C335=TblDatabase[Year]),0,1),0))="","",INDEX(TblDatabase[Comment14],MATCH(1,INDEX(($L$4=ListEmployeeNamesInDatabase)*(C335=TblDatabase[Year]),0,1),0)))</f>
        <v>#N/A</v>
      </c>
      <c r="S356" s="360"/>
      <c r="T356" s="360"/>
      <c r="U356" s="360"/>
      <c r="V356" s="360"/>
      <c r="W356" s="360"/>
      <c r="X356" s="360"/>
      <c r="Y356" s="361"/>
      <c r="Z356" s="149"/>
      <c r="AA356" s="151">
        <f>SUMIFS(TblDatabase[Competency14],ListEmployeeNamesInDatabase,$L$4,TblDatabase[Year],C335)</f>
        <v>0</v>
      </c>
      <c r="AB356" s="149"/>
      <c r="AC356" s="149"/>
      <c r="AD356" s="149"/>
      <c r="AE356" s="149"/>
      <c r="AF356" s="149"/>
    </row>
    <row r="357" spans="2:32" s="148" customFormat="1" ht="15" hidden="1" customHeight="1">
      <c r="B357" s="350" t="str">
        <f t="shared" si="7"/>
        <v/>
      </c>
      <c r="C357" s="351"/>
      <c r="D357" s="351"/>
      <c r="E357" s="352"/>
      <c r="F357" s="157" t="str">
        <f>IF(Settings!$M$4=Settings!$Y$3,IF($AA357=1,"P",""),IF($AA357=1,"P",""))</f>
        <v/>
      </c>
      <c r="G357" s="158" t="str">
        <f>IF(Settings!$M$4=Settings!$Y$3,IF($AA357=1,"P",""),IF($AA357=2,"P",""))</f>
        <v/>
      </c>
      <c r="H357" s="158" t="str">
        <f>IF(Settings!$M$4=Settings!$Y$3,IF($AA357=1,"P",""),IF($AA357=3,"P",""))</f>
        <v/>
      </c>
      <c r="I357" s="158" t="str">
        <f>IF(Settings!$M$4=Settings!$Y$3,IF($AA357=1,"P",""),IF($AA357=4,"P",""))</f>
        <v/>
      </c>
      <c r="J357" s="158" t="str">
        <f>IF(Settings!$M$4=Settings!$Y$3,IF($AA357=2,"P",""),IF($AA357=5,"P",""))</f>
        <v/>
      </c>
      <c r="K357" s="158" t="str">
        <f>IF(Settings!$M$4=Settings!$Y$3,IF($AA357=2,"P",""),IF($AA357=6,"P",""))</f>
        <v/>
      </c>
      <c r="L357" s="158" t="str">
        <f>IF(Settings!$M$4=Settings!$Y$3,IF($AA357=2,"P",""),IF($AA357=7,"P",""))</f>
        <v/>
      </c>
      <c r="M357" s="158" t="str">
        <f>IF(Settings!$M$4=Settings!$Y$3,IF($AA357=2,"P",""),IF($AA357=8,"P",""))</f>
        <v/>
      </c>
      <c r="N357" s="158" t="str">
        <f>IF(Settings!$M$4=Settings!$Y$3,IF($AA357=3,"P",""),IF($AA357=9,"P",""))</f>
        <v/>
      </c>
      <c r="O357" s="159" t="str">
        <f>IF(Settings!$M$4=Settings!$Y$3,IF($AA357=3,"P",""),IF($AA357=10,"P",""))</f>
        <v/>
      </c>
      <c r="P357" s="22"/>
      <c r="Q357" s="22"/>
      <c r="R357" s="353" t="e">
        <f>IF(INDEX(TblDatabase[Comment15],MATCH(1,INDEX(($L$4=ListEmployeeNamesInDatabase)*(C335=TblDatabase[Year]),0,1),0))="","",INDEX(TblDatabase[Comment15],MATCH(1,INDEX(($L$4=ListEmployeeNamesInDatabase)*(C335=TblDatabase[Year]),0,1),0)))</f>
        <v>#N/A</v>
      </c>
      <c r="S357" s="353"/>
      <c r="T357" s="353"/>
      <c r="U357" s="353"/>
      <c r="V357" s="353"/>
      <c r="W357" s="353"/>
      <c r="X357" s="353"/>
      <c r="Y357" s="354"/>
      <c r="Z357" s="149"/>
      <c r="AA357" s="151">
        <f>SUMIFS(TblDatabase[Competency15],ListEmployeeNamesInDatabase,$L$4,TblDatabase[Year],C335)</f>
        <v>0</v>
      </c>
      <c r="AB357" s="149"/>
      <c r="AC357" s="149"/>
      <c r="AD357" s="149"/>
      <c r="AE357" s="149"/>
      <c r="AF357" s="149"/>
    </row>
    <row r="358" spans="2:32" s="148" customFormat="1" ht="15" hidden="1" customHeight="1">
      <c r="B358" s="355" t="str">
        <f t="shared" si="7"/>
        <v/>
      </c>
      <c r="C358" s="356"/>
      <c r="D358" s="356"/>
      <c r="E358" s="357"/>
      <c r="F358" s="163" t="str">
        <f>IF(Settings!$M$4=Settings!$Y$3,IF($AA358=1,"P",""),IF($AA358=1,"P",""))</f>
        <v/>
      </c>
      <c r="G358" s="164" t="str">
        <f>IF(Settings!$M$4=Settings!$Y$3,IF($AA358=1,"P",""),IF($AA358=2,"P",""))</f>
        <v/>
      </c>
      <c r="H358" s="164" t="str">
        <f>IF(Settings!$M$4=Settings!$Y$3,IF($AA358=1,"P",""),IF($AA358=3,"P",""))</f>
        <v/>
      </c>
      <c r="I358" s="164" t="str">
        <f>IF(Settings!$M$4=Settings!$Y$3,IF($AA358=1,"P",""),IF($AA358=4,"P",""))</f>
        <v/>
      </c>
      <c r="J358" s="164" t="str">
        <f>IF(Settings!$M$4=Settings!$Y$3,IF($AA358=2,"P",""),IF($AA358=5,"P",""))</f>
        <v/>
      </c>
      <c r="K358" s="164" t="str">
        <f>IF(Settings!$M$4=Settings!$Y$3,IF($AA358=2,"P",""),IF($AA358=6,"P",""))</f>
        <v/>
      </c>
      <c r="L358" s="164" t="str">
        <f>IF(Settings!$M$4=Settings!$Y$3,IF($AA358=2,"P",""),IF($AA358=7,"P",""))</f>
        <v/>
      </c>
      <c r="M358" s="164" t="str">
        <f>IF(Settings!$M$4=Settings!$Y$3,IF($AA358=2,"P",""),IF($AA358=8,"P",""))</f>
        <v/>
      </c>
      <c r="N358" s="164" t="str">
        <f>IF(Settings!$M$4=Settings!$Y$3,IF($AA358=3,"P",""),IF($AA358=9,"P",""))</f>
        <v/>
      </c>
      <c r="O358" s="165" t="str">
        <f>IF(Settings!$M$4=Settings!$Y$3,IF($AA358=3,"P",""),IF($AA358=10,"P",""))</f>
        <v/>
      </c>
      <c r="P358" s="22"/>
      <c r="Q358" s="22"/>
      <c r="R358" s="360" t="e">
        <f>IF(INDEX(TblDatabase[Comment16],MATCH(1,INDEX(($L$4=ListEmployeeNamesInDatabase)*(C335=TblDatabase[Year]),0,1),0))="","",INDEX(TblDatabase[Comment16],MATCH(1,INDEX(($L$4=ListEmployeeNamesInDatabase)*(C335=TblDatabase[Year]),0,1),0)))</f>
        <v>#N/A</v>
      </c>
      <c r="S358" s="360"/>
      <c r="T358" s="360"/>
      <c r="U358" s="360"/>
      <c r="V358" s="360"/>
      <c r="W358" s="360"/>
      <c r="X358" s="360"/>
      <c r="Y358" s="361"/>
      <c r="Z358" s="149"/>
      <c r="AA358" s="151">
        <f>SUMIFS(TblDatabase[Competency16],ListEmployeeNamesInDatabase,$L$4,TblDatabase[Year],C335)</f>
        <v>0</v>
      </c>
      <c r="AB358" s="149"/>
      <c r="AC358" s="149"/>
      <c r="AD358" s="149"/>
      <c r="AE358" s="149"/>
      <c r="AF358" s="149"/>
    </row>
    <row r="359" spans="2:32" s="148" customFormat="1" ht="15" hidden="1" customHeight="1">
      <c r="B359" s="350" t="str">
        <f t="shared" si="7"/>
        <v/>
      </c>
      <c r="C359" s="351"/>
      <c r="D359" s="351"/>
      <c r="E359" s="352"/>
      <c r="F359" s="157" t="str">
        <f>IF(Settings!$M$4=Settings!$Y$3,IF($AA359=1,"P",""),IF($AA359=1,"P",""))</f>
        <v/>
      </c>
      <c r="G359" s="158" t="str">
        <f>IF(Settings!$M$4=Settings!$Y$3,IF($AA359=1,"P",""),IF($AA359=2,"P",""))</f>
        <v/>
      </c>
      <c r="H359" s="158" t="str">
        <f>IF(Settings!$M$4=Settings!$Y$3,IF($AA359=1,"P",""),IF($AA359=3,"P",""))</f>
        <v/>
      </c>
      <c r="I359" s="158" t="str">
        <f>IF(Settings!$M$4=Settings!$Y$3,IF($AA359=1,"P",""),IF($AA359=4,"P",""))</f>
        <v/>
      </c>
      <c r="J359" s="158" t="str">
        <f>IF(Settings!$M$4=Settings!$Y$3,IF($AA359=2,"P",""),IF($AA359=5,"P",""))</f>
        <v/>
      </c>
      <c r="K359" s="158" t="str">
        <f>IF(Settings!$M$4=Settings!$Y$3,IF($AA359=2,"P",""),IF($AA359=6,"P",""))</f>
        <v/>
      </c>
      <c r="L359" s="158" t="str">
        <f>IF(Settings!$M$4=Settings!$Y$3,IF($AA359=2,"P",""),IF($AA359=7,"P",""))</f>
        <v/>
      </c>
      <c r="M359" s="158" t="str">
        <f>IF(Settings!$M$4=Settings!$Y$3,IF($AA359=2,"P",""),IF($AA359=8,"P",""))</f>
        <v/>
      </c>
      <c r="N359" s="158" t="str">
        <f>IF(Settings!$M$4=Settings!$Y$3,IF($AA359=3,"P",""),IF($AA359=9,"P",""))</f>
        <v/>
      </c>
      <c r="O359" s="159" t="str">
        <f>IF(Settings!$M$4=Settings!$Y$3,IF($AA359=3,"P",""),IF($AA359=10,"P",""))</f>
        <v/>
      </c>
      <c r="P359" s="22"/>
      <c r="Q359" s="22"/>
      <c r="R359" s="353" t="e">
        <f>IF(INDEX(TblDatabase[Comment17],MATCH(1,INDEX(($L$4=ListEmployeeNamesInDatabase)*(C335=TblDatabase[Year]),0,1),0))="","",INDEX(TblDatabase[Comment17],MATCH(1,INDEX(($L$4=ListEmployeeNamesInDatabase)*(C335=TblDatabase[Year]),0,1),0)))</f>
        <v>#N/A</v>
      </c>
      <c r="S359" s="353"/>
      <c r="T359" s="353"/>
      <c r="U359" s="353"/>
      <c r="V359" s="353"/>
      <c r="W359" s="353"/>
      <c r="X359" s="353"/>
      <c r="Y359" s="354"/>
      <c r="Z359" s="149"/>
      <c r="AA359" s="151">
        <f>SUMIFS(TblDatabase[Competency17],ListEmployeeNamesInDatabase,$L$4,TblDatabase[Year],C335)</f>
        <v>0</v>
      </c>
      <c r="AB359" s="149"/>
      <c r="AC359" s="149"/>
      <c r="AD359" s="149"/>
      <c r="AE359" s="149"/>
      <c r="AF359" s="149"/>
    </row>
    <row r="360" spans="2:32" s="148" customFormat="1" ht="15" hidden="1" customHeight="1">
      <c r="B360" s="355" t="str">
        <f t="shared" si="7"/>
        <v/>
      </c>
      <c r="C360" s="356"/>
      <c r="D360" s="356"/>
      <c r="E360" s="357"/>
      <c r="F360" s="163" t="str">
        <f>IF(Settings!$M$4=Settings!$Y$3,IF($AA360=1,"P",""),IF($AA360=1,"P",""))</f>
        <v/>
      </c>
      <c r="G360" s="164" t="str">
        <f>IF(Settings!$M$4=Settings!$Y$3,IF($AA360=1,"P",""),IF($AA360=2,"P",""))</f>
        <v/>
      </c>
      <c r="H360" s="164" t="str">
        <f>IF(Settings!$M$4=Settings!$Y$3,IF($AA360=1,"P",""),IF($AA360=3,"P",""))</f>
        <v/>
      </c>
      <c r="I360" s="164" t="str">
        <f>IF(Settings!$M$4=Settings!$Y$3,IF($AA360=1,"P",""),IF($AA360=4,"P",""))</f>
        <v/>
      </c>
      <c r="J360" s="164" t="str">
        <f>IF(Settings!$M$4=Settings!$Y$3,IF($AA360=2,"P",""),IF($AA360=5,"P",""))</f>
        <v/>
      </c>
      <c r="K360" s="164" t="str">
        <f>IF(Settings!$M$4=Settings!$Y$3,IF($AA360=2,"P",""),IF($AA360=6,"P",""))</f>
        <v/>
      </c>
      <c r="L360" s="164" t="str">
        <f>IF(Settings!$M$4=Settings!$Y$3,IF($AA360=2,"P",""),IF($AA360=7,"P",""))</f>
        <v/>
      </c>
      <c r="M360" s="164" t="str">
        <f>IF(Settings!$M$4=Settings!$Y$3,IF($AA360=2,"P",""),IF($AA360=8,"P",""))</f>
        <v/>
      </c>
      <c r="N360" s="164" t="str">
        <f>IF(Settings!$M$4=Settings!$Y$3,IF($AA360=3,"P",""),IF($AA360=9,"P",""))</f>
        <v/>
      </c>
      <c r="O360" s="165" t="str">
        <f>IF(Settings!$M$4=Settings!$Y$3,IF($AA360=3,"P",""),IF($AA360=10,"P",""))</f>
        <v/>
      </c>
      <c r="P360" s="22"/>
      <c r="Q360" s="22"/>
      <c r="R360" s="360" t="e">
        <f>IF(INDEX(TblDatabase[Comment18],MATCH(1,INDEX(($L$4=ListEmployeeNamesInDatabase)*(C335=TblDatabase[Year]),0,1),0))="","",INDEX(TblDatabase[Comment18],MATCH(1,INDEX(($L$4=ListEmployeeNamesInDatabase)*(C335=TblDatabase[Year]),0,1),0)))</f>
        <v>#N/A</v>
      </c>
      <c r="S360" s="360"/>
      <c r="T360" s="360"/>
      <c r="U360" s="360"/>
      <c r="V360" s="360"/>
      <c r="W360" s="360"/>
      <c r="X360" s="360"/>
      <c r="Y360" s="361"/>
      <c r="Z360" s="149"/>
      <c r="AA360" s="151">
        <f>SUMIFS(TblDatabase[Competency18],ListEmployeeNamesInDatabase,$L$4,TblDatabase[Year],C335)</f>
        <v>0</v>
      </c>
      <c r="AB360" s="149"/>
      <c r="AC360" s="149"/>
      <c r="AD360" s="149"/>
      <c r="AE360" s="149"/>
      <c r="AF360" s="149"/>
    </row>
    <row r="361" spans="2:32" s="148" customFormat="1" ht="15" hidden="1" customHeight="1">
      <c r="B361" s="350" t="str">
        <f t="shared" si="7"/>
        <v/>
      </c>
      <c r="C361" s="351"/>
      <c r="D361" s="351"/>
      <c r="E361" s="352"/>
      <c r="F361" s="157" t="str">
        <f>IF(Settings!$M$4=Settings!$Y$3,IF($AA361=1,"P",""),IF($AA361=1,"P",""))</f>
        <v/>
      </c>
      <c r="G361" s="158" t="str">
        <f>IF(Settings!$M$4=Settings!$Y$3,IF($AA361=1,"P",""),IF($AA361=2,"P",""))</f>
        <v/>
      </c>
      <c r="H361" s="158" t="str">
        <f>IF(Settings!$M$4=Settings!$Y$3,IF($AA361=1,"P",""),IF($AA361=3,"P",""))</f>
        <v/>
      </c>
      <c r="I361" s="158" t="str">
        <f>IF(Settings!$M$4=Settings!$Y$3,IF($AA361=1,"P",""),IF($AA361=4,"P",""))</f>
        <v/>
      </c>
      <c r="J361" s="158" t="str">
        <f>IF(Settings!$M$4=Settings!$Y$3,IF($AA361=2,"P",""),IF($AA361=5,"P",""))</f>
        <v/>
      </c>
      <c r="K361" s="158" t="str">
        <f>IF(Settings!$M$4=Settings!$Y$3,IF($AA361=2,"P",""),IF($AA361=6,"P",""))</f>
        <v/>
      </c>
      <c r="L361" s="158" t="str">
        <f>IF(Settings!$M$4=Settings!$Y$3,IF($AA361=2,"P",""),IF($AA361=7,"P",""))</f>
        <v/>
      </c>
      <c r="M361" s="158" t="str">
        <f>IF(Settings!$M$4=Settings!$Y$3,IF($AA361=2,"P",""),IF($AA361=8,"P",""))</f>
        <v/>
      </c>
      <c r="N361" s="158" t="str">
        <f>IF(Settings!$M$4=Settings!$Y$3,IF($AA361=3,"P",""),IF($AA361=9,"P",""))</f>
        <v/>
      </c>
      <c r="O361" s="159" t="str">
        <f>IF(Settings!$M$4=Settings!$Y$3,IF($AA361=3,"P",""),IF($AA361=10,"P",""))</f>
        <v/>
      </c>
      <c r="P361" s="22"/>
      <c r="Q361" s="22"/>
      <c r="R361" s="353" t="e">
        <f>IF(INDEX(TblDatabase[Comment19],MATCH(1,INDEX(($L$4=ListEmployeeNamesInDatabase)*(C335=TblDatabase[Year]),0,1),0))="","",INDEX(TblDatabase[Comment19],MATCH(1,INDEX(($L$4=ListEmployeeNamesInDatabase)*(C335=TblDatabase[Year]),0,1),0)))</f>
        <v>#N/A</v>
      </c>
      <c r="S361" s="353"/>
      <c r="T361" s="353"/>
      <c r="U361" s="353"/>
      <c r="V361" s="353"/>
      <c r="W361" s="353"/>
      <c r="X361" s="353"/>
      <c r="Y361" s="354"/>
      <c r="Z361" s="149"/>
      <c r="AA361" s="151">
        <f>SUMIFS(TblDatabase[Competency19],ListEmployeeNamesInDatabase,$L$4,TblDatabase[Year],C335)</f>
        <v>0</v>
      </c>
      <c r="AB361" s="149"/>
      <c r="AC361" s="149"/>
      <c r="AD361" s="149"/>
      <c r="AE361" s="149"/>
      <c r="AF361" s="149"/>
    </row>
    <row r="362" spans="2:32" s="148" customFormat="1" ht="15" hidden="1" customHeight="1">
      <c r="B362" s="362" t="str">
        <f t="shared" si="7"/>
        <v/>
      </c>
      <c r="C362" s="363"/>
      <c r="D362" s="363"/>
      <c r="E362" s="364"/>
      <c r="F362" s="166" t="str">
        <f>IF(Settings!$M$4=Settings!$Y$3,IF($AA362=1,"P",""),IF($AA362=1,"P",""))</f>
        <v/>
      </c>
      <c r="G362" s="167" t="str">
        <f>IF(Settings!$M$4=Settings!$Y$3,IF($AA362=1,"P",""),IF($AA362=2,"P",""))</f>
        <v/>
      </c>
      <c r="H362" s="167" t="str">
        <f>IF(Settings!$M$4=Settings!$Y$3,IF($AA362=1,"P",""),IF($AA362=3,"P",""))</f>
        <v/>
      </c>
      <c r="I362" s="167" t="str">
        <f>IF(Settings!$M$4=Settings!$Y$3,IF($AA362=1,"P",""),IF($AA362=4,"P",""))</f>
        <v/>
      </c>
      <c r="J362" s="167" t="str">
        <f>IF(Settings!$M$4=Settings!$Y$3,IF($AA362=2,"P",""),IF($AA362=5,"P",""))</f>
        <v/>
      </c>
      <c r="K362" s="167" t="str">
        <f>IF(Settings!$M$4=Settings!$Y$3,IF($AA362=2,"P",""),IF($AA362=6,"P",""))</f>
        <v/>
      </c>
      <c r="L362" s="167" t="str">
        <f>IF(Settings!$M$4=Settings!$Y$3,IF($AA362=2,"P",""),IF($AA362=7,"P",""))</f>
        <v/>
      </c>
      <c r="M362" s="167" t="str">
        <f>IF(Settings!$M$4=Settings!$Y$3,IF($AA362=2,"P",""),IF($AA362=8,"P",""))</f>
        <v/>
      </c>
      <c r="N362" s="167" t="str">
        <f>IF(Settings!$M$4=Settings!$Y$3,IF($AA362=3,"P",""),IF($AA362=9,"P",""))</f>
        <v/>
      </c>
      <c r="O362" s="168" t="str">
        <f>IF(Settings!$M$4=Settings!$Y$3,IF($AA362=3,"P",""),IF($AA362=10,"P",""))</f>
        <v/>
      </c>
      <c r="P362" s="22"/>
      <c r="Q362" s="22"/>
      <c r="R362" s="365" t="e">
        <f>IF(INDEX(TblDatabase[Comment20],MATCH(1,INDEX(($L$4=ListEmployeeNamesInDatabase)*(C335=TblDatabase[Year]),0,1),0))="","",INDEX(TblDatabase[Comment20],MATCH(1,INDEX(($L$4=ListEmployeeNamesInDatabase)*(C335=TblDatabase[Year]),0,1),0)))</f>
        <v>#N/A</v>
      </c>
      <c r="S362" s="365"/>
      <c r="T362" s="365"/>
      <c r="U362" s="365"/>
      <c r="V362" s="365"/>
      <c r="W362" s="365"/>
      <c r="X362" s="365"/>
      <c r="Y362" s="366"/>
      <c r="Z362" s="149"/>
      <c r="AA362" s="151">
        <f>SUMIFS(TblDatabase[Competency20],ListEmployeeNamesInDatabase,$L$4,TblDatabase[Year],C335)</f>
        <v>0</v>
      </c>
      <c r="AB362" s="149"/>
      <c r="AC362" s="149"/>
      <c r="AD362" s="149"/>
      <c r="AE362" s="149"/>
      <c r="AF362" s="149"/>
    </row>
    <row r="363" spans="2:32" s="148" customFormat="1" hidden="1">
      <c r="B363" s="414" t="s">
        <v>26</v>
      </c>
      <c r="C363" s="415"/>
      <c r="D363" s="415"/>
      <c r="E363" s="371">
        <f ca="1">SUM(OFFSET(AA343,0,0,NumberOfCompetencies))</f>
        <v>0</v>
      </c>
      <c r="F363" s="372"/>
      <c r="G363" s="152"/>
      <c r="H363" s="152"/>
      <c r="I363" s="152"/>
      <c r="J363" s="152"/>
      <c r="K363" s="152"/>
      <c r="L363" s="152"/>
      <c r="M363" s="152"/>
      <c r="N363" s="152"/>
      <c r="O363" s="152"/>
      <c r="P363" s="152"/>
      <c r="Q363" s="152"/>
      <c r="R363" s="152"/>
      <c r="S363" s="152"/>
      <c r="T363" s="152"/>
      <c r="U363" s="152"/>
      <c r="V363" s="152"/>
      <c r="W363" s="152"/>
      <c r="X363" s="152"/>
      <c r="Y363" s="152"/>
      <c r="Z363" s="149"/>
      <c r="AA363" s="149"/>
      <c r="AB363" s="149"/>
      <c r="AC363" s="149"/>
      <c r="AD363" s="149"/>
      <c r="AE363" s="149"/>
      <c r="AF363" s="149"/>
    </row>
    <row r="364" spans="2:32" s="148" customFormat="1" hidden="1">
      <c r="B364" s="369" t="s">
        <v>27</v>
      </c>
      <c r="C364" s="370"/>
      <c r="D364" s="370"/>
      <c r="E364" s="358">
        <f ca="1">E363/NumberOfCompetencies</f>
        <v>0</v>
      </c>
      <c r="F364" s="359"/>
      <c r="G364" s="153"/>
      <c r="H364" s="153"/>
      <c r="I364" s="153"/>
      <c r="J364" s="153"/>
      <c r="K364" s="153"/>
      <c r="L364" s="153"/>
      <c r="M364" s="153"/>
      <c r="N364" s="153"/>
      <c r="O364" s="153"/>
      <c r="P364" s="153"/>
      <c r="Q364" s="153"/>
      <c r="R364" s="153"/>
      <c r="S364" s="153"/>
      <c r="T364" s="153"/>
      <c r="U364" s="153"/>
      <c r="V364" s="153"/>
      <c r="W364" s="153"/>
      <c r="X364" s="153"/>
      <c r="Y364" s="153"/>
      <c r="Z364" s="149"/>
      <c r="AA364" s="149"/>
      <c r="AB364" s="149"/>
      <c r="AC364" s="149"/>
      <c r="AD364" s="149"/>
      <c r="AE364" s="149"/>
      <c r="AF364" s="149"/>
    </row>
    <row r="365" spans="2:32" s="148" customFormat="1" hidden="1">
      <c r="B365" s="154"/>
      <c r="C365" s="154"/>
      <c r="D365" s="154"/>
      <c r="E365" s="154"/>
      <c r="F365" s="154"/>
      <c r="G365" s="154"/>
      <c r="H365" s="154"/>
      <c r="I365" s="154"/>
      <c r="J365" s="154"/>
      <c r="K365" s="154"/>
      <c r="L365" s="154"/>
      <c r="M365" s="154"/>
      <c r="N365" s="154"/>
      <c r="O365" s="154"/>
      <c r="P365" s="154"/>
      <c r="Q365" s="154"/>
      <c r="R365" s="154"/>
      <c r="S365" s="154"/>
      <c r="T365" s="154"/>
      <c r="U365" s="154"/>
      <c r="V365" s="154"/>
      <c r="W365" s="154"/>
      <c r="X365" s="154"/>
      <c r="Y365" s="154"/>
      <c r="Z365" s="149"/>
      <c r="AA365" s="149"/>
      <c r="AB365" s="149"/>
      <c r="AC365" s="149"/>
      <c r="AD365" s="149"/>
      <c r="AE365" s="149"/>
      <c r="AF365" s="149"/>
    </row>
    <row r="366" spans="2:32" s="148" customFormat="1" hidden="1">
      <c r="B366" s="338" t="str">
        <f>Settings!$N$15</f>
        <v>Previously agreed actions</v>
      </c>
      <c r="C366" s="339"/>
      <c r="D366" s="339"/>
      <c r="E366" s="339"/>
      <c r="F366" s="339"/>
      <c r="G366" s="339"/>
      <c r="H366" s="339"/>
      <c r="I366" s="339"/>
      <c r="J366" s="339"/>
      <c r="K366" s="339"/>
      <c r="L366" s="339"/>
      <c r="M366" s="339"/>
      <c r="N366" s="339"/>
      <c r="O366" s="339"/>
      <c r="P366" s="339"/>
      <c r="Q366" s="339"/>
      <c r="R366" s="339"/>
      <c r="S366" s="339"/>
      <c r="T366" s="339"/>
      <c r="U366" s="339"/>
      <c r="V366" s="339"/>
      <c r="W366" s="339"/>
      <c r="X366" s="339"/>
      <c r="Y366" s="340"/>
      <c r="Z366" s="149"/>
      <c r="AA366" s="149"/>
      <c r="AB366" s="149"/>
      <c r="AC366" s="149"/>
      <c r="AD366" s="149"/>
      <c r="AE366" s="149"/>
      <c r="AF366" s="149"/>
    </row>
    <row r="367" spans="2:32" s="148" customFormat="1" hidden="1">
      <c r="B367" s="341" t="e">
        <f>IF(INDEX(TblDatabase[Feedback Does Well],MATCH(1,INDEX(($L$4=ListEmployeeNamesInDatabase)*(C335=TblDatabase[Year]),0,1),0))="","",INDEX(TblDatabase[Feedback Does Well],MATCH(1,INDEX(($L$4=ListEmployeeNamesInDatabase)*(C335=TblDatabase[Year]),0,1),0)))</f>
        <v>#N/A</v>
      </c>
      <c r="C367" s="342"/>
      <c r="D367" s="342"/>
      <c r="E367" s="342"/>
      <c r="F367" s="342"/>
      <c r="G367" s="342"/>
      <c r="H367" s="342"/>
      <c r="I367" s="342"/>
      <c r="J367" s="342"/>
      <c r="K367" s="342"/>
      <c r="L367" s="342"/>
      <c r="M367" s="342"/>
      <c r="N367" s="342"/>
      <c r="O367" s="342"/>
      <c r="P367" s="342"/>
      <c r="Q367" s="342"/>
      <c r="R367" s="342"/>
      <c r="S367" s="342"/>
      <c r="T367" s="342"/>
      <c r="U367" s="342"/>
      <c r="V367" s="342"/>
      <c r="W367" s="342"/>
      <c r="X367" s="342"/>
      <c r="Y367" s="343"/>
      <c r="Z367" s="149"/>
      <c r="AA367" s="149"/>
      <c r="AB367" s="149"/>
      <c r="AC367" s="149"/>
      <c r="AD367" s="149"/>
      <c r="AE367" s="149"/>
      <c r="AF367" s="149"/>
    </row>
    <row r="368" spans="2:32" s="148" customFormat="1" hidden="1">
      <c r="B368" s="344"/>
      <c r="C368" s="345"/>
      <c r="D368" s="345"/>
      <c r="E368" s="345"/>
      <c r="F368" s="345"/>
      <c r="G368" s="345"/>
      <c r="H368" s="345"/>
      <c r="I368" s="345"/>
      <c r="J368" s="345"/>
      <c r="K368" s="345"/>
      <c r="L368" s="345"/>
      <c r="M368" s="345"/>
      <c r="N368" s="345"/>
      <c r="O368" s="345"/>
      <c r="P368" s="345"/>
      <c r="Q368" s="345"/>
      <c r="R368" s="345"/>
      <c r="S368" s="345"/>
      <c r="T368" s="345"/>
      <c r="U368" s="345"/>
      <c r="V368" s="345"/>
      <c r="W368" s="345"/>
      <c r="X368" s="345"/>
      <c r="Y368" s="346"/>
      <c r="Z368" s="149"/>
      <c r="AA368" s="149"/>
      <c r="AB368" s="149"/>
      <c r="AC368" s="149"/>
      <c r="AD368" s="149"/>
      <c r="AE368" s="149"/>
      <c r="AF368" s="149"/>
    </row>
    <row r="369" spans="1:32" s="148" customFormat="1" hidden="1">
      <c r="B369" s="347"/>
      <c r="C369" s="348"/>
      <c r="D369" s="348"/>
      <c r="E369" s="348"/>
      <c r="F369" s="348"/>
      <c r="G369" s="348"/>
      <c r="H369" s="348"/>
      <c r="I369" s="348"/>
      <c r="J369" s="348"/>
      <c r="K369" s="348"/>
      <c r="L369" s="348"/>
      <c r="M369" s="348"/>
      <c r="N369" s="348"/>
      <c r="O369" s="348"/>
      <c r="P369" s="348"/>
      <c r="Q369" s="348"/>
      <c r="R369" s="348"/>
      <c r="S369" s="348"/>
      <c r="T369" s="348"/>
      <c r="U369" s="348"/>
      <c r="V369" s="348"/>
      <c r="W369" s="348"/>
      <c r="X369" s="348"/>
      <c r="Y369" s="349"/>
      <c r="Z369" s="149"/>
      <c r="AA369" s="149"/>
      <c r="AB369" s="149"/>
      <c r="AC369" s="149"/>
      <c r="AD369" s="149"/>
      <c r="AE369" s="149"/>
      <c r="AF369" s="149"/>
    </row>
    <row r="370" spans="1:32" s="148" customFormat="1" hidden="1">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49"/>
      <c r="AA370" s="149"/>
      <c r="AB370" s="149"/>
      <c r="AC370" s="149"/>
      <c r="AD370" s="149"/>
      <c r="AE370" s="149"/>
      <c r="AF370" s="149"/>
    </row>
    <row r="371" spans="1:32" s="148" customFormat="1" hidden="1">
      <c r="B371" s="338" t="str">
        <f>Settings!$N$16</f>
        <v>Actions agreed during this review</v>
      </c>
      <c r="C371" s="339"/>
      <c r="D371" s="339"/>
      <c r="E371" s="339"/>
      <c r="F371" s="339"/>
      <c r="G371" s="339"/>
      <c r="H371" s="339"/>
      <c r="I371" s="339"/>
      <c r="J371" s="339"/>
      <c r="K371" s="339"/>
      <c r="L371" s="339"/>
      <c r="M371" s="339"/>
      <c r="N371" s="339"/>
      <c r="O371" s="339"/>
      <c r="P371" s="339"/>
      <c r="Q371" s="339"/>
      <c r="R371" s="339"/>
      <c r="S371" s="339"/>
      <c r="T371" s="339"/>
      <c r="U371" s="339"/>
      <c r="V371" s="339"/>
      <c r="W371" s="339"/>
      <c r="X371" s="339"/>
      <c r="Y371" s="340"/>
      <c r="Z371" s="149"/>
      <c r="AA371" s="149"/>
      <c r="AB371" s="149"/>
      <c r="AC371" s="149"/>
      <c r="AD371" s="149"/>
      <c r="AE371" s="149"/>
      <c r="AF371" s="149"/>
    </row>
    <row r="372" spans="1:32" s="148" customFormat="1" hidden="1">
      <c r="B372" s="341" t="e">
        <f>IF(INDEX(TblDatabase[Feedback To Improve],MATCH(1,INDEX(($L$4=ListEmployeeNamesInDatabase)*(C335=TblDatabase[Year]),0,1),0))="","",INDEX(TblDatabase[Feedback To Improve],MATCH(1,INDEX(($L$4=ListEmployeeNamesInDatabase)*(C335=TblDatabase[Year]),0,1),0)))</f>
        <v>#N/A</v>
      </c>
      <c r="C372" s="342"/>
      <c r="D372" s="342"/>
      <c r="E372" s="342"/>
      <c r="F372" s="342"/>
      <c r="G372" s="342"/>
      <c r="H372" s="342"/>
      <c r="I372" s="342"/>
      <c r="J372" s="342"/>
      <c r="K372" s="342"/>
      <c r="L372" s="342"/>
      <c r="M372" s="342"/>
      <c r="N372" s="342"/>
      <c r="O372" s="342"/>
      <c r="P372" s="342"/>
      <c r="Q372" s="342"/>
      <c r="R372" s="342"/>
      <c r="S372" s="342"/>
      <c r="T372" s="342"/>
      <c r="U372" s="342"/>
      <c r="V372" s="342"/>
      <c r="W372" s="342"/>
      <c r="X372" s="342"/>
      <c r="Y372" s="343"/>
      <c r="Z372" s="149"/>
      <c r="AA372" s="149"/>
      <c r="AB372" s="149"/>
      <c r="AC372" s="149"/>
      <c r="AD372" s="149"/>
      <c r="AE372" s="149"/>
      <c r="AF372" s="149"/>
    </row>
    <row r="373" spans="1:32" s="148" customFormat="1" hidden="1">
      <c r="B373" s="344"/>
      <c r="C373" s="345"/>
      <c r="D373" s="345"/>
      <c r="E373" s="345"/>
      <c r="F373" s="345"/>
      <c r="G373" s="345"/>
      <c r="H373" s="345"/>
      <c r="I373" s="345"/>
      <c r="J373" s="345"/>
      <c r="K373" s="345"/>
      <c r="L373" s="345"/>
      <c r="M373" s="345"/>
      <c r="N373" s="345"/>
      <c r="O373" s="345"/>
      <c r="P373" s="345"/>
      <c r="Q373" s="345"/>
      <c r="R373" s="345"/>
      <c r="S373" s="345"/>
      <c r="T373" s="345"/>
      <c r="U373" s="345"/>
      <c r="V373" s="345"/>
      <c r="W373" s="345"/>
      <c r="X373" s="345"/>
      <c r="Y373" s="346"/>
      <c r="Z373" s="149"/>
      <c r="AA373" s="149"/>
      <c r="AB373" s="149"/>
      <c r="AC373" s="149"/>
      <c r="AD373" s="149"/>
      <c r="AE373" s="149"/>
      <c r="AF373" s="149"/>
    </row>
    <row r="374" spans="1:32" s="148" customFormat="1" hidden="1">
      <c r="B374" s="347"/>
      <c r="C374" s="348"/>
      <c r="D374" s="348"/>
      <c r="E374" s="348"/>
      <c r="F374" s="348"/>
      <c r="G374" s="348"/>
      <c r="H374" s="348"/>
      <c r="I374" s="348"/>
      <c r="J374" s="348"/>
      <c r="K374" s="348"/>
      <c r="L374" s="348"/>
      <c r="M374" s="348"/>
      <c r="N374" s="348"/>
      <c r="O374" s="348"/>
      <c r="P374" s="348"/>
      <c r="Q374" s="348"/>
      <c r="R374" s="348"/>
      <c r="S374" s="348"/>
      <c r="T374" s="348"/>
      <c r="U374" s="348"/>
      <c r="V374" s="348"/>
      <c r="W374" s="348"/>
      <c r="X374" s="348"/>
      <c r="Y374" s="349"/>
      <c r="Z374" s="149"/>
      <c r="AA374" s="149"/>
      <c r="AB374" s="149"/>
      <c r="AC374" s="149"/>
      <c r="AD374" s="149"/>
      <c r="AE374" s="149"/>
      <c r="AF374" s="149"/>
    </row>
    <row r="375" spans="1:32" s="148" customFormat="1" hidden="1">
      <c r="B375" s="156"/>
      <c r="C375" s="156"/>
      <c r="D375" s="156"/>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49"/>
      <c r="AA375" s="149"/>
      <c r="AB375" s="149"/>
      <c r="AC375" s="149"/>
      <c r="AD375" s="149"/>
      <c r="AE375" s="149"/>
      <c r="AF375" s="149"/>
    </row>
    <row r="376" spans="1:32" s="148" customFormat="1" hidden="1">
      <c r="A376" s="150">
        <f>A335+1</f>
        <v>9</v>
      </c>
      <c r="B376" s="27" t="s">
        <v>14</v>
      </c>
      <c r="C376" s="333">
        <f>C335-1</f>
        <v>2012</v>
      </c>
      <c r="D376" s="334"/>
      <c r="Y376" s="149"/>
      <c r="Z376" s="149"/>
      <c r="AA376" s="149"/>
      <c r="AB376" s="149"/>
      <c r="AC376" s="149"/>
      <c r="AD376" s="149"/>
      <c r="AE376" s="149"/>
      <c r="AF376" s="149"/>
    </row>
    <row r="377" spans="1:32" s="148" customFormat="1" hidden="1">
      <c r="Y377" s="149"/>
      <c r="Z377" s="149"/>
      <c r="AA377" s="149"/>
      <c r="AB377" s="149"/>
      <c r="AC377" s="149"/>
      <c r="AD377" s="149"/>
      <c r="AE377" s="149"/>
      <c r="AF377" s="149"/>
    </row>
    <row r="378" spans="1:32" s="148" customFormat="1" hidden="1">
      <c r="B378" s="338" t="str">
        <f>Settings!$N$14</f>
        <v>Employee's comments</v>
      </c>
      <c r="C378" s="339"/>
      <c r="D378" s="339"/>
      <c r="E378" s="339"/>
      <c r="F378" s="339"/>
      <c r="G378" s="339"/>
      <c r="H378" s="339"/>
      <c r="I378" s="339"/>
      <c r="J378" s="339"/>
      <c r="K378" s="339"/>
      <c r="L378" s="339"/>
      <c r="M378" s="339"/>
      <c r="N378" s="339"/>
      <c r="O378" s="339"/>
      <c r="P378" s="339"/>
      <c r="Q378" s="339"/>
      <c r="R378" s="339"/>
      <c r="S378" s="339"/>
      <c r="T378" s="339"/>
      <c r="U378" s="339"/>
      <c r="V378" s="339"/>
      <c r="W378" s="339"/>
      <c r="X378" s="339"/>
      <c r="Y378" s="340"/>
      <c r="Z378" s="149"/>
      <c r="AA378" s="149"/>
      <c r="AB378" s="149"/>
      <c r="AC378" s="149"/>
      <c r="AD378" s="149"/>
      <c r="AE378" s="149"/>
      <c r="AF378" s="149"/>
    </row>
    <row r="379" spans="1:32" s="148" customFormat="1" hidden="1">
      <c r="B379" s="341" t="e">
        <f>IF(INDEX(TblDatabase[Feedback Warnings],MATCH(1,INDEX(($L$4=ListEmployeeNamesInDatabase)*(C376=TblDatabase[Year]),0,1),0))="","",INDEX(TblDatabase[Feedback Warnings],MATCH(1,INDEX(($L$4=ListEmployeeNamesInDatabase)*(C376=TblDatabase[Year]),0,1),0)))</f>
        <v>#N/A</v>
      </c>
      <c r="C379" s="342"/>
      <c r="D379" s="342"/>
      <c r="E379" s="342"/>
      <c r="F379" s="342"/>
      <c r="G379" s="342"/>
      <c r="H379" s="342"/>
      <c r="I379" s="342"/>
      <c r="J379" s="342"/>
      <c r="K379" s="342"/>
      <c r="L379" s="342"/>
      <c r="M379" s="342"/>
      <c r="N379" s="342"/>
      <c r="O379" s="342"/>
      <c r="P379" s="342"/>
      <c r="Q379" s="342"/>
      <c r="R379" s="342"/>
      <c r="S379" s="342"/>
      <c r="T379" s="342"/>
      <c r="U379" s="342"/>
      <c r="V379" s="342"/>
      <c r="W379" s="342"/>
      <c r="X379" s="342"/>
      <c r="Y379" s="343"/>
      <c r="Z379" s="149"/>
      <c r="AA379" s="149"/>
      <c r="AB379" s="149"/>
      <c r="AC379" s="149"/>
      <c r="AD379" s="149"/>
      <c r="AE379" s="149"/>
      <c r="AF379" s="149"/>
    </row>
    <row r="380" spans="1:32" s="148" customFormat="1" hidden="1">
      <c r="B380" s="344"/>
      <c r="C380" s="345"/>
      <c r="D380" s="345"/>
      <c r="E380" s="345"/>
      <c r="F380" s="345"/>
      <c r="G380" s="345"/>
      <c r="H380" s="345"/>
      <c r="I380" s="345"/>
      <c r="J380" s="345"/>
      <c r="K380" s="345"/>
      <c r="L380" s="345"/>
      <c r="M380" s="345"/>
      <c r="N380" s="345"/>
      <c r="O380" s="345"/>
      <c r="P380" s="345"/>
      <c r="Q380" s="345"/>
      <c r="R380" s="345"/>
      <c r="S380" s="345"/>
      <c r="T380" s="345"/>
      <c r="U380" s="345"/>
      <c r="V380" s="345"/>
      <c r="W380" s="345"/>
      <c r="X380" s="345"/>
      <c r="Y380" s="346"/>
      <c r="Z380" s="149"/>
      <c r="AA380" s="149"/>
      <c r="AB380" s="149"/>
      <c r="AC380" s="149"/>
      <c r="AD380" s="149"/>
      <c r="AE380" s="149"/>
      <c r="AF380" s="149"/>
    </row>
    <row r="381" spans="1:32" s="148" customFormat="1" hidden="1">
      <c r="B381" s="347"/>
      <c r="C381" s="348"/>
      <c r="D381" s="348"/>
      <c r="E381" s="348"/>
      <c r="F381" s="348"/>
      <c r="G381" s="348"/>
      <c r="H381" s="348"/>
      <c r="I381" s="348"/>
      <c r="J381" s="348"/>
      <c r="K381" s="348"/>
      <c r="L381" s="348"/>
      <c r="M381" s="348"/>
      <c r="N381" s="348"/>
      <c r="O381" s="348"/>
      <c r="P381" s="348"/>
      <c r="Q381" s="348"/>
      <c r="R381" s="348"/>
      <c r="S381" s="348"/>
      <c r="T381" s="348"/>
      <c r="U381" s="348"/>
      <c r="V381" s="348"/>
      <c r="W381" s="348"/>
      <c r="X381" s="348"/>
      <c r="Y381" s="349"/>
      <c r="Z381" s="149"/>
      <c r="AA381" s="149"/>
      <c r="AB381" s="149"/>
      <c r="AC381" s="149"/>
      <c r="AD381" s="149"/>
      <c r="AE381" s="149"/>
      <c r="AF381" s="149"/>
    </row>
    <row r="382" spans="1:32" s="148" customFormat="1" hidden="1">
      <c r="Y382" s="149"/>
      <c r="Z382" s="149"/>
      <c r="AA382" s="149"/>
      <c r="AB382" s="149"/>
      <c r="AC382" s="149"/>
      <c r="AD382" s="149"/>
      <c r="AE382" s="149"/>
      <c r="AF382" s="149"/>
    </row>
    <row r="383" spans="1:32" s="148" customFormat="1" ht="15" hidden="1" customHeight="1">
      <c r="B383" s="320" t="s">
        <v>8</v>
      </c>
      <c r="C383" s="321"/>
      <c r="D383" s="321"/>
      <c r="E383" s="321"/>
      <c r="F383" s="233">
        <f>IF(Settings!$M$4=Settings!$Y$3,Settings!$O$19,1)</f>
        <v>1</v>
      </c>
      <c r="G383" s="234">
        <f>IF(Settings!$M$4=Settings!$Y$3,Settings!$O$19,2)</f>
        <v>2</v>
      </c>
      <c r="H383" s="234">
        <f>IF(Settings!$M$4=Settings!$Y$3,Settings!$O$19,3)</f>
        <v>3</v>
      </c>
      <c r="I383" s="234">
        <f>IF(Settings!$M$4=Settings!$Y$3,Settings!$O$19,4)</f>
        <v>4</v>
      </c>
      <c r="J383" s="234">
        <f>IF(Settings!$M$4=Settings!$Y$3,Settings!$O$20,5)</f>
        <v>5</v>
      </c>
      <c r="K383" s="234">
        <f>IF(Settings!$M$4=Settings!$Y$3,Settings!$O$20,6)</f>
        <v>6</v>
      </c>
      <c r="L383" s="234">
        <f>IF(Settings!$M$4=Settings!$Y$3,Settings!$O$20,7)</f>
        <v>7</v>
      </c>
      <c r="M383" s="234">
        <f>IF(Settings!$M$4=Settings!$Y$3,Settings!$O$20,8)</f>
        <v>8</v>
      </c>
      <c r="N383" s="234">
        <f>IF(Settings!$M$4=Settings!$Y$3,Settings!$O$21,9)</f>
        <v>9</v>
      </c>
      <c r="O383" s="235">
        <f>IF(Settings!$M$4=Settings!$Y$3,Settings!$O$21,10)</f>
        <v>10</v>
      </c>
      <c r="P383" s="22"/>
      <c r="Q383" s="22"/>
      <c r="R383" s="333" t="s">
        <v>24</v>
      </c>
      <c r="S383" s="333"/>
      <c r="T383" s="333"/>
      <c r="U383" s="333"/>
      <c r="V383" s="333"/>
      <c r="W383" s="333"/>
      <c r="X383" s="333"/>
      <c r="Y383" s="334"/>
      <c r="Z383" s="149"/>
      <c r="AA383" s="149"/>
      <c r="AB383" s="149"/>
      <c r="AC383" s="149"/>
      <c r="AD383" s="149"/>
      <c r="AE383" s="149"/>
      <c r="AF383" s="149"/>
    </row>
    <row r="384" spans="1:32" s="148" customFormat="1" ht="15" hidden="1" customHeight="1">
      <c r="B384" s="335" t="str">
        <f t="shared" ref="B384:B403" si="8">B343</f>
        <v>Quality of Work</v>
      </c>
      <c r="C384" s="336"/>
      <c r="D384" s="336"/>
      <c r="E384" s="337"/>
      <c r="F384" s="162" t="str">
        <f>IF(Settings!$M$4=Settings!$Y$3,IF($AA384=1,"P",""),IF($AA384=1,"P",""))</f>
        <v/>
      </c>
      <c r="G384" s="160" t="str">
        <f>IF(Settings!$M$4=Settings!$Y$3,IF($AA384=1,"P",""),IF($AA384=2,"P",""))</f>
        <v/>
      </c>
      <c r="H384" s="160" t="str">
        <f>IF(Settings!$M$4=Settings!$Y$3,IF($AA384=1,"P",""),IF($AA384=3,"P",""))</f>
        <v/>
      </c>
      <c r="I384" s="160" t="str">
        <f>IF(Settings!$M$4=Settings!$Y$3,IF($AA384=1,"P",""),IF($AA384=4,"P",""))</f>
        <v/>
      </c>
      <c r="J384" s="160" t="str">
        <f>IF(Settings!$M$4=Settings!$Y$3,IF($AA384=2,"P",""),IF($AA384=5,"P",""))</f>
        <v/>
      </c>
      <c r="K384" s="160" t="str">
        <f>IF(Settings!$M$4=Settings!$Y$3,IF($AA384=2,"P",""),IF($AA384=6,"P",""))</f>
        <v/>
      </c>
      <c r="L384" s="160" t="str">
        <f>IF(Settings!$M$4=Settings!$Y$3,IF($AA384=2,"P",""),IF($AA384=7,"P",""))</f>
        <v/>
      </c>
      <c r="M384" s="160" t="str">
        <f>IF(Settings!$M$4=Settings!$Y$3,IF($AA384=2,"P",""),IF($AA384=8,"P",""))</f>
        <v/>
      </c>
      <c r="N384" s="160" t="str">
        <f>IF(Settings!$M$4=Settings!$Y$3,IF($AA384=3,"P",""),IF($AA384=9,"P",""))</f>
        <v/>
      </c>
      <c r="O384" s="161" t="str">
        <f>IF(Settings!$M$4=Settings!$Y$3,IF($AA384=3,"P",""),IF($AA384=10,"P",""))</f>
        <v/>
      </c>
      <c r="P384" s="22"/>
      <c r="Q384" s="22"/>
      <c r="R384" s="367" t="e">
        <f>IF(INDEX(TblDatabase[Comment1],MATCH(1,INDEX(($L$4=ListEmployeeNamesInDatabase)*(C376=TblDatabase[Year]),0,1),0))="","",INDEX(TblDatabase[Comment1],MATCH(1,INDEX(($L$4=ListEmployeeNamesInDatabase)*(C376=TblDatabase[Year]),0,1),0)))</f>
        <v>#N/A</v>
      </c>
      <c r="S384" s="367"/>
      <c r="T384" s="367"/>
      <c r="U384" s="367"/>
      <c r="V384" s="367"/>
      <c r="W384" s="367"/>
      <c r="X384" s="367"/>
      <c r="Y384" s="368"/>
      <c r="Z384" s="149"/>
      <c r="AA384" s="151">
        <f>SUMIFS(TblDatabase[Competency1],ListEmployeeNamesInDatabase,$L$4,TblDatabase[Year],C376)</f>
        <v>0</v>
      </c>
      <c r="AB384" s="149"/>
      <c r="AC384" s="149"/>
      <c r="AD384" s="149"/>
      <c r="AE384" s="149"/>
      <c r="AF384" s="149"/>
    </row>
    <row r="385" spans="2:32" s="148" customFormat="1" ht="15" hidden="1" customHeight="1">
      <c r="B385" s="355" t="str">
        <f t="shared" si="8"/>
        <v>CaLL flow</v>
      </c>
      <c r="C385" s="356"/>
      <c r="D385" s="356"/>
      <c r="E385" s="357"/>
      <c r="F385" s="163" t="str">
        <f>IF(Settings!$M$4=Settings!$Y$3,IF($AA385=1,"P",""),IF($AA385=1,"P",""))</f>
        <v/>
      </c>
      <c r="G385" s="164" t="str">
        <f>IF(Settings!$M$4=Settings!$Y$3,IF($AA385=1,"P",""),IF($AA385=2,"P",""))</f>
        <v/>
      </c>
      <c r="H385" s="164" t="str">
        <f>IF(Settings!$M$4=Settings!$Y$3,IF($AA385=1,"P",""),IF($AA385=3,"P",""))</f>
        <v/>
      </c>
      <c r="I385" s="164" t="str">
        <f>IF(Settings!$M$4=Settings!$Y$3,IF($AA385=1,"P",""),IF($AA385=4,"P",""))</f>
        <v/>
      </c>
      <c r="J385" s="164" t="str">
        <f>IF(Settings!$M$4=Settings!$Y$3,IF($AA385=2,"P",""),IF($AA385=5,"P",""))</f>
        <v/>
      </c>
      <c r="K385" s="164" t="str">
        <f>IF(Settings!$M$4=Settings!$Y$3,IF($AA385=2,"P",""),IF($AA385=6,"P",""))</f>
        <v/>
      </c>
      <c r="L385" s="164" t="str">
        <f>IF(Settings!$M$4=Settings!$Y$3,IF($AA385=2,"P",""),IF($AA385=7,"P",""))</f>
        <v/>
      </c>
      <c r="M385" s="164" t="str">
        <f>IF(Settings!$M$4=Settings!$Y$3,IF($AA385=2,"P",""),IF($AA385=8,"P",""))</f>
        <v/>
      </c>
      <c r="N385" s="164" t="str">
        <f>IF(Settings!$M$4=Settings!$Y$3,IF($AA385=3,"P",""),IF($AA385=9,"P",""))</f>
        <v/>
      </c>
      <c r="O385" s="165" t="str">
        <f>IF(Settings!$M$4=Settings!$Y$3,IF($AA385=3,"P",""),IF($AA385=10,"P",""))</f>
        <v/>
      </c>
      <c r="P385" s="22"/>
      <c r="Q385" s="22"/>
      <c r="R385" s="360" t="e">
        <f>IF(INDEX(TblDatabase[Comment2],MATCH(1,INDEX(($L$4=ListEmployeeNamesInDatabase)*(C376=TblDatabase[Year]),0,1),0))="","",INDEX(TblDatabase[Comment2],MATCH(1,INDEX(($L$4=ListEmployeeNamesInDatabase)*(C376=TblDatabase[Year]),0,1),0)))</f>
        <v>#N/A</v>
      </c>
      <c r="S385" s="360"/>
      <c r="T385" s="360"/>
      <c r="U385" s="360"/>
      <c r="V385" s="360"/>
      <c r="W385" s="360"/>
      <c r="X385" s="360"/>
      <c r="Y385" s="361"/>
      <c r="Z385" s="149"/>
      <c r="AA385" s="151">
        <f>SUMIFS(TblDatabase[Competency2],ListEmployeeNamesInDatabase,$L$4,TblDatabase[Year],C376)</f>
        <v>0</v>
      </c>
      <c r="AB385" s="149"/>
      <c r="AC385" s="149"/>
      <c r="AD385" s="149"/>
      <c r="AE385" s="149"/>
      <c r="AF385" s="149"/>
    </row>
    <row r="386" spans="2:32" s="148" customFormat="1" ht="15" hidden="1" customHeight="1">
      <c r="B386" s="350" t="str">
        <f t="shared" si="8"/>
        <v>Job Knowledge</v>
      </c>
      <c r="C386" s="351"/>
      <c r="D386" s="351"/>
      <c r="E386" s="352"/>
      <c r="F386" s="157" t="str">
        <f>IF(Settings!$M$4=Settings!$Y$3,IF($AA386=1,"P",""),IF($AA386=1,"P",""))</f>
        <v/>
      </c>
      <c r="G386" s="158" t="str">
        <f>IF(Settings!$M$4=Settings!$Y$3,IF($AA386=1,"P",""),IF($AA386=2,"P",""))</f>
        <v/>
      </c>
      <c r="H386" s="158" t="str">
        <f>IF(Settings!$M$4=Settings!$Y$3,IF($AA386=1,"P",""),IF($AA386=3,"P",""))</f>
        <v/>
      </c>
      <c r="I386" s="158" t="str">
        <f>IF(Settings!$M$4=Settings!$Y$3,IF($AA386=1,"P",""),IF($AA386=4,"P",""))</f>
        <v/>
      </c>
      <c r="J386" s="158" t="str">
        <f>IF(Settings!$M$4=Settings!$Y$3,IF($AA386=2,"P",""),IF($AA386=5,"P",""))</f>
        <v/>
      </c>
      <c r="K386" s="158" t="str">
        <f>IF(Settings!$M$4=Settings!$Y$3,IF($AA386=2,"P",""),IF($AA386=6,"P",""))</f>
        <v/>
      </c>
      <c r="L386" s="158" t="str">
        <f>IF(Settings!$M$4=Settings!$Y$3,IF($AA386=2,"P",""),IF($AA386=7,"P",""))</f>
        <v/>
      </c>
      <c r="M386" s="158" t="str">
        <f>IF(Settings!$M$4=Settings!$Y$3,IF($AA386=2,"P",""),IF($AA386=8,"P",""))</f>
        <v/>
      </c>
      <c r="N386" s="158" t="str">
        <f>IF(Settings!$M$4=Settings!$Y$3,IF($AA386=3,"P",""),IF($AA386=9,"P",""))</f>
        <v/>
      </c>
      <c r="O386" s="159" t="str">
        <f>IF(Settings!$M$4=Settings!$Y$3,IF($AA386=3,"P",""),IF($AA386=10,"P",""))</f>
        <v/>
      </c>
      <c r="P386" s="22"/>
      <c r="Q386" s="22"/>
      <c r="R386" s="353" t="e">
        <f>IF(INDEX(TblDatabase[Comment3],MATCH(1,INDEX(($L$4=ListEmployeeNamesInDatabase)*(C376=TblDatabase[Year]),0,1),0))="","",INDEX(TblDatabase[Comment3],MATCH(1,INDEX(($L$4=ListEmployeeNamesInDatabase)*(C376=TblDatabase[Year]),0,1),0)))</f>
        <v>#N/A</v>
      </c>
      <c r="S386" s="353"/>
      <c r="T386" s="353"/>
      <c r="U386" s="353"/>
      <c r="V386" s="353"/>
      <c r="W386" s="353"/>
      <c r="X386" s="353"/>
      <c r="Y386" s="354"/>
      <c r="Z386" s="149"/>
      <c r="AA386" s="151">
        <f>SUMIFS(TblDatabase[Competency3],ListEmployeeNamesInDatabase,$L$4,TblDatabase[Year],C376)</f>
        <v>0</v>
      </c>
      <c r="AB386" s="149"/>
      <c r="AC386" s="149"/>
      <c r="AD386" s="149"/>
      <c r="AE386" s="149"/>
      <c r="AF386" s="149"/>
    </row>
    <row r="387" spans="2:32" s="148" customFormat="1" ht="15" hidden="1" customHeight="1">
      <c r="B387" s="355" t="str">
        <f t="shared" si="8"/>
        <v>Client Service</v>
      </c>
      <c r="C387" s="356"/>
      <c r="D387" s="356"/>
      <c r="E387" s="357"/>
      <c r="F387" s="163" t="str">
        <f>IF(Settings!$M$4=Settings!$Y$3,IF($AA387=1,"P",""),IF($AA387=1,"P",""))</f>
        <v/>
      </c>
      <c r="G387" s="164" t="str">
        <f>IF(Settings!$M$4=Settings!$Y$3,IF($AA387=1,"P",""),IF($AA387=2,"P",""))</f>
        <v/>
      </c>
      <c r="H387" s="164" t="str">
        <f>IF(Settings!$M$4=Settings!$Y$3,IF($AA387=1,"P",""),IF($AA387=3,"P",""))</f>
        <v/>
      </c>
      <c r="I387" s="164" t="str">
        <f>IF(Settings!$M$4=Settings!$Y$3,IF($AA387=1,"P",""),IF($AA387=4,"P",""))</f>
        <v/>
      </c>
      <c r="J387" s="164" t="str">
        <f>IF(Settings!$M$4=Settings!$Y$3,IF($AA387=2,"P",""),IF($AA387=5,"P",""))</f>
        <v/>
      </c>
      <c r="K387" s="164" t="str">
        <f>IF(Settings!$M$4=Settings!$Y$3,IF($AA387=2,"P",""),IF($AA387=6,"P",""))</f>
        <v/>
      </c>
      <c r="L387" s="164" t="str">
        <f>IF(Settings!$M$4=Settings!$Y$3,IF($AA387=2,"P",""),IF($AA387=7,"P",""))</f>
        <v/>
      </c>
      <c r="M387" s="164" t="str">
        <f>IF(Settings!$M$4=Settings!$Y$3,IF($AA387=2,"P",""),IF($AA387=8,"P",""))</f>
        <v/>
      </c>
      <c r="N387" s="164" t="str">
        <f>IF(Settings!$M$4=Settings!$Y$3,IF($AA387=3,"P",""),IF($AA387=9,"P",""))</f>
        <v/>
      </c>
      <c r="O387" s="165" t="str">
        <f>IF(Settings!$M$4=Settings!$Y$3,IF($AA387=3,"P",""),IF($AA387=10,"P",""))</f>
        <v/>
      </c>
      <c r="P387" s="22"/>
      <c r="Q387" s="22"/>
      <c r="R387" s="360" t="e">
        <f>IF(INDEX(TblDatabase[Comment4],MATCH(1,INDEX(($L$4=ListEmployeeNamesInDatabase)*(C376=TblDatabase[Year]),0,1),0))="","",INDEX(TblDatabase[Comment4],MATCH(1,INDEX(($L$4=ListEmployeeNamesInDatabase)*(C376=TblDatabase[Year]),0,1),0)))</f>
        <v>#N/A</v>
      </c>
      <c r="S387" s="360"/>
      <c r="T387" s="360"/>
      <c r="U387" s="360"/>
      <c r="V387" s="360"/>
      <c r="W387" s="360"/>
      <c r="X387" s="360"/>
      <c r="Y387" s="361"/>
      <c r="Z387" s="149"/>
      <c r="AA387" s="151">
        <f>SUMIFS(TblDatabase[Competency4],ListEmployeeNamesInDatabase,$L$4,TblDatabase[Year],C376)</f>
        <v>0</v>
      </c>
      <c r="AB387" s="149"/>
      <c r="AC387" s="149"/>
      <c r="AD387" s="149"/>
      <c r="AE387" s="149"/>
      <c r="AF387" s="149"/>
    </row>
    <row r="388" spans="2:32" s="148" customFormat="1" ht="15" hidden="1" customHeight="1">
      <c r="B388" s="350" t="str">
        <f t="shared" si="8"/>
        <v>Teamwork</v>
      </c>
      <c r="C388" s="351"/>
      <c r="D388" s="351"/>
      <c r="E388" s="352"/>
      <c r="F388" s="157" t="str">
        <f>IF(Settings!$M$4=Settings!$Y$3,IF($AA388=1,"P",""),IF($AA388=1,"P",""))</f>
        <v/>
      </c>
      <c r="G388" s="158" t="str">
        <f>IF(Settings!$M$4=Settings!$Y$3,IF($AA388=1,"P",""),IF($AA388=2,"P",""))</f>
        <v/>
      </c>
      <c r="H388" s="158" t="str">
        <f>IF(Settings!$M$4=Settings!$Y$3,IF($AA388=1,"P",""),IF($AA388=3,"P",""))</f>
        <v/>
      </c>
      <c r="I388" s="158" t="str">
        <f>IF(Settings!$M$4=Settings!$Y$3,IF($AA388=1,"P",""),IF($AA388=4,"P",""))</f>
        <v/>
      </c>
      <c r="J388" s="158" t="str">
        <f>IF(Settings!$M$4=Settings!$Y$3,IF($AA388=2,"P",""),IF($AA388=5,"P",""))</f>
        <v/>
      </c>
      <c r="K388" s="158" t="str">
        <f>IF(Settings!$M$4=Settings!$Y$3,IF($AA388=2,"P",""),IF($AA388=6,"P",""))</f>
        <v/>
      </c>
      <c r="L388" s="158" t="str">
        <f>IF(Settings!$M$4=Settings!$Y$3,IF($AA388=2,"P",""),IF($AA388=7,"P",""))</f>
        <v/>
      </c>
      <c r="M388" s="158" t="str">
        <f>IF(Settings!$M$4=Settings!$Y$3,IF($AA388=2,"P",""),IF($AA388=8,"P",""))</f>
        <v/>
      </c>
      <c r="N388" s="158" t="str">
        <f>IF(Settings!$M$4=Settings!$Y$3,IF($AA388=3,"P",""),IF($AA388=9,"P",""))</f>
        <v/>
      </c>
      <c r="O388" s="159" t="str">
        <f>IF(Settings!$M$4=Settings!$Y$3,IF($AA388=3,"P",""),IF($AA388=10,"P",""))</f>
        <v/>
      </c>
      <c r="P388" s="22"/>
      <c r="Q388" s="22"/>
      <c r="R388" s="353" t="e">
        <f>IF(INDEX(TblDatabase[Comment5],MATCH(1,INDEX(($L$4=ListEmployeeNamesInDatabase)*(C376=TblDatabase[Year]),0,1),0))="","",INDEX(TblDatabase[Comment5],MATCH(1,INDEX(($L$4=ListEmployeeNamesInDatabase)*(C376=TblDatabase[Year]),0,1),0)))</f>
        <v>#N/A</v>
      </c>
      <c r="S388" s="353"/>
      <c r="T388" s="353"/>
      <c r="U388" s="353"/>
      <c r="V388" s="353"/>
      <c r="W388" s="353"/>
      <c r="X388" s="353"/>
      <c r="Y388" s="354"/>
      <c r="Z388" s="149"/>
      <c r="AA388" s="151">
        <f>SUMIFS(TblDatabase[Competency5],ListEmployeeNamesInDatabase,$L$4,TblDatabase[Year],C376)</f>
        <v>0</v>
      </c>
      <c r="AB388" s="149"/>
      <c r="AC388" s="149"/>
      <c r="AD388" s="149"/>
      <c r="AE388" s="149"/>
      <c r="AF388" s="149"/>
    </row>
    <row r="389" spans="2:32" s="148" customFormat="1" ht="15" hidden="1" customHeight="1">
      <c r="B389" s="355" t="str">
        <f t="shared" si="8"/>
        <v>Safety</v>
      </c>
      <c r="C389" s="356"/>
      <c r="D389" s="356"/>
      <c r="E389" s="357"/>
      <c r="F389" s="163" t="str">
        <f>IF(Settings!$M$4=Settings!$Y$3,IF($AA389=1,"P",""),IF($AA389=1,"P",""))</f>
        <v/>
      </c>
      <c r="G389" s="164" t="str">
        <f>IF(Settings!$M$4=Settings!$Y$3,IF($AA389=1,"P",""),IF($AA389=2,"P",""))</f>
        <v/>
      </c>
      <c r="H389" s="164" t="str">
        <f>IF(Settings!$M$4=Settings!$Y$3,IF($AA389=1,"P",""),IF($AA389=3,"P",""))</f>
        <v/>
      </c>
      <c r="I389" s="164" t="str">
        <f>IF(Settings!$M$4=Settings!$Y$3,IF($AA389=1,"P",""),IF($AA389=4,"P",""))</f>
        <v/>
      </c>
      <c r="J389" s="164" t="str">
        <f>IF(Settings!$M$4=Settings!$Y$3,IF($AA389=2,"P",""),IF($AA389=5,"P",""))</f>
        <v/>
      </c>
      <c r="K389" s="164" t="str">
        <f>IF(Settings!$M$4=Settings!$Y$3,IF($AA389=2,"P",""),IF($AA389=6,"P",""))</f>
        <v/>
      </c>
      <c r="L389" s="164" t="str">
        <f>IF(Settings!$M$4=Settings!$Y$3,IF($AA389=2,"P",""),IF($AA389=7,"P",""))</f>
        <v/>
      </c>
      <c r="M389" s="164" t="str">
        <f>IF(Settings!$M$4=Settings!$Y$3,IF($AA389=2,"P",""),IF($AA389=8,"P",""))</f>
        <v/>
      </c>
      <c r="N389" s="164" t="str">
        <f>IF(Settings!$M$4=Settings!$Y$3,IF($AA389=3,"P",""),IF($AA389=9,"P",""))</f>
        <v/>
      </c>
      <c r="O389" s="165" t="str">
        <f>IF(Settings!$M$4=Settings!$Y$3,IF($AA389=3,"P",""),IF($AA389=10,"P",""))</f>
        <v/>
      </c>
      <c r="P389" s="22"/>
      <c r="Q389" s="22"/>
      <c r="R389" s="360" t="e">
        <f>IF(INDEX(TblDatabase[Comment6],MATCH(1,INDEX(($L$4=ListEmployeeNamesInDatabase)*(C376=TblDatabase[Year]),0,1),0))="","",INDEX(TblDatabase[Comment6],MATCH(1,INDEX(($L$4=ListEmployeeNamesInDatabase)*(C376=TblDatabase[Year]),0,1),0)))</f>
        <v>#N/A</v>
      </c>
      <c r="S389" s="360"/>
      <c r="T389" s="360"/>
      <c r="U389" s="360"/>
      <c r="V389" s="360"/>
      <c r="W389" s="360"/>
      <c r="X389" s="360"/>
      <c r="Y389" s="361"/>
      <c r="Z389" s="149"/>
      <c r="AA389" s="151">
        <f>SUMIFS(TblDatabase[Competency6],ListEmployeeNamesInDatabase,$L$4,TblDatabase[Year],C376)</f>
        <v>0</v>
      </c>
      <c r="AB389" s="149"/>
      <c r="AC389" s="149"/>
      <c r="AD389" s="149"/>
      <c r="AE389" s="149"/>
      <c r="AF389" s="149"/>
    </row>
    <row r="390" spans="2:32" s="148" customFormat="1" ht="15" hidden="1" customHeight="1">
      <c r="B390" s="350" t="str">
        <f t="shared" si="8"/>
        <v>Reliability</v>
      </c>
      <c r="C390" s="351"/>
      <c r="D390" s="351"/>
      <c r="E390" s="352"/>
      <c r="F390" s="157" t="str">
        <f>IF(Settings!$M$4=Settings!$Y$3,IF($AA390=1,"P",""),IF($AA390=1,"P",""))</f>
        <v/>
      </c>
      <c r="G390" s="158" t="str">
        <f>IF(Settings!$M$4=Settings!$Y$3,IF($AA390=1,"P",""),IF($AA390=2,"P",""))</f>
        <v/>
      </c>
      <c r="H390" s="158" t="str">
        <f>IF(Settings!$M$4=Settings!$Y$3,IF($AA390=1,"P",""),IF($AA390=3,"P",""))</f>
        <v/>
      </c>
      <c r="I390" s="158" t="str">
        <f>IF(Settings!$M$4=Settings!$Y$3,IF($AA390=1,"P",""),IF($AA390=4,"P",""))</f>
        <v/>
      </c>
      <c r="J390" s="158" t="str">
        <f>IF(Settings!$M$4=Settings!$Y$3,IF($AA390=2,"P",""),IF($AA390=5,"P",""))</f>
        <v/>
      </c>
      <c r="K390" s="158" t="str">
        <f>IF(Settings!$M$4=Settings!$Y$3,IF($AA390=2,"P",""),IF($AA390=6,"P",""))</f>
        <v/>
      </c>
      <c r="L390" s="158" t="str">
        <f>IF(Settings!$M$4=Settings!$Y$3,IF($AA390=2,"P",""),IF($AA390=7,"P",""))</f>
        <v/>
      </c>
      <c r="M390" s="158" t="str">
        <f>IF(Settings!$M$4=Settings!$Y$3,IF($AA390=2,"P",""),IF($AA390=8,"P",""))</f>
        <v/>
      </c>
      <c r="N390" s="158" t="str">
        <f>IF(Settings!$M$4=Settings!$Y$3,IF($AA390=3,"P",""),IF($AA390=9,"P",""))</f>
        <v/>
      </c>
      <c r="O390" s="159" t="str">
        <f>IF(Settings!$M$4=Settings!$Y$3,IF($AA390=3,"P",""),IF($AA390=10,"P",""))</f>
        <v/>
      </c>
      <c r="P390" s="22"/>
      <c r="Q390" s="22"/>
      <c r="R390" s="353" t="e">
        <f>IF(INDEX(TblDatabase[Comment7],MATCH(1,INDEX(($L$4=ListEmployeeNamesInDatabase)*(C376=TblDatabase[Year]),0,1),0))="","",INDEX(TblDatabase[Comment7],MATCH(1,INDEX(($L$4=ListEmployeeNamesInDatabase)*(C376=TblDatabase[Year]),0,1),0)))</f>
        <v>#N/A</v>
      </c>
      <c r="S390" s="353"/>
      <c r="T390" s="353"/>
      <c r="U390" s="353"/>
      <c r="V390" s="353"/>
      <c r="W390" s="353"/>
      <c r="X390" s="353"/>
      <c r="Y390" s="354"/>
      <c r="Z390" s="149"/>
      <c r="AA390" s="151">
        <f>SUMIFS(TblDatabase[Competency7],ListEmployeeNamesInDatabase,$L$4,TblDatabase[Year],C376)</f>
        <v>0</v>
      </c>
      <c r="AB390" s="149"/>
      <c r="AC390" s="149"/>
      <c r="AD390" s="149"/>
      <c r="AE390" s="149"/>
      <c r="AF390" s="149"/>
    </row>
    <row r="391" spans="2:32" s="148" customFormat="1" ht="15" hidden="1" customHeight="1">
      <c r="B391" s="355" t="str">
        <f t="shared" si="8"/>
        <v>Initiative/Adaptability</v>
      </c>
      <c r="C391" s="356"/>
      <c r="D391" s="356"/>
      <c r="E391" s="357"/>
      <c r="F391" s="163" t="str">
        <f>IF(Settings!$M$4=Settings!$Y$3,IF($AA391=1,"P",""),IF($AA391=1,"P",""))</f>
        <v/>
      </c>
      <c r="G391" s="164" t="str">
        <f>IF(Settings!$M$4=Settings!$Y$3,IF($AA391=1,"P",""),IF($AA391=2,"P",""))</f>
        <v/>
      </c>
      <c r="H391" s="164" t="str">
        <f>IF(Settings!$M$4=Settings!$Y$3,IF($AA391=1,"P",""),IF($AA391=3,"P",""))</f>
        <v/>
      </c>
      <c r="I391" s="164" t="str">
        <f>IF(Settings!$M$4=Settings!$Y$3,IF($AA391=1,"P",""),IF($AA391=4,"P",""))</f>
        <v/>
      </c>
      <c r="J391" s="164" t="str">
        <f>IF(Settings!$M$4=Settings!$Y$3,IF($AA391=2,"P",""),IF($AA391=5,"P",""))</f>
        <v/>
      </c>
      <c r="K391" s="164" t="str">
        <f>IF(Settings!$M$4=Settings!$Y$3,IF($AA391=2,"P",""),IF($AA391=6,"P",""))</f>
        <v/>
      </c>
      <c r="L391" s="164" t="str">
        <f>IF(Settings!$M$4=Settings!$Y$3,IF($AA391=2,"P",""),IF($AA391=7,"P",""))</f>
        <v/>
      </c>
      <c r="M391" s="164" t="str">
        <f>IF(Settings!$M$4=Settings!$Y$3,IF($AA391=2,"P",""),IF($AA391=8,"P",""))</f>
        <v/>
      </c>
      <c r="N391" s="164" t="str">
        <f>IF(Settings!$M$4=Settings!$Y$3,IF($AA391=3,"P",""),IF($AA391=9,"P",""))</f>
        <v/>
      </c>
      <c r="O391" s="165" t="str">
        <f>IF(Settings!$M$4=Settings!$Y$3,IF($AA391=3,"P",""),IF($AA391=10,"P",""))</f>
        <v/>
      </c>
      <c r="P391" s="22"/>
      <c r="Q391" s="22"/>
      <c r="R391" s="360" t="e">
        <f>IF(INDEX(TblDatabase[Comment8],MATCH(1,INDEX(($L$4=ListEmployeeNamesInDatabase)*(C376=TblDatabase[Year]),0,1),0))="","",INDEX(TblDatabase[Comment8],MATCH(1,INDEX(($L$4=ListEmployeeNamesInDatabase)*(C376=TblDatabase[Year]),0,1),0)))</f>
        <v>#N/A</v>
      </c>
      <c r="S391" s="360"/>
      <c r="T391" s="360"/>
      <c r="U391" s="360"/>
      <c r="V391" s="360"/>
      <c r="W391" s="360"/>
      <c r="X391" s="360"/>
      <c r="Y391" s="361"/>
      <c r="Z391" s="149"/>
      <c r="AA391" s="151">
        <f>SUMIFS(TblDatabase[Competency8],ListEmployeeNamesInDatabase,$L$4,TblDatabase[Year],C376)</f>
        <v>0</v>
      </c>
      <c r="AB391" s="149"/>
      <c r="AC391" s="149"/>
      <c r="AD391" s="149"/>
      <c r="AE391" s="149"/>
      <c r="AF391" s="149"/>
    </row>
    <row r="392" spans="2:32" s="148" customFormat="1" ht="15" hidden="1" customHeight="1">
      <c r="B392" s="350" t="str">
        <f t="shared" si="8"/>
        <v/>
      </c>
      <c r="C392" s="351"/>
      <c r="D392" s="351"/>
      <c r="E392" s="352"/>
      <c r="F392" s="157" t="str">
        <f>IF(Settings!$M$4=Settings!$Y$3,IF($AA392=1,"P",""),IF($AA392=1,"P",""))</f>
        <v/>
      </c>
      <c r="G392" s="158" t="str">
        <f>IF(Settings!$M$4=Settings!$Y$3,IF($AA392=1,"P",""),IF($AA392=2,"P",""))</f>
        <v/>
      </c>
      <c r="H392" s="158" t="str">
        <f>IF(Settings!$M$4=Settings!$Y$3,IF($AA392=1,"P",""),IF($AA392=3,"P",""))</f>
        <v/>
      </c>
      <c r="I392" s="158" t="str">
        <f>IF(Settings!$M$4=Settings!$Y$3,IF($AA392=1,"P",""),IF($AA392=4,"P",""))</f>
        <v/>
      </c>
      <c r="J392" s="158" t="str">
        <f>IF(Settings!$M$4=Settings!$Y$3,IF($AA392=2,"P",""),IF($AA392=5,"P",""))</f>
        <v/>
      </c>
      <c r="K392" s="158" t="str">
        <f>IF(Settings!$M$4=Settings!$Y$3,IF($AA392=2,"P",""),IF($AA392=6,"P",""))</f>
        <v/>
      </c>
      <c r="L392" s="158" t="str">
        <f>IF(Settings!$M$4=Settings!$Y$3,IF($AA392=2,"P",""),IF($AA392=7,"P",""))</f>
        <v/>
      </c>
      <c r="M392" s="158" t="str">
        <f>IF(Settings!$M$4=Settings!$Y$3,IF($AA392=2,"P",""),IF($AA392=8,"P",""))</f>
        <v/>
      </c>
      <c r="N392" s="158" t="str">
        <f>IF(Settings!$M$4=Settings!$Y$3,IF($AA392=3,"P",""),IF($AA392=9,"P",""))</f>
        <v/>
      </c>
      <c r="O392" s="159" t="str">
        <f>IF(Settings!$M$4=Settings!$Y$3,IF($AA392=3,"P",""),IF($AA392=10,"P",""))</f>
        <v/>
      </c>
      <c r="P392" s="22"/>
      <c r="Q392" s="22"/>
      <c r="R392" s="353" t="e">
        <f>IF(INDEX(TblDatabase[Comment9],MATCH(1,INDEX(($L$4=ListEmployeeNamesInDatabase)*(C376=TblDatabase[Year]),0,1),0))="","",INDEX(TblDatabase[Comment9],MATCH(1,INDEX(($L$4=ListEmployeeNamesInDatabase)*(C376=TblDatabase[Year]),0,1),0)))</f>
        <v>#N/A</v>
      </c>
      <c r="S392" s="353"/>
      <c r="T392" s="353"/>
      <c r="U392" s="353"/>
      <c r="V392" s="353"/>
      <c r="W392" s="353"/>
      <c r="X392" s="353"/>
      <c r="Y392" s="354"/>
      <c r="Z392" s="149"/>
      <c r="AA392" s="151">
        <f>SUMIFS(TblDatabase[Competency9],ListEmployeeNamesInDatabase,$L$4,TblDatabase[Year],C376)</f>
        <v>0</v>
      </c>
      <c r="AB392" s="149"/>
      <c r="AC392" s="149"/>
      <c r="AD392" s="149"/>
      <c r="AE392" s="149"/>
      <c r="AF392" s="149"/>
    </row>
    <row r="393" spans="2:32" s="148" customFormat="1" ht="15" hidden="1" customHeight="1">
      <c r="B393" s="355" t="str">
        <f t="shared" si="8"/>
        <v/>
      </c>
      <c r="C393" s="356"/>
      <c r="D393" s="356"/>
      <c r="E393" s="357"/>
      <c r="F393" s="163" t="str">
        <f>IF(Settings!$M$4=Settings!$Y$3,IF($AA393=1,"P",""),IF($AA393=1,"P",""))</f>
        <v/>
      </c>
      <c r="G393" s="164" t="str">
        <f>IF(Settings!$M$4=Settings!$Y$3,IF($AA393=1,"P",""),IF($AA393=2,"P",""))</f>
        <v/>
      </c>
      <c r="H393" s="164" t="str">
        <f>IF(Settings!$M$4=Settings!$Y$3,IF($AA393=1,"P",""),IF($AA393=3,"P",""))</f>
        <v/>
      </c>
      <c r="I393" s="164" t="str">
        <f>IF(Settings!$M$4=Settings!$Y$3,IF($AA393=1,"P",""),IF($AA393=4,"P",""))</f>
        <v/>
      </c>
      <c r="J393" s="164" t="str">
        <f>IF(Settings!$M$4=Settings!$Y$3,IF($AA393=2,"P",""),IF($AA393=5,"P",""))</f>
        <v/>
      </c>
      <c r="K393" s="164" t="str">
        <f>IF(Settings!$M$4=Settings!$Y$3,IF($AA393=2,"P",""),IF($AA393=6,"P",""))</f>
        <v/>
      </c>
      <c r="L393" s="164" t="str">
        <f>IF(Settings!$M$4=Settings!$Y$3,IF($AA393=2,"P",""),IF($AA393=7,"P",""))</f>
        <v/>
      </c>
      <c r="M393" s="164" t="str">
        <f>IF(Settings!$M$4=Settings!$Y$3,IF($AA393=2,"P",""),IF($AA393=8,"P",""))</f>
        <v/>
      </c>
      <c r="N393" s="164" t="str">
        <f>IF(Settings!$M$4=Settings!$Y$3,IF($AA393=3,"P",""),IF($AA393=9,"P",""))</f>
        <v/>
      </c>
      <c r="O393" s="165" t="str">
        <f>IF(Settings!$M$4=Settings!$Y$3,IF($AA393=3,"P",""),IF($AA393=10,"P",""))</f>
        <v/>
      </c>
      <c r="P393" s="22"/>
      <c r="Q393" s="22"/>
      <c r="R393" s="360" t="e">
        <f>IF(INDEX(TblDatabase[Comment10],MATCH(1,INDEX(($L$4=ListEmployeeNamesInDatabase)*(C376=TblDatabase[Year]),0,1),0))="","",INDEX(TblDatabase[Comment10],MATCH(1,INDEX(($L$4=ListEmployeeNamesInDatabase)*(C376=TblDatabase[Year]),0,1),0)))</f>
        <v>#N/A</v>
      </c>
      <c r="S393" s="360"/>
      <c r="T393" s="360"/>
      <c r="U393" s="360"/>
      <c r="V393" s="360"/>
      <c r="W393" s="360"/>
      <c r="X393" s="360"/>
      <c r="Y393" s="361"/>
      <c r="Z393" s="149"/>
      <c r="AA393" s="151">
        <f>SUMIFS(TblDatabase[Competency10],ListEmployeeNamesInDatabase,$L$4,TblDatabase[Year],C376)</f>
        <v>0</v>
      </c>
      <c r="AB393" s="149"/>
      <c r="AC393" s="149"/>
      <c r="AD393" s="149"/>
      <c r="AE393" s="149"/>
      <c r="AF393" s="149"/>
    </row>
    <row r="394" spans="2:32" s="148" customFormat="1" ht="15" hidden="1" customHeight="1">
      <c r="B394" s="350" t="str">
        <f t="shared" si="8"/>
        <v/>
      </c>
      <c r="C394" s="351"/>
      <c r="D394" s="351"/>
      <c r="E394" s="352"/>
      <c r="F394" s="157" t="str">
        <f>IF(Settings!$M$4=Settings!$Y$3,IF($AA394=1,"P",""),IF($AA394=1,"P",""))</f>
        <v/>
      </c>
      <c r="G394" s="158" t="str">
        <f>IF(Settings!$M$4=Settings!$Y$3,IF($AA394=1,"P",""),IF($AA394=2,"P",""))</f>
        <v/>
      </c>
      <c r="H394" s="158" t="str">
        <f>IF(Settings!$M$4=Settings!$Y$3,IF($AA394=1,"P",""),IF($AA394=3,"P",""))</f>
        <v/>
      </c>
      <c r="I394" s="158" t="str">
        <f>IF(Settings!$M$4=Settings!$Y$3,IF($AA394=1,"P",""),IF($AA394=4,"P",""))</f>
        <v/>
      </c>
      <c r="J394" s="158" t="str">
        <f>IF(Settings!$M$4=Settings!$Y$3,IF($AA394=2,"P",""),IF($AA394=5,"P",""))</f>
        <v/>
      </c>
      <c r="K394" s="158" t="str">
        <f>IF(Settings!$M$4=Settings!$Y$3,IF($AA394=2,"P",""),IF($AA394=6,"P",""))</f>
        <v/>
      </c>
      <c r="L394" s="158" t="str">
        <f>IF(Settings!$M$4=Settings!$Y$3,IF($AA394=2,"P",""),IF($AA394=7,"P",""))</f>
        <v/>
      </c>
      <c r="M394" s="158" t="str">
        <f>IF(Settings!$M$4=Settings!$Y$3,IF($AA394=2,"P",""),IF($AA394=8,"P",""))</f>
        <v/>
      </c>
      <c r="N394" s="158" t="str">
        <f>IF(Settings!$M$4=Settings!$Y$3,IF($AA394=3,"P",""),IF($AA394=9,"P",""))</f>
        <v/>
      </c>
      <c r="O394" s="159" t="str">
        <f>IF(Settings!$M$4=Settings!$Y$3,IF($AA394=3,"P",""),IF($AA394=10,"P",""))</f>
        <v/>
      </c>
      <c r="P394" s="22"/>
      <c r="Q394" s="22"/>
      <c r="R394" s="353" t="e">
        <f>IF(INDEX(TblDatabase[Comment11],MATCH(1,INDEX(($L$4=ListEmployeeNamesInDatabase)*(C376=TblDatabase[Year]),0,1),0))="","",INDEX(TblDatabase[Comment11],MATCH(1,INDEX(($L$4=ListEmployeeNamesInDatabase)*(C376=TblDatabase[Year]),0,1),0)))</f>
        <v>#N/A</v>
      </c>
      <c r="S394" s="353"/>
      <c r="T394" s="353"/>
      <c r="U394" s="353"/>
      <c r="V394" s="353"/>
      <c r="W394" s="353"/>
      <c r="X394" s="353"/>
      <c r="Y394" s="354"/>
      <c r="Z394" s="149"/>
      <c r="AA394" s="151">
        <f>SUMIFS(TblDatabase[Competency11],ListEmployeeNamesInDatabase,$L$4,TblDatabase[Year],C376)</f>
        <v>0</v>
      </c>
      <c r="AB394" s="149"/>
      <c r="AC394" s="149"/>
      <c r="AD394" s="149"/>
      <c r="AE394" s="149"/>
      <c r="AF394" s="149"/>
    </row>
    <row r="395" spans="2:32" s="148" customFormat="1" ht="15" hidden="1" customHeight="1">
      <c r="B395" s="355" t="str">
        <f t="shared" si="8"/>
        <v/>
      </c>
      <c r="C395" s="356"/>
      <c r="D395" s="356"/>
      <c r="E395" s="357"/>
      <c r="F395" s="163" t="str">
        <f>IF(Settings!$M$4=Settings!$Y$3,IF($AA395=1,"P",""),IF($AA395=1,"P",""))</f>
        <v/>
      </c>
      <c r="G395" s="164" t="str">
        <f>IF(Settings!$M$4=Settings!$Y$3,IF($AA395=1,"P",""),IF($AA395=2,"P",""))</f>
        <v/>
      </c>
      <c r="H395" s="164" t="str">
        <f>IF(Settings!$M$4=Settings!$Y$3,IF($AA395=1,"P",""),IF($AA395=3,"P",""))</f>
        <v/>
      </c>
      <c r="I395" s="164" t="str">
        <f>IF(Settings!$M$4=Settings!$Y$3,IF($AA395=1,"P",""),IF($AA395=4,"P",""))</f>
        <v/>
      </c>
      <c r="J395" s="164" t="str">
        <f>IF(Settings!$M$4=Settings!$Y$3,IF($AA395=2,"P",""),IF($AA395=5,"P",""))</f>
        <v/>
      </c>
      <c r="K395" s="164" t="str">
        <f>IF(Settings!$M$4=Settings!$Y$3,IF($AA395=2,"P",""),IF($AA395=6,"P",""))</f>
        <v/>
      </c>
      <c r="L395" s="164" t="str">
        <f>IF(Settings!$M$4=Settings!$Y$3,IF($AA395=2,"P",""),IF($AA395=7,"P",""))</f>
        <v/>
      </c>
      <c r="M395" s="164" t="str">
        <f>IF(Settings!$M$4=Settings!$Y$3,IF($AA395=2,"P",""),IF($AA395=8,"P",""))</f>
        <v/>
      </c>
      <c r="N395" s="164" t="str">
        <f>IF(Settings!$M$4=Settings!$Y$3,IF($AA395=3,"P",""),IF($AA395=9,"P",""))</f>
        <v/>
      </c>
      <c r="O395" s="165" t="str">
        <f>IF(Settings!$M$4=Settings!$Y$3,IF($AA395=3,"P",""),IF($AA395=10,"P",""))</f>
        <v/>
      </c>
      <c r="P395" s="22"/>
      <c r="Q395" s="22"/>
      <c r="R395" s="360" t="e">
        <f>IF(INDEX(TblDatabase[Comment12],MATCH(1,INDEX(($L$4=ListEmployeeNamesInDatabase)*(C376=TblDatabase[Year]),0,1),0))="","",INDEX(TblDatabase[Comment12],MATCH(1,INDEX(($L$4=ListEmployeeNamesInDatabase)*(C376=TblDatabase[Year]),0,1),0)))</f>
        <v>#N/A</v>
      </c>
      <c r="S395" s="360"/>
      <c r="T395" s="360"/>
      <c r="U395" s="360"/>
      <c r="V395" s="360"/>
      <c r="W395" s="360"/>
      <c r="X395" s="360"/>
      <c r="Y395" s="361"/>
      <c r="Z395" s="149"/>
      <c r="AA395" s="151">
        <f>SUMIFS(TblDatabase[Competency12],ListEmployeeNamesInDatabase,$L$4,TblDatabase[Year],C376)</f>
        <v>0</v>
      </c>
      <c r="AB395" s="149"/>
      <c r="AC395" s="149"/>
      <c r="AD395" s="149"/>
      <c r="AE395" s="149"/>
      <c r="AF395" s="149"/>
    </row>
    <row r="396" spans="2:32" s="148" customFormat="1" ht="15" hidden="1" customHeight="1">
      <c r="B396" s="350" t="str">
        <f t="shared" si="8"/>
        <v/>
      </c>
      <c r="C396" s="351"/>
      <c r="D396" s="351"/>
      <c r="E396" s="352"/>
      <c r="F396" s="157" t="str">
        <f>IF(Settings!$M$4=Settings!$Y$3,IF($AA396=1,"P",""),IF($AA396=1,"P",""))</f>
        <v/>
      </c>
      <c r="G396" s="158" t="str">
        <f>IF(Settings!$M$4=Settings!$Y$3,IF($AA396=1,"P",""),IF($AA396=2,"P",""))</f>
        <v/>
      </c>
      <c r="H396" s="158" t="str">
        <f>IF(Settings!$M$4=Settings!$Y$3,IF($AA396=1,"P",""),IF($AA396=3,"P",""))</f>
        <v/>
      </c>
      <c r="I396" s="158" t="str">
        <f>IF(Settings!$M$4=Settings!$Y$3,IF($AA396=1,"P",""),IF($AA396=4,"P",""))</f>
        <v/>
      </c>
      <c r="J396" s="158" t="str">
        <f>IF(Settings!$M$4=Settings!$Y$3,IF($AA396=2,"P",""),IF($AA396=5,"P",""))</f>
        <v/>
      </c>
      <c r="K396" s="158" t="str">
        <f>IF(Settings!$M$4=Settings!$Y$3,IF($AA396=2,"P",""),IF($AA396=6,"P",""))</f>
        <v/>
      </c>
      <c r="L396" s="158" t="str">
        <f>IF(Settings!$M$4=Settings!$Y$3,IF($AA396=2,"P",""),IF($AA396=7,"P",""))</f>
        <v/>
      </c>
      <c r="M396" s="158" t="str">
        <f>IF(Settings!$M$4=Settings!$Y$3,IF($AA396=2,"P",""),IF($AA396=8,"P",""))</f>
        <v/>
      </c>
      <c r="N396" s="158" t="str">
        <f>IF(Settings!$M$4=Settings!$Y$3,IF($AA396=3,"P",""),IF($AA396=9,"P",""))</f>
        <v/>
      </c>
      <c r="O396" s="159" t="str">
        <f>IF(Settings!$M$4=Settings!$Y$3,IF($AA396=3,"P",""),IF($AA396=10,"P",""))</f>
        <v/>
      </c>
      <c r="P396" s="22"/>
      <c r="Q396" s="22"/>
      <c r="R396" s="353" t="e">
        <f>IF(INDEX(TblDatabase[Comment13],MATCH(1,INDEX(($L$4=ListEmployeeNamesInDatabase)*(C376=TblDatabase[Year]),0,1),0))="","",INDEX(TblDatabase[Comment13],MATCH(1,INDEX(($L$4=ListEmployeeNamesInDatabase)*(C376=TblDatabase[Year]),0,1),0)))</f>
        <v>#N/A</v>
      </c>
      <c r="S396" s="353"/>
      <c r="T396" s="353"/>
      <c r="U396" s="353"/>
      <c r="V396" s="353"/>
      <c r="W396" s="353"/>
      <c r="X396" s="353"/>
      <c r="Y396" s="354"/>
      <c r="Z396" s="149"/>
      <c r="AA396" s="151">
        <f>SUMIFS(TblDatabase[Competency13],ListEmployeeNamesInDatabase,$L$4,TblDatabase[Year],C376)</f>
        <v>0</v>
      </c>
      <c r="AB396" s="149"/>
      <c r="AC396" s="149"/>
      <c r="AD396" s="149"/>
      <c r="AE396" s="149"/>
      <c r="AF396" s="149"/>
    </row>
    <row r="397" spans="2:32" s="148" customFormat="1" ht="15" hidden="1" customHeight="1">
      <c r="B397" s="355" t="str">
        <f t="shared" si="8"/>
        <v/>
      </c>
      <c r="C397" s="356"/>
      <c r="D397" s="356"/>
      <c r="E397" s="357"/>
      <c r="F397" s="163" t="str">
        <f>IF(Settings!$M$4=Settings!$Y$3,IF($AA397=1,"P",""),IF($AA397=1,"P",""))</f>
        <v/>
      </c>
      <c r="G397" s="164" t="str">
        <f>IF(Settings!$M$4=Settings!$Y$3,IF($AA397=1,"P",""),IF($AA397=2,"P",""))</f>
        <v/>
      </c>
      <c r="H397" s="164" t="str">
        <f>IF(Settings!$M$4=Settings!$Y$3,IF($AA397=1,"P",""),IF($AA397=3,"P",""))</f>
        <v/>
      </c>
      <c r="I397" s="164" t="str">
        <f>IF(Settings!$M$4=Settings!$Y$3,IF($AA397=1,"P",""),IF($AA397=4,"P",""))</f>
        <v/>
      </c>
      <c r="J397" s="164" t="str">
        <f>IF(Settings!$M$4=Settings!$Y$3,IF($AA397=2,"P",""),IF($AA397=5,"P",""))</f>
        <v/>
      </c>
      <c r="K397" s="164" t="str">
        <f>IF(Settings!$M$4=Settings!$Y$3,IF($AA397=2,"P",""),IF($AA397=6,"P",""))</f>
        <v/>
      </c>
      <c r="L397" s="164" t="str">
        <f>IF(Settings!$M$4=Settings!$Y$3,IF($AA397=2,"P",""),IF($AA397=7,"P",""))</f>
        <v/>
      </c>
      <c r="M397" s="164" t="str">
        <f>IF(Settings!$M$4=Settings!$Y$3,IF($AA397=2,"P",""),IF($AA397=8,"P",""))</f>
        <v/>
      </c>
      <c r="N397" s="164" t="str">
        <f>IF(Settings!$M$4=Settings!$Y$3,IF($AA397=3,"P",""),IF($AA397=9,"P",""))</f>
        <v/>
      </c>
      <c r="O397" s="165" t="str">
        <f>IF(Settings!$M$4=Settings!$Y$3,IF($AA397=3,"P",""),IF($AA397=10,"P",""))</f>
        <v/>
      </c>
      <c r="P397" s="22"/>
      <c r="Q397" s="22"/>
      <c r="R397" s="360" t="e">
        <f>IF(INDEX(TblDatabase[Comment14],MATCH(1,INDEX(($L$4=ListEmployeeNamesInDatabase)*(C376=TblDatabase[Year]),0,1),0))="","",INDEX(TblDatabase[Comment14],MATCH(1,INDEX(($L$4=ListEmployeeNamesInDatabase)*(C376=TblDatabase[Year]),0,1),0)))</f>
        <v>#N/A</v>
      </c>
      <c r="S397" s="360"/>
      <c r="T397" s="360"/>
      <c r="U397" s="360"/>
      <c r="V397" s="360"/>
      <c r="W397" s="360"/>
      <c r="X397" s="360"/>
      <c r="Y397" s="361"/>
      <c r="Z397" s="149"/>
      <c r="AA397" s="151">
        <f>SUMIFS(TblDatabase[Competency14],ListEmployeeNamesInDatabase,$L$4,TblDatabase[Year],C376)</f>
        <v>0</v>
      </c>
      <c r="AB397" s="149"/>
      <c r="AC397" s="149"/>
      <c r="AD397" s="149"/>
      <c r="AE397" s="149"/>
      <c r="AF397" s="149"/>
    </row>
    <row r="398" spans="2:32" s="148" customFormat="1" ht="15" hidden="1" customHeight="1">
      <c r="B398" s="350" t="str">
        <f t="shared" si="8"/>
        <v/>
      </c>
      <c r="C398" s="351"/>
      <c r="D398" s="351"/>
      <c r="E398" s="352"/>
      <c r="F398" s="157" t="str">
        <f>IF(Settings!$M$4=Settings!$Y$3,IF($AA398=1,"P",""),IF($AA398=1,"P",""))</f>
        <v/>
      </c>
      <c r="G398" s="158" t="str">
        <f>IF(Settings!$M$4=Settings!$Y$3,IF($AA398=1,"P",""),IF($AA398=2,"P",""))</f>
        <v/>
      </c>
      <c r="H398" s="158" t="str">
        <f>IF(Settings!$M$4=Settings!$Y$3,IF($AA398=1,"P",""),IF($AA398=3,"P",""))</f>
        <v/>
      </c>
      <c r="I398" s="158" t="str">
        <f>IF(Settings!$M$4=Settings!$Y$3,IF($AA398=1,"P",""),IF($AA398=4,"P",""))</f>
        <v/>
      </c>
      <c r="J398" s="158" t="str">
        <f>IF(Settings!$M$4=Settings!$Y$3,IF($AA398=2,"P",""),IF($AA398=5,"P",""))</f>
        <v/>
      </c>
      <c r="K398" s="158" t="str">
        <f>IF(Settings!$M$4=Settings!$Y$3,IF($AA398=2,"P",""),IF($AA398=6,"P",""))</f>
        <v/>
      </c>
      <c r="L398" s="158" t="str">
        <f>IF(Settings!$M$4=Settings!$Y$3,IF($AA398=2,"P",""),IF($AA398=7,"P",""))</f>
        <v/>
      </c>
      <c r="M398" s="158" t="str">
        <f>IF(Settings!$M$4=Settings!$Y$3,IF($AA398=2,"P",""),IF($AA398=8,"P",""))</f>
        <v/>
      </c>
      <c r="N398" s="158" t="str">
        <f>IF(Settings!$M$4=Settings!$Y$3,IF($AA398=3,"P",""),IF($AA398=9,"P",""))</f>
        <v/>
      </c>
      <c r="O398" s="159" t="str">
        <f>IF(Settings!$M$4=Settings!$Y$3,IF($AA398=3,"P",""),IF($AA398=10,"P",""))</f>
        <v/>
      </c>
      <c r="P398" s="22"/>
      <c r="Q398" s="22"/>
      <c r="R398" s="353" t="e">
        <f>IF(INDEX(TblDatabase[Comment15],MATCH(1,INDEX(($L$4=ListEmployeeNamesInDatabase)*(C376=TblDatabase[Year]),0,1),0))="","",INDEX(TblDatabase[Comment15],MATCH(1,INDEX(($L$4=ListEmployeeNamesInDatabase)*(C376=TblDatabase[Year]),0,1),0)))</f>
        <v>#N/A</v>
      </c>
      <c r="S398" s="353"/>
      <c r="T398" s="353"/>
      <c r="U398" s="353"/>
      <c r="V398" s="353"/>
      <c r="W398" s="353"/>
      <c r="X398" s="353"/>
      <c r="Y398" s="354"/>
      <c r="Z398" s="149"/>
      <c r="AA398" s="151">
        <f>SUMIFS(TblDatabase[Competency15],ListEmployeeNamesInDatabase,$L$4,TblDatabase[Year],C376)</f>
        <v>0</v>
      </c>
      <c r="AB398" s="149"/>
      <c r="AC398" s="149"/>
      <c r="AD398" s="149"/>
      <c r="AE398" s="149"/>
      <c r="AF398" s="149"/>
    </row>
    <row r="399" spans="2:32" s="148" customFormat="1" ht="15" hidden="1" customHeight="1">
      <c r="B399" s="355" t="str">
        <f t="shared" si="8"/>
        <v/>
      </c>
      <c r="C399" s="356"/>
      <c r="D399" s="356"/>
      <c r="E399" s="357"/>
      <c r="F399" s="163" t="str">
        <f>IF(Settings!$M$4=Settings!$Y$3,IF($AA399=1,"P",""),IF($AA399=1,"P",""))</f>
        <v/>
      </c>
      <c r="G399" s="164" t="str">
        <f>IF(Settings!$M$4=Settings!$Y$3,IF($AA399=1,"P",""),IF($AA399=2,"P",""))</f>
        <v/>
      </c>
      <c r="H399" s="164" t="str">
        <f>IF(Settings!$M$4=Settings!$Y$3,IF($AA399=1,"P",""),IF($AA399=3,"P",""))</f>
        <v/>
      </c>
      <c r="I399" s="164" t="str">
        <f>IF(Settings!$M$4=Settings!$Y$3,IF($AA399=1,"P",""),IF($AA399=4,"P",""))</f>
        <v/>
      </c>
      <c r="J399" s="164" t="str">
        <f>IF(Settings!$M$4=Settings!$Y$3,IF($AA399=2,"P",""),IF($AA399=5,"P",""))</f>
        <v/>
      </c>
      <c r="K399" s="164" t="str">
        <f>IF(Settings!$M$4=Settings!$Y$3,IF($AA399=2,"P",""),IF($AA399=6,"P",""))</f>
        <v/>
      </c>
      <c r="L399" s="164" t="str">
        <f>IF(Settings!$M$4=Settings!$Y$3,IF($AA399=2,"P",""),IF($AA399=7,"P",""))</f>
        <v/>
      </c>
      <c r="M399" s="164" t="str">
        <f>IF(Settings!$M$4=Settings!$Y$3,IF($AA399=2,"P",""),IF($AA399=8,"P",""))</f>
        <v/>
      </c>
      <c r="N399" s="164" t="str">
        <f>IF(Settings!$M$4=Settings!$Y$3,IF($AA399=3,"P",""),IF($AA399=9,"P",""))</f>
        <v/>
      </c>
      <c r="O399" s="165" t="str">
        <f>IF(Settings!$M$4=Settings!$Y$3,IF($AA399=3,"P",""),IF($AA399=10,"P",""))</f>
        <v/>
      </c>
      <c r="P399" s="22"/>
      <c r="Q399" s="22"/>
      <c r="R399" s="360" t="e">
        <f>IF(INDEX(TblDatabase[Comment16],MATCH(1,INDEX(($L$4=ListEmployeeNamesInDatabase)*(C376=TblDatabase[Year]),0,1),0))="","",INDEX(TblDatabase[Comment16],MATCH(1,INDEX(($L$4=ListEmployeeNamesInDatabase)*(C376=TblDatabase[Year]),0,1),0)))</f>
        <v>#N/A</v>
      </c>
      <c r="S399" s="360"/>
      <c r="T399" s="360"/>
      <c r="U399" s="360"/>
      <c r="V399" s="360"/>
      <c r="W399" s="360"/>
      <c r="X399" s="360"/>
      <c r="Y399" s="361"/>
      <c r="Z399" s="149"/>
      <c r="AA399" s="151">
        <f>SUMIFS(TblDatabase[Competency16],ListEmployeeNamesInDatabase,$L$4,TblDatabase[Year],C376)</f>
        <v>0</v>
      </c>
      <c r="AB399" s="149"/>
      <c r="AC399" s="149"/>
      <c r="AD399" s="149"/>
      <c r="AE399" s="149"/>
      <c r="AF399" s="149"/>
    </row>
    <row r="400" spans="2:32" s="148" customFormat="1" ht="15" hidden="1" customHeight="1">
      <c r="B400" s="350" t="str">
        <f t="shared" si="8"/>
        <v/>
      </c>
      <c r="C400" s="351"/>
      <c r="D400" s="351"/>
      <c r="E400" s="352"/>
      <c r="F400" s="157" t="str">
        <f>IF(Settings!$M$4=Settings!$Y$3,IF($AA400=1,"P",""),IF($AA400=1,"P",""))</f>
        <v/>
      </c>
      <c r="G400" s="158" t="str">
        <f>IF(Settings!$M$4=Settings!$Y$3,IF($AA400=1,"P",""),IF($AA400=2,"P",""))</f>
        <v/>
      </c>
      <c r="H400" s="158" t="str">
        <f>IF(Settings!$M$4=Settings!$Y$3,IF($AA400=1,"P",""),IF($AA400=3,"P",""))</f>
        <v/>
      </c>
      <c r="I400" s="158" t="str">
        <f>IF(Settings!$M$4=Settings!$Y$3,IF($AA400=1,"P",""),IF($AA400=4,"P",""))</f>
        <v/>
      </c>
      <c r="J400" s="158" t="str">
        <f>IF(Settings!$M$4=Settings!$Y$3,IF($AA400=2,"P",""),IF($AA400=5,"P",""))</f>
        <v/>
      </c>
      <c r="K400" s="158" t="str">
        <f>IF(Settings!$M$4=Settings!$Y$3,IF($AA400=2,"P",""),IF($AA400=6,"P",""))</f>
        <v/>
      </c>
      <c r="L400" s="158" t="str">
        <f>IF(Settings!$M$4=Settings!$Y$3,IF($AA400=2,"P",""),IF($AA400=7,"P",""))</f>
        <v/>
      </c>
      <c r="M400" s="158" t="str">
        <f>IF(Settings!$M$4=Settings!$Y$3,IF($AA400=2,"P",""),IF($AA400=8,"P",""))</f>
        <v/>
      </c>
      <c r="N400" s="158" t="str">
        <f>IF(Settings!$M$4=Settings!$Y$3,IF($AA400=3,"P",""),IF($AA400=9,"P",""))</f>
        <v/>
      </c>
      <c r="O400" s="159" t="str">
        <f>IF(Settings!$M$4=Settings!$Y$3,IF($AA400=3,"P",""),IF($AA400=10,"P",""))</f>
        <v/>
      </c>
      <c r="P400" s="22"/>
      <c r="Q400" s="22"/>
      <c r="R400" s="353" t="e">
        <f>IF(INDEX(TblDatabase[Comment17],MATCH(1,INDEX(($L$4=ListEmployeeNamesInDatabase)*(C376=TblDatabase[Year]),0,1),0))="","",INDEX(TblDatabase[Comment17],MATCH(1,INDEX(($L$4=ListEmployeeNamesInDatabase)*(C376=TblDatabase[Year]),0,1),0)))</f>
        <v>#N/A</v>
      </c>
      <c r="S400" s="353"/>
      <c r="T400" s="353"/>
      <c r="U400" s="353"/>
      <c r="V400" s="353"/>
      <c r="W400" s="353"/>
      <c r="X400" s="353"/>
      <c r="Y400" s="354"/>
      <c r="Z400" s="149"/>
      <c r="AA400" s="151">
        <f>SUMIFS(TblDatabase[Competency17],ListEmployeeNamesInDatabase,$L$4,TblDatabase[Year],C376)</f>
        <v>0</v>
      </c>
      <c r="AB400" s="149"/>
      <c r="AC400" s="149"/>
      <c r="AD400" s="149"/>
      <c r="AE400" s="149"/>
      <c r="AF400" s="149"/>
    </row>
    <row r="401" spans="2:32" s="148" customFormat="1" ht="15" hidden="1" customHeight="1">
      <c r="B401" s="355" t="str">
        <f t="shared" si="8"/>
        <v/>
      </c>
      <c r="C401" s="356"/>
      <c r="D401" s="356"/>
      <c r="E401" s="357"/>
      <c r="F401" s="163" t="str">
        <f>IF(Settings!$M$4=Settings!$Y$3,IF($AA401=1,"P",""),IF($AA401=1,"P",""))</f>
        <v/>
      </c>
      <c r="G401" s="164" t="str">
        <f>IF(Settings!$M$4=Settings!$Y$3,IF($AA401=1,"P",""),IF($AA401=2,"P",""))</f>
        <v/>
      </c>
      <c r="H401" s="164" t="str">
        <f>IF(Settings!$M$4=Settings!$Y$3,IF($AA401=1,"P",""),IF($AA401=3,"P",""))</f>
        <v/>
      </c>
      <c r="I401" s="164" t="str">
        <f>IF(Settings!$M$4=Settings!$Y$3,IF($AA401=1,"P",""),IF($AA401=4,"P",""))</f>
        <v/>
      </c>
      <c r="J401" s="164" t="str">
        <f>IF(Settings!$M$4=Settings!$Y$3,IF($AA401=2,"P",""),IF($AA401=5,"P",""))</f>
        <v/>
      </c>
      <c r="K401" s="164" t="str">
        <f>IF(Settings!$M$4=Settings!$Y$3,IF($AA401=2,"P",""),IF($AA401=6,"P",""))</f>
        <v/>
      </c>
      <c r="L401" s="164" t="str">
        <f>IF(Settings!$M$4=Settings!$Y$3,IF($AA401=2,"P",""),IF($AA401=7,"P",""))</f>
        <v/>
      </c>
      <c r="M401" s="164" t="str">
        <f>IF(Settings!$M$4=Settings!$Y$3,IF($AA401=2,"P",""),IF($AA401=8,"P",""))</f>
        <v/>
      </c>
      <c r="N401" s="164" t="str">
        <f>IF(Settings!$M$4=Settings!$Y$3,IF($AA401=3,"P",""),IF($AA401=9,"P",""))</f>
        <v/>
      </c>
      <c r="O401" s="165" t="str">
        <f>IF(Settings!$M$4=Settings!$Y$3,IF($AA401=3,"P",""),IF($AA401=10,"P",""))</f>
        <v/>
      </c>
      <c r="P401" s="22"/>
      <c r="Q401" s="22"/>
      <c r="R401" s="360" t="e">
        <f>IF(INDEX(TblDatabase[Comment18],MATCH(1,INDEX(($L$4=ListEmployeeNamesInDatabase)*(C376=TblDatabase[Year]),0,1),0))="","",INDEX(TblDatabase[Comment18],MATCH(1,INDEX(($L$4=ListEmployeeNamesInDatabase)*(C376=TblDatabase[Year]),0,1),0)))</f>
        <v>#N/A</v>
      </c>
      <c r="S401" s="360"/>
      <c r="T401" s="360"/>
      <c r="U401" s="360"/>
      <c r="V401" s="360"/>
      <c r="W401" s="360"/>
      <c r="X401" s="360"/>
      <c r="Y401" s="361"/>
      <c r="Z401" s="149"/>
      <c r="AA401" s="151">
        <f>SUMIFS(TblDatabase[Competency18],ListEmployeeNamesInDatabase,$L$4,TblDatabase[Year],C376)</f>
        <v>0</v>
      </c>
      <c r="AB401" s="149"/>
      <c r="AC401" s="149"/>
      <c r="AD401" s="149"/>
      <c r="AE401" s="149"/>
      <c r="AF401" s="149"/>
    </row>
    <row r="402" spans="2:32" s="148" customFormat="1" ht="15" hidden="1" customHeight="1">
      <c r="B402" s="350" t="str">
        <f t="shared" si="8"/>
        <v/>
      </c>
      <c r="C402" s="351"/>
      <c r="D402" s="351"/>
      <c r="E402" s="352"/>
      <c r="F402" s="157" t="str">
        <f>IF(Settings!$M$4=Settings!$Y$3,IF($AA402=1,"P",""),IF($AA402=1,"P",""))</f>
        <v/>
      </c>
      <c r="G402" s="158" t="str">
        <f>IF(Settings!$M$4=Settings!$Y$3,IF($AA402=1,"P",""),IF($AA402=2,"P",""))</f>
        <v/>
      </c>
      <c r="H402" s="158" t="str">
        <f>IF(Settings!$M$4=Settings!$Y$3,IF($AA402=1,"P",""),IF($AA402=3,"P",""))</f>
        <v/>
      </c>
      <c r="I402" s="158" t="str">
        <f>IF(Settings!$M$4=Settings!$Y$3,IF($AA402=1,"P",""),IF($AA402=4,"P",""))</f>
        <v/>
      </c>
      <c r="J402" s="158" t="str">
        <f>IF(Settings!$M$4=Settings!$Y$3,IF($AA402=2,"P",""),IF($AA402=5,"P",""))</f>
        <v/>
      </c>
      <c r="K402" s="158" t="str">
        <f>IF(Settings!$M$4=Settings!$Y$3,IF($AA402=2,"P",""),IF($AA402=6,"P",""))</f>
        <v/>
      </c>
      <c r="L402" s="158" t="str">
        <f>IF(Settings!$M$4=Settings!$Y$3,IF($AA402=2,"P",""),IF($AA402=7,"P",""))</f>
        <v/>
      </c>
      <c r="M402" s="158" t="str">
        <f>IF(Settings!$M$4=Settings!$Y$3,IF($AA402=2,"P",""),IF($AA402=8,"P",""))</f>
        <v/>
      </c>
      <c r="N402" s="158" t="str">
        <f>IF(Settings!$M$4=Settings!$Y$3,IF($AA402=3,"P",""),IF($AA402=9,"P",""))</f>
        <v/>
      </c>
      <c r="O402" s="159" t="str">
        <f>IF(Settings!$M$4=Settings!$Y$3,IF($AA402=3,"P",""),IF($AA402=10,"P",""))</f>
        <v/>
      </c>
      <c r="P402" s="22"/>
      <c r="Q402" s="22"/>
      <c r="R402" s="353" t="e">
        <f>IF(INDEX(TblDatabase[Comment19],MATCH(1,INDEX(($L$4=ListEmployeeNamesInDatabase)*(C376=TblDatabase[Year]),0,1),0))="","",INDEX(TblDatabase[Comment19],MATCH(1,INDEX(($L$4=ListEmployeeNamesInDatabase)*(C376=TblDatabase[Year]),0,1),0)))</f>
        <v>#N/A</v>
      </c>
      <c r="S402" s="353"/>
      <c r="T402" s="353"/>
      <c r="U402" s="353"/>
      <c r="V402" s="353"/>
      <c r="W402" s="353"/>
      <c r="X402" s="353"/>
      <c r="Y402" s="354"/>
      <c r="Z402" s="149"/>
      <c r="AA402" s="151">
        <f>SUMIFS(TblDatabase[Competency19],ListEmployeeNamesInDatabase,$L$4,TblDatabase[Year],C376)</f>
        <v>0</v>
      </c>
      <c r="AB402" s="149"/>
      <c r="AC402" s="149"/>
      <c r="AD402" s="149"/>
      <c r="AE402" s="149"/>
      <c r="AF402" s="149"/>
    </row>
    <row r="403" spans="2:32" s="148" customFormat="1" ht="15" hidden="1" customHeight="1">
      <c r="B403" s="362" t="str">
        <f t="shared" si="8"/>
        <v/>
      </c>
      <c r="C403" s="363"/>
      <c r="D403" s="363"/>
      <c r="E403" s="364"/>
      <c r="F403" s="166" t="str">
        <f>IF(Settings!$M$4=Settings!$Y$3,IF($AA403=1,"P",""),IF($AA403=1,"P",""))</f>
        <v/>
      </c>
      <c r="G403" s="167" t="str">
        <f>IF(Settings!$M$4=Settings!$Y$3,IF($AA403=1,"P",""),IF($AA403=2,"P",""))</f>
        <v/>
      </c>
      <c r="H403" s="167" t="str">
        <f>IF(Settings!$M$4=Settings!$Y$3,IF($AA403=1,"P",""),IF($AA403=3,"P",""))</f>
        <v/>
      </c>
      <c r="I403" s="167" t="str">
        <f>IF(Settings!$M$4=Settings!$Y$3,IF($AA403=1,"P",""),IF($AA403=4,"P",""))</f>
        <v/>
      </c>
      <c r="J403" s="167" t="str">
        <f>IF(Settings!$M$4=Settings!$Y$3,IF($AA403=2,"P",""),IF($AA403=5,"P",""))</f>
        <v/>
      </c>
      <c r="K403" s="167" t="str">
        <f>IF(Settings!$M$4=Settings!$Y$3,IF($AA403=2,"P",""),IF($AA403=6,"P",""))</f>
        <v/>
      </c>
      <c r="L403" s="167" t="str">
        <f>IF(Settings!$M$4=Settings!$Y$3,IF($AA403=2,"P",""),IF($AA403=7,"P",""))</f>
        <v/>
      </c>
      <c r="M403" s="167" t="str">
        <f>IF(Settings!$M$4=Settings!$Y$3,IF($AA403=2,"P",""),IF($AA403=8,"P",""))</f>
        <v/>
      </c>
      <c r="N403" s="167" t="str">
        <f>IF(Settings!$M$4=Settings!$Y$3,IF($AA403=3,"P",""),IF($AA403=9,"P",""))</f>
        <v/>
      </c>
      <c r="O403" s="168" t="str">
        <f>IF(Settings!$M$4=Settings!$Y$3,IF($AA403=3,"P",""),IF($AA403=10,"P",""))</f>
        <v/>
      </c>
      <c r="P403" s="22"/>
      <c r="Q403" s="22"/>
      <c r="R403" s="365" t="e">
        <f>IF(INDEX(TblDatabase[Comment20],MATCH(1,INDEX(($L$4=ListEmployeeNamesInDatabase)*(C376=TblDatabase[Year]),0,1),0))="","",INDEX(TblDatabase[Comment20],MATCH(1,INDEX(($L$4=ListEmployeeNamesInDatabase)*(C376=TblDatabase[Year]),0,1),0)))</f>
        <v>#N/A</v>
      </c>
      <c r="S403" s="365"/>
      <c r="T403" s="365"/>
      <c r="U403" s="365"/>
      <c r="V403" s="365"/>
      <c r="W403" s="365"/>
      <c r="X403" s="365"/>
      <c r="Y403" s="366"/>
      <c r="Z403" s="149"/>
      <c r="AA403" s="151">
        <f>SUMIFS(TblDatabase[Competency20],ListEmployeeNamesInDatabase,$L$4,TblDatabase[Year],C376)</f>
        <v>0</v>
      </c>
      <c r="AB403" s="149"/>
      <c r="AC403" s="149"/>
      <c r="AD403" s="149"/>
      <c r="AE403" s="149"/>
      <c r="AF403" s="149"/>
    </row>
    <row r="404" spans="2:32" s="148" customFormat="1" hidden="1">
      <c r="B404" s="414" t="s">
        <v>26</v>
      </c>
      <c r="C404" s="415"/>
      <c r="D404" s="415"/>
      <c r="E404" s="371">
        <f ca="1">SUM(OFFSET(AA384,0,0,NumberOfCompetencies))</f>
        <v>0</v>
      </c>
      <c r="F404" s="372"/>
      <c r="G404" s="152"/>
      <c r="H404" s="152"/>
      <c r="I404" s="152"/>
      <c r="J404" s="152"/>
      <c r="K404" s="152"/>
      <c r="L404" s="152"/>
      <c r="M404" s="152"/>
      <c r="N404" s="152"/>
      <c r="O404" s="152"/>
      <c r="P404" s="152"/>
      <c r="Q404" s="152"/>
      <c r="R404" s="152"/>
      <c r="S404" s="152"/>
      <c r="T404" s="152"/>
      <c r="U404" s="152"/>
      <c r="V404" s="152"/>
      <c r="W404" s="152"/>
      <c r="X404" s="152"/>
      <c r="Y404" s="152"/>
      <c r="Z404" s="149"/>
      <c r="AA404" s="149"/>
      <c r="AB404" s="149"/>
      <c r="AC404" s="149"/>
      <c r="AD404" s="149"/>
      <c r="AE404" s="149"/>
      <c r="AF404" s="149"/>
    </row>
    <row r="405" spans="2:32" s="148" customFormat="1" hidden="1">
      <c r="B405" s="369" t="s">
        <v>27</v>
      </c>
      <c r="C405" s="370"/>
      <c r="D405" s="370"/>
      <c r="E405" s="358">
        <f ca="1">E404/NumberOfCompetencies</f>
        <v>0</v>
      </c>
      <c r="F405" s="359"/>
      <c r="G405" s="153"/>
      <c r="H405" s="153"/>
      <c r="I405" s="153"/>
      <c r="J405" s="153"/>
      <c r="K405" s="153"/>
      <c r="L405" s="153"/>
      <c r="M405" s="153"/>
      <c r="N405" s="153"/>
      <c r="O405" s="153"/>
      <c r="P405" s="153"/>
      <c r="Q405" s="153"/>
      <c r="R405" s="153"/>
      <c r="S405" s="153"/>
      <c r="T405" s="153"/>
      <c r="U405" s="153"/>
      <c r="V405" s="153"/>
      <c r="W405" s="153"/>
      <c r="X405" s="153"/>
      <c r="Y405" s="153"/>
      <c r="Z405" s="149"/>
      <c r="AA405" s="149"/>
      <c r="AB405" s="149"/>
      <c r="AC405" s="149"/>
      <c r="AD405" s="149"/>
      <c r="AE405" s="149"/>
      <c r="AF405" s="149"/>
    </row>
    <row r="406" spans="2:32" s="148" customFormat="1" hidden="1">
      <c r="B406" s="154"/>
      <c r="C406" s="154"/>
      <c r="D406" s="154"/>
      <c r="E406" s="154"/>
      <c r="F406" s="154"/>
      <c r="G406" s="154"/>
      <c r="H406" s="154"/>
      <c r="I406" s="154"/>
      <c r="J406" s="154"/>
      <c r="K406" s="154"/>
      <c r="L406" s="154"/>
      <c r="M406" s="154"/>
      <c r="N406" s="154"/>
      <c r="O406" s="154"/>
      <c r="P406" s="154"/>
      <c r="Q406" s="154"/>
      <c r="R406" s="154"/>
      <c r="S406" s="154"/>
      <c r="T406" s="154"/>
      <c r="U406" s="154"/>
      <c r="V406" s="154"/>
      <c r="W406" s="154"/>
      <c r="X406" s="154"/>
      <c r="Y406" s="154"/>
      <c r="Z406" s="149"/>
      <c r="AA406" s="149"/>
      <c r="AB406" s="149"/>
      <c r="AC406" s="149"/>
      <c r="AD406" s="149"/>
      <c r="AE406" s="149"/>
      <c r="AF406" s="149"/>
    </row>
    <row r="407" spans="2:32" s="148" customFormat="1" hidden="1">
      <c r="B407" s="338" t="str">
        <f>Settings!$N$15</f>
        <v>Previously agreed actions</v>
      </c>
      <c r="C407" s="339"/>
      <c r="D407" s="339"/>
      <c r="E407" s="339"/>
      <c r="F407" s="339"/>
      <c r="G407" s="339"/>
      <c r="H407" s="339"/>
      <c r="I407" s="339"/>
      <c r="J407" s="339"/>
      <c r="K407" s="339"/>
      <c r="L407" s="339"/>
      <c r="M407" s="339"/>
      <c r="N407" s="339"/>
      <c r="O407" s="339"/>
      <c r="P407" s="339"/>
      <c r="Q407" s="339"/>
      <c r="R407" s="339"/>
      <c r="S407" s="339"/>
      <c r="T407" s="339"/>
      <c r="U407" s="339"/>
      <c r="V407" s="339"/>
      <c r="W407" s="339"/>
      <c r="X407" s="339"/>
      <c r="Y407" s="340"/>
      <c r="Z407" s="149"/>
      <c r="AA407" s="149"/>
      <c r="AB407" s="149"/>
      <c r="AC407" s="149"/>
      <c r="AD407" s="149"/>
      <c r="AE407" s="149"/>
      <c r="AF407" s="149"/>
    </row>
    <row r="408" spans="2:32" s="148" customFormat="1" hidden="1">
      <c r="B408" s="341" t="e">
        <f>IF(INDEX(TblDatabase[Feedback Does Well],MATCH(1,INDEX(($L$4=ListEmployeeNamesInDatabase)*(C376=TblDatabase[Year]),0,1),0))="","",INDEX(TblDatabase[Feedback Does Well],MATCH(1,INDEX(($L$4=ListEmployeeNamesInDatabase)*(C376=TblDatabase[Year]),0,1),0)))</f>
        <v>#N/A</v>
      </c>
      <c r="C408" s="342"/>
      <c r="D408" s="342"/>
      <c r="E408" s="342"/>
      <c r="F408" s="342"/>
      <c r="G408" s="342"/>
      <c r="H408" s="342"/>
      <c r="I408" s="342"/>
      <c r="J408" s="342"/>
      <c r="K408" s="342"/>
      <c r="L408" s="342"/>
      <c r="M408" s="342"/>
      <c r="N408" s="342"/>
      <c r="O408" s="342"/>
      <c r="P408" s="342"/>
      <c r="Q408" s="342"/>
      <c r="R408" s="342"/>
      <c r="S408" s="342"/>
      <c r="T408" s="342"/>
      <c r="U408" s="342"/>
      <c r="V408" s="342"/>
      <c r="W408" s="342"/>
      <c r="X408" s="342"/>
      <c r="Y408" s="343"/>
      <c r="Z408" s="149"/>
      <c r="AA408" s="149"/>
      <c r="AB408" s="149"/>
      <c r="AC408" s="149"/>
      <c r="AD408" s="149"/>
      <c r="AE408" s="149"/>
      <c r="AF408" s="149"/>
    </row>
    <row r="409" spans="2:32" s="148" customFormat="1" hidden="1">
      <c r="B409" s="344"/>
      <c r="C409" s="345"/>
      <c r="D409" s="345"/>
      <c r="E409" s="345"/>
      <c r="F409" s="345"/>
      <c r="G409" s="345"/>
      <c r="H409" s="345"/>
      <c r="I409" s="345"/>
      <c r="J409" s="345"/>
      <c r="K409" s="345"/>
      <c r="L409" s="345"/>
      <c r="M409" s="345"/>
      <c r="N409" s="345"/>
      <c r="O409" s="345"/>
      <c r="P409" s="345"/>
      <c r="Q409" s="345"/>
      <c r="R409" s="345"/>
      <c r="S409" s="345"/>
      <c r="T409" s="345"/>
      <c r="U409" s="345"/>
      <c r="V409" s="345"/>
      <c r="W409" s="345"/>
      <c r="X409" s="345"/>
      <c r="Y409" s="346"/>
      <c r="Z409" s="149"/>
      <c r="AA409" s="149"/>
      <c r="AB409" s="149"/>
      <c r="AC409" s="149"/>
      <c r="AD409" s="149"/>
      <c r="AE409" s="149"/>
      <c r="AF409" s="149"/>
    </row>
    <row r="410" spans="2:32" s="148" customFormat="1" hidden="1">
      <c r="B410" s="347"/>
      <c r="C410" s="348"/>
      <c r="D410" s="348"/>
      <c r="E410" s="348"/>
      <c r="F410" s="348"/>
      <c r="G410" s="348"/>
      <c r="H410" s="348"/>
      <c r="I410" s="348"/>
      <c r="J410" s="348"/>
      <c r="K410" s="348"/>
      <c r="L410" s="348"/>
      <c r="M410" s="348"/>
      <c r="N410" s="348"/>
      <c r="O410" s="348"/>
      <c r="P410" s="348"/>
      <c r="Q410" s="348"/>
      <c r="R410" s="348"/>
      <c r="S410" s="348"/>
      <c r="T410" s="348"/>
      <c r="U410" s="348"/>
      <c r="V410" s="348"/>
      <c r="W410" s="348"/>
      <c r="X410" s="348"/>
      <c r="Y410" s="349"/>
      <c r="Z410" s="149"/>
      <c r="AA410" s="149"/>
      <c r="AB410" s="149"/>
      <c r="AC410" s="149"/>
      <c r="AD410" s="149"/>
      <c r="AE410" s="149"/>
      <c r="AF410" s="149"/>
    </row>
    <row r="411" spans="2:32" s="148" customFormat="1" hidden="1">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49"/>
      <c r="AA411" s="149"/>
      <c r="AB411" s="149"/>
      <c r="AC411" s="149"/>
      <c r="AD411" s="149"/>
      <c r="AE411" s="149"/>
      <c r="AF411" s="149"/>
    </row>
    <row r="412" spans="2:32" s="148" customFormat="1" hidden="1">
      <c r="B412" s="338" t="str">
        <f>Settings!$N$16</f>
        <v>Actions agreed during this review</v>
      </c>
      <c r="C412" s="339"/>
      <c r="D412" s="339"/>
      <c r="E412" s="339"/>
      <c r="F412" s="339"/>
      <c r="G412" s="339"/>
      <c r="H412" s="339"/>
      <c r="I412" s="339"/>
      <c r="J412" s="339"/>
      <c r="K412" s="339"/>
      <c r="L412" s="339"/>
      <c r="M412" s="339"/>
      <c r="N412" s="339"/>
      <c r="O412" s="339"/>
      <c r="P412" s="339"/>
      <c r="Q412" s="339"/>
      <c r="R412" s="339"/>
      <c r="S412" s="339"/>
      <c r="T412" s="339"/>
      <c r="U412" s="339"/>
      <c r="V412" s="339"/>
      <c r="W412" s="339"/>
      <c r="X412" s="339"/>
      <c r="Y412" s="340"/>
      <c r="Z412" s="149"/>
      <c r="AA412" s="149"/>
      <c r="AB412" s="149"/>
      <c r="AC412" s="149"/>
      <c r="AD412" s="149"/>
      <c r="AE412" s="149"/>
      <c r="AF412" s="149"/>
    </row>
    <row r="413" spans="2:32" s="148" customFormat="1" hidden="1">
      <c r="B413" s="341" t="e">
        <f>IF(INDEX(TblDatabase[Feedback To Improve],MATCH(1,INDEX(($L$4=ListEmployeeNamesInDatabase)*(C376=TblDatabase[Year]),0,1),0))="","",INDEX(TblDatabase[Feedback To Improve],MATCH(1,INDEX(($L$4=ListEmployeeNamesInDatabase)*(C376=TblDatabase[Year]),0,1),0)))</f>
        <v>#N/A</v>
      </c>
      <c r="C413" s="342"/>
      <c r="D413" s="342"/>
      <c r="E413" s="342"/>
      <c r="F413" s="342"/>
      <c r="G413" s="342"/>
      <c r="H413" s="342"/>
      <c r="I413" s="342"/>
      <c r="J413" s="342"/>
      <c r="K413" s="342"/>
      <c r="L413" s="342"/>
      <c r="M413" s="342"/>
      <c r="N413" s="342"/>
      <c r="O413" s="342"/>
      <c r="P413" s="342"/>
      <c r="Q413" s="342"/>
      <c r="R413" s="342"/>
      <c r="S413" s="342"/>
      <c r="T413" s="342"/>
      <c r="U413" s="342"/>
      <c r="V413" s="342"/>
      <c r="W413" s="342"/>
      <c r="X413" s="342"/>
      <c r="Y413" s="343"/>
      <c r="Z413" s="149"/>
      <c r="AA413" s="149"/>
      <c r="AB413" s="149"/>
      <c r="AC413" s="149"/>
      <c r="AD413" s="149"/>
      <c r="AE413" s="149"/>
      <c r="AF413" s="149"/>
    </row>
    <row r="414" spans="2:32" s="148" customFormat="1" hidden="1">
      <c r="B414" s="344"/>
      <c r="C414" s="345"/>
      <c r="D414" s="345"/>
      <c r="E414" s="345"/>
      <c r="F414" s="345"/>
      <c r="G414" s="345"/>
      <c r="H414" s="345"/>
      <c r="I414" s="345"/>
      <c r="J414" s="345"/>
      <c r="K414" s="345"/>
      <c r="L414" s="345"/>
      <c r="M414" s="345"/>
      <c r="N414" s="345"/>
      <c r="O414" s="345"/>
      <c r="P414" s="345"/>
      <c r="Q414" s="345"/>
      <c r="R414" s="345"/>
      <c r="S414" s="345"/>
      <c r="T414" s="345"/>
      <c r="U414" s="345"/>
      <c r="V414" s="345"/>
      <c r="W414" s="345"/>
      <c r="X414" s="345"/>
      <c r="Y414" s="346"/>
      <c r="Z414" s="149"/>
      <c r="AA414" s="149"/>
      <c r="AB414" s="149"/>
      <c r="AC414" s="149"/>
      <c r="AD414" s="149"/>
      <c r="AE414" s="149"/>
      <c r="AF414" s="149"/>
    </row>
    <row r="415" spans="2:32" s="148" customFormat="1" hidden="1">
      <c r="B415" s="347"/>
      <c r="C415" s="348"/>
      <c r="D415" s="348"/>
      <c r="E415" s="348"/>
      <c r="F415" s="348"/>
      <c r="G415" s="348"/>
      <c r="H415" s="348"/>
      <c r="I415" s="348"/>
      <c r="J415" s="348"/>
      <c r="K415" s="348"/>
      <c r="L415" s="348"/>
      <c r="M415" s="348"/>
      <c r="N415" s="348"/>
      <c r="O415" s="348"/>
      <c r="P415" s="348"/>
      <c r="Q415" s="348"/>
      <c r="R415" s="348"/>
      <c r="S415" s="348"/>
      <c r="T415" s="348"/>
      <c r="U415" s="348"/>
      <c r="V415" s="348"/>
      <c r="W415" s="348"/>
      <c r="X415" s="348"/>
      <c r="Y415" s="349"/>
      <c r="Z415" s="149"/>
      <c r="AA415" s="149"/>
      <c r="AB415" s="149"/>
      <c r="AC415" s="149"/>
      <c r="AD415" s="149"/>
      <c r="AE415" s="149"/>
      <c r="AF415" s="149"/>
    </row>
    <row r="416" spans="2:32" s="148" customFormat="1" hidden="1">
      <c r="B416" s="156"/>
      <c r="C416" s="156"/>
      <c r="D416" s="156"/>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49"/>
      <c r="AA416" s="149"/>
      <c r="AB416" s="149"/>
      <c r="AC416" s="149"/>
      <c r="AD416" s="149"/>
      <c r="AE416" s="149"/>
      <c r="AF416" s="149"/>
    </row>
    <row r="417" spans="1:32" s="148" customFormat="1" hidden="1">
      <c r="A417" s="150">
        <f>A376+1</f>
        <v>10</v>
      </c>
      <c r="B417" s="27" t="s">
        <v>14</v>
      </c>
      <c r="C417" s="333">
        <f>C376-1</f>
        <v>2011</v>
      </c>
      <c r="D417" s="334"/>
      <c r="Y417" s="149"/>
      <c r="Z417" s="149"/>
      <c r="AA417" s="149"/>
      <c r="AB417" s="149"/>
      <c r="AC417" s="149"/>
      <c r="AD417" s="149"/>
      <c r="AE417" s="149"/>
      <c r="AF417" s="149"/>
    </row>
    <row r="418" spans="1:32" s="148" customFormat="1" hidden="1">
      <c r="Y418" s="149"/>
      <c r="Z418" s="149"/>
      <c r="AA418" s="149"/>
      <c r="AB418" s="149"/>
      <c r="AC418" s="149"/>
      <c r="AD418" s="149"/>
      <c r="AE418" s="149"/>
      <c r="AF418" s="149"/>
    </row>
    <row r="419" spans="1:32" s="148" customFormat="1" hidden="1">
      <c r="B419" s="338" t="str">
        <f>Settings!$N$14</f>
        <v>Employee's comments</v>
      </c>
      <c r="C419" s="339"/>
      <c r="D419" s="339"/>
      <c r="E419" s="339"/>
      <c r="F419" s="339"/>
      <c r="G419" s="339"/>
      <c r="H419" s="339"/>
      <c r="I419" s="339"/>
      <c r="J419" s="339"/>
      <c r="K419" s="339"/>
      <c r="L419" s="339"/>
      <c r="M419" s="339"/>
      <c r="N419" s="339"/>
      <c r="O419" s="339"/>
      <c r="P419" s="339"/>
      <c r="Q419" s="339"/>
      <c r="R419" s="339"/>
      <c r="S419" s="339"/>
      <c r="T419" s="339"/>
      <c r="U419" s="339"/>
      <c r="V419" s="339"/>
      <c r="W419" s="339"/>
      <c r="X419" s="339"/>
      <c r="Y419" s="340"/>
      <c r="Z419" s="149"/>
      <c r="AA419" s="149"/>
      <c r="AB419" s="149"/>
      <c r="AC419" s="149"/>
      <c r="AD419" s="149"/>
      <c r="AE419" s="149"/>
      <c r="AF419" s="149"/>
    </row>
    <row r="420" spans="1:32" s="148" customFormat="1" hidden="1">
      <c r="B420" s="341" t="e">
        <f>IF(INDEX(TblDatabase[Feedback Warnings],MATCH(1,INDEX(($L$4=ListEmployeeNamesInDatabase)*(C417=TblDatabase[Year]),0,1),0))="","",INDEX(TblDatabase[Feedback Warnings],MATCH(1,INDEX(($L$4=ListEmployeeNamesInDatabase)*(C417=TblDatabase[Year]),0,1),0)))</f>
        <v>#N/A</v>
      </c>
      <c r="C420" s="342"/>
      <c r="D420" s="342"/>
      <c r="E420" s="342"/>
      <c r="F420" s="342"/>
      <c r="G420" s="342"/>
      <c r="H420" s="342"/>
      <c r="I420" s="342"/>
      <c r="J420" s="342"/>
      <c r="K420" s="342"/>
      <c r="L420" s="342"/>
      <c r="M420" s="342"/>
      <c r="N420" s="342"/>
      <c r="O420" s="342"/>
      <c r="P420" s="342"/>
      <c r="Q420" s="342"/>
      <c r="R420" s="342"/>
      <c r="S420" s="342"/>
      <c r="T420" s="342"/>
      <c r="U420" s="342"/>
      <c r="V420" s="342"/>
      <c r="W420" s="342"/>
      <c r="X420" s="342"/>
      <c r="Y420" s="343"/>
      <c r="Z420" s="149"/>
      <c r="AA420" s="149"/>
      <c r="AB420" s="149"/>
      <c r="AC420" s="149"/>
      <c r="AD420" s="149"/>
      <c r="AE420" s="149"/>
      <c r="AF420" s="149"/>
    </row>
    <row r="421" spans="1:32" s="148" customFormat="1" hidden="1">
      <c r="B421" s="344"/>
      <c r="C421" s="345"/>
      <c r="D421" s="345"/>
      <c r="E421" s="345"/>
      <c r="F421" s="345"/>
      <c r="G421" s="345"/>
      <c r="H421" s="345"/>
      <c r="I421" s="345"/>
      <c r="J421" s="345"/>
      <c r="K421" s="345"/>
      <c r="L421" s="345"/>
      <c r="M421" s="345"/>
      <c r="N421" s="345"/>
      <c r="O421" s="345"/>
      <c r="P421" s="345"/>
      <c r="Q421" s="345"/>
      <c r="R421" s="345"/>
      <c r="S421" s="345"/>
      <c r="T421" s="345"/>
      <c r="U421" s="345"/>
      <c r="V421" s="345"/>
      <c r="W421" s="345"/>
      <c r="X421" s="345"/>
      <c r="Y421" s="346"/>
      <c r="Z421" s="149"/>
      <c r="AA421" s="149"/>
      <c r="AB421" s="149"/>
      <c r="AC421" s="149"/>
      <c r="AD421" s="149"/>
      <c r="AE421" s="149"/>
      <c r="AF421" s="149"/>
    </row>
    <row r="422" spans="1:32" s="148" customFormat="1" hidden="1">
      <c r="B422" s="347"/>
      <c r="C422" s="348"/>
      <c r="D422" s="348"/>
      <c r="E422" s="348"/>
      <c r="F422" s="348"/>
      <c r="G422" s="348"/>
      <c r="H422" s="348"/>
      <c r="I422" s="348"/>
      <c r="J422" s="348"/>
      <c r="K422" s="348"/>
      <c r="L422" s="348"/>
      <c r="M422" s="348"/>
      <c r="N422" s="348"/>
      <c r="O422" s="348"/>
      <c r="P422" s="348"/>
      <c r="Q422" s="348"/>
      <c r="R422" s="348"/>
      <c r="S422" s="348"/>
      <c r="T422" s="348"/>
      <c r="U422" s="348"/>
      <c r="V422" s="348"/>
      <c r="W422" s="348"/>
      <c r="X422" s="348"/>
      <c r="Y422" s="349"/>
      <c r="Z422" s="149"/>
      <c r="AA422" s="149"/>
      <c r="AB422" s="149"/>
      <c r="AC422" s="149"/>
      <c r="AD422" s="149"/>
      <c r="AE422" s="149"/>
      <c r="AF422" s="149"/>
    </row>
    <row r="423" spans="1:32" s="148" customFormat="1" hidden="1">
      <c r="Y423" s="149"/>
      <c r="Z423" s="149"/>
      <c r="AA423" s="149"/>
      <c r="AB423" s="149"/>
      <c r="AC423" s="149"/>
      <c r="AD423" s="149"/>
      <c r="AE423" s="149"/>
      <c r="AF423" s="149"/>
    </row>
    <row r="424" spans="1:32" s="148" customFormat="1" ht="15" hidden="1" customHeight="1">
      <c r="B424" s="320" t="s">
        <v>8</v>
      </c>
      <c r="C424" s="321"/>
      <c r="D424" s="321"/>
      <c r="E424" s="321"/>
      <c r="F424" s="233">
        <f>IF(Settings!$M$4=Settings!$Y$3,Settings!$O$19,1)</f>
        <v>1</v>
      </c>
      <c r="G424" s="234">
        <f>IF(Settings!$M$4=Settings!$Y$3,Settings!$O$19,2)</f>
        <v>2</v>
      </c>
      <c r="H424" s="234">
        <f>IF(Settings!$M$4=Settings!$Y$3,Settings!$O$19,3)</f>
        <v>3</v>
      </c>
      <c r="I424" s="234">
        <f>IF(Settings!$M$4=Settings!$Y$3,Settings!$O$19,4)</f>
        <v>4</v>
      </c>
      <c r="J424" s="234">
        <f>IF(Settings!$M$4=Settings!$Y$3,Settings!$O$20,5)</f>
        <v>5</v>
      </c>
      <c r="K424" s="234">
        <f>IF(Settings!$M$4=Settings!$Y$3,Settings!$O$20,6)</f>
        <v>6</v>
      </c>
      <c r="L424" s="234">
        <f>IF(Settings!$M$4=Settings!$Y$3,Settings!$O$20,7)</f>
        <v>7</v>
      </c>
      <c r="M424" s="234">
        <f>IF(Settings!$M$4=Settings!$Y$3,Settings!$O$20,8)</f>
        <v>8</v>
      </c>
      <c r="N424" s="234">
        <f>IF(Settings!$M$4=Settings!$Y$3,Settings!$O$21,9)</f>
        <v>9</v>
      </c>
      <c r="O424" s="235">
        <f>IF(Settings!$M$4=Settings!$Y$3,Settings!$O$21,10)</f>
        <v>10</v>
      </c>
      <c r="P424" s="22"/>
      <c r="Q424" s="22"/>
      <c r="R424" s="333" t="s">
        <v>24</v>
      </c>
      <c r="S424" s="333"/>
      <c r="T424" s="333"/>
      <c r="U424" s="333"/>
      <c r="V424" s="333"/>
      <c r="W424" s="333"/>
      <c r="X424" s="333"/>
      <c r="Y424" s="334"/>
      <c r="Z424" s="149"/>
      <c r="AA424" s="149"/>
      <c r="AB424" s="149"/>
      <c r="AC424" s="149"/>
      <c r="AD424" s="149"/>
      <c r="AE424" s="149"/>
      <c r="AF424" s="149"/>
    </row>
    <row r="425" spans="1:32" s="148" customFormat="1" ht="15" hidden="1" customHeight="1">
      <c r="B425" s="335" t="str">
        <f t="shared" ref="B425:B444" si="9">B384</f>
        <v>Quality of Work</v>
      </c>
      <c r="C425" s="336"/>
      <c r="D425" s="336"/>
      <c r="E425" s="337"/>
      <c r="F425" s="162" t="str">
        <f>IF(Settings!$M$4=Settings!$Y$3,IF($AA425=1,"P",""),IF($AA425=1,"P",""))</f>
        <v/>
      </c>
      <c r="G425" s="160" t="str">
        <f>IF(Settings!$M$4=Settings!$Y$3,IF($AA425=1,"P",""),IF($AA425=2,"P",""))</f>
        <v/>
      </c>
      <c r="H425" s="160" t="str">
        <f>IF(Settings!$M$4=Settings!$Y$3,IF($AA425=1,"P",""),IF($AA425=3,"P",""))</f>
        <v/>
      </c>
      <c r="I425" s="160" t="str">
        <f>IF(Settings!$M$4=Settings!$Y$3,IF($AA425=1,"P",""),IF($AA425=4,"P",""))</f>
        <v/>
      </c>
      <c r="J425" s="160" t="str">
        <f>IF(Settings!$M$4=Settings!$Y$3,IF($AA425=2,"P",""),IF($AA425=5,"P",""))</f>
        <v/>
      </c>
      <c r="K425" s="160" t="str">
        <f>IF(Settings!$M$4=Settings!$Y$3,IF($AA425=2,"P",""),IF($AA425=6,"P",""))</f>
        <v/>
      </c>
      <c r="L425" s="160" t="str">
        <f>IF(Settings!$M$4=Settings!$Y$3,IF($AA425=2,"P",""),IF($AA425=7,"P",""))</f>
        <v/>
      </c>
      <c r="M425" s="160" t="str">
        <f>IF(Settings!$M$4=Settings!$Y$3,IF($AA425=2,"P",""),IF($AA425=8,"P",""))</f>
        <v/>
      </c>
      <c r="N425" s="160" t="str">
        <f>IF(Settings!$M$4=Settings!$Y$3,IF($AA425=3,"P",""),IF($AA425=9,"P",""))</f>
        <v/>
      </c>
      <c r="O425" s="161" t="str">
        <f>IF(Settings!$M$4=Settings!$Y$3,IF($AA425=3,"P",""),IF($AA425=10,"P",""))</f>
        <v/>
      </c>
      <c r="P425" s="22"/>
      <c r="Q425" s="22"/>
      <c r="R425" s="367" t="e">
        <f>IF(INDEX(TblDatabase[Comment1],MATCH(1,INDEX(($L$4=ListEmployeeNamesInDatabase)*(C417=TblDatabase[Year]),0,1),0))="","",INDEX(TblDatabase[Comment1],MATCH(1,INDEX(($L$4=ListEmployeeNamesInDatabase)*(C417=TblDatabase[Year]),0,1),0)))</f>
        <v>#N/A</v>
      </c>
      <c r="S425" s="367"/>
      <c r="T425" s="367"/>
      <c r="U425" s="367"/>
      <c r="V425" s="367"/>
      <c r="W425" s="367"/>
      <c r="X425" s="367"/>
      <c r="Y425" s="368"/>
      <c r="Z425" s="149"/>
      <c r="AA425" s="151">
        <f>SUMIFS(TblDatabase[Competency1],ListEmployeeNamesInDatabase,$L$4,TblDatabase[Year],C417)</f>
        <v>0</v>
      </c>
      <c r="AB425" s="149"/>
      <c r="AC425" s="149"/>
      <c r="AD425" s="149"/>
      <c r="AE425" s="149"/>
      <c r="AF425" s="149"/>
    </row>
    <row r="426" spans="1:32" s="148" customFormat="1" ht="15" hidden="1" customHeight="1">
      <c r="B426" s="355" t="str">
        <f t="shared" si="9"/>
        <v>CaLL flow</v>
      </c>
      <c r="C426" s="356"/>
      <c r="D426" s="356"/>
      <c r="E426" s="357"/>
      <c r="F426" s="163" t="str">
        <f>IF(Settings!$M$4=Settings!$Y$3,IF($AA426=1,"P",""),IF($AA426=1,"P",""))</f>
        <v/>
      </c>
      <c r="G426" s="164" t="str">
        <f>IF(Settings!$M$4=Settings!$Y$3,IF($AA426=1,"P",""),IF($AA426=2,"P",""))</f>
        <v/>
      </c>
      <c r="H426" s="164" t="str">
        <f>IF(Settings!$M$4=Settings!$Y$3,IF($AA426=1,"P",""),IF($AA426=3,"P",""))</f>
        <v/>
      </c>
      <c r="I426" s="164" t="str">
        <f>IF(Settings!$M$4=Settings!$Y$3,IF($AA426=1,"P",""),IF($AA426=4,"P",""))</f>
        <v/>
      </c>
      <c r="J426" s="164" t="str">
        <f>IF(Settings!$M$4=Settings!$Y$3,IF($AA426=2,"P",""),IF($AA426=5,"P",""))</f>
        <v/>
      </c>
      <c r="K426" s="164" t="str">
        <f>IF(Settings!$M$4=Settings!$Y$3,IF($AA426=2,"P",""),IF($AA426=6,"P",""))</f>
        <v/>
      </c>
      <c r="L426" s="164" t="str">
        <f>IF(Settings!$M$4=Settings!$Y$3,IF($AA426=2,"P",""),IF($AA426=7,"P",""))</f>
        <v/>
      </c>
      <c r="M426" s="164" t="str">
        <f>IF(Settings!$M$4=Settings!$Y$3,IF($AA426=2,"P",""),IF($AA426=8,"P",""))</f>
        <v/>
      </c>
      <c r="N426" s="164" t="str">
        <f>IF(Settings!$M$4=Settings!$Y$3,IF($AA426=3,"P",""),IF($AA426=9,"P",""))</f>
        <v/>
      </c>
      <c r="O426" s="165" t="str">
        <f>IF(Settings!$M$4=Settings!$Y$3,IF($AA426=3,"P",""),IF($AA426=10,"P",""))</f>
        <v/>
      </c>
      <c r="P426" s="22"/>
      <c r="Q426" s="22"/>
      <c r="R426" s="360" t="e">
        <f>IF(INDEX(TblDatabase[Comment2],MATCH(1,INDEX(($L$4=ListEmployeeNamesInDatabase)*(C417=TblDatabase[Year]),0,1),0))="","",INDEX(TblDatabase[Comment2],MATCH(1,INDEX(($L$4=ListEmployeeNamesInDatabase)*(C417=TblDatabase[Year]),0,1),0)))</f>
        <v>#N/A</v>
      </c>
      <c r="S426" s="360"/>
      <c r="T426" s="360"/>
      <c r="U426" s="360"/>
      <c r="V426" s="360"/>
      <c r="W426" s="360"/>
      <c r="X426" s="360"/>
      <c r="Y426" s="361"/>
      <c r="Z426" s="149"/>
      <c r="AA426" s="151">
        <f>SUMIFS(TblDatabase[Competency2],ListEmployeeNamesInDatabase,$L$4,TblDatabase[Year],C417)</f>
        <v>0</v>
      </c>
      <c r="AB426" s="149"/>
      <c r="AC426" s="149"/>
      <c r="AD426" s="149"/>
      <c r="AE426" s="149"/>
      <c r="AF426" s="149"/>
    </row>
    <row r="427" spans="1:32" s="148" customFormat="1" ht="15" hidden="1" customHeight="1">
      <c r="B427" s="350" t="str">
        <f t="shared" si="9"/>
        <v>Job Knowledge</v>
      </c>
      <c r="C427" s="351"/>
      <c r="D427" s="351"/>
      <c r="E427" s="352"/>
      <c r="F427" s="157" t="str">
        <f>IF(Settings!$M$4=Settings!$Y$3,IF($AA427=1,"P",""),IF($AA427=1,"P",""))</f>
        <v/>
      </c>
      <c r="G427" s="158" t="str">
        <f>IF(Settings!$M$4=Settings!$Y$3,IF($AA427=1,"P",""),IF($AA427=2,"P",""))</f>
        <v/>
      </c>
      <c r="H427" s="158" t="str">
        <f>IF(Settings!$M$4=Settings!$Y$3,IF($AA427=1,"P",""),IF($AA427=3,"P",""))</f>
        <v/>
      </c>
      <c r="I427" s="158" t="str">
        <f>IF(Settings!$M$4=Settings!$Y$3,IF($AA427=1,"P",""),IF($AA427=4,"P",""))</f>
        <v/>
      </c>
      <c r="J427" s="158" t="str">
        <f>IF(Settings!$M$4=Settings!$Y$3,IF($AA427=2,"P",""),IF($AA427=5,"P",""))</f>
        <v/>
      </c>
      <c r="K427" s="158" t="str">
        <f>IF(Settings!$M$4=Settings!$Y$3,IF($AA427=2,"P",""),IF($AA427=6,"P",""))</f>
        <v/>
      </c>
      <c r="L427" s="158" t="str">
        <f>IF(Settings!$M$4=Settings!$Y$3,IF($AA427=2,"P",""),IF($AA427=7,"P",""))</f>
        <v/>
      </c>
      <c r="M427" s="158" t="str">
        <f>IF(Settings!$M$4=Settings!$Y$3,IF($AA427=2,"P",""),IF($AA427=8,"P",""))</f>
        <v/>
      </c>
      <c r="N427" s="158" t="str">
        <f>IF(Settings!$M$4=Settings!$Y$3,IF($AA427=3,"P",""),IF($AA427=9,"P",""))</f>
        <v/>
      </c>
      <c r="O427" s="159" t="str">
        <f>IF(Settings!$M$4=Settings!$Y$3,IF($AA427=3,"P",""),IF($AA427=10,"P",""))</f>
        <v/>
      </c>
      <c r="P427" s="22"/>
      <c r="Q427" s="22"/>
      <c r="R427" s="353" t="e">
        <f>IF(INDEX(TblDatabase[Comment3],MATCH(1,INDEX(($L$4=ListEmployeeNamesInDatabase)*(C417=TblDatabase[Year]),0,1),0))="","",INDEX(TblDatabase[Comment3],MATCH(1,INDEX(($L$4=ListEmployeeNamesInDatabase)*(C417=TblDatabase[Year]),0,1),0)))</f>
        <v>#N/A</v>
      </c>
      <c r="S427" s="353"/>
      <c r="T427" s="353"/>
      <c r="U427" s="353"/>
      <c r="V427" s="353"/>
      <c r="W427" s="353"/>
      <c r="X427" s="353"/>
      <c r="Y427" s="354"/>
      <c r="Z427" s="149"/>
      <c r="AA427" s="151">
        <f>SUMIFS(TblDatabase[Competency3],ListEmployeeNamesInDatabase,$L$4,TblDatabase[Year],C417)</f>
        <v>0</v>
      </c>
      <c r="AB427" s="149"/>
      <c r="AC427" s="149"/>
      <c r="AD427" s="149"/>
      <c r="AE427" s="149"/>
      <c r="AF427" s="149"/>
    </row>
    <row r="428" spans="1:32" s="148" customFormat="1" ht="15" hidden="1" customHeight="1">
      <c r="B428" s="355" t="str">
        <f t="shared" si="9"/>
        <v>Client Service</v>
      </c>
      <c r="C428" s="356"/>
      <c r="D428" s="356"/>
      <c r="E428" s="357"/>
      <c r="F428" s="163" t="str">
        <f>IF(Settings!$M$4=Settings!$Y$3,IF($AA428=1,"P",""),IF($AA428=1,"P",""))</f>
        <v/>
      </c>
      <c r="G428" s="164" t="str">
        <f>IF(Settings!$M$4=Settings!$Y$3,IF($AA428=1,"P",""),IF($AA428=2,"P",""))</f>
        <v/>
      </c>
      <c r="H428" s="164" t="str">
        <f>IF(Settings!$M$4=Settings!$Y$3,IF($AA428=1,"P",""),IF($AA428=3,"P",""))</f>
        <v/>
      </c>
      <c r="I428" s="164" t="str">
        <f>IF(Settings!$M$4=Settings!$Y$3,IF($AA428=1,"P",""),IF($AA428=4,"P",""))</f>
        <v/>
      </c>
      <c r="J428" s="164" t="str">
        <f>IF(Settings!$M$4=Settings!$Y$3,IF($AA428=2,"P",""),IF($AA428=5,"P",""))</f>
        <v/>
      </c>
      <c r="K428" s="164" t="str">
        <f>IF(Settings!$M$4=Settings!$Y$3,IF($AA428=2,"P",""),IF($AA428=6,"P",""))</f>
        <v/>
      </c>
      <c r="L428" s="164" t="str">
        <f>IF(Settings!$M$4=Settings!$Y$3,IF($AA428=2,"P",""),IF($AA428=7,"P",""))</f>
        <v/>
      </c>
      <c r="M428" s="164" t="str">
        <f>IF(Settings!$M$4=Settings!$Y$3,IF($AA428=2,"P",""),IF($AA428=8,"P",""))</f>
        <v/>
      </c>
      <c r="N428" s="164" t="str">
        <f>IF(Settings!$M$4=Settings!$Y$3,IF($AA428=3,"P",""),IF($AA428=9,"P",""))</f>
        <v/>
      </c>
      <c r="O428" s="165" t="str">
        <f>IF(Settings!$M$4=Settings!$Y$3,IF($AA428=3,"P",""),IF($AA428=10,"P",""))</f>
        <v/>
      </c>
      <c r="P428" s="22"/>
      <c r="Q428" s="22"/>
      <c r="R428" s="360" t="e">
        <f>IF(INDEX(TblDatabase[Comment4],MATCH(1,INDEX(($L$4=ListEmployeeNamesInDatabase)*(C417=TblDatabase[Year]),0,1),0))="","",INDEX(TblDatabase[Comment4],MATCH(1,INDEX(($L$4=ListEmployeeNamesInDatabase)*(C417=TblDatabase[Year]),0,1),0)))</f>
        <v>#N/A</v>
      </c>
      <c r="S428" s="360"/>
      <c r="T428" s="360"/>
      <c r="U428" s="360"/>
      <c r="V428" s="360"/>
      <c r="W428" s="360"/>
      <c r="X428" s="360"/>
      <c r="Y428" s="361"/>
      <c r="Z428" s="149"/>
      <c r="AA428" s="151">
        <f>SUMIFS(TblDatabase[Competency4],ListEmployeeNamesInDatabase,$L$4,TblDatabase[Year],C417)</f>
        <v>0</v>
      </c>
      <c r="AB428" s="149"/>
      <c r="AC428" s="149"/>
      <c r="AD428" s="149"/>
      <c r="AE428" s="149"/>
      <c r="AF428" s="149"/>
    </row>
    <row r="429" spans="1:32" s="148" customFormat="1" ht="15" hidden="1" customHeight="1">
      <c r="B429" s="350" t="str">
        <f t="shared" si="9"/>
        <v>Teamwork</v>
      </c>
      <c r="C429" s="351"/>
      <c r="D429" s="351"/>
      <c r="E429" s="352"/>
      <c r="F429" s="157" t="str">
        <f>IF(Settings!$M$4=Settings!$Y$3,IF($AA429=1,"P",""),IF($AA429=1,"P",""))</f>
        <v/>
      </c>
      <c r="G429" s="158" t="str">
        <f>IF(Settings!$M$4=Settings!$Y$3,IF($AA429=1,"P",""),IF($AA429=2,"P",""))</f>
        <v/>
      </c>
      <c r="H429" s="158" t="str">
        <f>IF(Settings!$M$4=Settings!$Y$3,IF($AA429=1,"P",""),IF($AA429=3,"P",""))</f>
        <v/>
      </c>
      <c r="I429" s="158" t="str">
        <f>IF(Settings!$M$4=Settings!$Y$3,IF($AA429=1,"P",""),IF($AA429=4,"P",""))</f>
        <v/>
      </c>
      <c r="J429" s="158" t="str">
        <f>IF(Settings!$M$4=Settings!$Y$3,IF($AA429=2,"P",""),IF($AA429=5,"P",""))</f>
        <v/>
      </c>
      <c r="K429" s="158" t="str">
        <f>IF(Settings!$M$4=Settings!$Y$3,IF($AA429=2,"P",""),IF($AA429=6,"P",""))</f>
        <v/>
      </c>
      <c r="L429" s="158" t="str">
        <f>IF(Settings!$M$4=Settings!$Y$3,IF($AA429=2,"P",""),IF($AA429=7,"P",""))</f>
        <v/>
      </c>
      <c r="M429" s="158" t="str">
        <f>IF(Settings!$M$4=Settings!$Y$3,IF($AA429=2,"P",""),IF($AA429=8,"P",""))</f>
        <v/>
      </c>
      <c r="N429" s="158" t="str">
        <f>IF(Settings!$M$4=Settings!$Y$3,IF($AA429=3,"P",""),IF($AA429=9,"P",""))</f>
        <v/>
      </c>
      <c r="O429" s="159" t="str">
        <f>IF(Settings!$M$4=Settings!$Y$3,IF($AA429=3,"P",""),IF($AA429=10,"P",""))</f>
        <v/>
      </c>
      <c r="P429" s="22"/>
      <c r="Q429" s="22"/>
      <c r="R429" s="353" t="e">
        <f>IF(INDEX(TblDatabase[Comment5],MATCH(1,INDEX(($L$4=ListEmployeeNamesInDatabase)*(C417=TblDatabase[Year]),0,1),0))="","",INDEX(TblDatabase[Comment5],MATCH(1,INDEX(($L$4=ListEmployeeNamesInDatabase)*(C417=TblDatabase[Year]),0,1),0)))</f>
        <v>#N/A</v>
      </c>
      <c r="S429" s="353"/>
      <c r="T429" s="353"/>
      <c r="U429" s="353"/>
      <c r="V429" s="353"/>
      <c r="W429" s="353"/>
      <c r="X429" s="353"/>
      <c r="Y429" s="354"/>
      <c r="Z429" s="149"/>
      <c r="AA429" s="151">
        <f>SUMIFS(TblDatabase[Competency5],ListEmployeeNamesInDatabase,$L$4,TblDatabase[Year],C417)</f>
        <v>0</v>
      </c>
      <c r="AB429" s="149"/>
      <c r="AC429" s="149"/>
      <c r="AD429" s="149"/>
      <c r="AE429" s="149"/>
      <c r="AF429" s="149"/>
    </row>
    <row r="430" spans="1:32" s="148" customFormat="1" ht="15" hidden="1" customHeight="1">
      <c r="B430" s="355" t="str">
        <f t="shared" si="9"/>
        <v>Safety</v>
      </c>
      <c r="C430" s="356"/>
      <c r="D430" s="356"/>
      <c r="E430" s="357"/>
      <c r="F430" s="163" t="str">
        <f>IF(Settings!$M$4=Settings!$Y$3,IF($AA430=1,"P",""),IF($AA430=1,"P",""))</f>
        <v/>
      </c>
      <c r="G430" s="164" t="str">
        <f>IF(Settings!$M$4=Settings!$Y$3,IF($AA430=1,"P",""),IF($AA430=2,"P",""))</f>
        <v/>
      </c>
      <c r="H430" s="164" t="str">
        <f>IF(Settings!$M$4=Settings!$Y$3,IF($AA430=1,"P",""),IF($AA430=3,"P",""))</f>
        <v/>
      </c>
      <c r="I430" s="164" t="str">
        <f>IF(Settings!$M$4=Settings!$Y$3,IF($AA430=1,"P",""),IF($AA430=4,"P",""))</f>
        <v/>
      </c>
      <c r="J430" s="164" t="str">
        <f>IF(Settings!$M$4=Settings!$Y$3,IF($AA430=2,"P",""),IF($AA430=5,"P",""))</f>
        <v/>
      </c>
      <c r="K430" s="164" t="str">
        <f>IF(Settings!$M$4=Settings!$Y$3,IF($AA430=2,"P",""),IF($AA430=6,"P",""))</f>
        <v/>
      </c>
      <c r="L430" s="164" t="str">
        <f>IF(Settings!$M$4=Settings!$Y$3,IF($AA430=2,"P",""),IF($AA430=7,"P",""))</f>
        <v/>
      </c>
      <c r="M430" s="164" t="str">
        <f>IF(Settings!$M$4=Settings!$Y$3,IF($AA430=2,"P",""),IF($AA430=8,"P",""))</f>
        <v/>
      </c>
      <c r="N430" s="164" t="str">
        <f>IF(Settings!$M$4=Settings!$Y$3,IF($AA430=3,"P",""),IF($AA430=9,"P",""))</f>
        <v/>
      </c>
      <c r="O430" s="165" t="str">
        <f>IF(Settings!$M$4=Settings!$Y$3,IF($AA430=3,"P",""),IF($AA430=10,"P",""))</f>
        <v/>
      </c>
      <c r="P430" s="22"/>
      <c r="Q430" s="22"/>
      <c r="R430" s="360" t="e">
        <f>IF(INDEX(TblDatabase[Comment6],MATCH(1,INDEX(($L$4=ListEmployeeNamesInDatabase)*(C417=TblDatabase[Year]),0,1),0))="","",INDEX(TblDatabase[Comment6],MATCH(1,INDEX(($L$4=ListEmployeeNamesInDatabase)*(C417=TblDatabase[Year]),0,1),0)))</f>
        <v>#N/A</v>
      </c>
      <c r="S430" s="360"/>
      <c r="T430" s="360"/>
      <c r="U430" s="360"/>
      <c r="V430" s="360"/>
      <c r="W430" s="360"/>
      <c r="X430" s="360"/>
      <c r="Y430" s="361"/>
      <c r="Z430" s="149"/>
      <c r="AA430" s="151">
        <f>SUMIFS(TblDatabase[Competency6],ListEmployeeNamesInDatabase,$L$4,TblDatabase[Year],C417)</f>
        <v>0</v>
      </c>
      <c r="AB430" s="149"/>
      <c r="AC430" s="149"/>
      <c r="AD430" s="149"/>
      <c r="AE430" s="149"/>
      <c r="AF430" s="149"/>
    </row>
    <row r="431" spans="1:32" s="148" customFormat="1" ht="15" hidden="1" customHeight="1">
      <c r="B431" s="350" t="str">
        <f t="shared" si="9"/>
        <v>Reliability</v>
      </c>
      <c r="C431" s="351"/>
      <c r="D431" s="351"/>
      <c r="E431" s="352"/>
      <c r="F431" s="157" t="str">
        <f>IF(Settings!$M$4=Settings!$Y$3,IF($AA431=1,"P",""),IF($AA431=1,"P",""))</f>
        <v/>
      </c>
      <c r="G431" s="158" t="str">
        <f>IF(Settings!$M$4=Settings!$Y$3,IF($AA431=1,"P",""),IF($AA431=2,"P",""))</f>
        <v/>
      </c>
      <c r="H431" s="158" t="str">
        <f>IF(Settings!$M$4=Settings!$Y$3,IF($AA431=1,"P",""),IF($AA431=3,"P",""))</f>
        <v/>
      </c>
      <c r="I431" s="158" t="str">
        <f>IF(Settings!$M$4=Settings!$Y$3,IF($AA431=1,"P",""),IF($AA431=4,"P",""))</f>
        <v/>
      </c>
      <c r="J431" s="158" t="str">
        <f>IF(Settings!$M$4=Settings!$Y$3,IF($AA431=2,"P",""),IF($AA431=5,"P",""))</f>
        <v/>
      </c>
      <c r="K431" s="158" t="str">
        <f>IF(Settings!$M$4=Settings!$Y$3,IF($AA431=2,"P",""),IF($AA431=6,"P",""))</f>
        <v/>
      </c>
      <c r="L431" s="158" t="str">
        <f>IF(Settings!$M$4=Settings!$Y$3,IF($AA431=2,"P",""),IF($AA431=7,"P",""))</f>
        <v/>
      </c>
      <c r="M431" s="158" t="str">
        <f>IF(Settings!$M$4=Settings!$Y$3,IF($AA431=2,"P",""),IF($AA431=8,"P",""))</f>
        <v/>
      </c>
      <c r="N431" s="158" t="str">
        <f>IF(Settings!$M$4=Settings!$Y$3,IF($AA431=3,"P",""),IF($AA431=9,"P",""))</f>
        <v/>
      </c>
      <c r="O431" s="159" t="str">
        <f>IF(Settings!$M$4=Settings!$Y$3,IF($AA431=3,"P",""),IF($AA431=10,"P",""))</f>
        <v/>
      </c>
      <c r="P431" s="22"/>
      <c r="Q431" s="22"/>
      <c r="R431" s="353" t="e">
        <f>IF(INDEX(TblDatabase[Comment7],MATCH(1,INDEX(($L$4=ListEmployeeNamesInDatabase)*(C417=TblDatabase[Year]),0,1),0))="","",INDEX(TblDatabase[Comment7],MATCH(1,INDEX(($L$4=ListEmployeeNamesInDatabase)*(C417=TblDatabase[Year]),0,1),0)))</f>
        <v>#N/A</v>
      </c>
      <c r="S431" s="353"/>
      <c r="T431" s="353"/>
      <c r="U431" s="353"/>
      <c r="V431" s="353"/>
      <c r="W431" s="353"/>
      <c r="X431" s="353"/>
      <c r="Y431" s="354"/>
      <c r="Z431" s="149"/>
      <c r="AA431" s="151">
        <f>SUMIFS(TblDatabase[Competency7],ListEmployeeNamesInDatabase,$L$4,TblDatabase[Year],C417)</f>
        <v>0</v>
      </c>
      <c r="AB431" s="149"/>
      <c r="AC431" s="149"/>
      <c r="AD431" s="149"/>
      <c r="AE431" s="149"/>
      <c r="AF431" s="149"/>
    </row>
    <row r="432" spans="1:32" s="148" customFormat="1" ht="15" hidden="1" customHeight="1">
      <c r="B432" s="355" t="str">
        <f t="shared" si="9"/>
        <v>Initiative/Adaptability</v>
      </c>
      <c r="C432" s="356"/>
      <c r="D432" s="356"/>
      <c r="E432" s="357"/>
      <c r="F432" s="163" t="str">
        <f>IF(Settings!$M$4=Settings!$Y$3,IF($AA432=1,"P",""),IF($AA432=1,"P",""))</f>
        <v/>
      </c>
      <c r="G432" s="164" t="str">
        <f>IF(Settings!$M$4=Settings!$Y$3,IF($AA432=1,"P",""),IF($AA432=2,"P",""))</f>
        <v/>
      </c>
      <c r="H432" s="164" t="str">
        <f>IF(Settings!$M$4=Settings!$Y$3,IF($AA432=1,"P",""),IF($AA432=3,"P",""))</f>
        <v/>
      </c>
      <c r="I432" s="164" t="str">
        <f>IF(Settings!$M$4=Settings!$Y$3,IF($AA432=1,"P",""),IF($AA432=4,"P",""))</f>
        <v/>
      </c>
      <c r="J432" s="164" t="str">
        <f>IF(Settings!$M$4=Settings!$Y$3,IF($AA432=2,"P",""),IF($AA432=5,"P",""))</f>
        <v/>
      </c>
      <c r="K432" s="164" t="str">
        <f>IF(Settings!$M$4=Settings!$Y$3,IF($AA432=2,"P",""),IF($AA432=6,"P",""))</f>
        <v/>
      </c>
      <c r="L432" s="164" t="str">
        <f>IF(Settings!$M$4=Settings!$Y$3,IF($AA432=2,"P",""),IF($AA432=7,"P",""))</f>
        <v/>
      </c>
      <c r="M432" s="164" t="str">
        <f>IF(Settings!$M$4=Settings!$Y$3,IF($AA432=2,"P",""),IF($AA432=8,"P",""))</f>
        <v/>
      </c>
      <c r="N432" s="164" t="str">
        <f>IF(Settings!$M$4=Settings!$Y$3,IF($AA432=3,"P",""),IF($AA432=9,"P",""))</f>
        <v/>
      </c>
      <c r="O432" s="165" t="str">
        <f>IF(Settings!$M$4=Settings!$Y$3,IF($AA432=3,"P",""),IF($AA432=10,"P",""))</f>
        <v/>
      </c>
      <c r="P432" s="22"/>
      <c r="Q432" s="22"/>
      <c r="R432" s="360" t="e">
        <f>IF(INDEX(TblDatabase[Comment8],MATCH(1,INDEX(($L$4=ListEmployeeNamesInDatabase)*(C417=TblDatabase[Year]),0,1),0))="","",INDEX(TblDatabase[Comment8],MATCH(1,INDEX(($L$4=ListEmployeeNamesInDatabase)*(C417=TblDatabase[Year]),0,1),0)))</f>
        <v>#N/A</v>
      </c>
      <c r="S432" s="360"/>
      <c r="T432" s="360"/>
      <c r="U432" s="360"/>
      <c r="V432" s="360"/>
      <c r="W432" s="360"/>
      <c r="X432" s="360"/>
      <c r="Y432" s="361"/>
      <c r="Z432" s="149"/>
      <c r="AA432" s="151">
        <f>SUMIFS(TblDatabase[Competency8],ListEmployeeNamesInDatabase,$L$4,TblDatabase[Year],C417)</f>
        <v>0</v>
      </c>
      <c r="AB432" s="149"/>
      <c r="AC432" s="149"/>
      <c r="AD432" s="149"/>
      <c r="AE432" s="149"/>
      <c r="AF432" s="149"/>
    </row>
    <row r="433" spans="2:32" s="148" customFormat="1" ht="15" hidden="1" customHeight="1">
      <c r="B433" s="350" t="str">
        <f t="shared" si="9"/>
        <v/>
      </c>
      <c r="C433" s="351"/>
      <c r="D433" s="351"/>
      <c r="E433" s="352"/>
      <c r="F433" s="157" t="str">
        <f>IF(Settings!$M$4=Settings!$Y$3,IF($AA433=1,"P",""),IF($AA433=1,"P",""))</f>
        <v/>
      </c>
      <c r="G433" s="158" t="str">
        <f>IF(Settings!$M$4=Settings!$Y$3,IF($AA433=1,"P",""),IF($AA433=2,"P",""))</f>
        <v/>
      </c>
      <c r="H433" s="158" t="str">
        <f>IF(Settings!$M$4=Settings!$Y$3,IF($AA433=1,"P",""),IF($AA433=3,"P",""))</f>
        <v/>
      </c>
      <c r="I433" s="158" t="str">
        <f>IF(Settings!$M$4=Settings!$Y$3,IF($AA433=1,"P",""),IF($AA433=4,"P",""))</f>
        <v/>
      </c>
      <c r="J433" s="158" t="str">
        <f>IF(Settings!$M$4=Settings!$Y$3,IF($AA433=2,"P",""),IF($AA433=5,"P",""))</f>
        <v/>
      </c>
      <c r="K433" s="158" t="str">
        <f>IF(Settings!$M$4=Settings!$Y$3,IF($AA433=2,"P",""),IF($AA433=6,"P",""))</f>
        <v/>
      </c>
      <c r="L433" s="158" t="str">
        <f>IF(Settings!$M$4=Settings!$Y$3,IF($AA433=2,"P",""),IF($AA433=7,"P",""))</f>
        <v/>
      </c>
      <c r="M433" s="158" t="str">
        <f>IF(Settings!$M$4=Settings!$Y$3,IF($AA433=2,"P",""),IF($AA433=8,"P",""))</f>
        <v/>
      </c>
      <c r="N433" s="158" t="str">
        <f>IF(Settings!$M$4=Settings!$Y$3,IF($AA433=3,"P",""),IF($AA433=9,"P",""))</f>
        <v/>
      </c>
      <c r="O433" s="159" t="str">
        <f>IF(Settings!$M$4=Settings!$Y$3,IF($AA433=3,"P",""),IF($AA433=10,"P",""))</f>
        <v/>
      </c>
      <c r="P433" s="22"/>
      <c r="Q433" s="22"/>
      <c r="R433" s="353" t="e">
        <f>IF(INDEX(TblDatabase[Comment9],MATCH(1,INDEX(($L$4=ListEmployeeNamesInDatabase)*(C417=TblDatabase[Year]),0,1),0))="","",INDEX(TblDatabase[Comment9],MATCH(1,INDEX(($L$4=ListEmployeeNamesInDatabase)*(C417=TblDatabase[Year]),0,1),0)))</f>
        <v>#N/A</v>
      </c>
      <c r="S433" s="353"/>
      <c r="T433" s="353"/>
      <c r="U433" s="353"/>
      <c r="V433" s="353"/>
      <c r="W433" s="353"/>
      <c r="X433" s="353"/>
      <c r="Y433" s="354"/>
      <c r="Z433" s="149"/>
      <c r="AA433" s="151">
        <f>SUMIFS(TblDatabase[Competency9],ListEmployeeNamesInDatabase,$L$4,TblDatabase[Year],C417)</f>
        <v>0</v>
      </c>
      <c r="AB433" s="149"/>
      <c r="AC433" s="149"/>
      <c r="AD433" s="149"/>
      <c r="AE433" s="149"/>
      <c r="AF433" s="149"/>
    </row>
    <row r="434" spans="2:32" s="148" customFormat="1" ht="15" hidden="1" customHeight="1">
      <c r="B434" s="355" t="str">
        <f t="shared" si="9"/>
        <v/>
      </c>
      <c r="C434" s="356"/>
      <c r="D434" s="356"/>
      <c r="E434" s="357"/>
      <c r="F434" s="163" t="str">
        <f>IF(Settings!$M$4=Settings!$Y$3,IF($AA434=1,"P",""),IF($AA434=1,"P",""))</f>
        <v/>
      </c>
      <c r="G434" s="164" t="str">
        <f>IF(Settings!$M$4=Settings!$Y$3,IF($AA434=1,"P",""),IF($AA434=2,"P",""))</f>
        <v/>
      </c>
      <c r="H434" s="164" t="str">
        <f>IF(Settings!$M$4=Settings!$Y$3,IF($AA434=1,"P",""),IF($AA434=3,"P",""))</f>
        <v/>
      </c>
      <c r="I434" s="164" t="str">
        <f>IF(Settings!$M$4=Settings!$Y$3,IF($AA434=1,"P",""),IF($AA434=4,"P",""))</f>
        <v/>
      </c>
      <c r="J434" s="164" t="str">
        <f>IF(Settings!$M$4=Settings!$Y$3,IF($AA434=2,"P",""),IF($AA434=5,"P",""))</f>
        <v/>
      </c>
      <c r="K434" s="164" t="str">
        <f>IF(Settings!$M$4=Settings!$Y$3,IF($AA434=2,"P",""),IF($AA434=6,"P",""))</f>
        <v/>
      </c>
      <c r="L434" s="164" t="str">
        <f>IF(Settings!$M$4=Settings!$Y$3,IF($AA434=2,"P",""),IF($AA434=7,"P",""))</f>
        <v/>
      </c>
      <c r="M434" s="164" t="str">
        <f>IF(Settings!$M$4=Settings!$Y$3,IF($AA434=2,"P",""),IF($AA434=8,"P",""))</f>
        <v/>
      </c>
      <c r="N434" s="164" t="str">
        <f>IF(Settings!$M$4=Settings!$Y$3,IF($AA434=3,"P",""),IF($AA434=9,"P",""))</f>
        <v/>
      </c>
      <c r="O434" s="165" t="str">
        <f>IF(Settings!$M$4=Settings!$Y$3,IF($AA434=3,"P",""),IF($AA434=10,"P",""))</f>
        <v/>
      </c>
      <c r="P434" s="22"/>
      <c r="Q434" s="22"/>
      <c r="R434" s="360" t="e">
        <f>IF(INDEX(TblDatabase[Comment10],MATCH(1,INDEX(($L$4=ListEmployeeNamesInDatabase)*(C417=TblDatabase[Year]),0,1),0))="","",INDEX(TblDatabase[Comment10],MATCH(1,INDEX(($L$4=ListEmployeeNamesInDatabase)*(C417=TblDatabase[Year]),0,1),0)))</f>
        <v>#N/A</v>
      </c>
      <c r="S434" s="360"/>
      <c r="T434" s="360"/>
      <c r="U434" s="360"/>
      <c r="V434" s="360"/>
      <c r="W434" s="360"/>
      <c r="X434" s="360"/>
      <c r="Y434" s="361"/>
      <c r="Z434" s="149"/>
      <c r="AA434" s="151">
        <f>SUMIFS(TblDatabase[Competency10],ListEmployeeNamesInDatabase,$L$4,TblDatabase[Year],C417)</f>
        <v>0</v>
      </c>
      <c r="AB434" s="149"/>
      <c r="AC434" s="149"/>
      <c r="AD434" s="149"/>
      <c r="AE434" s="149"/>
      <c r="AF434" s="149"/>
    </row>
    <row r="435" spans="2:32" s="148" customFormat="1" ht="15" hidden="1" customHeight="1">
      <c r="B435" s="350" t="str">
        <f t="shared" si="9"/>
        <v/>
      </c>
      <c r="C435" s="351"/>
      <c r="D435" s="351"/>
      <c r="E435" s="352"/>
      <c r="F435" s="157" t="str">
        <f>IF(Settings!$M$4=Settings!$Y$3,IF($AA435=1,"P",""),IF($AA435=1,"P",""))</f>
        <v/>
      </c>
      <c r="G435" s="158" t="str">
        <f>IF(Settings!$M$4=Settings!$Y$3,IF($AA435=1,"P",""),IF($AA435=2,"P",""))</f>
        <v/>
      </c>
      <c r="H435" s="158" t="str">
        <f>IF(Settings!$M$4=Settings!$Y$3,IF($AA435=1,"P",""),IF($AA435=3,"P",""))</f>
        <v/>
      </c>
      <c r="I435" s="158" t="str">
        <f>IF(Settings!$M$4=Settings!$Y$3,IF($AA435=1,"P",""),IF($AA435=4,"P",""))</f>
        <v/>
      </c>
      <c r="J435" s="158" t="str">
        <f>IF(Settings!$M$4=Settings!$Y$3,IF($AA435=2,"P",""),IF($AA435=5,"P",""))</f>
        <v/>
      </c>
      <c r="K435" s="158" t="str">
        <f>IF(Settings!$M$4=Settings!$Y$3,IF($AA435=2,"P",""),IF($AA435=6,"P",""))</f>
        <v/>
      </c>
      <c r="L435" s="158" t="str">
        <f>IF(Settings!$M$4=Settings!$Y$3,IF($AA435=2,"P",""),IF($AA435=7,"P",""))</f>
        <v/>
      </c>
      <c r="M435" s="158" t="str">
        <f>IF(Settings!$M$4=Settings!$Y$3,IF($AA435=2,"P",""),IF($AA435=8,"P",""))</f>
        <v/>
      </c>
      <c r="N435" s="158" t="str">
        <f>IF(Settings!$M$4=Settings!$Y$3,IF($AA435=3,"P",""),IF($AA435=9,"P",""))</f>
        <v/>
      </c>
      <c r="O435" s="159" t="str">
        <f>IF(Settings!$M$4=Settings!$Y$3,IF($AA435=3,"P",""),IF($AA435=10,"P",""))</f>
        <v/>
      </c>
      <c r="P435" s="22"/>
      <c r="Q435" s="22"/>
      <c r="R435" s="353" t="e">
        <f>IF(INDEX(TblDatabase[Comment11],MATCH(1,INDEX(($L$4=ListEmployeeNamesInDatabase)*(C417=TblDatabase[Year]),0,1),0))="","",INDEX(TblDatabase[Comment11],MATCH(1,INDEX(($L$4=ListEmployeeNamesInDatabase)*(C417=TblDatabase[Year]),0,1),0)))</f>
        <v>#N/A</v>
      </c>
      <c r="S435" s="353"/>
      <c r="T435" s="353"/>
      <c r="U435" s="353"/>
      <c r="V435" s="353"/>
      <c r="W435" s="353"/>
      <c r="X435" s="353"/>
      <c r="Y435" s="354"/>
      <c r="Z435" s="149"/>
      <c r="AA435" s="151">
        <f>SUMIFS(TblDatabase[Competency11],ListEmployeeNamesInDatabase,$L$4,TblDatabase[Year],C417)</f>
        <v>0</v>
      </c>
      <c r="AB435" s="149"/>
      <c r="AC435" s="149"/>
      <c r="AD435" s="149"/>
      <c r="AE435" s="149"/>
      <c r="AF435" s="149"/>
    </row>
    <row r="436" spans="2:32" s="148" customFormat="1" ht="15" hidden="1" customHeight="1">
      <c r="B436" s="355" t="str">
        <f t="shared" si="9"/>
        <v/>
      </c>
      <c r="C436" s="356"/>
      <c r="D436" s="356"/>
      <c r="E436" s="357"/>
      <c r="F436" s="163" t="str">
        <f>IF(Settings!$M$4=Settings!$Y$3,IF($AA436=1,"P",""),IF($AA436=1,"P",""))</f>
        <v/>
      </c>
      <c r="G436" s="164" t="str">
        <f>IF(Settings!$M$4=Settings!$Y$3,IF($AA436=1,"P",""),IF($AA436=2,"P",""))</f>
        <v/>
      </c>
      <c r="H436" s="164" t="str">
        <f>IF(Settings!$M$4=Settings!$Y$3,IF($AA436=1,"P",""),IF($AA436=3,"P",""))</f>
        <v/>
      </c>
      <c r="I436" s="164" t="str">
        <f>IF(Settings!$M$4=Settings!$Y$3,IF($AA436=1,"P",""),IF($AA436=4,"P",""))</f>
        <v/>
      </c>
      <c r="J436" s="164" t="str">
        <f>IF(Settings!$M$4=Settings!$Y$3,IF($AA436=2,"P",""),IF($AA436=5,"P",""))</f>
        <v/>
      </c>
      <c r="K436" s="164" t="str">
        <f>IF(Settings!$M$4=Settings!$Y$3,IF($AA436=2,"P",""),IF($AA436=6,"P",""))</f>
        <v/>
      </c>
      <c r="L436" s="164" t="str">
        <f>IF(Settings!$M$4=Settings!$Y$3,IF($AA436=2,"P",""),IF($AA436=7,"P",""))</f>
        <v/>
      </c>
      <c r="M436" s="164" t="str">
        <f>IF(Settings!$M$4=Settings!$Y$3,IF($AA436=2,"P",""),IF($AA436=8,"P",""))</f>
        <v/>
      </c>
      <c r="N436" s="164" t="str">
        <f>IF(Settings!$M$4=Settings!$Y$3,IF($AA436=3,"P",""),IF($AA436=9,"P",""))</f>
        <v/>
      </c>
      <c r="O436" s="165" t="str">
        <f>IF(Settings!$M$4=Settings!$Y$3,IF($AA436=3,"P",""),IF($AA436=10,"P",""))</f>
        <v/>
      </c>
      <c r="P436" s="22"/>
      <c r="Q436" s="22"/>
      <c r="R436" s="360" t="e">
        <f>IF(INDEX(TblDatabase[Comment12],MATCH(1,INDEX(($L$4=ListEmployeeNamesInDatabase)*(C417=TblDatabase[Year]),0,1),0))="","",INDEX(TblDatabase[Comment12],MATCH(1,INDEX(($L$4=ListEmployeeNamesInDatabase)*(C417=TblDatabase[Year]),0,1),0)))</f>
        <v>#N/A</v>
      </c>
      <c r="S436" s="360"/>
      <c r="T436" s="360"/>
      <c r="U436" s="360"/>
      <c r="V436" s="360"/>
      <c r="W436" s="360"/>
      <c r="X436" s="360"/>
      <c r="Y436" s="361"/>
      <c r="Z436" s="149"/>
      <c r="AA436" s="151">
        <f>SUMIFS(TblDatabase[Competency12],ListEmployeeNamesInDatabase,$L$4,TblDatabase[Year],C417)</f>
        <v>0</v>
      </c>
      <c r="AB436" s="149"/>
      <c r="AC436" s="149"/>
      <c r="AD436" s="149"/>
      <c r="AE436" s="149"/>
      <c r="AF436" s="149"/>
    </row>
    <row r="437" spans="2:32" s="148" customFormat="1" ht="15" hidden="1" customHeight="1">
      <c r="B437" s="350" t="str">
        <f t="shared" si="9"/>
        <v/>
      </c>
      <c r="C437" s="351"/>
      <c r="D437" s="351"/>
      <c r="E437" s="352"/>
      <c r="F437" s="157" t="str">
        <f>IF(Settings!$M$4=Settings!$Y$3,IF($AA437=1,"P",""),IF($AA437=1,"P",""))</f>
        <v/>
      </c>
      <c r="G437" s="158" t="str">
        <f>IF(Settings!$M$4=Settings!$Y$3,IF($AA437=1,"P",""),IF($AA437=2,"P",""))</f>
        <v/>
      </c>
      <c r="H437" s="158" t="str">
        <f>IF(Settings!$M$4=Settings!$Y$3,IF($AA437=1,"P",""),IF($AA437=3,"P",""))</f>
        <v/>
      </c>
      <c r="I437" s="158" t="str">
        <f>IF(Settings!$M$4=Settings!$Y$3,IF($AA437=1,"P",""),IF($AA437=4,"P",""))</f>
        <v/>
      </c>
      <c r="J437" s="158" t="str">
        <f>IF(Settings!$M$4=Settings!$Y$3,IF($AA437=2,"P",""),IF($AA437=5,"P",""))</f>
        <v/>
      </c>
      <c r="K437" s="158" t="str">
        <f>IF(Settings!$M$4=Settings!$Y$3,IF($AA437=2,"P",""),IF($AA437=6,"P",""))</f>
        <v/>
      </c>
      <c r="L437" s="158" t="str">
        <f>IF(Settings!$M$4=Settings!$Y$3,IF($AA437=2,"P",""),IF($AA437=7,"P",""))</f>
        <v/>
      </c>
      <c r="M437" s="158" t="str">
        <f>IF(Settings!$M$4=Settings!$Y$3,IF($AA437=2,"P",""),IF($AA437=8,"P",""))</f>
        <v/>
      </c>
      <c r="N437" s="158" t="str">
        <f>IF(Settings!$M$4=Settings!$Y$3,IF($AA437=3,"P",""),IF($AA437=9,"P",""))</f>
        <v/>
      </c>
      <c r="O437" s="159" t="str">
        <f>IF(Settings!$M$4=Settings!$Y$3,IF($AA437=3,"P",""),IF($AA437=10,"P",""))</f>
        <v/>
      </c>
      <c r="P437" s="22"/>
      <c r="Q437" s="22"/>
      <c r="R437" s="353" t="e">
        <f>IF(INDEX(TblDatabase[Comment13],MATCH(1,INDEX(($L$4=ListEmployeeNamesInDatabase)*(C417=TblDatabase[Year]),0,1),0))="","",INDEX(TblDatabase[Comment13],MATCH(1,INDEX(($L$4=ListEmployeeNamesInDatabase)*(C417=TblDatabase[Year]),0,1),0)))</f>
        <v>#N/A</v>
      </c>
      <c r="S437" s="353"/>
      <c r="T437" s="353"/>
      <c r="U437" s="353"/>
      <c r="V437" s="353"/>
      <c r="W437" s="353"/>
      <c r="X437" s="353"/>
      <c r="Y437" s="354"/>
      <c r="Z437" s="149"/>
      <c r="AA437" s="151">
        <f>SUMIFS(TblDatabase[Competency13],ListEmployeeNamesInDatabase,$L$4,TblDatabase[Year],C417)</f>
        <v>0</v>
      </c>
      <c r="AB437" s="149"/>
      <c r="AC437" s="149"/>
      <c r="AD437" s="149"/>
      <c r="AE437" s="149"/>
      <c r="AF437" s="149"/>
    </row>
    <row r="438" spans="2:32" s="148" customFormat="1" ht="15" hidden="1" customHeight="1">
      <c r="B438" s="355" t="str">
        <f t="shared" si="9"/>
        <v/>
      </c>
      <c r="C438" s="356"/>
      <c r="D438" s="356"/>
      <c r="E438" s="357"/>
      <c r="F438" s="163" t="str">
        <f>IF(Settings!$M$4=Settings!$Y$3,IF($AA438=1,"P",""),IF($AA438=1,"P",""))</f>
        <v/>
      </c>
      <c r="G438" s="164" t="str">
        <f>IF(Settings!$M$4=Settings!$Y$3,IF($AA438=1,"P",""),IF($AA438=2,"P",""))</f>
        <v/>
      </c>
      <c r="H438" s="164" t="str">
        <f>IF(Settings!$M$4=Settings!$Y$3,IF($AA438=1,"P",""),IF($AA438=3,"P",""))</f>
        <v/>
      </c>
      <c r="I438" s="164" t="str">
        <f>IF(Settings!$M$4=Settings!$Y$3,IF($AA438=1,"P",""),IF($AA438=4,"P",""))</f>
        <v/>
      </c>
      <c r="J438" s="164" t="str">
        <f>IF(Settings!$M$4=Settings!$Y$3,IF($AA438=2,"P",""),IF($AA438=5,"P",""))</f>
        <v/>
      </c>
      <c r="K438" s="164" t="str">
        <f>IF(Settings!$M$4=Settings!$Y$3,IF($AA438=2,"P",""),IF($AA438=6,"P",""))</f>
        <v/>
      </c>
      <c r="L438" s="164" t="str">
        <f>IF(Settings!$M$4=Settings!$Y$3,IF($AA438=2,"P",""),IF($AA438=7,"P",""))</f>
        <v/>
      </c>
      <c r="M438" s="164" t="str">
        <f>IF(Settings!$M$4=Settings!$Y$3,IF($AA438=2,"P",""),IF($AA438=8,"P",""))</f>
        <v/>
      </c>
      <c r="N438" s="164" t="str">
        <f>IF(Settings!$M$4=Settings!$Y$3,IF($AA438=3,"P",""),IF($AA438=9,"P",""))</f>
        <v/>
      </c>
      <c r="O438" s="165" t="str">
        <f>IF(Settings!$M$4=Settings!$Y$3,IF($AA438=3,"P",""),IF($AA438=10,"P",""))</f>
        <v/>
      </c>
      <c r="P438" s="22"/>
      <c r="Q438" s="22"/>
      <c r="R438" s="360" t="e">
        <f>IF(INDEX(TblDatabase[Comment14],MATCH(1,INDEX(($L$4=ListEmployeeNamesInDatabase)*(C417=TblDatabase[Year]),0,1),0))="","",INDEX(TblDatabase[Comment14],MATCH(1,INDEX(($L$4=ListEmployeeNamesInDatabase)*(C417=TblDatabase[Year]),0,1),0)))</f>
        <v>#N/A</v>
      </c>
      <c r="S438" s="360"/>
      <c r="T438" s="360"/>
      <c r="U438" s="360"/>
      <c r="V438" s="360"/>
      <c r="W438" s="360"/>
      <c r="X438" s="360"/>
      <c r="Y438" s="361"/>
      <c r="Z438" s="149"/>
      <c r="AA438" s="151">
        <f>SUMIFS(TblDatabase[Competency14],ListEmployeeNamesInDatabase,$L$4,TblDatabase[Year],C417)</f>
        <v>0</v>
      </c>
      <c r="AB438" s="149"/>
      <c r="AC438" s="149"/>
      <c r="AD438" s="149"/>
      <c r="AE438" s="149"/>
      <c r="AF438" s="149"/>
    </row>
    <row r="439" spans="2:32" s="148" customFormat="1" ht="15" hidden="1" customHeight="1">
      <c r="B439" s="350" t="str">
        <f t="shared" si="9"/>
        <v/>
      </c>
      <c r="C439" s="351"/>
      <c r="D439" s="351"/>
      <c r="E439" s="352"/>
      <c r="F439" s="157" t="str">
        <f>IF(Settings!$M$4=Settings!$Y$3,IF($AA439=1,"P",""),IF($AA439=1,"P",""))</f>
        <v/>
      </c>
      <c r="G439" s="158" t="str">
        <f>IF(Settings!$M$4=Settings!$Y$3,IF($AA439=1,"P",""),IF($AA439=2,"P",""))</f>
        <v/>
      </c>
      <c r="H439" s="158" t="str">
        <f>IF(Settings!$M$4=Settings!$Y$3,IF($AA439=1,"P",""),IF($AA439=3,"P",""))</f>
        <v/>
      </c>
      <c r="I439" s="158" t="str">
        <f>IF(Settings!$M$4=Settings!$Y$3,IF($AA439=1,"P",""),IF($AA439=4,"P",""))</f>
        <v/>
      </c>
      <c r="J439" s="158" t="str">
        <f>IF(Settings!$M$4=Settings!$Y$3,IF($AA439=2,"P",""),IF($AA439=5,"P",""))</f>
        <v/>
      </c>
      <c r="K439" s="158" t="str">
        <f>IF(Settings!$M$4=Settings!$Y$3,IF($AA439=2,"P",""),IF($AA439=6,"P",""))</f>
        <v/>
      </c>
      <c r="L439" s="158" t="str">
        <f>IF(Settings!$M$4=Settings!$Y$3,IF($AA439=2,"P",""),IF($AA439=7,"P",""))</f>
        <v/>
      </c>
      <c r="M439" s="158" t="str">
        <f>IF(Settings!$M$4=Settings!$Y$3,IF($AA439=2,"P",""),IF($AA439=8,"P",""))</f>
        <v/>
      </c>
      <c r="N439" s="158" t="str">
        <f>IF(Settings!$M$4=Settings!$Y$3,IF($AA439=3,"P",""),IF($AA439=9,"P",""))</f>
        <v/>
      </c>
      <c r="O439" s="159" t="str">
        <f>IF(Settings!$M$4=Settings!$Y$3,IF($AA439=3,"P",""),IF($AA439=10,"P",""))</f>
        <v/>
      </c>
      <c r="P439" s="22"/>
      <c r="Q439" s="22"/>
      <c r="R439" s="353" t="e">
        <f>IF(INDEX(TblDatabase[Comment15],MATCH(1,INDEX(($L$4=ListEmployeeNamesInDatabase)*(C417=TblDatabase[Year]),0,1),0))="","",INDEX(TblDatabase[Comment15],MATCH(1,INDEX(($L$4=ListEmployeeNamesInDatabase)*(C417=TblDatabase[Year]),0,1),0)))</f>
        <v>#N/A</v>
      </c>
      <c r="S439" s="353"/>
      <c r="T439" s="353"/>
      <c r="U439" s="353"/>
      <c r="V439" s="353"/>
      <c r="W439" s="353"/>
      <c r="X439" s="353"/>
      <c r="Y439" s="354"/>
      <c r="Z439" s="149"/>
      <c r="AA439" s="151">
        <f>SUMIFS(TblDatabase[Competency15],ListEmployeeNamesInDatabase,$L$4,TblDatabase[Year],C417)</f>
        <v>0</v>
      </c>
      <c r="AB439" s="149"/>
      <c r="AC439" s="149"/>
      <c r="AD439" s="149"/>
      <c r="AE439" s="149"/>
      <c r="AF439" s="149"/>
    </row>
    <row r="440" spans="2:32" s="148" customFormat="1" ht="15" hidden="1" customHeight="1">
      <c r="B440" s="355" t="str">
        <f t="shared" si="9"/>
        <v/>
      </c>
      <c r="C440" s="356"/>
      <c r="D440" s="356"/>
      <c r="E440" s="357"/>
      <c r="F440" s="163" t="str">
        <f>IF(Settings!$M$4=Settings!$Y$3,IF($AA440=1,"P",""),IF($AA440=1,"P",""))</f>
        <v/>
      </c>
      <c r="G440" s="164" t="str">
        <f>IF(Settings!$M$4=Settings!$Y$3,IF($AA440=1,"P",""),IF($AA440=2,"P",""))</f>
        <v/>
      </c>
      <c r="H440" s="164" t="str">
        <f>IF(Settings!$M$4=Settings!$Y$3,IF($AA440=1,"P",""),IF($AA440=3,"P",""))</f>
        <v/>
      </c>
      <c r="I440" s="164" t="str">
        <f>IF(Settings!$M$4=Settings!$Y$3,IF($AA440=1,"P",""),IF($AA440=4,"P",""))</f>
        <v/>
      </c>
      <c r="J440" s="164" t="str">
        <f>IF(Settings!$M$4=Settings!$Y$3,IF($AA440=2,"P",""),IF($AA440=5,"P",""))</f>
        <v/>
      </c>
      <c r="K440" s="164" t="str">
        <f>IF(Settings!$M$4=Settings!$Y$3,IF($AA440=2,"P",""),IF($AA440=6,"P",""))</f>
        <v/>
      </c>
      <c r="L440" s="164" t="str">
        <f>IF(Settings!$M$4=Settings!$Y$3,IF($AA440=2,"P",""),IF($AA440=7,"P",""))</f>
        <v/>
      </c>
      <c r="M440" s="164" t="str">
        <f>IF(Settings!$M$4=Settings!$Y$3,IF($AA440=2,"P",""),IF($AA440=8,"P",""))</f>
        <v/>
      </c>
      <c r="N440" s="164" t="str">
        <f>IF(Settings!$M$4=Settings!$Y$3,IF($AA440=3,"P",""),IF($AA440=9,"P",""))</f>
        <v/>
      </c>
      <c r="O440" s="165" t="str">
        <f>IF(Settings!$M$4=Settings!$Y$3,IF($AA440=3,"P",""),IF($AA440=10,"P",""))</f>
        <v/>
      </c>
      <c r="P440" s="22"/>
      <c r="Q440" s="22"/>
      <c r="R440" s="360" t="e">
        <f>IF(INDEX(TblDatabase[Comment16],MATCH(1,INDEX(($L$4=ListEmployeeNamesInDatabase)*(C417=TblDatabase[Year]),0,1),0))="","",INDEX(TblDatabase[Comment16],MATCH(1,INDEX(($L$4=ListEmployeeNamesInDatabase)*(C417=TblDatabase[Year]),0,1),0)))</f>
        <v>#N/A</v>
      </c>
      <c r="S440" s="360"/>
      <c r="T440" s="360"/>
      <c r="U440" s="360"/>
      <c r="V440" s="360"/>
      <c r="W440" s="360"/>
      <c r="X440" s="360"/>
      <c r="Y440" s="361"/>
      <c r="Z440" s="149"/>
      <c r="AA440" s="151">
        <f>SUMIFS(TblDatabase[Competency16],ListEmployeeNamesInDatabase,$L$4,TblDatabase[Year],C417)</f>
        <v>0</v>
      </c>
      <c r="AB440" s="149"/>
      <c r="AC440" s="149"/>
      <c r="AD440" s="149"/>
      <c r="AE440" s="149"/>
      <c r="AF440" s="149"/>
    </row>
    <row r="441" spans="2:32" s="148" customFormat="1" ht="15" hidden="1" customHeight="1">
      <c r="B441" s="350" t="str">
        <f t="shared" si="9"/>
        <v/>
      </c>
      <c r="C441" s="351"/>
      <c r="D441" s="351"/>
      <c r="E441" s="352"/>
      <c r="F441" s="157" t="str">
        <f>IF(Settings!$M$4=Settings!$Y$3,IF($AA441=1,"P",""),IF($AA441=1,"P",""))</f>
        <v/>
      </c>
      <c r="G441" s="158" t="str">
        <f>IF(Settings!$M$4=Settings!$Y$3,IF($AA441=1,"P",""),IF($AA441=2,"P",""))</f>
        <v/>
      </c>
      <c r="H441" s="158" t="str">
        <f>IF(Settings!$M$4=Settings!$Y$3,IF($AA441=1,"P",""),IF($AA441=3,"P",""))</f>
        <v/>
      </c>
      <c r="I441" s="158" t="str">
        <f>IF(Settings!$M$4=Settings!$Y$3,IF($AA441=1,"P",""),IF($AA441=4,"P",""))</f>
        <v/>
      </c>
      <c r="J441" s="158" t="str">
        <f>IF(Settings!$M$4=Settings!$Y$3,IF($AA441=2,"P",""),IF($AA441=5,"P",""))</f>
        <v/>
      </c>
      <c r="K441" s="158" t="str">
        <f>IF(Settings!$M$4=Settings!$Y$3,IF($AA441=2,"P",""),IF($AA441=6,"P",""))</f>
        <v/>
      </c>
      <c r="L441" s="158" t="str">
        <f>IF(Settings!$M$4=Settings!$Y$3,IF($AA441=2,"P",""),IF($AA441=7,"P",""))</f>
        <v/>
      </c>
      <c r="M441" s="158" t="str">
        <f>IF(Settings!$M$4=Settings!$Y$3,IF($AA441=2,"P",""),IF($AA441=8,"P",""))</f>
        <v/>
      </c>
      <c r="N441" s="158" t="str">
        <f>IF(Settings!$M$4=Settings!$Y$3,IF($AA441=3,"P",""),IF($AA441=9,"P",""))</f>
        <v/>
      </c>
      <c r="O441" s="159" t="str">
        <f>IF(Settings!$M$4=Settings!$Y$3,IF($AA441=3,"P",""),IF($AA441=10,"P",""))</f>
        <v/>
      </c>
      <c r="P441" s="22"/>
      <c r="Q441" s="22"/>
      <c r="R441" s="353" t="e">
        <f>IF(INDEX(TblDatabase[Comment17],MATCH(1,INDEX(($L$4=ListEmployeeNamesInDatabase)*(C417=TblDatabase[Year]),0,1),0))="","",INDEX(TblDatabase[Comment17],MATCH(1,INDEX(($L$4=ListEmployeeNamesInDatabase)*(C417=TblDatabase[Year]),0,1),0)))</f>
        <v>#N/A</v>
      </c>
      <c r="S441" s="353"/>
      <c r="T441" s="353"/>
      <c r="U441" s="353"/>
      <c r="V441" s="353"/>
      <c r="W441" s="353"/>
      <c r="X441" s="353"/>
      <c r="Y441" s="354"/>
      <c r="Z441" s="149"/>
      <c r="AA441" s="151">
        <f>SUMIFS(TblDatabase[Competency17],ListEmployeeNamesInDatabase,$L$4,TblDatabase[Year],C417)</f>
        <v>0</v>
      </c>
      <c r="AB441" s="149"/>
      <c r="AC441" s="149"/>
      <c r="AD441" s="149"/>
      <c r="AE441" s="149"/>
      <c r="AF441" s="149"/>
    </row>
    <row r="442" spans="2:32" s="148" customFormat="1" ht="15" hidden="1" customHeight="1">
      <c r="B442" s="355" t="str">
        <f t="shared" si="9"/>
        <v/>
      </c>
      <c r="C442" s="356"/>
      <c r="D442" s="356"/>
      <c r="E442" s="357"/>
      <c r="F442" s="163" t="str">
        <f>IF(Settings!$M$4=Settings!$Y$3,IF($AA442=1,"P",""),IF($AA442=1,"P",""))</f>
        <v/>
      </c>
      <c r="G442" s="164" t="str">
        <f>IF(Settings!$M$4=Settings!$Y$3,IF($AA442=1,"P",""),IF($AA442=2,"P",""))</f>
        <v/>
      </c>
      <c r="H442" s="164" t="str">
        <f>IF(Settings!$M$4=Settings!$Y$3,IF($AA442=1,"P",""),IF($AA442=3,"P",""))</f>
        <v/>
      </c>
      <c r="I442" s="164" t="str">
        <f>IF(Settings!$M$4=Settings!$Y$3,IF($AA442=1,"P",""),IF($AA442=4,"P",""))</f>
        <v/>
      </c>
      <c r="J442" s="164" t="str">
        <f>IF(Settings!$M$4=Settings!$Y$3,IF($AA442=2,"P",""),IF($AA442=5,"P",""))</f>
        <v/>
      </c>
      <c r="K442" s="164" t="str">
        <f>IF(Settings!$M$4=Settings!$Y$3,IF($AA442=2,"P",""),IF($AA442=6,"P",""))</f>
        <v/>
      </c>
      <c r="L442" s="164" t="str">
        <f>IF(Settings!$M$4=Settings!$Y$3,IF($AA442=2,"P",""),IF($AA442=7,"P",""))</f>
        <v/>
      </c>
      <c r="M442" s="164" t="str">
        <f>IF(Settings!$M$4=Settings!$Y$3,IF($AA442=2,"P",""),IF($AA442=8,"P",""))</f>
        <v/>
      </c>
      <c r="N442" s="164" t="str">
        <f>IF(Settings!$M$4=Settings!$Y$3,IF($AA442=3,"P",""),IF($AA442=9,"P",""))</f>
        <v/>
      </c>
      <c r="O442" s="165" t="str">
        <f>IF(Settings!$M$4=Settings!$Y$3,IF($AA442=3,"P",""),IF($AA442=10,"P",""))</f>
        <v/>
      </c>
      <c r="P442" s="22"/>
      <c r="Q442" s="22"/>
      <c r="R442" s="360" t="e">
        <f>IF(INDEX(TblDatabase[Comment18],MATCH(1,INDEX(($L$4=ListEmployeeNamesInDatabase)*(C417=TblDatabase[Year]),0,1),0))="","",INDEX(TblDatabase[Comment18],MATCH(1,INDEX(($L$4=ListEmployeeNamesInDatabase)*(C417=TblDatabase[Year]),0,1),0)))</f>
        <v>#N/A</v>
      </c>
      <c r="S442" s="360"/>
      <c r="T442" s="360"/>
      <c r="U442" s="360"/>
      <c r="V442" s="360"/>
      <c r="W442" s="360"/>
      <c r="X442" s="360"/>
      <c r="Y442" s="361"/>
      <c r="Z442" s="149"/>
      <c r="AA442" s="151">
        <f>SUMIFS(TblDatabase[Competency18],ListEmployeeNamesInDatabase,$L$4,TblDatabase[Year],C417)</f>
        <v>0</v>
      </c>
      <c r="AB442" s="149"/>
      <c r="AC442" s="149"/>
      <c r="AD442" s="149"/>
      <c r="AE442" s="149"/>
      <c r="AF442" s="149"/>
    </row>
    <row r="443" spans="2:32" s="148" customFormat="1" ht="15" hidden="1" customHeight="1">
      <c r="B443" s="350" t="str">
        <f t="shared" si="9"/>
        <v/>
      </c>
      <c r="C443" s="351"/>
      <c r="D443" s="351"/>
      <c r="E443" s="352"/>
      <c r="F443" s="157" t="str">
        <f>IF(Settings!$M$4=Settings!$Y$3,IF($AA443=1,"P",""),IF($AA443=1,"P",""))</f>
        <v/>
      </c>
      <c r="G443" s="158" t="str">
        <f>IF(Settings!$M$4=Settings!$Y$3,IF($AA443=1,"P",""),IF($AA443=2,"P",""))</f>
        <v/>
      </c>
      <c r="H443" s="158" t="str">
        <f>IF(Settings!$M$4=Settings!$Y$3,IF($AA443=1,"P",""),IF($AA443=3,"P",""))</f>
        <v/>
      </c>
      <c r="I443" s="158" t="str">
        <f>IF(Settings!$M$4=Settings!$Y$3,IF($AA443=1,"P",""),IF($AA443=4,"P",""))</f>
        <v/>
      </c>
      <c r="J443" s="158" t="str">
        <f>IF(Settings!$M$4=Settings!$Y$3,IF($AA443=2,"P",""),IF($AA443=5,"P",""))</f>
        <v/>
      </c>
      <c r="K443" s="158" t="str">
        <f>IF(Settings!$M$4=Settings!$Y$3,IF($AA443=2,"P",""),IF($AA443=6,"P",""))</f>
        <v/>
      </c>
      <c r="L443" s="158" t="str">
        <f>IF(Settings!$M$4=Settings!$Y$3,IF($AA443=2,"P",""),IF($AA443=7,"P",""))</f>
        <v/>
      </c>
      <c r="M443" s="158" t="str">
        <f>IF(Settings!$M$4=Settings!$Y$3,IF($AA443=2,"P",""),IF($AA443=8,"P",""))</f>
        <v/>
      </c>
      <c r="N443" s="158" t="str">
        <f>IF(Settings!$M$4=Settings!$Y$3,IF($AA443=3,"P",""),IF($AA443=9,"P",""))</f>
        <v/>
      </c>
      <c r="O443" s="159" t="str">
        <f>IF(Settings!$M$4=Settings!$Y$3,IF($AA443=3,"P",""),IF($AA443=10,"P",""))</f>
        <v/>
      </c>
      <c r="P443" s="22"/>
      <c r="Q443" s="22"/>
      <c r="R443" s="353" t="e">
        <f>IF(INDEX(TblDatabase[Comment19],MATCH(1,INDEX(($L$4=ListEmployeeNamesInDatabase)*(C417=TblDatabase[Year]),0,1),0))="","",INDEX(TblDatabase[Comment19],MATCH(1,INDEX(($L$4=ListEmployeeNamesInDatabase)*(C417=TblDatabase[Year]),0,1),0)))</f>
        <v>#N/A</v>
      </c>
      <c r="S443" s="353"/>
      <c r="T443" s="353"/>
      <c r="U443" s="353"/>
      <c r="V443" s="353"/>
      <c r="W443" s="353"/>
      <c r="X443" s="353"/>
      <c r="Y443" s="354"/>
      <c r="Z443" s="149"/>
      <c r="AA443" s="151">
        <f>SUMIFS(TblDatabase[Competency19],ListEmployeeNamesInDatabase,$L$4,TblDatabase[Year],C417)</f>
        <v>0</v>
      </c>
      <c r="AB443" s="149"/>
      <c r="AC443" s="149"/>
      <c r="AD443" s="149"/>
      <c r="AE443" s="149"/>
      <c r="AF443" s="149"/>
    </row>
    <row r="444" spans="2:32" s="148" customFormat="1" ht="15" hidden="1" customHeight="1">
      <c r="B444" s="362" t="str">
        <f t="shared" si="9"/>
        <v/>
      </c>
      <c r="C444" s="363"/>
      <c r="D444" s="363"/>
      <c r="E444" s="364"/>
      <c r="F444" s="166" t="str">
        <f>IF(Settings!$M$4=Settings!$Y$3,IF($AA444=1,"P",""),IF($AA444=1,"P",""))</f>
        <v/>
      </c>
      <c r="G444" s="167" t="str">
        <f>IF(Settings!$M$4=Settings!$Y$3,IF($AA444=1,"P",""),IF($AA444=2,"P",""))</f>
        <v/>
      </c>
      <c r="H444" s="167" t="str">
        <f>IF(Settings!$M$4=Settings!$Y$3,IF($AA444=1,"P",""),IF($AA444=3,"P",""))</f>
        <v/>
      </c>
      <c r="I444" s="167" t="str">
        <f>IF(Settings!$M$4=Settings!$Y$3,IF($AA444=1,"P",""),IF($AA444=4,"P",""))</f>
        <v/>
      </c>
      <c r="J444" s="167" t="str">
        <f>IF(Settings!$M$4=Settings!$Y$3,IF($AA444=2,"P",""),IF($AA444=5,"P",""))</f>
        <v/>
      </c>
      <c r="K444" s="167" t="str">
        <f>IF(Settings!$M$4=Settings!$Y$3,IF($AA444=2,"P",""),IF($AA444=6,"P",""))</f>
        <v/>
      </c>
      <c r="L444" s="167" t="str">
        <f>IF(Settings!$M$4=Settings!$Y$3,IF($AA444=2,"P",""),IF($AA444=7,"P",""))</f>
        <v/>
      </c>
      <c r="M444" s="167" t="str">
        <f>IF(Settings!$M$4=Settings!$Y$3,IF($AA444=2,"P",""),IF($AA444=8,"P",""))</f>
        <v/>
      </c>
      <c r="N444" s="167" t="str">
        <f>IF(Settings!$M$4=Settings!$Y$3,IF($AA444=3,"P",""),IF($AA444=9,"P",""))</f>
        <v/>
      </c>
      <c r="O444" s="168" t="str">
        <f>IF(Settings!$M$4=Settings!$Y$3,IF($AA444=3,"P",""),IF($AA444=10,"P",""))</f>
        <v/>
      </c>
      <c r="P444" s="22"/>
      <c r="Q444" s="22"/>
      <c r="R444" s="365" t="e">
        <f>IF(INDEX(TblDatabase[Comment20],MATCH(1,INDEX(($L$4=ListEmployeeNamesInDatabase)*(C417=TblDatabase[Year]),0,1),0))="","",INDEX(TblDatabase[Comment20],MATCH(1,INDEX(($L$4=ListEmployeeNamesInDatabase)*(C417=TblDatabase[Year]),0,1),0)))</f>
        <v>#N/A</v>
      </c>
      <c r="S444" s="365"/>
      <c r="T444" s="365"/>
      <c r="U444" s="365"/>
      <c r="V444" s="365"/>
      <c r="W444" s="365"/>
      <c r="X444" s="365"/>
      <c r="Y444" s="366"/>
      <c r="Z444" s="149"/>
      <c r="AA444" s="151">
        <f>SUMIFS(TblDatabase[Competency20],ListEmployeeNamesInDatabase,$L$4,TblDatabase[Year],C417)</f>
        <v>0</v>
      </c>
      <c r="AB444" s="149"/>
      <c r="AC444" s="149"/>
      <c r="AD444" s="149"/>
      <c r="AE444" s="149"/>
      <c r="AF444" s="149"/>
    </row>
    <row r="445" spans="2:32" s="148" customFormat="1" hidden="1">
      <c r="B445" s="414" t="s">
        <v>26</v>
      </c>
      <c r="C445" s="415"/>
      <c r="D445" s="415"/>
      <c r="E445" s="371">
        <f ca="1">SUM(OFFSET(AA425,0,0,NumberOfCompetencies))</f>
        <v>0</v>
      </c>
      <c r="F445" s="372"/>
      <c r="G445" s="152"/>
      <c r="H445" s="152"/>
      <c r="I445" s="152"/>
      <c r="J445" s="152"/>
      <c r="K445" s="152"/>
      <c r="L445" s="152"/>
      <c r="M445" s="152"/>
      <c r="N445" s="152"/>
      <c r="O445" s="152"/>
      <c r="P445" s="152"/>
      <c r="Q445" s="152"/>
      <c r="R445" s="152"/>
      <c r="S445" s="152"/>
      <c r="T445" s="152"/>
      <c r="U445" s="152"/>
      <c r="V445" s="152"/>
      <c r="W445" s="152"/>
      <c r="X445" s="152"/>
      <c r="Y445" s="152"/>
      <c r="Z445" s="149"/>
      <c r="AA445" s="149"/>
      <c r="AB445" s="149"/>
      <c r="AC445" s="149"/>
      <c r="AD445" s="149"/>
      <c r="AE445" s="149"/>
      <c r="AF445" s="149"/>
    </row>
    <row r="446" spans="2:32" s="148" customFormat="1" hidden="1">
      <c r="B446" s="369" t="s">
        <v>27</v>
      </c>
      <c r="C446" s="370"/>
      <c r="D446" s="370"/>
      <c r="E446" s="358">
        <f ca="1">E445/NumberOfCompetencies</f>
        <v>0</v>
      </c>
      <c r="F446" s="359"/>
      <c r="G446" s="153"/>
      <c r="H446" s="153"/>
      <c r="I446" s="153"/>
      <c r="J446" s="153"/>
      <c r="K446" s="153"/>
      <c r="L446" s="153"/>
      <c r="M446" s="153"/>
      <c r="N446" s="153"/>
      <c r="O446" s="153"/>
      <c r="P446" s="153"/>
      <c r="Q446" s="153"/>
      <c r="R446" s="153"/>
      <c r="S446" s="153"/>
      <c r="T446" s="153"/>
      <c r="U446" s="153"/>
      <c r="V446" s="153"/>
      <c r="W446" s="153"/>
      <c r="X446" s="153"/>
      <c r="Y446" s="153"/>
      <c r="Z446" s="149"/>
      <c r="AA446" s="149"/>
      <c r="AB446" s="149"/>
      <c r="AC446" s="149"/>
      <c r="AD446" s="149"/>
      <c r="AE446" s="149"/>
      <c r="AF446" s="149"/>
    </row>
    <row r="447" spans="2:32" s="148" customFormat="1" hidden="1">
      <c r="B447" s="154"/>
      <c r="C447" s="154"/>
      <c r="D447" s="154"/>
      <c r="E447" s="154"/>
      <c r="F447" s="154"/>
      <c r="G447" s="154"/>
      <c r="H447" s="154"/>
      <c r="I447" s="154"/>
      <c r="J447" s="154"/>
      <c r="K447" s="154"/>
      <c r="L447" s="154"/>
      <c r="M447" s="154"/>
      <c r="N447" s="154"/>
      <c r="O447" s="154"/>
      <c r="P447" s="154"/>
      <c r="Q447" s="154"/>
      <c r="R447" s="154"/>
      <c r="S447" s="154"/>
      <c r="T447" s="154"/>
      <c r="U447" s="154"/>
      <c r="V447" s="154"/>
      <c r="W447" s="154"/>
      <c r="X447" s="154"/>
      <c r="Y447" s="154"/>
      <c r="Z447" s="149"/>
      <c r="AA447" s="149"/>
      <c r="AB447" s="149"/>
      <c r="AC447" s="149"/>
      <c r="AD447" s="149"/>
      <c r="AE447" s="149"/>
      <c r="AF447" s="149"/>
    </row>
    <row r="448" spans="2:32" s="148" customFormat="1" hidden="1">
      <c r="B448" s="338" t="str">
        <f>Settings!$N$15</f>
        <v>Previously agreed actions</v>
      </c>
      <c r="C448" s="339"/>
      <c r="D448" s="339"/>
      <c r="E448" s="339"/>
      <c r="F448" s="339"/>
      <c r="G448" s="339"/>
      <c r="H448" s="339"/>
      <c r="I448" s="339"/>
      <c r="J448" s="339"/>
      <c r="K448" s="339"/>
      <c r="L448" s="339"/>
      <c r="M448" s="339"/>
      <c r="N448" s="339"/>
      <c r="O448" s="339"/>
      <c r="P448" s="339"/>
      <c r="Q448" s="339"/>
      <c r="R448" s="339"/>
      <c r="S448" s="339"/>
      <c r="T448" s="339"/>
      <c r="U448" s="339"/>
      <c r="V448" s="339"/>
      <c r="W448" s="339"/>
      <c r="X448" s="339"/>
      <c r="Y448" s="340"/>
      <c r="Z448" s="149"/>
      <c r="AA448" s="149"/>
      <c r="AB448" s="149"/>
      <c r="AC448" s="149"/>
      <c r="AD448" s="149"/>
      <c r="AE448" s="149"/>
      <c r="AF448" s="149"/>
    </row>
    <row r="449" spans="1:32" s="148" customFormat="1" hidden="1">
      <c r="B449" s="341" t="e">
        <f>IF(INDEX(TblDatabase[Feedback Does Well],MATCH(1,INDEX(($L$4=ListEmployeeNamesInDatabase)*(C417=TblDatabase[Year]),0,1),0))="","",INDEX(TblDatabase[Feedback Does Well],MATCH(1,INDEX(($L$4=ListEmployeeNamesInDatabase)*(C417=TblDatabase[Year]),0,1),0)))</f>
        <v>#N/A</v>
      </c>
      <c r="C449" s="342"/>
      <c r="D449" s="342"/>
      <c r="E449" s="342"/>
      <c r="F449" s="342"/>
      <c r="G449" s="342"/>
      <c r="H449" s="342"/>
      <c r="I449" s="342"/>
      <c r="J449" s="342"/>
      <c r="K449" s="342"/>
      <c r="L449" s="342"/>
      <c r="M449" s="342"/>
      <c r="N449" s="342"/>
      <c r="O449" s="342"/>
      <c r="P449" s="342"/>
      <c r="Q449" s="342"/>
      <c r="R449" s="342"/>
      <c r="S449" s="342"/>
      <c r="T449" s="342"/>
      <c r="U449" s="342"/>
      <c r="V449" s="342"/>
      <c r="W449" s="342"/>
      <c r="X449" s="342"/>
      <c r="Y449" s="343"/>
      <c r="Z449" s="149"/>
      <c r="AA449" s="149"/>
      <c r="AB449" s="149"/>
      <c r="AC449" s="149"/>
      <c r="AD449" s="149"/>
      <c r="AE449" s="149"/>
      <c r="AF449" s="149"/>
    </row>
    <row r="450" spans="1:32" s="148" customFormat="1" hidden="1">
      <c r="B450" s="344"/>
      <c r="C450" s="345"/>
      <c r="D450" s="345"/>
      <c r="E450" s="345"/>
      <c r="F450" s="345"/>
      <c r="G450" s="345"/>
      <c r="H450" s="345"/>
      <c r="I450" s="345"/>
      <c r="J450" s="345"/>
      <c r="K450" s="345"/>
      <c r="L450" s="345"/>
      <c r="M450" s="345"/>
      <c r="N450" s="345"/>
      <c r="O450" s="345"/>
      <c r="P450" s="345"/>
      <c r="Q450" s="345"/>
      <c r="R450" s="345"/>
      <c r="S450" s="345"/>
      <c r="T450" s="345"/>
      <c r="U450" s="345"/>
      <c r="V450" s="345"/>
      <c r="W450" s="345"/>
      <c r="X450" s="345"/>
      <c r="Y450" s="346"/>
      <c r="Z450" s="149"/>
      <c r="AA450" s="149"/>
      <c r="AB450" s="149"/>
      <c r="AC450" s="149"/>
      <c r="AD450" s="149"/>
      <c r="AE450" s="149"/>
      <c r="AF450" s="149"/>
    </row>
    <row r="451" spans="1:32" s="148" customFormat="1" hidden="1">
      <c r="B451" s="347"/>
      <c r="C451" s="348"/>
      <c r="D451" s="348"/>
      <c r="E451" s="348"/>
      <c r="F451" s="348"/>
      <c r="G451" s="348"/>
      <c r="H451" s="348"/>
      <c r="I451" s="348"/>
      <c r="J451" s="348"/>
      <c r="K451" s="348"/>
      <c r="L451" s="348"/>
      <c r="M451" s="348"/>
      <c r="N451" s="348"/>
      <c r="O451" s="348"/>
      <c r="P451" s="348"/>
      <c r="Q451" s="348"/>
      <c r="R451" s="348"/>
      <c r="S451" s="348"/>
      <c r="T451" s="348"/>
      <c r="U451" s="348"/>
      <c r="V451" s="348"/>
      <c r="W451" s="348"/>
      <c r="X451" s="348"/>
      <c r="Y451" s="349"/>
      <c r="Z451" s="149"/>
      <c r="AA451" s="149"/>
      <c r="AB451" s="149"/>
      <c r="AC451" s="149"/>
      <c r="AD451" s="149"/>
      <c r="AE451" s="149"/>
      <c r="AF451" s="149"/>
    </row>
    <row r="452" spans="1:32" s="148" customFormat="1" hidden="1">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49"/>
      <c r="AA452" s="149"/>
      <c r="AB452" s="149"/>
      <c r="AC452" s="149"/>
      <c r="AD452" s="149"/>
      <c r="AE452" s="149"/>
      <c r="AF452" s="149"/>
    </row>
    <row r="453" spans="1:32" s="148" customFormat="1" hidden="1">
      <c r="B453" s="338" t="str">
        <f>Settings!$N$16</f>
        <v>Actions agreed during this review</v>
      </c>
      <c r="C453" s="339"/>
      <c r="D453" s="339"/>
      <c r="E453" s="339"/>
      <c r="F453" s="339"/>
      <c r="G453" s="339"/>
      <c r="H453" s="339"/>
      <c r="I453" s="339"/>
      <c r="J453" s="339"/>
      <c r="K453" s="339"/>
      <c r="L453" s="339"/>
      <c r="M453" s="339"/>
      <c r="N453" s="339"/>
      <c r="O453" s="339"/>
      <c r="P453" s="339"/>
      <c r="Q453" s="339"/>
      <c r="R453" s="339"/>
      <c r="S453" s="339"/>
      <c r="T453" s="339"/>
      <c r="U453" s="339"/>
      <c r="V453" s="339"/>
      <c r="W453" s="339"/>
      <c r="X453" s="339"/>
      <c r="Y453" s="340"/>
      <c r="Z453" s="149"/>
      <c r="AA453" s="149"/>
      <c r="AB453" s="149"/>
      <c r="AC453" s="149"/>
      <c r="AD453" s="149"/>
      <c r="AE453" s="149"/>
      <c r="AF453" s="149"/>
    </row>
    <row r="454" spans="1:32" s="148" customFormat="1" hidden="1">
      <c r="B454" s="341" t="e">
        <f>IF(INDEX(TblDatabase[Feedback To Improve],MATCH(1,INDEX(($L$4=ListEmployeeNamesInDatabase)*(C417=TblDatabase[Year]),0,1),0))="","",INDEX(TblDatabase[Feedback To Improve],MATCH(1,INDEX(($L$4=ListEmployeeNamesInDatabase)*(C417=TblDatabase[Year]),0,1),0)))</f>
        <v>#N/A</v>
      </c>
      <c r="C454" s="342"/>
      <c r="D454" s="342"/>
      <c r="E454" s="342"/>
      <c r="F454" s="342"/>
      <c r="G454" s="342"/>
      <c r="H454" s="342"/>
      <c r="I454" s="342"/>
      <c r="J454" s="342"/>
      <c r="K454" s="342"/>
      <c r="L454" s="342"/>
      <c r="M454" s="342"/>
      <c r="N454" s="342"/>
      <c r="O454" s="342"/>
      <c r="P454" s="342"/>
      <c r="Q454" s="342"/>
      <c r="R454" s="342"/>
      <c r="S454" s="342"/>
      <c r="T454" s="342"/>
      <c r="U454" s="342"/>
      <c r="V454" s="342"/>
      <c r="W454" s="342"/>
      <c r="X454" s="342"/>
      <c r="Y454" s="343"/>
      <c r="Z454" s="149"/>
      <c r="AA454" s="149"/>
      <c r="AB454" s="149"/>
      <c r="AC454" s="149"/>
      <c r="AD454" s="149"/>
      <c r="AE454" s="149"/>
      <c r="AF454" s="149"/>
    </row>
    <row r="455" spans="1:32" s="148" customFormat="1" hidden="1">
      <c r="B455" s="344"/>
      <c r="C455" s="345"/>
      <c r="D455" s="345"/>
      <c r="E455" s="345"/>
      <c r="F455" s="345"/>
      <c r="G455" s="345"/>
      <c r="H455" s="345"/>
      <c r="I455" s="345"/>
      <c r="J455" s="345"/>
      <c r="K455" s="345"/>
      <c r="L455" s="345"/>
      <c r="M455" s="345"/>
      <c r="N455" s="345"/>
      <c r="O455" s="345"/>
      <c r="P455" s="345"/>
      <c r="Q455" s="345"/>
      <c r="R455" s="345"/>
      <c r="S455" s="345"/>
      <c r="T455" s="345"/>
      <c r="U455" s="345"/>
      <c r="V455" s="345"/>
      <c r="W455" s="345"/>
      <c r="X455" s="345"/>
      <c r="Y455" s="346"/>
      <c r="Z455" s="149"/>
      <c r="AA455" s="149"/>
      <c r="AB455" s="149"/>
      <c r="AC455" s="149"/>
      <c r="AD455" s="149"/>
      <c r="AE455" s="149"/>
      <c r="AF455" s="149"/>
    </row>
    <row r="456" spans="1:32" s="148" customFormat="1" hidden="1">
      <c r="B456" s="347"/>
      <c r="C456" s="348"/>
      <c r="D456" s="348"/>
      <c r="E456" s="348"/>
      <c r="F456" s="348"/>
      <c r="G456" s="348"/>
      <c r="H456" s="348"/>
      <c r="I456" s="348"/>
      <c r="J456" s="348"/>
      <c r="K456" s="348"/>
      <c r="L456" s="348"/>
      <c r="M456" s="348"/>
      <c r="N456" s="348"/>
      <c r="O456" s="348"/>
      <c r="P456" s="348"/>
      <c r="Q456" s="348"/>
      <c r="R456" s="348"/>
      <c r="S456" s="348"/>
      <c r="T456" s="348"/>
      <c r="U456" s="348"/>
      <c r="V456" s="348"/>
      <c r="W456" s="348"/>
      <c r="X456" s="348"/>
      <c r="Y456" s="349"/>
      <c r="Z456" s="149"/>
      <c r="AA456" s="149"/>
      <c r="AB456" s="149"/>
      <c r="AC456" s="149"/>
      <c r="AD456" s="149"/>
      <c r="AE456" s="149"/>
      <c r="AF456" s="149"/>
    </row>
    <row r="457" spans="1:32" s="148" customFormat="1" hidden="1">
      <c r="B457" s="156"/>
      <c r="C457" s="156"/>
      <c r="D457" s="156"/>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49"/>
      <c r="AA457" s="149"/>
      <c r="AB457" s="149"/>
      <c r="AC457" s="149"/>
      <c r="AD457" s="149"/>
      <c r="AE457" s="149"/>
      <c r="AF457" s="149"/>
    </row>
    <row r="458" spans="1:32" s="148" customFormat="1" hidden="1">
      <c r="A458" s="150">
        <f>A417+1</f>
        <v>11</v>
      </c>
      <c r="B458" s="27" t="s">
        <v>14</v>
      </c>
      <c r="C458" s="333">
        <f>C417-1</f>
        <v>2010</v>
      </c>
      <c r="D458" s="334"/>
      <c r="Y458" s="149"/>
      <c r="Z458" s="149"/>
      <c r="AA458" s="149"/>
      <c r="AB458" s="149"/>
      <c r="AC458" s="149"/>
      <c r="AD458" s="149"/>
      <c r="AE458" s="149"/>
      <c r="AF458" s="149"/>
    </row>
    <row r="459" spans="1:32" s="148" customFormat="1" hidden="1">
      <c r="Y459" s="149"/>
      <c r="Z459" s="149"/>
      <c r="AA459" s="149"/>
      <c r="AB459" s="149"/>
      <c r="AC459" s="149"/>
      <c r="AD459" s="149"/>
      <c r="AE459" s="149"/>
      <c r="AF459" s="149"/>
    </row>
    <row r="460" spans="1:32" s="148" customFormat="1" hidden="1">
      <c r="B460" s="338" t="str">
        <f>Settings!$N$14</f>
        <v>Employee's comments</v>
      </c>
      <c r="C460" s="339"/>
      <c r="D460" s="339"/>
      <c r="E460" s="339"/>
      <c r="F460" s="339"/>
      <c r="G460" s="339"/>
      <c r="H460" s="339"/>
      <c r="I460" s="339"/>
      <c r="J460" s="339"/>
      <c r="K460" s="339"/>
      <c r="L460" s="339"/>
      <c r="M460" s="339"/>
      <c r="N460" s="339"/>
      <c r="O460" s="339"/>
      <c r="P460" s="339"/>
      <c r="Q460" s="339"/>
      <c r="R460" s="339"/>
      <c r="S460" s="339"/>
      <c r="T460" s="339"/>
      <c r="U460" s="339"/>
      <c r="V460" s="339"/>
      <c r="W460" s="339"/>
      <c r="X460" s="339"/>
      <c r="Y460" s="340"/>
      <c r="Z460" s="149"/>
      <c r="AA460" s="149"/>
      <c r="AB460" s="149"/>
      <c r="AC460" s="149"/>
      <c r="AD460" s="149"/>
      <c r="AE460" s="149"/>
      <c r="AF460" s="149"/>
    </row>
    <row r="461" spans="1:32" s="148" customFormat="1" hidden="1">
      <c r="B461" s="341" t="e">
        <f>IF(INDEX(TblDatabase[Feedback Warnings],MATCH(1,INDEX(($L$4=ListEmployeeNamesInDatabase)*(C458=TblDatabase[Year]),0,1),0))="","",INDEX(TblDatabase[Feedback Warnings],MATCH(1,INDEX(($L$4=ListEmployeeNamesInDatabase)*(C458=TblDatabase[Year]),0,1),0)))</f>
        <v>#N/A</v>
      </c>
      <c r="C461" s="342"/>
      <c r="D461" s="342"/>
      <c r="E461" s="342"/>
      <c r="F461" s="342"/>
      <c r="G461" s="342"/>
      <c r="H461" s="342"/>
      <c r="I461" s="342"/>
      <c r="J461" s="342"/>
      <c r="K461" s="342"/>
      <c r="L461" s="342"/>
      <c r="M461" s="342"/>
      <c r="N461" s="342"/>
      <c r="O461" s="342"/>
      <c r="P461" s="342"/>
      <c r="Q461" s="342"/>
      <c r="R461" s="342"/>
      <c r="S461" s="342"/>
      <c r="T461" s="342"/>
      <c r="U461" s="342"/>
      <c r="V461" s="342"/>
      <c r="W461" s="342"/>
      <c r="X461" s="342"/>
      <c r="Y461" s="343"/>
      <c r="Z461" s="149"/>
      <c r="AA461" s="149"/>
      <c r="AB461" s="149"/>
      <c r="AC461" s="149"/>
      <c r="AD461" s="149"/>
      <c r="AE461" s="149"/>
      <c r="AF461" s="149"/>
    </row>
    <row r="462" spans="1:32" s="148" customFormat="1" hidden="1">
      <c r="B462" s="344"/>
      <c r="C462" s="345"/>
      <c r="D462" s="345"/>
      <c r="E462" s="345"/>
      <c r="F462" s="345"/>
      <c r="G462" s="345"/>
      <c r="H462" s="345"/>
      <c r="I462" s="345"/>
      <c r="J462" s="345"/>
      <c r="K462" s="345"/>
      <c r="L462" s="345"/>
      <c r="M462" s="345"/>
      <c r="N462" s="345"/>
      <c r="O462" s="345"/>
      <c r="P462" s="345"/>
      <c r="Q462" s="345"/>
      <c r="R462" s="345"/>
      <c r="S462" s="345"/>
      <c r="T462" s="345"/>
      <c r="U462" s="345"/>
      <c r="V462" s="345"/>
      <c r="W462" s="345"/>
      <c r="X462" s="345"/>
      <c r="Y462" s="346"/>
      <c r="Z462" s="149"/>
      <c r="AA462" s="149"/>
      <c r="AB462" s="149"/>
      <c r="AC462" s="149"/>
      <c r="AD462" s="149"/>
      <c r="AE462" s="149"/>
      <c r="AF462" s="149"/>
    </row>
    <row r="463" spans="1:32" s="148" customFormat="1" hidden="1">
      <c r="B463" s="347"/>
      <c r="C463" s="348"/>
      <c r="D463" s="348"/>
      <c r="E463" s="348"/>
      <c r="F463" s="348"/>
      <c r="G463" s="348"/>
      <c r="H463" s="348"/>
      <c r="I463" s="348"/>
      <c r="J463" s="348"/>
      <c r="K463" s="348"/>
      <c r="L463" s="348"/>
      <c r="M463" s="348"/>
      <c r="N463" s="348"/>
      <c r="O463" s="348"/>
      <c r="P463" s="348"/>
      <c r="Q463" s="348"/>
      <c r="R463" s="348"/>
      <c r="S463" s="348"/>
      <c r="T463" s="348"/>
      <c r="U463" s="348"/>
      <c r="V463" s="348"/>
      <c r="W463" s="348"/>
      <c r="X463" s="348"/>
      <c r="Y463" s="349"/>
      <c r="Z463" s="149"/>
      <c r="AA463" s="149"/>
      <c r="AB463" s="149"/>
      <c r="AC463" s="149"/>
      <c r="AD463" s="149"/>
      <c r="AE463" s="149"/>
      <c r="AF463" s="149"/>
    </row>
    <row r="464" spans="1:32" s="148" customFormat="1" hidden="1">
      <c r="Y464" s="149"/>
      <c r="Z464" s="149"/>
      <c r="AA464" s="149"/>
      <c r="AB464" s="149"/>
      <c r="AC464" s="149"/>
      <c r="AD464" s="149"/>
      <c r="AE464" s="149"/>
      <c r="AF464" s="149"/>
    </row>
    <row r="465" spans="2:32" s="148" customFormat="1" ht="15" hidden="1" customHeight="1">
      <c r="B465" s="320" t="s">
        <v>8</v>
      </c>
      <c r="C465" s="321"/>
      <c r="D465" s="321"/>
      <c r="E465" s="321"/>
      <c r="F465" s="233">
        <f>IF(Settings!$M$4=Settings!$Y$3,Settings!$O$19,1)</f>
        <v>1</v>
      </c>
      <c r="G465" s="234">
        <f>IF(Settings!$M$4=Settings!$Y$3,Settings!$O$19,2)</f>
        <v>2</v>
      </c>
      <c r="H465" s="234">
        <f>IF(Settings!$M$4=Settings!$Y$3,Settings!$O$19,3)</f>
        <v>3</v>
      </c>
      <c r="I465" s="234">
        <f>IF(Settings!$M$4=Settings!$Y$3,Settings!$O$19,4)</f>
        <v>4</v>
      </c>
      <c r="J465" s="234">
        <f>IF(Settings!$M$4=Settings!$Y$3,Settings!$O$20,5)</f>
        <v>5</v>
      </c>
      <c r="K465" s="234">
        <f>IF(Settings!$M$4=Settings!$Y$3,Settings!$O$20,6)</f>
        <v>6</v>
      </c>
      <c r="L465" s="234">
        <f>IF(Settings!$M$4=Settings!$Y$3,Settings!$O$20,7)</f>
        <v>7</v>
      </c>
      <c r="M465" s="234">
        <f>IF(Settings!$M$4=Settings!$Y$3,Settings!$O$20,8)</f>
        <v>8</v>
      </c>
      <c r="N465" s="234">
        <f>IF(Settings!$M$4=Settings!$Y$3,Settings!$O$21,9)</f>
        <v>9</v>
      </c>
      <c r="O465" s="235">
        <f>IF(Settings!$M$4=Settings!$Y$3,Settings!$O$21,10)</f>
        <v>10</v>
      </c>
      <c r="P465" s="22"/>
      <c r="Q465" s="22"/>
      <c r="R465" s="333" t="s">
        <v>24</v>
      </c>
      <c r="S465" s="333"/>
      <c r="T465" s="333"/>
      <c r="U465" s="333"/>
      <c r="V465" s="333"/>
      <c r="W465" s="333"/>
      <c r="X465" s="333"/>
      <c r="Y465" s="334"/>
      <c r="Z465" s="149"/>
      <c r="AA465" s="149"/>
      <c r="AB465" s="149"/>
      <c r="AC465" s="149"/>
      <c r="AD465" s="149"/>
      <c r="AE465" s="149"/>
      <c r="AF465" s="149"/>
    </row>
    <row r="466" spans="2:32" s="148" customFormat="1" ht="15" hidden="1" customHeight="1">
      <c r="B466" s="335" t="str">
        <f t="shared" ref="B466:B485" si="10">B425</f>
        <v>Quality of Work</v>
      </c>
      <c r="C466" s="336"/>
      <c r="D466" s="336"/>
      <c r="E466" s="337"/>
      <c r="F466" s="162" t="str">
        <f>IF(Settings!$M$4=Settings!$Y$3,IF($AA466=1,"P",""),IF($AA466=1,"P",""))</f>
        <v/>
      </c>
      <c r="G466" s="160" t="str">
        <f>IF(Settings!$M$4=Settings!$Y$3,IF($AA466=1,"P",""),IF($AA466=2,"P",""))</f>
        <v/>
      </c>
      <c r="H466" s="160" t="str">
        <f>IF(Settings!$M$4=Settings!$Y$3,IF($AA466=1,"P",""),IF($AA466=3,"P",""))</f>
        <v/>
      </c>
      <c r="I466" s="160" t="str">
        <f>IF(Settings!$M$4=Settings!$Y$3,IF($AA466=1,"P",""),IF($AA466=4,"P",""))</f>
        <v/>
      </c>
      <c r="J466" s="160" t="str">
        <f>IF(Settings!$M$4=Settings!$Y$3,IF($AA466=2,"P",""),IF($AA466=5,"P",""))</f>
        <v/>
      </c>
      <c r="K466" s="160" t="str">
        <f>IF(Settings!$M$4=Settings!$Y$3,IF($AA466=2,"P",""),IF($AA466=6,"P",""))</f>
        <v/>
      </c>
      <c r="L466" s="160" t="str">
        <f>IF(Settings!$M$4=Settings!$Y$3,IF($AA466=2,"P",""),IF($AA466=7,"P",""))</f>
        <v/>
      </c>
      <c r="M466" s="160" t="str">
        <f>IF(Settings!$M$4=Settings!$Y$3,IF($AA466=2,"P",""),IF($AA466=8,"P",""))</f>
        <v/>
      </c>
      <c r="N466" s="160" t="str">
        <f>IF(Settings!$M$4=Settings!$Y$3,IF($AA466=3,"P",""),IF($AA466=9,"P",""))</f>
        <v/>
      </c>
      <c r="O466" s="161" t="str">
        <f>IF(Settings!$M$4=Settings!$Y$3,IF($AA466=3,"P",""),IF($AA466=10,"P",""))</f>
        <v/>
      </c>
      <c r="P466" s="22"/>
      <c r="Q466" s="22"/>
      <c r="R466" s="367" t="e">
        <f>IF(INDEX(TblDatabase[Comment1],MATCH(1,INDEX(($L$4=ListEmployeeNamesInDatabase)*(C458=TblDatabase[Year]),0,1),0))="","",INDEX(TblDatabase[Comment1],MATCH(1,INDEX(($L$4=ListEmployeeNamesInDatabase)*(C458=TblDatabase[Year]),0,1),0)))</f>
        <v>#N/A</v>
      </c>
      <c r="S466" s="367"/>
      <c r="T466" s="367"/>
      <c r="U466" s="367"/>
      <c r="V466" s="367"/>
      <c r="W466" s="367"/>
      <c r="X466" s="367"/>
      <c r="Y466" s="368"/>
      <c r="Z466" s="149"/>
      <c r="AA466" s="151">
        <f>SUMIFS(TblDatabase[Competency1],ListEmployeeNamesInDatabase,$L$4,TblDatabase[Year],C458)</f>
        <v>0</v>
      </c>
      <c r="AB466" s="149"/>
      <c r="AC466" s="149"/>
      <c r="AD466" s="149"/>
      <c r="AE466" s="149"/>
      <c r="AF466" s="149"/>
    </row>
    <row r="467" spans="2:32" s="148" customFormat="1" ht="15" hidden="1" customHeight="1">
      <c r="B467" s="355" t="str">
        <f t="shared" si="10"/>
        <v>CaLL flow</v>
      </c>
      <c r="C467" s="356"/>
      <c r="D467" s="356"/>
      <c r="E467" s="357"/>
      <c r="F467" s="163" t="str">
        <f>IF(Settings!$M$4=Settings!$Y$3,IF($AA467=1,"P",""),IF($AA467=1,"P",""))</f>
        <v/>
      </c>
      <c r="G467" s="164" t="str">
        <f>IF(Settings!$M$4=Settings!$Y$3,IF($AA467=1,"P",""),IF($AA467=2,"P",""))</f>
        <v/>
      </c>
      <c r="H467" s="164" t="str">
        <f>IF(Settings!$M$4=Settings!$Y$3,IF($AA467=1,"P",""),IF($AA467=3,"P",""))</f>
        <v/>
      </c>
      <c r="I467" s="164" t="str">
        <f>IF(Settings!$M$4=Settings!$Y$3,IF($AA467=1,"P",""),IF($AA467=4,"P",""))</f>
        <v/>
      </c>
      <c r="J467" s="164" t="str">
        <f>IF(Settings!$M$4=Settings!$Y$3,IF($AA467=2,"P",""),IF($AA467=5,"P",""))</f>
        <v/>
      </c>
      <c r="K467" s="164" t="str">
        <f>IF(Settings!$M$4=Settings!$Y$3,IF($AA467=2,"P",""),IF($AA467=6,"P",""))</f>
        <v/>
      </c>
      <c r="L467" s="164" t="str">
        <f>IF(Settings!$M$4=Settings!$Y$3,IF($AA467=2,"P",""),IF($AA467=7,"P",""))</f>
        <v/>
      </c>
      <c r="M467" s="164" t="str">
        <f>IF(Settings!$M$4=Settings!$Y$3,IF($AA467=2,"P",""),IF($AA467=8,"P",""))</f>
        <v/>
      </c>
      <c r="N467" s="164" t="str">
        <f>IF(Settings!$M$4=Settings!$Y$3,IF($AA467=3,"P",""),IF($AA467=9,"P",""))</f>
        <v/>
      </c>
      <c r="O467" s="165" t="str">
        <f>IF(Settings!$M$4=Settings!$Y$3,IF($AA467=3,"P",""),IF($AA467=10,"P",""))</f>
        <v/>
      </c>
      <c r="P467" s="22"/>
      <c r="Q467" s="22"/>
      <c r="R467" s="360" t="e">
        <f>IF(INDEX(TblDatabase[Comment2],MATCH(1,INDEX(($L$4=ListEmployeeNamesInDatabase)*(C458=TblDatabase[Year]),0,1),0))="","",INDEX(TblDatabase[Comment2],MATCH(1,INDEX(($L$4=ListEmployeeNamesInDatabase)*(C458=TblDatabase[Year]),0,1),0)))</f>
        <v>#N/A</v>
      </c>
      <c r="S467" s="360"/>
      <c r="T467" s="360"/>
      <c r="U467" s="360"/>
      <c r="V467" s="360"/>
      <c r="W467" s="360"/>
      <c r="X467" s="360"/>
      <c r="Y467" s="361"/>
      <c r="Z467" s="149"/>
      <c r="AA467" s="151">
        <f>SUMIFS(TblDatabase[Competency2],ListEmployeeNamesInDatabase,$L$4,TblDatabase[Year],C458)</f>
        <v>0</v>
      </c>
      <c r="AB467" s="149"/>
      <c r="AC467" s="149"/>
      <c r="AD467" s="149"/>
      <c r="AE467" s="149"/>
      <c r="AF467" s="149"/>
    </row>
    <row r="468" spans="2:32" s="148" customFormat="1" ht="15" hidden="1" customHeight="1">
      <c r="B468" s="350" t="str">
        <f t="shared" si="10"/>
        <v>Job Knowledge</v>
      </c>
      <c r="C468" s="351"/>
      <c r="D468" s="351"/>
      <c r="E468" s="352"/>
      <c r="F468" s="157" t="str">
        <f>IF(Settings!$M$4=Settings!$Y$3,IF($AA468=1,"P",""),IF($AA468=1,"P",""))</f>
        <v/>
      </c>
      <c r="G468" s="158" t="str">
        <f>IF(Settings!$M$4=Settings!$Y$3,IF($AA468=1,"P",""),IF($AA468=2,"P",""))</f>
        <v/>
      </c>
      <c r="H468" s="158" t="str">
        <f>IF(Settings!$M$4=Settings!$Y$3,IF($AA468=1,"P",""),IF($AA468=3,"P",""))</f>
        <v/>
      </c>
      <c r="I468" s="158" t="str">
        <f>IF(Settings!$M$4=Settings!$Y$3,IF($AA468=1,"P",""),IF($AA468=4,"P",""))</f>
        <v/>
      </c>
      <c r="J468" s="158" t="str">
        <f>IF(Settings!$M$4=Settings!$Y$3,IF($AA468=2,"P",""),IF($AA468=5,"P",""))</f>
        <v/>
      </c>
      <c r="K468" s="158" t="str">
        <f>IF(Settings!$M$4=Settings!$Y$3,IF($AA468=2,"P",""),IF($AA468=6,"P",""))</f>
        <v/>
      </c>
      <c r="L468" s="158" t="str">
        <f>IF(Settings!$M$4=Settings!$Y$3,IF($AA468=2,"P",""),IF($AA468=7,"P",""))</f>
        <v/>
      </c>
      <c r="M468" s="158" t="str">
        <f>IF(Settings!$M$4=Settings!$Y$3,IF($AA468=2,"P",""),IF($AA468=8,"P",""))</f>
        <v/>
      </c>
      <c r="N468" s="158" t="str">
        <f>IF(Settings!$M$4=Settings!$Y$3,IF($AA468=3,"P",""),IF($AA468=9,"P",""))</f>
        <v/>
      </c>
      <c r="O468" s="159" t="str">
        <f>IF(Settings!$M$4=Settings!$Y$3,IF($AA468=3,"P",""),IF($AA468=10,"P",""))</f>
        <v/>
      </c>
      <c r="P468" s="22"/>
      <c r="Q468" s="22"/>
      <c r="R468" s="353" t="e">
        <f>IF(INDEX(TblDatabase[Comment3],MATCH(1,INDEX(($L$4=ListEmployeeNamesInDatabase)*(C458=TblDatabase[Year]),0,1),0))="","",INDEX(TblDatabase[Comment3],MATCH(1,INDEX(($L$4=ListEmployeeNamesInDatabase)*(C458=TblDatabase[Year]),0,1),0)))</f>
        <v>#N/A</v>
      </c>
      <c r="S468" s="353"/>
      <c r="T468" s="353"/>
      <c r="U468" s="353"/>
      <c r="V468" s="353"/>
      <c r="W468" s="353"/>
      <c r="X468" s="353"/>
      <c r="Y468" s="354"/>
      <c r="Z468" s="149"/>
      <c r="AA468" s="151">
        <f>SUMIFS(TblDatabase[Competency3],ListEmployeeNamesInDatabase,$L$4,TblDatabase[Year],C458)</f>
        <v>0</v>
      </c>
      <c r="AB468" s="149"/>
      <c r="AC468" s="149"/>
      <c r="AD468" s="149"/>
      <c r="AE468" s="149"/>
      <c r="AF468" s="149"/>
    </row>
    <row r="469" spans="2:32" s="148" customFormat="1" ht="15" hidden="1" customHeight="1">
      <c r="B469" s="355" t="str">
        <f t="shared" si="10"/>
        <v>Client Service</v>
      </c>
      <c r="C469" s="356"/>
      <c r="D469" s="356"/>
      <c r="E469" s="357"/>
      <c r="F469" s="163" t="str">
        <f>IF(Settings!$M$4=Settings!$Y$3,IF($AA469=1,"P",""),IF($AA469=1,"P",""))</f>
        <v/>
      </c>
      <c r="G469" s="164" t="str">
        <f>IF(Settings!$M$4=Settings!$Y$3,IF($AA469=1,"P",""),IF($AA469=2,"P",""))</f>
        <v/>
      </c>
      <c r="H469" s="164" t="str">
        <f>IF(Settings!$M$4=Settings!$Y$3,IF($AA469=1,"P",""),IF($AA469=3,"P",""))</f>
        <v/>
      </c>
      <c r="I469" s="164" t="str">
        <f>IF(Settings!$M$4=Settings!$Y$3,IF($AA469=1,"P",""),IF($AA469=4,"P",""))</f>
        <v/>
      </c>
      <c r="J469" s="164" t="str">
        <f>IF(Settings!$M$4=Settings!$Y$3,IF($AA469=2,"P",""),IF($AA469=5,"P",""))</f>
        <v/>
      </c>
      <c r="K469" s="164" t="str">
        <f>IF(Settings!$M$4=Settings!$Y$3,IF($AA469=2,"P",""),IF($AA469=6,"P",""))</f>
        <v/>
      </c>
      <c r="L469" s="164" t="str">
        <f>IF(Settings!$M$4=Settings!$Y$3,IF($AA469=2,"P",""),IF($AA469=7,"P",""))</f>
        <v/>
      </c>
      <c r="M469" s="164" t="str">
        <f>IF(Settings!$M$4=Settings!$Y$3,IF($AA469=2,"P",""),IF($AA469=8,"P",""))</f>
        <v/>
      </c>
      <c r="N469" s="164" t="str">
        <f>IF(Settings!$M$4=Settings!$Y$3,IF($AA469=3,"P",""),IF($AA469=9,"P",""))</f>
        <v/>
      </c>
      <c r="O469" s="165" t="str">
        <f>IF(Settings!$M$4=Settings!$Y$3,IF($AA469=3,"P",""),IF($AA469=10,"P",""))</f>
        <v/>
      </c>
      <c r="P469" s="22"/>
      <c r="Q469" s="22"/>
      <c r="R469" s="360" t="e">
        <f>IF(INDEX(TblDatabase[Comment4],MATCH(1,INDEX(($L$4=ListEmployeeNamesInDatabase)*(C458=TblDatabase[Year]),0,1),0))="","",INDEX(TblDatabase[Comment4],MATCH(1,INDEX(($L$4=ListEmployeeNamesInDatabase)*(C458=TblDatabase[Year]),0,1),0)))</f>
        <v>#N/A</v>
      </c>
      <c r="S469" s="360"/>
      <c r="T469" s="360"/>
      <c r="U469" s="360"/>
      <c r="V469" s="360"/>
      <c r="W469" s="360"/>
      <c r="X469" s="360"/>
      <c r="Y469" s="361"/>
      <c r="Z469" s="149"/>
      <c r="AA469" s="151">
        <f>SUMIFS(TblDatabase[Competency4],ListEmployeeNamesInDatabase,$L$4,TblDatabase[Year],C458)</f>
        <v>0</v>
      </c>
      <c r="AB469" s="149"/>
      <c r="AC469" s="149"/>
      <c r="AD469" s="149"/>
      <c r="AE469" s="149"/>
      <c r="AF469" s="149"/>
    </row>
    <row r="470" spans="2:32" s="148" customFormat="1" ht="15" hidden="1" customHeight="1">
      <c r="B470" s="350" t="str">
        <f t="shared" si="10"/>
        <v>Teamwork</v>
      </c>
      <c r="C470" s="351"/>
      <c r="D470" s="351"/>
      <c r="E470" s="352"/>
      <c r="F470" s="157" t="str">
        <f>IF(Settings!$M$4=Settings!$Y$3,IF($AA470=1,"P",""),IF($AA470=1,"P",""))</f>
        <v/>
      </c>
      <c r="G470" s="158" t="str">
        <f>IF(Settings!$M$4=Settings!$Y$3,IF($AA470=1,"P",""),IF($AA470=2,"P",""))</f>
        <v/>
      </c>
      <c r="H470" s="158" t="str">
        <f>IF(Settings!$M$4=Settings!$Y$3,IF($AA470=1,"P",""),IF($AA470=3,"P",""))</f>
        <v/>
      </c>
      <c r="I470" s="158" t="str">
        <f>IF(Settings!$M$4=Settings!$Y$3,IF($AA470=1,"P",""),IF($AA470=4,"P",""))</f>
        <v/>
      </c>
      <c r="J470" s="158" t="str">
        <f>IF(Settings!$M$4=Settings!$Y$3,IF($AA470=2,"P",""),IF($AA470=5,"P",""))</f>
        <v/>
      </c>
      <c r="K470" s="158" t="str">
        <f>IF(Settings!$M$4=Settings!$Y$3,IF($AA470=2,"P",""),IF($AA470=6,"P",""))</f>
        <v/>
      </c>
      <c r="L470" s="158" t="str">
        <f>IF(Settings!$M$4=Settings!$Y$3,IF($AA470=2,"P",""),IF($AA470=7,"P",""))</f>
        <v/>
      </c>
      <c r="M470" s="158" t="str">
        <f>IF(Settings!$M$4=Settings!$Y$3,IF($AA470=2,"P",""),IF($AA470=8,"P",""))</f>
        <v/>
      </c>
      <c r="N470" s="158" t="str">
        <f>IF(Settings!$M$4=Settings!$Y$3,IF($AA470=3,"P",""),IF($AA470=9,"P",""))</f>
        <v/>
      </c>
      <c r="O470" s="159" t="str">
        <f>IF(Settings!$M$4=Settings!$Y$3,IF($AA470=3,"P",""),IF($AA470=10,"P",""))</f>
        <v/>
      </c>
      <c r="P470" s="22"/>
      <c r="Q470" s="22"/>
      <c r="R470" s="353" t="e">
        <f>IF(INDEX(TblDatabase[Comment5],MATCH(1,INDEX(($L$4=ListEmployeeNamesInDatabase)*(C458=TblDatabase[Year]),0,1),0))="","",INDEX(TblDatabase[Comment5],MATCH(1,INDEX(($L$4=ListEmployeeNamesInDatabase)*(C458=TblDatabase[Year]),0,1),0)))</f>
        <v>#N/A</v>
      </c>
      <c r="S470" s="353"/>
      <c r="T470" s="353"/>
      <c r="U470" s="353"/>
      <c r="V470" s="353"/>
      <c r="W470" s="353"/>
      <c r="X470" s="353"/>
      <c r="Y470" s="354"/>
      <c r="Z470" s="149"/>
      <c r="AA470" s="151">
        <f>SUMIFS(TblDatabase[Competency5],ListEmployeeNamesInDatabase,$L$4,TblDatabase[Year],C458)</f>
        <v>0</v>
      </c>
      <c r="AB470" s="149"/>
      <c r="AC470" s="149"/>
      <c r="AD470" s="149"/>
      <c r="AE470" s="149"/>
      <c r="AF470" s="149"/>
    </row>
    <row r="471" spans="2:32" s="148" customFormat="1" ht="15" hidden="1" customHeight="1">
      <c r="B471" s="355" t="str">
        <f t="shared" si="10"/>
        <v>Safety</v>
      </c>
      <c r="C471" s="356"/>
      <c r="D471" s="356"/>
      <c r="E471" s="357"/>
      <c r="F471" s="163" t="str">
        <f>IF(Settings!$M$4=Settings!$Y$3,IF($AA471=1,"P",""),IF($AA471=1,"P",""))</f>
        <v/>
      </c>
      <c r="G471" s="164" t="str">
        <f>IF(Settings!$M$4=Settings!$Y$3,IF($AA471=1,"P",""),IF($AA471=2,"P",""))</f>
        <v/>
      </c>
      <c r="H471" s="164" t="str">
        <f>IF(Settings!$M$4=Settings!$Y$3,IF($AA471=1,"P",""),IF($AA471=3,"P",""))</f>
        <v/>
      </c>
      <c r="I471" s="164" t="str">
        <f>IF(Settings!$M$4=Settings!$Y$3,IF($AA471=1,"P",""),IF($AA471=4,"P",""))</f>
        <v/>
      </c>
      <c r="J471" s="164" t="str">
        <f>IF(Settings!$M$4=Settings!$Y$3,IF($AA471=2,"P",""),IF($AA471=5,"P",""))</f>
        <v/>
      </c>
      <c r="K471" s="164" t="str">
        <f>IF(Settings!$M$4=Settings!$Y$3,IF($AA471=2,"P",""),IF($AA471=6,"P",""))</f>
        <v/>
      </c>
      <c r="L471" s="164" t="str">
        <f>IF(Settings!$M$4=Settings!$Y$3,IF($AA471=2,"P",""),IF($AA471=7,"P",""))</f>
        <v/>
      </c>
      <c r="M471" s="164" t="str">
        <f>IF(Settings!$M$4=Settings!$Y$3,IF($AA471=2,"P",""),IF($AA471=8,"P",""))</f>
        <v/>
      </c>
      <c r="N471" s="164" t="str">
        <f>IF(Settings!$M$4=Settings!$Y$3,IF($AA471=3,"P",""),IF($AA471=9,"P",""))</f>
        <v/>
      </c>
      <c r="O471" s="165" t="str">
        <f>IF(Settings!$M$4=Settings!$Y$3,IF($AA471=3,"P",""),IF($AA471=10,"P",""))</f>
        <v/>
      </c>
      <c r="P471" s="22"/>
      <c r="Q471" s="22"/>
      <c r="R471" s="360" t="e">
        <f>IF(INDEX(TblDatabase[Comment6],MATCH(1,INDEX(($L$4=ListEmployeeNamesInDatabase)*(C458=TblDatabase[Year]),0,1),0))="","",INDEX(TblDatabase[Comment6],MATCH(1,INDEX(($L$4=ListEmployeeNamesInDatabase)*(C458=TblDatabase[Year]),0,1),0)))</f>
        <v>#N/A</v>
      </c>
      <c r="S471" s="360"/>
      <c r="T471" s="360"/>
      <c r="U471" s="360"/>
      <c r="V471" s="360"/>
      <c r="W471" s="360"/>
      <c r="X471" s="360"/>
      <c r="Y471" s="361"/>
      <c r="Z471" s="149"/>
      <c r="AA471" s="151">
        <f>SUMIFS(TblDatabase[Competency6],ListEmployeeNamesInDatabase,$L$4,TblDatabase[Year],C458)</f>
        <v>0</v>
      </c>
      <c r="AB471" s="149"/>
      <c r="AC471" s="149"/>
      <c r="AD471" s="149"/>
      <c r="AE471" s="149"/>
      <c r="AF471" s="149"/>
    </row>
    <row r="472" spans="2:32" s="148" customFormat="1" ht="15" hidden="1" customHeight="1">
      <c r="B472" s="350" t="str">
        <f t="shared" si="10"/>
        <v>Reliability</v>
      </c>
      <c r="C472" s="351"/>
      <c r="D472" s="351"/>
      <c r="E472" s="352"/>
      <c r="F472" s="157" t="str">
        <f>IF(Settings!$M$4=Settings!$Y$3,IF($AA472=1,"P",""),IF($AA472=1,"P",""))</f>
        <v/>
      </c>
      <c r="G472" s="158" t="str">
        <f>IF(Settings!$M$4=Settings!$Y$3,IF($AA472=1,"P",""),IF($AA472=2,"P",""))</f>
        <v/>
      </c>
      <c r="H472" s="158" t="str">
        <f>IF(Settings!$M$4=Settings!$Y$3,IF($AA472=1,"P",""),IF($AA472=3,"P",""))</f>
        <v/>
      </c>
      <c r="I472" s="158" t="str">
        <f>IF(Settings!$M$4=Settings!$Y$3,IF($AA472=1,"P",""),IF($AA472=4,"P",""))</f>
        <v/>
      </c>
      <c r="J472" s="158" t="str">
        <f>IF(Settings!$M$4=Settings!$Y$3,IF($AA472=2,"P",""),IF($AA472=5,"P",""))</f>
        <v/>
      </c>
      <c r="K472" s="158" t="str">
        <f>IF(Settings!$M$4=Settings!$Y$3,IF($AA472=2,"P",""),IF($AA472=6,"P",""))</f>
        <v/>
      </c>
      <c r="L472" s="158" t="str">
        <f>IF(Settings!$M$4=Settings!$Y$3,IF($AA472=2,"P",""),IF($AA472=7,"P",""))</f>
        <v/>
      </c>
      <c r="M472" s="158" t="str">
        <f>IF(Settings!$M$4=Settings!$Y$3,IF($AA472=2,"P",""),IF($AA472=8,"P",""))</f>
        <v/>
      </c>
      <c r="N472" s="158" t="str">
        <f>IF(Settings!$M$4=Settings!$Y$3,IF($AA472=3,"P",""),IF($AA472=9,"P",""))</f>
        <v/>
      </c>
      <c r="O472" s="159" t="str">
        <f>IF(Settings!$M$4=Settings!$Y$3,IF($AA472=3,"P",""),IF($AA472=10,"P",""))</f>
        <v/>
      </c>
      <c r="P472" s="22"/>
      <c r="Q472" s="22"/>
      <c r="R472" s="353" t="e">
        <f>IF(INDEX(TblDatabase[Comment7],MATCH(1,INDEX(($L$4=ListEmployeeNamesInDatabase)*(C458=TblDatabase[Year]),0,1),0))="","",INDEX(TblDatabase[Comment7],MATCH(1,INDEX(($L$4=ListEmployeeNamesInDatabase)*(C458=TblDatabase[Year]),0,1),0)))</f>
        <v>#N/A</v>
      </c>
      <c r="S472" s="353"/>
      <c r="T472" s="353"/>
      <c r="U472" s="353"/>
      <c r="V472" s="353"/>
      <c r="W472" s="353"/>
      <c r="X472" s="353"/>
      <c r="Y472" s="354"/>
      <c r="Z472" s="149"/>
      <c r="AA472" s="151">
        <f>SUMIFS(TblDatabase[Competency7],ListEmployeeNamesInDatabase,$L$4,TblDatabase[Year],C458)</f>
        <v>0</v>
      </c>
      <c r="AB472" s="149"/>
      <c r="AC472" s="149"/>
      <c r="AD472" s="149"/>
      <c r="AE472" s="149"/>
      <c r="AF472" s="149"/>
    </row>
    <row r="473" spans="2:32" s="148" customFormat="1" ht="15" hidden="1" customHeight="1">
      <c r="B473" s="355" t="str">
        <f t="shared" si="10"/>
        <v>Initiative/Adaptability</v>
      </c>
      <c r="C473" s="356"/>
      <c r="D473" s="356"/>
      <c r="E473" s="357"/>
      <c r="F473" s="163" t="str">
        <f>IF(Settings!$M$4=Settings!$Y$3,IF($AA473=1,"P",""),IF($AA473=1,"P",""))</f>
        <v/>
      </c>
      <c r="G473" s="164" t="str">
        <f>IF(Settings!$M$4=Settings!$Y$3,IF($AA473=1,"P",""),IF($AA473=2,"P",""))</f>
        <v/>
      </c>
      <c r="H473" s="164" t="str">
        <f>IF(Settings!$M$4=Settings!$Y$3,IF($AA473=1,"P",""),IF($AA473=3,"P",""))</f>
        <v/>
      </c>
      <c r="I473" s="164" t="str">
        <f>IF(Settings!$M$4=Settings!$Y$3,IF($AA473=1,"P",""),IF($AA473=4,"P",""))</f>
        <v/>
      </c>
      <c r="J473" s="164" t="str">
        <f>IF(Settings!$M$4=Settings!$Y$3,IF($AA473=2,"P",""),IF($AA473=5,"P",""))</f>
        <v/>
      </c>
      <c r="K473" s="164" t="str">
        <f>IF(Settings!$M$4=Settings!$Y$3,IF($AA473=2,"P",""),IF($AA473=6,"P",""))</f>
        <v/>
      </c>
      <c r="L473" s="164" t="str">
        <f>IF(Settings!$M$4=Settings!$Y$3,IF($AA473=2,"P",""),IF($AA473=7,"P",""))</f>
        <v/>
      </c>
      <c r="M473" s="164" t="str">
        <f>IF(Settings!$M$4=Settings!$Y$3,IF($AA473=2,"P",""),IF($AA473=8,"P",""))</f>
        <v/>
      </c>
      <c r="N473" s="164" t="str">
        <f>IF(Settings!$M$4=Settings!$Y$3,IF($AA473=3,"P",""),IF($AA473=9,"P",""))</f>
        <v/>
      </c>
      <c r="O473" s="165" t="str">
        <f>IF(Settings!$M$4=Settings!$Y$3,IF($AA473=3,"P",""),IF($AA473=10,"P",""))</f>
        <v/>
      </c>
      <c r="P473" s="22"/>
      <c r="Q473" s="22"/>
      <c r="R473" s="360" t="e">
        <f>IF(INDEX(TblDatabase[Comment8],MATCH(1,INDEX(($L$4=ListEmployeeNamesInDatabase)*(C458=TblDatabase[Year]),0,1),0))="","",INDEX(TblDatabase[Comment8],MATCH(1,INDEX(($L$4=ListEmployeeNamesInDatabase)*(C458=TblDatabase[Year]),0,1),0)))</f>
        <v>#N/A</v>
      </c>
      <c r="S473" s="360"/>
      <c r="T473" s="360"/>
      <c r="U473" s="360"/>
      <c r="V473" s="360"/>
      <c r="W473" s="360"/>
      <c r="X473" s="360"/>
      <c r="Y473" s="361"/>
      <c r="Z473" s="149"/>
      <c r="AA473" s="151">
        <f>SUMIFS(TblDatabase[Competency8],ListEmployeeNamesInDatabase,$L$4,TblDatabase[Year],C458)</f>
        <v>0</v>
      </c>
      <c r="AB473" s="149"/>
      <c r="AC473" s="149"/>
      <c r="AD473" s="149"/>
      <c r="AE473" s="149"/>
      <c r="AF473" s="149"/>
    </row>
    <row r="474" spans="2:32" s="148" customFormat="1" ht="15" hidden="1" customHeight="1">
      <c r="B474" s="350" t="str">
        <f t="shared" si="10"/>
        <v/>
      </c>
      <c r="C474" s="351"/>
      <c r="D474" s="351"/>
      <c r="E474" s="352"/>
      <c r="F474" s="157" t="str">
        <f>IF(Settings!$M$4=Settings!$Y$3,IF($AA474=1,"P",""),IF($AA474=1,"P",""))</f>
        <v/>
      </c>
      <c r="G474" s="158" t="str">
        <f>IF(Settings!$M$4=Settings!$Y$3,IF($AA474=1,"P",""),IF($AA474=2,"P",""))</f>
        <v/>
      </c>
      <c r="H474" s="158" t="str">
        <f>IF(Settings!$M$4=Settings!$Y$3,IF($AA474=1,"P",""),IF($AA474=3,"P",""))</f>
        <v/>
      </c>
      <c r="I474" s="158" t="str">
        <f>IF(Settings!$M$4=Settings!$Y$3,IF($AA474=1,"P",""),IF($AA474=4,"P",""))</f>
        <v/>
      </c>
      <c r="J474" s="158" t="str">
        <f>IF(Settings!$M$4=Settings!$Y$3,IF($AA474=2,"P",""),IF($AA474=5,"P",""))</f>
        <v/>
      </c>
      <c r="K474" s="158" t="str">
        <f>IF(Settings!$M$4=Settings!$Y$3,IF($AA474=2,"P",""),IF($AA474=6,"P",""))</f>
        <v/>
      </c>
      <c r="L474" s="158" t="str">
        <f>IF(Settings!$M$4=Settings!$Y$3,IF($AA474=2,"P",""),IF($AA474=7,"P",""))</f>
        <v/>
      </c>
      <c r="M474" s="158" t="str">
        <f>IF(Settings!$M$4=Settings!$Y$3,IF($AA474=2,"P",""),IF($AA474=8,"P",""))</f>
        <v/>
      </c>
      <c r="N474" s="158" t="str">
        <f>IF(Settings!$M$4=Settings!$Y$3,IF($AA474=3,"P",""),IF($AA474=9,"P",""))</f>
        <v/>
      </c>
      <c r="O474" s="159" t="str">
        <f>IF(Settings!$M$4=Settings!$Y$3,IF($AA474=3,"P",""),IF($AA474=10,"P",""))</f>
        <v/>
      </c>
      <c r="P474" s="22"/>
      <c r="Q474" s="22"/>
      <c r="R474" s="353" t="e">
        <f>IF(INDEX(TblDatabase[Comment9],MATCH(1,INDEX(($L$4=ListEmployeeNamesInDatabase)*(C458=TblDatabase[Year]),0,1),0))="","",INDEX(TblDatabase[Comment9],MATCH(1,INDEX(($L$4=ListEmployeeNamesInDatabase)*(C458=TblDatabase[Year]),0,1),0)))</f>
        <v>#N/A</v>
      </c>
      <c r="S474" s="353"/>
      <c r="T474" s="353"/>
      <c r="U474" s="353"/>
      <c r="V474" s="353"/>
      <c r="W474" s="353"/>
      <c r="X474" s="353"/>
      <c r="Y474" s="354"/>
      <c r="Z474" s="149"/>
      <c r="AA474" s="151">
        <f>SUMIFS(TblDatabase[Competency9],ListEmployeeNamesInDatabase,$L$4,TblDatabase[Year],C458)</f>
        <v>0</v>
      </c>
      <c r="AB474" s="149"/>
      <c r="AC474" s="149"/>
      <c r="AD474" s="149"/>
      <c r="AE474" s="149"/>
      <c r="AF474" s="149"/>
    </row>
    <row r="475" spans="2:32" s="148" customFormat="1" ht="15" hidden="1" customHeight="1">
      <c r="B475" s="355" t="str">
        <f t="shared" si="10"/>
        <v/>
      </c>
      <c r="C475" s="356"/>
      <c r="D475" s="356"/>
      <c r="E475" s="357"/>
      <c r="F475" s="163" t="str">
        <f>IF(Settings!$M$4=Settings!$Y$3,IF($AA475=1,"P",""),IF($AA475=1,"P",""))</f>
        <v/>
      </c>
      <c r="G475" s="164" t="str">
        <f>IF(Settings!$M$4=Settings!$Y$3,IF($AA475=1,"P",""),IF($AA475=2,"P",""))</f>
        <v/>
      </c>
      <c r="H475" s="164" t="str">
        <f>IF(Settings!$M$4=Settings!$Y$3,IF($AA475=1,"P",""),IF($AA475=3,"P",""))</f>
        <v/>
      </c>
      <c r="I475" s="164" t="str">
        <f>IF(Settings!$M$4=Settings!$Y$3,IF($AA475=1,"P",""),IF($AA475=4,"P",""))</f>
        <v/>
      </c>
      <c r="J475" s="164" t="str">
        <f>IF(Settings!$M$4=Settings!$Y$3,IF($AA475=2,"P",""),IF($AA475=5,"P",""))</f>
        <v/>
      </c>
      <c r="K475" s="164" t="str">
        <f>IF(Settings!$M$4=Settings!$Y$3,IF($AA475=2,"P",""),IF($AA475=6,"P",""))</f>
        <v/>
      </c>
      <c r="L475" s="164" t="str">
        <f>IF(Settings!$M$4=Settings!$Y$3,IF($AA475=2,"P",""),IF($AA475=7,"P",""))</f>
        <v/>
      </c>
      <c r="M475" s="164" t="str">
        <f>IF(Settings!$M$4=Settings!$Y$3,IF($AA475=2,"P",""),IF($AA475=8,"P",""))</f>
        <v/>
      </c>
      <c r="N475" s="164" t="str">
        <f>IF(Settings!$M$4=Settings!$Y$3,IF($AA475=3,"P",""),IF($AA475=9,"P",""))</f>
        <v/>
      </c>
      <c r="O475" s="165" t="str">
        <f>IF(Settings!$M$4=Settings!$Y$3,IF($AA475=3,"P",""),IF($AA475=10,"P",""))</f>
        <v/>
      </c>
      <c r="P475" s="22"/>
      <c r="Q475" s="22"/>
      <c r="R475" s="360" t="e">
        <f>IF(INDEX(TblDatabase[Comment10],MATCH(1,INDEX(($L$4=ListEmployeeNamesInDatabase)*(C458=TblDatabase[Year]),0,1),0))="","",INDEX(TblDatabase[Comment10],MATCH(1,INDEX(($L$4=ListEmployeeNamesInDatabase)*(C458=TblDatabase[Year]),0,1),0)))</f>
        <v>#N/A</v>
      </c>
      <c r="S475" s="360"/>
      <c r="T475" s="360"/>
      <c r="U475" s="360"/>
      <c r="V475" s="360"/>
      <c r="W475" s="360"/>
      <c r="X475" s="360"/>
      <c r="Y475" s="361"/>
      <c r="Z475" s="149"/>
      <c r="AA475" s="151">
        <f>SUMIFS(TblDatabase[Competency10],ListEmployeeNamesInDatabase,$L$4,TblDatabase[Year],C458)</f>
        <v>0</v>
      </c>
      <c r="AB475" s="149"/>
      <c r="AC475" s="149"/>
      <c r="AD475" s="149"/>
      <c r="AE475" s="149"/>
      <c r="AF475" s="149"/>
    </row>
    <row r="476" spans="2:32" s="148" customFormat="1" ht="15" hidden="1" customHeight="1">
      <c r="B476" s="350" t="str">
        <f t="shared" si="10"/>
        <v/>
      </c>
      <c r="C476" s="351"/>
      <c r="D476" s="351"/>
      <c r="E476" s="352"/>
      <c r="F476" s="157" t="str">
        <f>IF(Settings!$M$4=Settings!$Y$3,IF($AA476=1,"P",""),IF($AA476=1,"P",""))</f>
        <v/>
      </c>
      <c r="G476" s="158" t="str">
        <f>IF(Settings!$M$4=Settings!$Y$3,IF($AA476=1,"P",""),IF($AA476=2,"P",""))</f>
        <v/>
      </c>
      <c r="H476" s="158" t="str">
        <f>IF(Settings!$M$4=Settings!$Y$3,IF($AA476=1,"P",""),IF($AA476=3,"P",""))</f>
        <v/>
      </c>
      <c r="I476" s="158" t="str">
        <f>IF(Settings!$M$4=Settings!$Y$3,IF($AA476=1,"P",""),IF($AA476=4,"P",""))</f>
        <v/>
      </c>
      <c r="J476" s="158" t="str">
        <f>IF(Settings!$M$4=Settings!$Y$3,IF($AA476=2,"P",""),IF($AA476=5,"P",""))</f>
        <v/>
      </c>
      <c r="K476" s="158" t="str">
        <f>IF(Settings!$M$4=Settings!$Y$3,IF($AA476=2,"P",""),IF($AA476=6,"P",""))</f>
        <v/>
      </c>
      <c r="L476" s="158" t="str">
        <f>IF(Settings!$M$4=Settings!$Y$3,IF($AA476=2,"P",""),IF($AA476=7,"P",""))</f>
        <v/>
      </c>
      <c r="M476" s="158" t="str">
        <f>IF(Settings!$M$4=Settings!$Y$3,IF($AA476=2,"P",""),IF($AA476=8,"P",""))</f>
        <v/>
      </c>
      <c r="N476" s="158" t="str">
        <f>IF(Settings!$M$4=Settings!$Y$3,IF($AA476=3,"P",""),IF($AA476=9,"P",""))</f>
        <v/>
      </c>
      <c r="O476" s="159" t="str">
        <f>IF(Settings!$M$4=Settings!$Y$3,IF($AA476=3,"P",""),IF($AA476=10,"P",""))</f>
        <v/>
      </c>
      <c r="P476" s="22"/>
      <c r="Q476" s="22"/>
      <c r="R476" s="353" t="e">
        <f>IF(INDEX(TblDatabase[Comment11],MATCH(1,INDEX(($L$4=ListEmployeeNamesInDatabase)*(C458=TblDatabase[Year]),0,1),0))="","",INDEX(TblDatabase[Comment11],MATCH(1,INDEX(($L$4=ListEmployeeNamesInDatabase)*(C458=TblDatabase[Year]),0,1),0)))</f>
        <v>#N/A</v>
      </c>
      <c r="S476" s="353"/>
      <c r="T476" s="353"/>
      <c r="U476" s="353"/>
      <c r="V476" s="353"/>
      <c r="W476" s="353"/>
      <c r="X476" s="353"/>
      <c r="Y476" s="354"/>
      <c r="Z476" s="149"/>
      <c r="AA476" s="151">
        <f>SUMIFS(TblDatabase[Competency11],ListEmployeeNamesInDatabase,$L$4,TblDatabase[Year],C458)</f>
        <v>0</v>
      </c>
      <c r="AB476" s="149"/>
      <c r="AC476" s="149"/>
      <c r="AD476" s="149"/>
      <c r="AE476" s="149"/>
      <c r="AF476" s="149"/>
    </row>
    <row r="477" spans="2:32" s="148" customFormat="1" ht="15" hidden="1" customHeight="1">
      <c r="B477" s="355" t="str">
        <f t="shared" si="10"/>
        <v/>
      </c>
      <c r="C477" s="356"/>
      <c r="D477" s="356"/>
      <c r="E477" s="357"/>
      <c r="F477" s="163" t="str">
        <f>IF(Settings!$M$4=Settings!$Y$3,IF($AA477=1,"P",""),IF($AA477=1,"P",""))</f>
        <v/>
      </c>
      <c r="G477" s="164" t="str">
        <f>IF(Settings!$M$4=Settings!$Y$3,IF($AA477=1,"P",""),IF($AA477=2,"P",""))</f>
        <v/>
      </c>
      <c r="H477" s="164" t="str">
        <f>IF(Settings!$M$4=Settings!$Y$3,IF($AA477=1,"P",""),IF($AA477=3,"P",""))</f>
        <v/>
      </c>
      <c r="I477" s="164" t="str">
        <f>IF(Settings!$M$4=Settings!$Y$3,IF($AA477=1,"P",""),IF($AA477=4,"P",""))</f>
        <v/>
      </c>
      <c r="J477" s="164" t="str">
        <f>IF(Settings!$M$4=Settings!$Y$3,IF($AA477=2,"P",""),IF($AA477=5,"P",""))</f>
        <v/>
      </c>
      <c r="K477" s="164" t="str">
        <f>IF(Settings!$M$4=Settings!$Y$3,IF($AA477=2,"P",""),IF($AA477=6,"P",""))</f>
        <v/>
      </c>
      <c r="L477" s="164" t="str">
        <f>IF(Settings!$M$4=Settings!$Y$3,IF($AA477=2,"P",""),IF($AA477=7,"P",""))</f>
        <v/>
      </c>
      <c r="M477" s="164" t="str">
        <f>IF(Settings!$M$4=Settings!$Y$3,IF($AA477=2,"P",""),IF($AA477=8,"P",""))</f>
        <v/>
      </c>
      <c r="N477" s="164" t="str">
        <f>IF(Settings!$M$4=Settings!$Y$3,IF($AA477=3,"P",""),IF($AA477=9,"P",""))</f>
        <v/>
      </c>
      <c r="O477" s="165" t="str">
        <f>IF(Settings!$M$4=Settings!$Y$3,IF($AA477=3,"P",""),IF($AA477=10,"P",""))</f>
        <v/>
      </c>
      <c r="P477" s="22"/>
      <c r="Q477" s="22"/>
      <c r="R477" s="360" t="e">
        <f>IF(INDEX(TblDatabase[Comment12],MATCH(1,INDEX(($L$4=ListEmployeeNamesInDatabase)*(C458=TblDatabase[Year]),0,1),0))="","",INDEX(TblDatabase[Comment12],MATCH(1,INDEX(($L$4=ListEmployeeNamesInDatabase)*(C458=TblDatabase[Year]),0,1),0)))</f>
        <v>#N/A</v>
      </c>
      <c r="S477" s="360"/>
      <c r="T477" s="360"/>
      <c r="U477" s="360"/>
      <c r="V477" s="360"/>
      <c r="W477" s="360"/>
      <c r="X477" s="360"/>
      <c r="Y477" s="361"/>
      <c r="Z477" s="149"/>
      <c r="AA477" s="151">
        <f>SUMIFS(TblDatabase[Competency12],ListEmployeeNamesInDatabase,$L$4,TblDatabase[Year],C458)</f>
        <v>0</v>
      </c>
      <c r="AB477" s="149"/>
      <c r="AC477" s="149"/>
      <c r="AD477" s="149"/>
      <c r="AE477" s="149"/>
      <c r="AF477" s="149"/>
    </row>
    <row r="478" spans="2:32" s="148" customFormat="1" ht="15" hidden="1" customHeight="1">
      <c r="B478" s="350" t="str">
        <f t="shared" si="10"/>
        <v/>
      </c>
      <c r="C478" s="351"/>
      <c r="D478" s="351"/>
      <c r="E478" s="352"/>
      <c r="F478" s="157" t="str">
        <f>IF(Settings!$M$4=Settings!$Y$3,IF($AA478=1,"P",""),IF($AA478=1,"P",""))</f>
        <v/>
      </c>
      <c r="G478" s="158" t="str">
        <f>IF(Settings!$M$4=Settings!$Y$3,IF($AA478=1,"P",""),IF($AA478=2,"P",""))</f>
        <v/>
      </c>
      <c r="H478" s="158" t="str">
        <f>IF(Settings!$M$4=Settings!$Y$3,IF($AA478=1,"P",""),IF($AA478=3,"P",""))</f>
        <v/>
      </c>
      <c r="I478" s="158" t="str">
        <f>IF(Settings!$M$4=Settings!$Y$3,IF($AA478=1,"P",""),IF($AA478=4,"P",""))</f>
        <v/>
      </c>
      <c r="J478" s="158" t="str">
        <f>IF(Settings!$M$4=Settings!$Y$3,IF($AA478=2,"P",""),IF($AA478=5,"P",""))</f>
        <v/>
      </c>
      <c r="K478" s="158" t="str">
        <f>IF(Settings!$M$4=Settings!$Y$3,IF($AA478=2,"P",""),IF($AA478=6,"P",""))</f>
        <v/>
      </c>
      <c r="L478" s="158" t="str">
        <f>IF(Settings!$M$4=Settings!$Y$3,IF($AA478=2,"P",""),IF($AA478=7,"P",""))</f>
        <v/>
      </c>
      <c r="M478" s="158" t="str">
        <f>IF(Settings!$M$4=Settings!$Y$3,IF($AA478=2,"P",""),IF($AA478=8,"P",""))</f>
        <v/>
      </c>
      <c r="N478" s="158" t="str">
        <f>IF(Settings!$M$4=Settings!$Y$3,IF($AA478=3,"P",""),IF($AA478=9,"P",""))</f>
        <v/>
      </c>
      <c r="O478" s="159" t="str">
        <f>IF(Settings!$M$4=Settings!$Y$3,IF($AA478=3,"P",""),IF($AA478=10,"P",""))</f>
        <v/>
      </c>
      <c r="P478" s="22"/>
      <c r="Q478" s="22"/>
      <c r="R478" s="353" t="e">
        <f>IF(INDEX(TblDatabase[Comment13],MATCH(1,INDEX(($L$4=ListEmployeeNamesInDatabase)*(C458=TblDatabase[Year]),0,1),0))="","",INDEX(TblDatabase[Comment13],MATCH(1,INDEX(($L$4=ListEmployeeNamesInDatabase)*(C458=TblDatabase[Year]),0,1),0)))</f>
        <v>#N/A</v>
      </c>
      <c r="S478" s="353"/>
      <c r="T478" s="353"/>
      <c r="U478" s="353"/>
      <c r="V478" s="353"/>
      <c r="W478" s="353"/>
      <c r="X478" s="353"/>
      <c r="Y478" s="354"/>
      <c r="Z478" s="149"/>
      <c r="AA478" s="151">
        <f>SUMIFS(TblDatabase[Competency13],ListEmployeeNamesInDatabase,$L$4,TblDatabase[Year],C458)</f>
        <v>0</v>
      </c>
      <c r="AB478" s="149"/>
      <c r="AC478" s="149"/>
      <c r="AD478" s="149"/>
      <c r="AE478" s="149"/>
      <c r="AF478" s="149"/>
    </row>
    <row r="479" spans="2:32" s="148" customFormat="1" ht="15" hidden="1" customHeight="1">
      <c r="B479" s="355" t="str">
        <f t="shared" si="10"/>
        <v/>
      </c>
      <c r="C479" s="356"/>
      <c r="D479" s="356"/>
      <c r="E479" s="357"/>
      <c r="F479" s="163" t="str">
        <f>IF(Settings!$M$4=Settings!$Y$3,IF($AA479=1,"P",""),IF($AA479=1,"P",""))</f>
        <v/>
      </c>
      <c r="G479" s="164" t="str">
        <f>IF(Settings!$M$4=Settings!$Y$3,IF($AA479=1,"P",""),IF($AA479=2,"P",""))</f>
        <v/>
      </c>
      <c r="H479" s="164" t="str">
        <f>IF(Settings!$M$4=Settings!$Y$3,IF($AA479=1,"P",""),IF($AA479=3,"P",""))</f>
        <v/>
      </c>
      <c r="I479" s="164" t="str">
        <f>IF(Settings!$M$4=Settings!$Y$3,IF($AA479=1,"P",""),IF($AA479=4,"P",""))</f>
        <v/>
      </c>
      <c r="J479" s="164" t="str">
        <f>IF(Settings!$M$4=Settings!$Y$3,IF($AA479=2,"P",""),IF($AA479=5,"P",""))</f>
        <v/>
      </c>
      <c r="K479" s="164" t="str">
        <f>IF(Settings!$M$4=Settings!$Y$3,IF($AA479=2,"P",""),IF($AA479=6,"P",""))</f>
        <v/>
      </c>
      <c r="L479" s="164" t="str">
        <f>IF(Settings!$M$4=Settings!$Y$3,IF($AA479=2,"P",""),IF($AA479=7,"P",""))</f>
        <v/>
      </c>
      <c r="M479" s="164" t="str">
        <f>IF(Settings!$M$4=Settings!$Y$3,IF($AA479=2,"P",""),IF($AA479=8,"P",""))</f>
        <v/>
      </c>
      <c r="N479" s="164" t="str">
        <f>IF(Settings!$M$4=Settings!$Y$3,IF($AA479=3,"P",""),IF($AA479=9,"P",""))</f>
        <v/>
      </c>
      <c r="O479" s="165" t="str">
        <f>IF(Settings!$M$4=Settings!$Y$3,IF($AA479=3,"P",""),IF($AA479=10,"P",""))</f>
        <v/>
      </c>
      <c r="P479" s="22"/>
      <c r="Q479" s="22"/>
      <c r="R479" s="360" t="e">
        <f>IF(INDEX(TblDatabase[Comment14],MATCH(1,INDEX(($L$4=ListEmployeeNamesInDatabase)*(C458=TblDatabase[Year]),0,1),0))="","",INDEX(TblDatabase[Comment14],MATCH(1,INDEX(($L$4=ListEmployeeNamesInDatabase)*(C458=TblDatabase[Year]),0,1),0)))</f>
        <v>#N/A</v>
      </c>
      <c r="S479" s="360"/>
      <c r="T479" s="360"/>
      <c r="U479" s="360"/>
      <c r="V479" s="360"/>
      <c r="W479" s="360"/>
      <c r="X479" s="360"/>
      <c r="Y479" s="361"/>
      <c r="Z479" s="149"/>
      <c r="AA479" s="151">
        <f>SUMIFS(TblDatabase[Competency14],ListEmployeeNamesInDatabase,$L$4,TblDatabase[Year],C458)</f>
        <v>0</v>
      </c>
      <c r="AB479" s="149"/>
      <c r="AC479" s="149"/>
      <c r="AD479" s="149"/>
      <c r="AE479" s="149"/>
      <c r="AF479" s="149"/>
    </row>
    <row r="480" spans="2:32" s="148" customFormat="1" ht="15" hidden="1" customHeight="1">
      <c r="B480" s="350" t="str">
        <f t="shared" si="10"/>
        <v/>
      </c>
      <c r="C480" s="351"/>
      <c r="D480" s="351"/>
      <c r="E480" s="352"/>
      <c r="F480" s="157" t="str">
        <f>IF(Settings!$M$4=Settings!$Y$3,IF($AA480=1,"P",""),IF($AA480=1,"P",""))</f>
        <v/>
      </c>
      <c r="G480" s="158" t="str">
        <f>IF(Settings!$M$4=Settings!$Y$3,IF($AA480=1,"P",""),IF($AA480=2,"P",""))</f>
        <v/>
      </c>
      <c r="H480" s="158" t="str">
        <f>IF(Settings!$M$4=Settings!$Y$3,IF($AA480=1,"P",""),IF($AA480=3,"P",""))</f>
        <v/>
      </c>
      <c r="I480" s="158" t="str">
        <f>IF(Settings!$M$4=Settings!$Y$3,IF($AA480=1,"P",""),IF($AA480=4,"P",""))</f>
        <v/>
      </c>
      <c r="J480" s="158" t="str">
        <f>IF(Settings!$M$4=Settings!$Y$3,IF($AA480=2,"P",""),IF($AA480=5,"P",""))</f>
        <v/>
      </c>
      <c r="K480" s="158" t="str">
        <f>IF(Settings!$M$4=Settings!$Y$3,IF($AA480=2,"P",""),IF($AA480=6,"P",""))</f>
        <v/>
      </c>
      <c r="L480" s="158" t="str">
        <f>IF(Settings!$M$4=Settings!$Y$3,IF($AA480=2,"P",""),IF($AA480=7,"P",""))</f>
        <v/>
      </c>
      <c r="M480" s="158" t="str">
        <f>IF(Settings!$M$4=Settings!$Y$3,IF($AA480=2,"P",""),IF($AA480=8,"P",""))</f>
        <v/>
      </c>
      <c r="N480" s="158" t="str">
        <f>IF(Settings!$M$4=Settings!$Y$3,IF($AA480=3,"P",""),IF($AA480=9,"P",""))</f>
        <v/>
      </c>
      <c r="O480" s="159" t="str">
        <f>IF(Settings!$M$4=Settings!$Y$3,IF($AA480=3,"P",""),IF($AA480=10,"P",""))</f>
        <v/>
      </c>
      <c r="P480" s="22"/>
      <c r="Q480" s="22"/>
      <c r="R480" s="353" t="e">
        <f>IF(INDEX(TblDatabase[Comment15],MATCH(1,INDEX(($L$4=ListEmployeeNamesInDatabase)*(C458=TblDatabase[Year]),0,1),0))="","",INDEX(TblDatabase[Comment15],MATCH(1,INDEX(($L$4=ListEmployeeNamesInDatabase)*(C458=TblDatabase[Year]),0,1),0)))</f>
        <v>#N/A</v>
      </c>
      <c r="S480" s="353"/>
      <c r="T480" s="353"/>
      <c r="U480" s="353"/>
      <c r="V480" s="353"/>
      <c r="W480" s="353"/>
      <c r="X480" s="353"/>
      <c r="Y480" s="354"/>
      <c r="Z480" s="149"/>
      <c r="AA480" s="151">
        <f>SUMIFS(TblDatabase[Competency15],ListEmployeeNamesInDatabase,$L$4,TblDatabase[Year],C458)</f>
        <v>0</v>
      </c>
      <c r="AB480" s="149"/>
      <c r="AC480" s="149"/>
      <c r="AD480" s="149"/>
      <c r="AE480" s="149"/>
      <c r="AF480" s="149"/>
    </row>
    <row r="481" spans="2:32" s="148" customFormat="1" ht="15" hidden="1" customHeight="1">
      <c r="B481" s="355" t="str">
        <f t="shared" si="10"/>
        <v/>
      </c>
      <c r="C481" s="356"/>
      <c r="D481" s="356"/>
      <c r="E481" s="357"/>
      <c r="F481" s="163" t="str">
        <f>IF(Settings!$M$4=Settings!$Y$3,IF($AA481=1,"P",""),IF($AA481=1,"P",""))</f>
        <v/>
      </c>
      <c r="G481" s="164" t="str">
        <f>IF(Settings!$M$4=Settings!$Y$3,IF($AA481=1,"P",""),IF($AA481=2,"P",""))</f>
        <v/>
      </c>
      <c r="H481" s="164" t="str">
        <f>IF(Settings!$M$4=Settings!$Y$3,IF($AA481=1,"P",""),IF($AA481=3,"P",""))</f>
        <v/>
      </c>
      <c r="I481" s="164" t="str">
        <f>IF(Settings!$M$4=Settings!$Y$3,IF($AA481=1,"P",""),IF($AA481=4,"P",""))</f>
        <v/>
      </c>
      <c r="J481" s="164" t="str">
        <f>IF(Settings!$M$4=Settings!$Y$3,IF($AA481=2,"P",""),IF($AA481=5,"P",""))</f>
        <v/>
      </c>
      <c r="K481" s="164" t="str">
        <f>IF(Settings!$M$4=Settings!$Y$3,IF($AA481=2,"P",""),IF($AA481=6,"P",""))</f>
        <v/>
      </c>
      <c r="L481" s="164" t="str">
        <f>IF(Settings!$M$4=Settings!$Y$3,IF($AA481=2,"P",""),IF($AA481=7,"P",""))</f>
        <v/>
      </c>
      <c r="M481" s="164" t="str">
        <f>IF(Settings!$M$4=Settings!$Y$3,IF($AA481=2,"P",""),IF($AA481=8,"P",""))</f>
        <v/>
      </c>
      <c r="N481" s="164" t="str">
        <f>IF(Settings!$M$4=Settings!$Y$3,IF($AA481=3,"P",""),IF($AA481=9,"P",""))</f>
        <v/>
      </c>
      <c r="O481" s="165" t="str">
        <f>IF(Settings!$M$4=Settings!$Y$3,IF($AA481=3,"P",""),IF($AA481=10,"P",""))</f>
        <v/>
      </c>
      <c r="P481" s="22"/>
      <c r="Q481" s="22"/>
      <c r="R481" s="360" t="e">
        <f>IF(INDEX(TblDatabase[Comment16],MATCH(1,INDEX(($L$4=ListEmployeeNamesInDatabase)*(C458=TblDatabase[Year]),0,1),0))="","",INDEX(TblDatabase[Comment16],MATCH(1,INDEX(($L$4=ListEmployeeNamesInDatabase)*(C458=TblDatabase[Year]),0,1),0)))</f>
        <v>#N/A</v>
      </c>
      <c r="S481" s="360"/>
      <c r="T481" s="360"/>
      <c r="U481" s="360"/>
      <c r="V481" s="360"/>
      <c r="W481" s="360"/>
      <c r="X481" s="360"/>
      <c r="Y481" s="361"/>
      <c r="Z481" s="149"/>
      <c r="AA481" s="151">
        <f>SUMIFS(TblDatabase[Competency16],ListEmployeeNamesInDatabase,$L$4,TblDatabase[Year],C458)</f>
        <v>0</v>
      </c>
      <c r="AB481" s="149"/>
      <c r="AC481" s="149"/>
      <c r="AD481" s="149"/>
      <c r="AE481" s="149"/>
      <c r="AF481" s="149"/>
    </row>
    <row r="482" spans="2:32" s="148" customFormat="1" ht="15" hidden="1" customHeight="1">
      <c r="B482" s="350" t="str">
        <f t="shared" si="10"/>
        <v/>
      </c>
      <c r="C482" s="351"/>
      <c r="D482" s="351"/>
      <c r="E482" s="352"/>
      <c r="F482" s="157" t="str">
        <f>IF(Settings!$M$4=Settings!$Y$3,IF($AA482=1,"P",""),IF($AA482=1,"P",""))</f>
        <v/>
      </c>
      <c r="G482" s="158" t="str">
        <f>IF(Settings!$M$4=Settings!$Y$3,IF($AA482=1,"P",""),IF($AA482=2,"P",""))</f>
        <v/>
      </c>
      <c r="H482" s="158" t="str">
        <f>IF(Settings!$M$4=Settings!$Y$3,IF($AA482=1,"P",""),IF($AA482=3,"P",""))</f>
        <v/>
      </c>
      <c r="I482" s="158" t="str">
        <f>IF(Settings!$M$4=Settings!$Y$3,IF($AA482=1,"P",""),IF($AA482=4,"P",""))</f>
        <v/>
      </c>
      <c r="J482" s="158" t="str">
        <f>IF(Settings!$M$4=Settings!$Y$3,IF($AA482=2,"P",""),IF($AA482=5,"P",""))</f>
        <v/>
      </c>
      <c r="K482" s="158" t="str">
        <f>IF(Settings!$M$4=Settings!$Y$3,IF($AA482=2,"P",""),IF($AA482=6,"P",""))</f>
        <v/>
      </c>
      <c r="L482" s="158" t="str">
        <f>IF(Settings!$M$4=Settings!$Y$3,IF($AA482=2,"P",""),IF($AA482=7,"P",""))</f>
        <v/>
      </c>
      <c r="M482" s="158" t="str">
        <f>IF(Settings!$M$4=Settings!$Y$3,IF($AA482=2,"P",""),IF($AA482=8,"P",""))</f>
        <v/>
      </c>
      <c r="N482" s="158" t="str">
        <f>IF(Settings!$M$4=Settings!$Y$3,IF($AA482=3,"P",""),IF($AA482=9,"P",""))</f>
        <v/>
      </c>
      <c r="O482" s="159" t="str">
        <f>IF(Settings!$M$4=Settings!$Y$3,IF($AA482=3,"P",""),IF($AA482=10,"P",""))</f>
        <v/>
      </c>
      <c r="P482" s="22"/>
      <c r="Q482" s="22"/>
      <c r="R482" s="353" t="e">
        <f>IF(INDEX(TblDatabase[Comment17],MATCH(1,INDEX(($L$4=ListEmployeeNamesInDatabase)*(C458=TblDatabase[Year]),0,1),0))="","",INDEX(TblDatabase[Comment17],MATCH(1,INDEX(($L$4=ListEmployeeNamesInDatabase)*(C458=TblDatabase[Year]),0,1),0)))</f>
        <v>#N/A</v>
      </c>
      <c r="S482" s="353"/>
      <c r="T482" s="353"/>
      <c r="U482" s="353"/>
      <c r="V482" s="353"/>
      <c r="W482" s="353"/>
      <c r="X482" s="353"/>
      <c r="Y482" s="354"/>
      <c r="Z482" s="149"/>
      <c r="AA482" s="151">
        <f>SUMIFS(TblDatabase[Competency17],ListEmployeeNamesInDatabase,$L$4,TblDatabase[Year],C458)</f>
        <v>0</v>
      </c>
      <c r="AB482" s="149"/>
      <c r="AC482" s="149"/>
      <c r="AD482" s="149"/>
      <c r="AE482" s="149"/>
      <c r="AF482" s="149"/>
    </row>
    <row r="483" spans="2:32" s="148" customFormat="1" ht="15" hidden="1" customHeight="1">
      <c r="B483" s="355" t="str">
        <f t="shared" si="10"/>
        <v/>
      </c>
      <c r="C483" s="356"/>
      <c r="D483" s="356"/>
      <c r="E483" s="357"/>
      <c r="F483" s="163" t="str">
        <f>IF(Settings!$M$4=Settings!$Y$3,IF($AA483=1,"P",""),IF($AA483=1,"P",""))</f>
        <v/>
      </c>
      <c r="G483" s="164" t="str">
        <f>IF(Settings!$M$4=Settings!$Y$3,IF($AA483=1,"P",""),IF($AA483=2,"P",""))</f>
        <v/>
      </c>
      <c r="H483" s="164" t="str">
        <f>IF(Settings!$M$4=Settings!$Y$3,IF($AA483=1,"P",""),IF($AA483=3,"P",""))</f>
        <v/>
      </c>
      <c r="I483" s="164" t="str">
        <f>IF(Settings!$M$4=Settings!$Y$3,IF($AA483=1,"P",""),IF($AA483=4,"P",""))</f>
        <v/>
      </c>
      <c r="J483" s="164" t="str">
        <f>IF(Settings!$M$4=Settings!$Y$3,IF($AA483=2,"P",""),IF($AA483=5,"P",""))</f>
        <v/>
      </c>
      <c r="K483" s="164" t="str">
        <f>IF(Settings!$M$4=Settings!$Y$3,IF($AA483=2,"P",""),IF($AA483=6,"P",""))</f>
        <v/>
      </c>
      <c r="L483" s="164" t="str">
        <f>IF(Settings!$M$4=Settings!$Y$3,IF($AA483=2,"P",""),IF($AA483=7,"P",""))</f>
        <v/>
      </c>
      <c r="M483" s="164" t="str">
        <f>IF(Settings!$M$4=Settings!$Y$3,IF($AA483=2,"P",""),IF($AA483=8,"P",""))</f>
        <v/>
      </c>
      <c r="N483" s="164" t="str">
        <f>IF(Settings!$M$4=Settings!$Y$3,IF($AA483=3,"P",""),IF($AA483=9,"P",""))</f>
        <v/>
      </c>
      <c r="O483" s="165" t="str">
        <f>IF(Settings!$M$4=Settings!$Y$3,IF($AA483=3,"P",""),IF($AA483=10,"P",""))</f>
        <v/>
      </c>
      <c r="P483" s="22"/>
      <c r="Q483" s="22"/>
      <c r="R483" s="360" t="e">
        <f>IF(INDEX(TblDatabase[Comment18],MATCH(1,INDEX(($L$4=ListEmployeeNamesInDatabase)*(C458=TblDatabase[Year]),0,1),0))="","",INDEX(TblDatabase[Comment18],MATCH(1,INDEX(($L$4=ListEmployeeNamesInDatabase)*(C458=TblDatabase[Year]),0,1),0)))</f>
        <v>#N/A</v>
      </c>
      <c r="S483" s="360"/>
      <c r="T483" s="360"/>
      <c r="U483" s="360"/>
      <c r="V483" s="360"/>
      <c r="W483" s="360"/>
      <c r="X483" s="360"/>
      <c r="Y483" s="361"/>
      <c r="Z483" s="149"/>
      <c r="AA483" s="151">
        <f>SUMIFS(TblDatabase[Competency18],ListEmployeeNamesInDatabase,$L$4,TblDatabase[Year],C458)</f>
        <v>0</v>
      </c>
      <c r="AB483" s="149"/>
      <c r="AC483" s="149"/>
      <c r="AD483" s="149"/>
      <c r="AE483" s="149"/>
      <c r="AF483" s="149"/>
    </row>
    <row r="484" spans="2:32" s="148" customFormat="1" ht="15" hidden="1" customHeight="1">
      <c r="B484" s="350" t="str">
        <f t="shared" si="10"/>
        <v/>
      </c>
      <c r="C484" s="351"/>
      <c r="D484" s="351"/>
      <c r="E484" s="352"/>
      <c r="F484" s="157" t="str">
        <f>IF(Settings!$M$4=Settings!$Y$3,IF($AA484=1,"P",""),IF($AA484=1,"P",""))</f>
        <v/>
      </c>
      <c r="G484" s="158" t="str">
        <f>IF(Settings!$M$4=Settings!$Y$3,IF($AA484=1,"P",""),IF($AA484=2,"P",""))</f>
        <v/>
      </c>
      <c r="H484" s="158" t="str">
        <f>IF(Settings!$M$4=Settings!$Y$3,IF($AA484=1,"P",""),IF($AA484=3,"P",""))</f>
        <v/>
      </c>
      <c r="I484" s="158" t="str">
        <f>IF(Settings!$M$4=Settings!$Y$3,IF($AA484=1,"P",""),IF($AA484=4,"P",""))</f>
        <v/>
      </c>
      <c r="J484" s="158" t="str">
        <f>IF(Settings!$M$4=Settings!$Y$3,IF($AA484=2,"P",""),IF($AA484=5,"P",""))</f>
        <v/>
      </c>
      <c r="K484" s="158" t="str">
        <f>IF(Settings!$M$4=Settings!$Y$3,IF($AA484=2,"P",""),IF($AA484=6,"P",""))</f>
        <v/>
      </c>
      <c r="L484" s="158" t="str">
        <f>IF(Settings!$M$4=Settings!$Y$3,IF($AA484=2,"P",""),IF($AA484=7,"P",""))</f>
        <v/>
      </c>
      <c r="M484" s="158" t="str">
        <f>IF(Settings!$M$4=Settings!$Y$3,IF($AA484=2,"P",""),IF($AA484=8,"P",""))</f>
        <v/>
      </c>
      <c r="N484" s="158" t="str">
        <f>IF(Settings!$M$4=Settings!$Y$3,IF($AA484=3,"P",""),IF($AA484=9,"P",""))</f>
        <v/>
      </c>
      <c r="O484" s="159" t="str">
        <f>IF(Settings!$M$4=Settings!$Y$3,IF($AA484=3,"P",""),IF($AA484=10,"P",""))</f>
        <v/>
      </c>
      <c r="P484" s="22"/>
      <c r="Q484" s="22"/>
      <c r="R484" s="353" t="e">
        <f>IF(INDEX(TblDatabase[Comment19],MATCH(1,INDEX(($L$4=ListEmployeeNamesInDatabase)*(C458=TblDatabase[Year]),0,1),0))="","",INDEX(TblDatabase[Comment19],MATCH(1,INDEX(($L$4=ListEmployeeNamesInDatabase)*(C458=TblDatabase[Year]),0,1),0)))</f>
        <v>#N/A</v>
      </c>
      <c r="S484" s="353"/>
      <c r="T484" s="353"/>
      <c r="U484" s="353"/>
      <c r="V484" s="353"/>
      <c r="W484" s="353"/>
      <c r="X484" s="353"/>
      <c r="Y484" s="354"/>
      <c r="Z484" s="149"/>
      <c r="AA484" s="151">
        <f>SUMIFS(TblDatabase[Competency19],ListEmployeeNamesInDatabase,$L$4,TblDatabase[Year],C458)</f>
        <v>0</v>
      </c>
      <c r="AB484" s="149"/>
      <c r="AC484" s="149"/>
      <c r="AD484" s="149"/>
      <c r="AE484" s="149"/>
      <c r="AF484" s="149"/>
    </row>
    <row r="485" spans="2:32" s="148" customFormat="1" ht="15" hidden="1" customHeight="1">
      <c r="B485" s="362" t="str">
        <f t="shared" si="10"/>
        <v/>
      </c>
      <c r="C485" s="363"/>
      <c r="D485" s="363"/>
      <c r="E485" s="364"/>
      <c r="F485" s="166" t="str">
        <f>IF(Settings!$M$4=Settings!$Y$3,IF($AA485=1,"P",""),IF($AA485=1,"P",""))</f>
        <v/>
      </c>
      <c r="G485" s="167" t="str">
        <f>IF(Settings!$M$4=Settings!$Y$3,IF($AA485=1,"P",""),IF($AA485=2,"P",""))</f>
        <v/>
      </c>
      <c r="H485" s="167" t="str">
        <f>IF(Settings!$M$4=Settings!$Y$3,IF($AA485=1,"P",""),IF($AA485=3,"P",""))</f>
        <v/>
      </c>
      <c r="I485" s="167" t="str">
        <f>IF(Settings!$M$4=Settings!$Y$3,IF($AA485=1,"P",""),IF($AA485=4,"P",""))</f>
        <v/>
      </c>
      <c r="J485" s="167" t="str">
        <f>IF(Settings!$M$4=Settings!$Y$3,IF($AA485=2,"P",""),IF($AA485=5,"P",""))</f>
        <v/>
      </c>
      <c r="K485" s="167" t="str">
        <f>IF(Settings!$M$4=Settings!$Y$3,IF($AA485=2,"P",""),IF($AA485=6,"P",""))</f>
        <v/>
      </c>
      <c r="L485" s="167" t="str">
        <f>IF(Settings!$M$4=Settings!$Y$3,IF($AA485=2,"P",""),IF($AA485=7,"P",""))</f>
        <v/>
      </c>
      <c r="M485" s="167" t="str">
        <f>IF(Settings!$M$4=Settings!$Y$3,IF($AA485=2,"P",""),IF($AA485=8,"P",""))</f>
        <v/>
      </c>
      <c r="N485" s="167" t="str">
        <f>IF(Settings!$M$4=Settings!$Y$3,IF($AA485=3,"P",""),IF($AA485=9,"P",""))</f>
        <v/>
      </c>
      <c r="O485" s="168" t="str">
        <f>IF(Settings!$M$4=Settings!$Y$3,IF($AA485=3,"P",""),IF($AA485=10,"P",""))</f>
        <v/>
      </c>
      <c r="P485" s="22"/>
      <c r="Q485" s="22"/>
      <c r="R485" s="365" t="e">
        <f>IF(INDEX(TblDatabase[Comment20],MATCH(1,INDEX(($L$4=ListEmployeeNamesInDatabase)*(C458=TblDatabase[Year]),0,1),0))="","",INDEX(TblDatabase[Comment20],MATCH(1,INDEX(($L$4=ListEmployeeNamesInDatabase)*(C458=TblDatabase[Year]),0,1),0)))</f>
        <v>#N/A</v>
      </c>
      <c r="S485" s="365"/>
      <c r="T485" s="365"/>
      <c r="U485" s="365"/>
      <c r="V485" s="365"/>
      <c r="W485" s="365"/>
      <c r="X485" s="365"/>
      <c r="Y485" s="366"/>
      <c r="Z485" s="149"/>
      <c r="AA485" s="151">
        <f>SUMIFS(TblDatabase[Competency20],ListEmployeeNamesInDatabase,$L$4,TblDatabase[Year],C458)</f>
        <v>0</v>
      </c>
      <c r="AB485" s="149"/>
      <c r="AC485" s="149"/>
      <c r="AD485" s="149"/>
      <c r="AE485" s="149"/>
      <c r="AF485" s="149"/>
    </row>
    <row r="486" spans="2:32" s="148" customFormat="1" hidden="1">
      <c r="B486" s="414" t="s">
        <v>26</v>
      </c>
      <c r="C486" s="415"/>
      <c r="D486" s="415"/>
      <c r="E486" s="371">
        <f ca="1">SUM(OFFSET(AA466,0,0,NumberOfCompetencies))</f>
        <v>0</v>
      </c>
      <c r="F486" s="372"/>
      <c r="G486" s="152"/>
      <c r="H486" s="152"/>
      <c r="I486" s="152"/>
      <c r="J486" s="152"/>
      <c r="K486" s="152"/>
      <c r="L486" s="152"/>
      <c r="M486" s="152"/>
      <c r="N486" s="152"/>
      <c r="O486" s="152"/>
      <c r="P486" s="152"/>
      <c r="Q486" s="152"/>
      <c r="R486" s="152"/>
      <c r="S486" s="152"/>
      <c r="T486" s="152"/>
      <c r="U486" s="152"/>
      <c r="V486" s="152"/>
      <c r="W486" s="152"/>
      <c r="X486" s="152"/>
      <c r="Y486" s="152"/>
      <c r="Z486" s="149"/>
      <c r="AA486" s="149"/>
      <c r="AB486" s="149"/>
      <c r="AC486" s="149"/>
      <c r="AD486" s="149"/>
      <c r="AE486" s="149"/>
      <c r="AF486" s="149"/>
    </row>
    <row r="487" spans="2:32" s="148" customFormat="1" hidden="1">
      <c r="B487" s="369" t="s">
        <v>27</v>
      </c>
      <c r="C487" s="370"/>
      <c r="D487" s="370"/>
      <c r="E487" s="358">
        <f ca="1">E486/NumberOfCompetencies</f>
        <v>0</v>
      </c>
      <c r="F487" s="359"/>
      <c r="G487" s="153"/>
      <c r="H487" s="153"/>
      <c r="I487" s="153"/>
      <c r="J487" s="153"/>
      <c r="K487" s="153"/>
      <c r="L487" s="153"/>
      <c r="M487" s="153"/>
      <c r="N487" s="153"/>
      <c r="O487" s="153"/>
      <c r="P487" s="153"/>
      <c r="Q487" s="153"/>
      <c r="R487" s="153"/>
      <c r="S487" s="153"/>
      <c r="T487" s="153"/>
      <c r="U487" s="153"/>
      <c r="V487" s="153"/>
      <c r="W487" s="153"/>
      <c r="X487" s="153"/>
      <c r="Y487" s="153"/>
      <c r="Z487" s="149"/>
      <c r="AA487" s="149"/>
      <c r="AB487" s="149"/>
      <c r="AC487" s="149"/>
      <c r="AD487" s="149"/>
      <c r="AE487" s="149"/>
      <c r="AF487" s="149"/>
    </row>
    <row r="488" spans="2:32" s="148" customFormat="1" hidden="1">
      <c r="B488" s="154"/>
      <c r="C488" s="154"/>
      <c r="D488" s="154"/>
      <c r="E488" s="154"/>
      <c r="F488" s="154"/>
      <c r="G488" s="154"/>
      <c r="H488" s="154"/>
      <c r="I488" s="154"/>
      <c r="J488" s="154"/>
      <c r="K488" s="154"/>
      <c r="L488" s="154"/>
      <c r="M488" s="154"/>
      <c r="N488" s="154"/>
      <c r="O488" s="154"/>
      <c r="P488" s="154"/>
      <c r="Q488" s="154"/>
      <c r="R488" s="154"/>
      <c r="S488" s="154"/>
      <c r="T488" s="154"/>
      <c r="U488" s="154"/>
      <c r="V488" s="154"/>
      <c r="W488" s="154"/>
      <c r="X488" s="154"/>
      <c r="Y488" s="154"/>
      <c r="Z488" s="149"/>
      <c r="AA488" s="149"/>
      <c r="AB488" s="149"/>
      <c r="AC488" s="149"/>
      <c r="AD488" s="149"/>
      <c r="AE488" s="149"/>
      <c r="AF488" s="149"/>
    </row>
    <row r="489" spans="2:32" s="148" customFormat="1" hidden="1">
      <c r="B489" s="338" t="str">
        <f>Settings!$N$15</f>
        <v>Previously agreed actions</v>
      </c>
      <c r="C489" s="339"/>
      <c r="D489" s="339"/>
      <c r="E489" s="339"/>
      <c r="F489" s="339"/>
      <c r="G489" s="339"/>
      <c r="H489" s="339"/>
      <c r="I489" s="339"/>
      <c r="J489" s="339"/>
      <c r="K489" s="339"/>
      <c r="L489" s="339"/>
      <c r="M489" s="339"/>
      <c r="N489" s="339"/>
      <c r="O489" s="339"/>
      <c r="P489" s="339"/>
      <c r="Q489" s="339"/>
      <c r="R489" s="339"/>
      <c r="S489" s="339"/>
      <c r="T489" s="339"/>
      <c r="U489" s="339"/>
      <c r="V489" s="339"/>
      <c r="W489" s="339"/>
      <c r="X489" s="339"/>
      <c r="Y489" s="340"/>
      <c r="Z489" s="149"/>
      <c r="AA489" s="149"/>
      <c r="AB489" s="149"/>
      <c r="AC489" s="149"/>
      <c r="AD489" s="149"/>
      <c r="AE489" s="149"/>
      <c r="AF489" s="149"/>
    </row>
    <row r="490" spans="2:32" s="148" customFormat="1" hidden="1">
      <c r="B490" s="341" t="e">
        <f>IF(INDEX(TblDatabase[Feedback Does Well],MATCH(1,INDEX(($L$4=ListEmployeeNamesInDatabase)*(C458=TblDatabase[Year]),0,1),0))="","",INDEX(TblDatabase[Feedback Does Well],MATCH(1,INDEX(($L$4=ListEmployeeNamesInDatabase)*(C458=TblDatabase[Year]),0,1),0)))</f>
        <v>#N/A</v>
      </c>
      <c r="C490" s="342"/>
      <c r="D490" s="342"/>
      <c r="E490" s="342"/>
      <c r="F490" s="342"/>
      <c r="G490" s="342"/>
      <c r="H490" s="342"/>
      <c r="I490" s="342"/>
      <c r="J490" s="342"/>
      <c r="K490" s="342"/>
      <c r="L490" s="342"/>
      <c r="M490" s="342"/>
      <c r="N490" s="342"/>
      <c r="O490" s="342"/>
      <c r="P490" s="342"/>
      <c r="Q490" s="342"/>
      <c r="R490" s="342"/>
      <c r="S490" s="342"/>
      <c r="T490" s="342"/>
      <c r="U490" s="342"/>
      <c r="V490" s="342"/>
      <c r="W490" s="342"/>
      <c r="X490" s="342"/>
      <c r="Y490" s="343"/>
      <c r="Z490" s="149"/>
      <c r="AA490" s="149"/>
      <c r="AB490" s="149"/>
      <c r="AC490" s="149"/>
      <c r="AD490" s="149"/>
      <c r="AE490" s="149"/>
      <c r="AF490" s="149"/>
    </row>
    <row r="491" spans="2:32" s="148" customFormat="1" hidden="1">
      <c r="B491" s="344"/>
      <c r="C491" s="345"/>
      <c r="D491" s="345"/>
      <c r="E491" s="345"/>
      <c r="F491" s="345"/>
      <c r="G491" s="345"/>
      <c r="H491" s="345"/>
      <c r="I491" s="345"/>
      <c r="J491" s="345"/>
      <c r="K491" s="345"/>
      <c r="L491" s="345"/>
      <c r="M491" s="345"/>
      <c r="N491" s="345"/>
      <c r="O491" s="345"/>
      <c r="P491" s="345"/>
      <c r="Q491" s="345"/>
      <c r="R491" s="345"/>
      <c r="S491" s="345"/>
      <c r="T491" s="345"/>
      <c r="U491" s="345"/>
      <c r="V491" s="345"/>
      <c r="W491" s="345"/>
      <c r="X491" s="345"/>
      <c r="Y491" s="346"/>
      <c r="Z491" s="149"/>
      <c r="AA491" s="149"/>
      <c r="AB491" s="149"/>
      <c r="AC491" s="149"/>
      <c r="AD491" s="149"/>
      <c r="AE491" s="149"/>
      <c r="AF491" s="149"/>
    </row>
    <row r="492" spans="2:32" s="148" customFormat="1" hidden="1">
      <c r="B492" s="347"/>
      <c r="C492" s="348"/>
      <c r="D492" s="348"/>
      <c r="E492" s="348"/>
      <c r="F492" s="348"/>
      <c r="G492" s="348"/>
      <c r="H492" s="348"/>
      <c r="I492" s="348"/>
      <c r="J492" s="348"/>
      <c r="K492" s="348"/>
      <c r="L492" s="348"/>
      <c r="M492" s="348"/>
      <c r="N492" s="348"/>
      <c r="O492" s="348"/>
      <c r="P492" s="348"/>
      <c r="Q492" s="348"/>
      <c r="R492" s="348"/>
      <c r="S492" s="348"/>
      <c r="T492" s="348"/>
      <c r="U492" s="348"/>
      <c r="V492" s="348"/>
      <c r="W492" s="348"/>
      <c r="X492" s="348"/>
      <c r="Y492" s="349"/>
      <c r="Z492" s="149"/>
      <c r="AA492" s="149"/>
      <c r="AB492" s="149"/>
      <c r="AC492" s="149"/>
      <c r="AD492" s="149"/>
      <c r="AE492" s="149"/>
      <c r="AF492" s="149"/>
    </row>
    <row r="493" spans="2:32" s="148" customFormat="1" hidden="1">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49"/>
      <c r="AA493" s="149"/>
      <c r="AB493" s="149"/>
      <c r="AC493" s="149"/>
      <c r="AD493" s="149"/>
      <c r="AE493" s="149"/>
      <c r="AF493" s="149"/>
    </row>
    <row r="494" spans="2:32" s="148" customFormat="1" hidden="1">
      <c r="B494" s="338" t="str">
        <f>Settings!$N$16</f>
        <v>Actions agreed during this review</v>
      </c>
      <c r="C494" s="339"/>
      <c r="D494" s="339"/>
      <c r="E494" s="339"/>
      <c r="F494" s="339"/>
      <c r="G494" s="339"/>
      <c r="H494" s="339"/>
      <c r="I494" s="339"/>
      <c r="J494" s="339"/>
      <c r="K494" s="339"/>
      <c r="L494" s="339"/>
      <c r="M494" s="339"/>
      <c r="N494" s="339"/>
      <c r="O494" s="339"/>
      <c r="P494" s="339"/>
      <c r="Q494" s="339"/>
      <c r="R494" s="339"/>
      <c r="S494" s="339"/>
      <c r="T494" s="339"/>
      <c r="U494" s="339"/>
      <c r="V494" s="339"/>
      <c r="W494" s="339"/>
      <c r="X494" s="339"/>
      <c r="Y494" s="340"/>
      <c r="Z494" s="149"/>
      <c r="AA494" s="149"/>
      <c r="AB494" s="149"/>
      <c r="AC494" s="149"/>
      <c r="AD494" s="149"/>
      <c r="AE494" s="149"/>
      <c r="AF494" s="149"/>
    </row>
    <row r="495" spans="2:32" s="148" customFormat="1" hidden="1">
      <c r="B495" s="341" t="e">
        <f>IF(INDEX(TblDatabase[Feedback To Improve],MATCH(1,INDEX(($L$4=ListEmployeeNamesInDatabase)*(C458=TblDatabase[Year]),0,1),0))="","",INDEX(TblDatabase[Feedback To Improve],MATCH(1,INDEX(($L$4=ListEmployeeNamesInDatabase)*(C458=TblDatabase[Year]),0,1),0)))</f>
        <v>#N/A</v>
      </c>
      <c r="C495" s="342"/>
      <c r="D495" s="342"/>
      <c r="E495" s="342"/>
      <c r="F495" s="342"/>
      <c r="G495" s="342"/>
      <c r="H495" s="342"/>
      <c r="I495" s="342"/>
      <c r="J495" s="342"/>
      <c r="K495" s="342"/>
      <c r="L495" s="342"/>
      <c r="M495" s="342"/>
      <c r="N495" s="342"/>
      <c r="O495" s="342"/>
      <c r="P495" s="342"/>
      <c r="Q495" s="342"/>
      <c r="R495" s="342"/>
      <c r="S495" s="342"/>
      <c r="T495" s="342"/>
      <c r="U495" s="342"/>
      <c r="V495" s="342"/>
      <c r="W495" s="342"/>
      <c r="X495" s="342"/>
      <c r="Y495" s="343"/>
      <c r="Z495" s="149"/>
      <c r="AA495" s="149"/>
      <c r="AB495" s="149"/>
      <c r="AC495" s="149"/>
      <c r="AD495" s="149"/>
      <c r="AE495" s="149"/>
      <c r="AF495" s="149"/>
    </row>
    <row r="496" spans="2:32" s="148" customFormat="1" hidden="1">
      <c r="B496" s="344"/>
      <c r="C496" s="345"/>
      <c r="D496" s="345"/>
      <c r="E496" s="345"/>
      <c r="F496" s="345"/>
      <c r="G496" s="345"/>
      <c r="H496" s="345"/>
      <c r="I496" s="345"/>
      <c r="J496" s="345"/>
      <c r="K496" s="345"/>
      <c r="L496" s="345"/>
      <c r="M496" s="345"/>
      <c r="N496" s="345"/>
      <c r="O496" s="345"/>
      <c r="P496" s="345"/>
      <c r="Q496" s="345"/>
      <c r="R496" s="345"/>
      <c r="S496" s="345"/>
      <c r="T496" s="345"/>
      <c r="U496" s="345"/>
      <c r="V496" s="345"/>
      <c r="W496" s="345"/>
      <c r="X496" s="345"/>
      <c r="Y496" s="346"/>
      <c r="Z496" s="149"/>
      <c r="AA496" s="149"/>
      <c r="AB496" s="149"/>
      <c r="AC496" s="149"/>
      <c r="AD496" s="149"/>
      <c r="AE496" s="149"/>
      <c r="AF496" s="149"/>
    </row>
    <row r="497" spans="1:32" s="148" customFormat="1" hidden="1">
      <c r="B497" s="347"/>
      <c r="C497" s="348"/>
      <c r="D497" s="348"/>
      <c r="E497" s="348"/>
      <c r="F497" s="348"/>
      <c r="G497" s="348"/>
      <c r="H497" s="348"/>
      <c r="I497" s="348"/>
      <c r="J497" s="348"/>
      <c r="K497" s="348"/>
      <c r="L497" s="348"/>
      <c r="M497" s="348"/>
      <c r="N497" s="348"/>
      <c r="O497" s="348"/>
      <c r="P497" s="348"/>
      <c r="Q497" s="348"/>
      <c r="R497" s="348"/>
      <c r="S497" s="348"/>
      <c r="T497" s="348"/>
      <c r="U497" s="348"/>
      <c r="V497" s="348"/>
      <c r="W497" s="348"/>
      <c r="X497" s="348"/>
      <c r="Y497" s="349"/>
      <c r="Z497" s="149"/>
      <c r="AA497" s="149"/>
      <c r="AB497" s="149"/>
      <c r="AC497" s="149"/>
      <c r="AD497" s="149"/>
      <c r="AE497" s="149"/>
      <c r="AF497" s="149"/>
    </row>
    <row r="498" spans="1:32" s="148" customFormat="1" hidden="1">
      <c r="B498" s="156"/>
      <c r="C498" s="156"/>
      <c r="D498" s="156"/>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49"/>
      <c r="AA498" s="149"/>
      <c r="AB498" s="149"/>
      <c r="AC498" s="149"/>
      <c r="AD498" s="149"/>
      <c r="AE498" s="149"/>
      <c r="AF498" s="149"/>
    </row>
    <row r="499" spans="1:32" s="148" customFormat="1" hidden="1">
      <c r="A499" s="150">
        <f>A458+1</f>
        <v>12</v>
      </c>
      <c r="B499" s="27" t="s">
        <v>14</v>
      </c>
      <c r="C499" s="333">
        <f>C458-1</f>
        <v>2009</v>
      </c>
      <c r="D499" s="334"/>
      <c r="Y499" s="149"/>
      <c r="Z499" s="149"/>
      <c r="AA499" s="149"/>
      <c r="AB499" s="149"/>
      <c r="AC499" s="149"/>
      <c r="AD499" s="149"/>
      <c r="AE499" s="149"/>
      <c r="AF499" s="149"/>
    </row>
    <row r="500" spans="1:32" s="148" customFormat="1" hidden="1">
      <c r="Y500" s="149"/>
      <c r="Z500" s="149"/>
      <c r="AA500" s="149"/>
      <c r="AB500" s="149"/>
      <c r="AC500" s="149"/>
      <c r="AD500" s="149"/>
      <c r="AE500" s="149"/>
      <c r="AF500" s="149"/>
    </row>
    <row r="501" spans="1:32" s="148" customFormat="1" hidden="1">
      <c r="B501" s="338" t="str">
        <f>Settings!$N$14</f>
        <v>Employee's comments</v>
      </c>
      <c r="C501" s="339"/>
      <c r="D501" s="339"/>
      <c r="E501" s="339"/>
      <c r="F501" s="339"/>
      <c r="G501" s="339"/>
      <c r="H501" s="339"/>
      <c r="I501" s="339"/>
      <c r="J501" s="339"/>
      <c r="K501" s="339"/>
      <c r="L501" s="339"/>
      <c r="M501" s="339"/>
      <c r="N501" s="339"/>
      <c r="O501" s="339"/>
      <c r="P501" s="339"/>
      <c r="Q501" s="339"/>
      <c r="R501" s="339"/>
      <c r="S501" s="339"/>
      <c r="T501" s="339"/>
      <c r="U501" s="339"/>
      <c r="V501" s="339"/>
      <c r="W501" s="339"/>
      <c r="X501" s="339"/>
      <c r="Y501" s="340"/>
      <c r="Z501" s="149"/>
      <c r="AA501" s="149"/>
      <c r="AB501" s="149"/>
      <c r="AC501" s="149"/>
      <c r="AD501" s="149"/>
      <c r="AE501" s="149"/>
      <c r="AF501" s="149"/>
    </row>
    <row r="502" spans="1:32" s="148" customFormat="1" hidden="1">
      <c r="B502" s="341" t="e">
        <f>IF(INDEX(TblDatabase[Feedback Warnings],MATCH(1,INDEX(($L$4=ListEmployeeNamesInDatabase)*(C499=TblDatabase[Year]),0,1),0))="","",INDEX(TblDatabase[Feedback Warnings],MATCH(1,INDEX(($L$4=ListEmployeeNamesInDatabase)*(C499=TblDatabase[Year]),0,1),0)))</f>
        <v>#N/A</v>
      </c>
      <c r="C502" s="342"/>
      <c r="D502" s="342"/>
      <c r="E502" s="342"/>
      <c r="F502" s="342"/>
      <c r="G502" s="342"/>
      <c r="H502" s="342"/>
      <c r="I502" s="342"/>
      <c r="J502" s="342"/>
      <c r="K502" s="342"/>
      <c r="L502" s="342"/>
      <c r="M502" s="342"/>
      <c r="N502" s="342"/>
      <c r="O502" s="342"/>
      <c r="P502" s="342"/>
      <c r="Q502" s="342"/>
      <c r="R502" s="342"/>
      <c r="S502" s="342"/>
      <c r="T502" s="342"/>
      <c r="U502" s="342"/>
      <c r="V502" s="342"/>
      <c r="W502" s="342"/>
      <c r="X502" s="342"/>
      <c r="Y502" s="343"/>
      <c r="Z502" s="149"/>
      <c r="AA502" s="149"/>
      <c r="AB502" s="149"/>
      <c r="AC502" s="149"/>
      <c r="AD502" s="149"/>
      <c r="AE502" s="149"/>
      <c r="AF502" s="149"/>
    </row>
    <row r="503" spans="1:32" s="148" customFormat="1" hidden="1">
      <c r="B503" s="344"/>
      <c r="C503" s="345"/>
      <c r="D503" s="345"/>
      <c r="E503" s="345"/>
      <c r="F503" s="345"/>
      <c r="G503" s="345"/>
      <c r="H503" s="345"/>
      <c r="I503" s="345"/>
      <c r="J503" s="345"/>
      <c r="K503" s="345"/>
      <c r="L503" s="345"/>
      <c r="M503" s="345"/>
      <c r="N503" s="345"/>
      <c r="O503" s="345"/>
      <c r="P503" s="345"/>
      <c r="Q503" s="345"/>
      <c r="R503" s="345"/>
      <c r="S503" s="345"/>
      <c r="T503" s="345"/>
      <c r="U503" s="345"/>
      <c r="V503" s="345"/>
      <c r="W503" s="345"/>
      <c r="X503" s="345"/>
      <c r="Y503" s="346"/>
      <c r="Z503" s="149"/>
      <c r="AA503" s="149"/>
      <c r="AB503" s="149"/>
      <c r="AC503" s="149"/>
      <c r="AD503" s="149"/>
      <c r="AE503" s="149"/>
      <c r="AF503" s="149"/>
    </row>
    <row r="504" spans="1:32" s="148" customFormat="1" hidden="1">
      <c r="B504" s="347"/>
      <c r="C504" s="348"/>
      <c r="D504" s="348"/>
      <c r="E504" s="348"/>
      <c r="F504" s="348"/>
      <c r="G504" s="348"/>
      <c r="H504" s="348"/>
      <c r="I504" s="348"/>
      <c r="J504" s="348"/>
      <c r="K504" s="348"/>
      <c r="L504" s="348"/>
      <c r="M504" s="348"/>
      <c r="N504" s="348"/>
      <c r="O504" s="348"/>
      <c r="P504" s="348"/>
      <c r="Q504" s="348"/>
      <c r="R504" s="348"/>
      <c r="S504" s="348"/>
      <c r="T504" s="348"/>
      <c r="U504" s="348"/>
      <c r="V504" s="348"/>
      <c r="W504" s="348"/>
      <c r="X504" s="348"/>
      <c r="Y504" s="349"/>
      <c r="Z504" s="149"/>
      <c r="AA504" s="149"/>
      <c r="AB504" s="149"/>
      <c r="AC504" s="149"/>
      <c r="AD504" s="149"/>
      <c r="AE504" s="149"/>
      <c r="AF504" s="149"/>
    </row>
    <row r="505" spans="1:32" s="148" customFormat="1" hidden="1">
      <c r="Y505" s="149"/>
      <c r="Z505" s="149"/>
      <c r="AA505" s="149"/>
      <c r="AB505" s="149"/>
      <c r="AC505" s="149"/>
      <c r="AD505" s="149"/>
      <c r="AE505" s="149"/>
      <c r="AF505" s="149"/>
    </row>
    <row r="506" spans="1:32" s="148" customFormat="1" ht="15" hidden="1" customHeight="1">
      <c r="B506" s="320" t="s">
        <v>8</v>
      </c>
      <c r="C506" s="321"/>
      <c r="D506" s="321"/>
      <c r="E506" s="321"/>
      <c r="F506" s="233">
        <f>IF(Settings!$M$4=Settings!$Y$3,Settings!$O$19,1)</f>
        <v>1</v>
      </c>
      <c r="G506" s="234">
        <f>IF(Settings!$M$4=Settings!$Y$3,Settings!$O$19,2)</f>
        <v>2</v>
      </c>
      <c r="H506" s="234">
        <f>IF(Settings!$M$4=Settings!$Y$3,Settings!$O$19,3)</f>
        <v>3</v>
      </c>
      <c r="I506" s="234">
        <f>IF(Settings!$M$4=Settings!$Y$3,Settings!$O$19,4)</f>
        <v>4</v>
      </c>
      <c r="J506" s="234">
        <f>IF(Settings!$M$4=Settings!$Y$3,Settings!$O$20,5)</f>
        <v>5</v>
      </c>
      <c r="K506" s="234">
        <f>IF(Settings!$M$4=Settings!$Y$3,Settings!$O$20,6)</f>
        <v>6</v>
      </c>
      <c r="L506" s="234">
        <f>IF(Settings!$M$4=Settings!$Y$3,Settings!$O$20,7)</f>
        <v>7</v>
      </c>
      <c r="M506" s="234">
        <f>IF(Settings!$M$4=Settings!$Y$3,Settings!$O$20,8)</f>
        <v>8</v>
      </c>
      <c r="N506" s="234">
        <f>IF(Settings!$M$4=Settings!$Y$3,Settings!$O$21,9)</f>
        <v>9</v>
      </c>
      <c r="O506" s="235">
        <f>IF(Settings!$M$4=Settings!$Y$3,Settings!$O$21,10)</f>
        <v>10</v>
      </c>
      <c r="P506" s="22"/>
      <c r="Q506" s="22"/>
      <c r="R506" s="333" t="s">
        <v>24</v>
      </c>
      <c r="S506" s="333"/>
      <c r="T506" s="333"/>
      <c r="U506" s="333"/>
      <c r="V506" s="333"/>
      <c r="W506" s="333"/>
      <c r="X506" s="333"/>
      <c r="Y506" s="334"/>
      <c r="Z506" s="149"/>
      <c r="AA506" s="149"/>
      <c r="AB506" s="149"/>
      <c r="AC506" s="149"/>
      <c r="AD506" s="149"/>
      <c r="AE506" s="149"/>
      <c r="AF506" s="149"/>
    </row>
    <row r="507" spans="1:32" s="148" customFormat="1" ht="15" hidden="1" customHeight="1">
      <c r="B507" s="335" t="str">
        <f t="shared" ref="B507:B526" si="11">B466</f>
        <v>Quality of Work</v>
      </c>
      <c r="C507" s="336"/>
      <c r="D507" s="336"/>
      <c r="E507" s="337"/>
      <c r="F507" s="162" t="str">
        <f>IF(Settings!$M$4=Settings!$Y$3,IF($AA507=1,"P",""),IF($AA507=1,"P",""))</f>
        <v/>
      </c>
      <c r="G507" s="160" t="str">
        <f>IF(Settings!$M$4=Settings!$Y$3,IF($AA507=1,"P",""),IF($AA507=2,"P",""))</f>
        <v/>
      </c>
      <c r="H507" s="160" t="str">
        <f>IF(Settings!$M$4=Settings!$Y$3,IF($AA507=1,"P",""),IF($AA507=3,"P",""))</f>
        <v/>
      </c>
      <c r="I507" s="160" t="str">
        <f>IF(Settings!$M$4=Settings!$Y$3,IF($AA507=1,"P",""),IF($AA507=4,"P",""))</f>
        <v/>
      </c>
      <c r="J507" s="160" t="str">
        <f>IF(Settings!$M$4=Settings!$Y$3,IF($AA507=2,"P",""),IF($AA507=5,"P",""))</f>
        <v/>
      </c>
      <c r="K507" s="160" t="str">
        <f>IF(Settings!$M$4=Settings!$Y$3,IF($AA507=2,"P",""),IF($AA507=6,"P",""))</f>
        <v/>
      </c>
      <c r="L507" s="160" t="str">
        <f>IF(Settings!$M$4=Settings!$Y$3,IF($AA507=2,"P",""),IF($AA507=7,"P",""))</f>
        <v/>
      </c>
      <c r="M507" s="160" t="str">
        <f>IF(Settings!$M$4=Settings!$Y$3,IF($AA507=2,"P",""),IF($AA507=8,"P",""))</f>
        <v/>
      </c>
      <c r="N507" s="160" t="str">
        <f>IF(Settings!$M$4=Settings!$Y$3,IF($AA507=3,"P",""),IF($AA507=9,"P",""))</f>
        <v/>
      </c>
      <c r="O507" s="161" t="str">
        <f>IF(Settings!$M$4=Settings!$Y$3,IF($AA507=3,"P",""),IF($AA507=10,"P",""))</f>
        <v/>
      </c>
      <c r="P507" s="22"/>
      <c r="Q507" s="22"/>
      <c r="R507" s="367" t="e">
        <f>IF(INDEX(TblDatabase[Comment1],MATCH(1,INDEX(($L$4=ListEmployeeNamesInDatabase)*(C499=TblDatabase[Year]),0,1),0))="","",INDEX(TblDatabase[Comment1],MATCH(1,INDEX(($L$4=ListEmployeeNamesInDatabase)*(C499=TblDatabase[Year]),0,1),0)))</f>
        <v>#N/A</v>
      </c>
      <c r="S507" s="367"/>
      <c r="T507" s="367"/>
      <c r="U507" s="367"/>
      <c r="V507" s="367"/>
      <c r="W507" s="367"/>
      <c r="X507" s="367"/>
      <c r="Y507" s="368"/>
      <c r="Z507" s="149"/>
      <c r="AA507" s="151">
        <f>SUMIFS(TblDatabase[Competency1],ListEmployeeNamesInDatabase,$L$4,TblDatabase[Year],C499)</f>
        <v>0</v>
      </c>
      <c r="AB507" s="149"/>
      <c r="AC507" s="149"/>
      <c r="AD507" s="149"/>
      <c r="AE507" s="149"/>
      <c r="AF507" s="149"/>
    </row>
    <row r="508" spans="1:32" s="148" customFormat="1" ht="15" hidden="1" customHeight="1">
      <c r="B508" s="355" t="str">
        <f t="shared" si="11"/>
        <v>CaLL flow</v>
      </c>
      <c r="C508" s="356"/>
      <c r="D508" s="356"/>
      <c r="E508" s="357"/>
      <c r="F508" s="163" t="str">
        <f>IF(Settings!$M$4=Settings!$Y$3,IF($AA508=1,"P",""),IF($AA508=1,"P",""))</f>
        <v/>
      </c>
      <c r="G508" s="164" t="str">
        <f>IF(Settings!$M$4=Settings!$Y$3,IF($AA508=1,"P",""),IF($AA508=2,"P",""))</f>
        <v/>
      </c>
      <c r="H508" s="164" t="str">
        <f>IF(Settings!$M$4=Settings!$Y$3,IF($AA508=1,"P",""),IF($AA508=3,"P",""))</f>
        <v/>
      </c>
      <c r="I508" s="164" t="str">
        <f>IF(Settings!$M$4=Settings!$Y$3,IF($AA508=1,"P",""),IF($AA508=4,"P",""))</f>
        <v/>
      </c>
      <c r="J508" s="164" t="str">
        <f>IF(Settings!$M$4=Settings!$Y$3,IF($AA508=2,"P",""),IF($AA508=5,"P",""))</f>
        <v/>
      </c>
      <c r="K508" s="164" t="str">
        <f>IF(Settings!$M$4=Settings!$Y$3,IF($AA508=2,"P",""),IF($AA508=6,"P",""))</f>
        <v/>
      </c>
      <c r="L508" s="164" t="str">
        <f>IF(Settings!$M$4=Settings!$Y$3,IF($AA508=2,"P",""),IF($AA508=7,"P",""))</f>
        <v/>
      </c>
      <c r="M508" s="164" t="str">
        <f>IF(Settings!$M$4=Settings!$Y$3,IF($AA508=2,"P",""),IF($AA508=8,"P",""))</f>
        <v/>
      </c>
      <c r="N508" s="164" t="str">
        <f>IF(Settings!$M$4=Settings!$Y$3,IF($AA508=3,"P",""),IF($AA508=9,"P",""))</f>
        <v/>
      </c>
      <c r="O508" s="165" t="str">
        <f>IF(Settings!$M$4=Settings!$Y$3,IF($AA508=3,"P",""),IF($AA508=10,"P",""))</f>
        <v/>
      </c>
      <c r="P508" s="22"/>
      <c r="Q508" s="22"/>
      <c r="R508" s="360" t="e">
        <f>IF(INDEX(TblDatabase[Comment2],MATCH(1,INDEX(($L$4=ListEmployeeNamesInDatabase)*(C499=TblDatabase[Year]),0,1),0))="","",INDEX(TblDatabase[Comment2],MATCH(1,INDEX(($L$4=ListEmployeeNamesInDatabase)*(C499=TblDatabase[Year]),0,1),0)))</f>
        <v>#N/A</v>
      </c>
      <c r="S508" s="360"/>
      <c r="T508" s="360"/>
      <c r="U508" s="360"/>
      <c r="V508" s="360"/>
      <c r="W508" s="360"/>
      <c r="X508" s="360"/>
      <c r="Y508" s="361"/>
      <c r="Z508" s="149"/>
      <c r="AA508" s="151">
        <f>SUMIFS(TblDatabase[Competency2],ListEmployeeNamesInDatabase,$L$4,TblDatabase[Year],C499)</f>
        <v>0</v>
      </c>
      <c r="AB508" s="149"/>
      <c r="AC508" s="149"/>
      <c r="AD508" s="149"/>
      <c r="AE508" s="149"/>
      <c r="AF508" s="149"/>
    </row>
    <row r="509" spans="1:32" s="148" customFormat="1" ht="15" hidden="1" customHeight="1">
      <c r="B509" s="350" t="str">
        <f t="shared" si="11"/>
        <v>Job Knowledge</v>
      </c>
      <c r="C509" s="351"/>
      <c r="D509" s="351"/>
      <c r="E509" s="352"/>
      <c r="F509" s="157" t="str">
        <f>IF(Settings!$M$4=Settings!$Y$3,IF($AA509=1,"P",""),IF($AA509=1,"P",""))</f>
        <v/>
      </c>
      <c r="G509" s="158" t="str">
        <f>IF(Settings!$M$4=Settings!$Y$3,IF($AA509=1,"P",""),IF($AA509=2,"P",""))</f>
        <v/>
      </c>
      <c r="H509" s="158" t="str">
        <f>IF(Settings!$M$4=Settings!$Y$3,IF($AA509=1,"P",""),IF($AA509=3,"P",""))</f>
        <v/>
      </c>
      <c r="I509" s="158" t="str">
        <f>IF(Settings!$M$4=Settings!$Y$3,IF($AA509=1,"P",""),IF($AA509=4,"P",""))</f>
        <v/>
      </c>
      <c r="J509" s="158" t="str">
        <f>IF(Settings!$M$4=Settings!$Y$3,IF($AA509=2,"P",""),IF($AA509=5,"P",""))</f>
        <v/>
      </c>
      <c r="K509" s="158" t="str">
        <f>IF(Settings!$M$4=Settings!$Y$3,IF($AA509=2,"P",""),IF($AA509=6,"P",""))</f>
        <v/>
      </c>
      <c r="L509" s="158" t="str">
        <f>IF(Settings!$M$4=Settings!$Y$3,IF($AA509=2,"P",""),IF($AA509=7,"P",""))</f>
        <v/>
      </c>
      <c r="M509" s="158" t="str">
        <f>IF(Settings!$M$4=Settings!$Y$3,IF($AA509=2,"P",""),IF($AA509=8,"P",""))</f>
        <v/>
      </c>
      <c r="N509" s="158" t="str">
        <f>IF(Settings!$M$4=Settings!$Y$3,IF($AA509=3,"P",""),IF($AA509=9,"P",""))</f>
        <v/>
      </c>
      <c r="O509" s="159" t="str">
        <f>IF(Settings!$M$4=Settings!$Y$3,IF($AA509=3,"P",""),IF($AA509=10,"P",""))</f>
        <v/>
      </c>
      <c r="P509" s="22"/>
      <c r="Q509" s="22"/>
      <c r="R509" s="353" t="e">
        <f>IF(INDEX(TblDatabase[Comment3],MATCH(1,INDEX(($L$4=ListEmployeeNamesInDatabase)*(C499=TblDatabase[Year]),0,1),0))="","",INDEX(TblDatabase[Comment3],MATCH(1,INDEX(($L$4=ListEmployeeNamesInDatabase)*(C499=TblDatabase[Year]),0,1),0)))</f>
        <v>#N/A</v>
      </c>
      <c r="S509" s="353"/>
      <c r="T509" s="353"/>
      <c r="U509" s="353"/>
      <c r="V509" s="353"/>
      <c r="W509" s="353"/>
      <c r="X509" s="353"/>
      <c r="Y509" s="354"/>
      <c r="Z509" s="149"/>
      <c r="AA509" s="151">
        <f>SUMIFS(TblDatabase[Competency3],ListEmployeeNamesInDatabase,$L$4,TblDatabase[Year],C499)</f>
        <v>0</v>
      </c>
      <c r="AB509" s="149"/>
      <c r="AC509" s="149"/>
      <c r="AD509" s="149"/>
      <c r="AE509" s="149"/>
      <c r="AF509" s="149"/>
    </row>
    <row r="510" spans="1:32" s="148" customFormat="1" ht="15" hidden="1" customHeight="1">
      <c r="B510" s="355" t="str">
        <f t="shared" si="11"/>
        <v>Client Service</v>
      </c>
      <c r="C510" s="356"/>
      <c r="D510" s="356"/>
      <c r="E510" s="357"/>
      <c r="F510" s="163" t="str">
        <f>IF(Settings!$M$4=Settings!$Y$3,IF($AA510=1,"P",""),IF($AA510=1,"P",""))</f>
        <v/>
      </c>
      <c r="G510" s="164" t="str">
        <f>IF(Settings!$M$4=Settings!$Y$3,IF($AA510=1,"P",""),IF($AA510=2,"P",""))</f>
        <v/>
      </c>
      <c r="H510" s="164" t="str">
        <f>IF(Settings!$M$4=Settings!$Y$3,IF($AA510=1,"P",""),IF($AA510=3,"P",""))</f>
        <v/>
      </c>
      <c r="I510" s="164" t="str">
        <f>IF(Settings!$M$4=Settings!$Y$3,IF($AA510=1,"P",""),IF($AA510=4,"P",""))</f>
        <v/>
      </c>
      <c r="J510" s="164" t="str">
        <f>IF(Settings!$M$4=Settings!$Y$3,IF($AA510=2,"P",""),IF($AA510=5,"P",""))</f>
        <v/>
      </c>
      <c r="K510" s="164" t="str">
        <f>IF(Settings!$M$4=Settings!$Y$3,IF($AA510=2,"P",""),IF($AA510=6,"P",""))</f>
        <v/>
      </c>
      <c r="L510" s="164" t="str">
        <f>IF(Settings!$M$4=Settings!$Y$3,IF($AA510=2,"P",""),IF($AA510=7,"P",""))</f>
        <v/>
      </c>
      <c r="M510" s="164" t="str">
        <f>IF(Settings!$M$4=Settings!$Y$3,IF($AA510=2,"P",""),IF($AA510=8,"P",""))</f>
        <v/>
      </c>
      <c r="N510" s="164" t="str">
        <f>IF(Settings!$M$4=Settings!$Y$3,IF($AA510=3,"P",""),IF($AA510=9,"P",""))</f>
        <v/>
      </c>
      <c r="O510" s="165" t="str">
        <f>IF(Settings!$M$4=Settings!$Y$3,IF($AA510=3,"P",""),IF($AA510=10,"P",""))</f>
        <v/>
      </c>
      <c r="P510" s="22"/>
      <c r="Q510" s="22"/>
      <c r="R510" s="360" t="e">
        <f>IF(INDEX(TblDatabase[Comment4],MATCH(1,INDEX(($L$4=ListEmployeeNamesInDatabase)*(C499=TblDatabase[Year]),0,1),0))="","",INDEX(TblDatabase[Comment4],MATCH(1,INDEX(($L$4=ListEmployeeNamesInDatabase)*(C499=TblDatabase[Year]),0,1),0)))</f>
        <v>#N/A</v>
      </c>
      <c r="S510" s="360"/>
      <c r="T510" s="360"/>
      <c r="U510" s="360"/>
      <c r="V510" s="360"/>
      <c r="W510" s="360"/>
      <c r="X510" s="360"/>
      <c r="Y510" s="361"/>
      <c r="Z510" s="149"/>
      <c r="AA510" s="151">
        <f>SUMIFS(TblDatabase[Competency4],ListEmployeeNamesInDatabase,$L$4,TblDatabase[Year],C499)</f>
        <v>0</v>
      </c>
      <c r="AB510" s="149"/>
      <c r="AC510" s="149"/>
      <c r="AD510" s="149"/>
      <c r="AE510" s="149"/>
      <c r="AF510" s="149"/>
    </row>
    <row r="511" spans="1:32" s="148" customFormat="1" ht="15" hidden="1" customHeight="1">
      <c r="B511" s="350" t="str">
        <f t="shared" si="11"/>
        <v>Teamwork</v>
      </c>
      <c r="C511" s="351"/>
      <c r="D511" s="351"/>
      <c r="E511" s="352"/>
      <c r="F511" s="157" t="str">
        <f>IF(Settings!$M$4=Settings!$Y$3,IF($AA511=1,"P",""),IF($AA511=1,"P",""))</f>
        <v/>
      </c>
      <c r="G511" s="158" t="str">
        <f>IF(Settings!$M$4=Settings!$Y$3,IF($AA511=1,"P",""),IF($AA511=2,"P",""))</f>
        <v/>
      </c>
      <c r="H511" s="158" t="str">
        <f>IF(Settings!$M$4=Settings!$Y$3,IF($AA511=1,"P",""),IF($AA511=3,"P",""))</f>
        <v/>
      </c>
      <c r="I511" s="158" t="str">
        <f>IF(Settings!$M$4=Settings!$Y$3,IF($AA511=1,"P",""),IF($AA511=4,"P",""))</f>
        <v/>
      </c>
      <c r="J511" s="158" t="str">
        <f>IF(Settings!$M$4=Settings!$Y$3,IF($AA511=2,"P",""),IF($AA511=5,"P",""))</f>
        <v/>
      </c>
      <c r="K511" s="158" t="str">
        <f>IF(Settings!$M$4=Settings!$Y$3,IF($AA511=2,"P",""),IF($AA511=6,"P",""))</f>
        <v/>
      </c>
      <c r="L511" s="158" t="str">
        <f>IF(Settings!$M$4=Settings!$Y$3,IF($AA511=2,"P",""),IF($AA511=7,"P",""))</f>
        <v/>
      </c>
      <c r="M511" s="158" t="str">
        <f>IF(Settings!$M$4=Settings!$Y$3,IF($AA511=2,"P",""),IF($AA511=8,"P",""))</f>
        <v/>
      </c>
      <c r="N511" s="158" t="str">
        <f>IF(Settings!$M$4=Settings!$Y$3,IF($AA511=3,"P",""),IF($AA511=9,"P",""))</f>
        <v/>
      </c>
      <c r="O511" s="159" t="str">
        <f>IF(Settings!$M$4=Settings!$Y$3,IF($AA511=3,"P",""),IF($AA511=10,"P",""))</f>
        <v/>
      </c>
      <c r="P511" s="22"/>
      <c r="Q511" s="22"/>
      <c r="R511" s="353" t="e">
        <f>IF(INDEX(TblDatabase[Comment5],MATCH(1,INDEX(($L$4=ListEmployeeNamesInDatabase)*(C499=TblDatabase[Year]),0,1),0))="","",INDEX(TblDatabase[Comment5],MATCH(1,INDEX(($L$4=ListEmployeeNamesInDatabase)*(C499=TblDatabase[Year]),0,1),0)))</f>
        <v>#N/A</v>
      </c>
      <c r="S511" s="353"/>
      <c r="T511" s="353"/>
      <c r="U511" s="353"/>
      <c r="V511" s="353"/>
      <c r="W511" s="353"/>
      <c r="X511" s="353"/>
      <c r="Y511" s="354"/>
      <c r="Z511" s="149"/>
      <c r="AA511" s="151">
        <f>SUMIFS(TblDatabase[Competency5],ListEmployeeNamesInDatabase,$L$4,TblDatabase[Year],C499)</f>
        <v>0</v>
      </c>
      <c r="AB511" s="149"/>
      <c r="AC511" s="149"/>
      <c r="AD511" s="149"/>
      <c r="AE511" s="149"/>
      <c r="AF511" s="149"/>
    </row>
    <row r="512" spans="1:32" s="148" customFormat="1" ht="15" hidden="1" customHeight="1">
      <c r="B512" s="355" t="str">
        <f t="shared" si="11"/>
        <v>Safety</v>
      </c>
      <c r="C512" s="356"/>
      <c r="D512" s="356"/>
      <c r="E512" s="357"/>
      <c r="F512" s="163" t="str">
        <f>IF(Settings!$M$4=Settings!$Y$3,IF($AA512=1,"P",""),IF($AA512=1,"P",""))</f>
        <v/>
      </c>
      <c r="G512" s="164" t="str">
        <f>IF(Settings!$M$4=Settings!$Y$3,IF($AA512=1,"P",""),IF($AA512=2,"P",""))</f>
        <v/>
      </c>
      <c r="H512" s="164" t="str">
        <f>IF(Settings!$M$4=Settings!$Y$3,IF($AA512=1,"P",""),IF($AA512=3,"P",""))</f>
        <v/>
      </c>
      <c r="I512" s="164" t="str">
        <f>IF(Settings!$M$4=Settings!$Y$3,IF($AA512=1,"P",""),IF($AA512=4,"P",""))</f>
        <v/>
      </c>
      <c r="J512" s="164" t="str">
        <f>IF(Settings!$M$4=Settings!$Y$3,IF($AA512=2,"P",""),IF($AA512=5,"P",""))</f>
        <v/>
      </c>
      <c r="K512" s="164" t="str">
        <f>IF(Settings!$M$4=Settings!$Y$3,IF($AA512=2,"P",""),IF($AA512=6,"P",""))</f>
        <v/>
      </c>
      <c r="L512" s="164" t="str">
        <f>IF(Settings!$M$4=Settings!$Y$3,IF($AA512=2,"P",""),IF($AA512=7,"P",""))</f>
        <v/>
      </c>
      <c r="M512" s="164" t="str">
        <f>IF(Settings!$M$4=Settings!$Y$3,IF($AA512=2,"P",""),IF($AA512=8,"P",""))</f>
        <v/>
      </c>
      <c r="N512" s="164" t="str">
        <f>IF(Settings!$M$4=Settings!$Y$3,IF($AA512=3,"P",""),IF($AA512=9,"P",""))</f>
        <v/>
      </c>
      <c r="O512" s="165" t="str">
        <f>IF(Settings!$M$4=Settings!$Y$3,IF($AA512=3,"P",""),IF($AA512=10,"P",""))</f>
        <v/>
      </c>
      <c r="P512" s="22"/>
      <c r="Q512" s="22"/>
      <c r="R512" s="360" t="e">
        <f>IF(INDEX(TblDatabase[Comment6],MATCH(1,INDEX(($L$4=ListEmployeeNamesInDatabase)*(C499=TblDatabase[Year]),0,1),0))="","",INDEX(TblDatabase[Comment6],MATCH(1,INDEX(($L$4=ListEmployeeNamesInDatabase)*(C499=TblDatabase[Year]),0,1),0)))</f>
        <v>#N/A</v>
      </c>
      <c r="S512" s="360"/>
      <c r="T512" s="360"/>
      <c r="U512" s="360"/>
      <c r="V512" s="360"/>
      <c r="W512" s="360"/>
      <c r="X512" s="360"/>
      <c r="Y512" s="361"/>
      <c r="Z512" s="149"/>
      <c r="AA512" s="151">
        <f>SUMIFS(TblDatabase[Competency6],ListEmployeeNamesInDatabase,$L$4,TblDatabase[Year],C499)</f>
        <v>0</v>
      </c>
      <c r="AB512" s="149"/>
      <c r="AC512" s="149"/>
      <c r="AD512" s="149"/>
      <c r="AE512" s="149"/>
      <c r="AF512" s="149"/>
    </row>
    <row r="513" spans="2:32" s="148" customFormat="1" ht="15" hidden="1" customHeight="1">
      <c r="B513" s="350" t="str">
        <f t="shared" si="11"/>
        <v>Reliability</v>
      </c>
      <c r="C513" s="351"/>
      <c r="D513" s="351"/>
      <c r="E513" s="352"/>
      <c r="F513" s="157" t="str">
        <f>IF(Settings!$M$4=Settings!$Y$3,IF($AA513=1,"P",""),IF($AA513=1,"P",""))</f>
        <v/>
      </c>
      <c r="G513" s="158" t="str">
        <f>IF(Settings!$M$4=Settings!$Y$3,IF($AA513=1,"P",""),IF($AA513=2,"P",""))</f>
        <v/>
      </c>
      <c r="H513" s="158" t="str">
        <f>IF(Settings!$M$4=Settings!$Y$3,IF($AA513=1,"P",""),IF($AA513=3,"P",""))</f>
        <v/>
      </c>
      <c r="I513" s="158" t="str">
        <f>IF(Settings!$M$4=Settings!$Y$3,IF($AA513=1,"P",""),IF($AA513=4,"P",""))</f>
        <v/>
      </c>
      <c r="J513" s="158" t="str">
        <f>IF(Settings!$M$4=Settings!$Y$3,IF($AA513=2,"P",""),IF($AA513=5,"P",""))</f>
        <v/>
      </c>
      <c r="K513" s="158" t="str">
        <f>IF(Settings!$M$4=Settings!$Y$3,IF($AA513=2,"P",""),IF($AA513=6,"P",""))</f>
        <v/>
      </c>
      <c r="L513" s="158" t="str">
        <f>IF(Settings!$M$4=Settings!$Y$3,IF($AA513=2,"P",""),IF($AA513=7,"P",""))</f>
        <v/>
      </c>
      <c r="M513" s="158" t="str">
        <f>IF(Settings!$M$4=Settings!$Y$3,IF($AA513=2,"P",""),IF($AA513=8,"P",""))</f>
        <v/>
      </c>
      <c r="N513" s="158" t="str">
        <f>IF(Settings!$M$4=Settings!$Y$3,IF($AA513=3,"P",""),IF($AA513=9,"P",""))</f>
        <v/>
      </c>
      <c r="O513" s="159" t="str">
        <f>IF(Settings!$M$4=Settings!$Y$3,IF($AA513=3,"P",""),IF($AA513=10,"P",""))</f>
        <v/>
      </c>
      <c r="P513" s="22"/>
      <c r="Q513" s="22"/>
      <c r="R513" s="353" t="e">
        <f>IF(INDEX(TblDatabase[Comment7],MATCH(1,INDEX(($L$4=ListEmployeeNamesInDatabase)*(C499=TblDatabase[Year]),0,1),0))="","",INDEX(TblDatabase[Comment7],MATCH(1,INDEX(($L$4=ListEmployeeNamesInDatabase)*(C499=TblDatabase[Year]),0,1),0)))</f>
        <v>#N/A</v>
      </c>
      <c r="S513" s="353"/>
      <c r="T513" s="353"/>
      <c r="U513" s="353"/>
      <c r="V513" s="353"/>
      <c r="W513" s="353"/>
      <c r="X513" s="353"/>
      <c r="Y513" s="354"/>
      <c r="Z513" s="149"/>
      <c r="AA513" s="151">
        <f>SUMIFS(TblDatabase[Competency7],ListEmployeeNamesInDatabase,$L$4,TblDatabase[Year],C499)</f>
        <v>0</v>
      </c>
      <c r="AB513" s="149"/>
      <c r="AC513" s="149"/>
      <c r="AD513" s="149"/>
      <c r="AE513" s="149"/>
      <c r="AF513" s="149"/>
    </row>
    <row r="514" spans="2:32" s="148" customFormat="1" ht="15" hidden="1" customHeight="1">
      <c r="B514" s="355" t="str">
        <f t="shared" si="11"/>
        <v>Initiative/Adaptability</v>
      </c>
      <c r="C514" s="356"/>
      <c r="D514" s="356"/>
      <c r="E514" s="357"/>
      <c r="F514" s="163" t="str">
        <f>IF(Settings!$M$4=Settings!$Y$3,IF($AA514=1,"P",""),IF($AA514=1,"P",""))</f>
        <v/>
      </c>
      <c r="G514" s="164" t="str">
        <f>IF(Settings!$M$4=Settings!$Y$3,IF($AA514=1,"P",""),IF($AA514=2,"P",""))</f>
        <v/>
      </c>
      <c r="H514" s="164" t="str">
        <f>IF(Settings!$M$4=Settings!$Y$3,IF($AA514=1,"P",""),IF($AA514=3,"P",""))</f>
        <v/>
      </c>
      <c r="I514" s="164" t="str">
        <f>IF(Settings!$M$4=Settings!$Y$3,IF($AA514=1,"P",""),IF($AA514=4,"P",""))</f>
        <v/>
      </c>
      <c r="J514" s="164" t="str">
        <f>IF(Settings!$M$4=Settings!$Y$3,IF($AA514=2,"P",""),IF($AA514=5,"P",""))</f>
        <v/>
      </c>
      <c r="K514" s="164" t="str">
        <f>IF(Settings!$M$4=Settings!$Y$3,IF($AA514=2,"P",""),IF($AA514=6,"P",""))</f>
        <v/>
      </c>
      <c r="L514" s="164" t="str">
        <f>IF(Settings!$M$4=Settings!$Y$3,IF($AA514=2,"P",""),IF($AA514=7,"P",""))</f>
        <v/>
      </c>
      <c r="M514" s="164" t="str">
        <f>IF(Settings!$M$4=Settings!$Y$3,IF($AA514=2,"P",""),IF($AA514=8,"P",""))</f>
        <v/>
      </c>
      <c r="N514" s="164" t="str">
        <f>IF(Settings!$M$4=Settings!$Y$3,IF($AA514=3,"P",""),IF($AA514=9,"P",""))</f>
        <v/>
      </c>
      <c r="O514" s="165" t="str">
        <f>IF(Settings!$M$4=Settings!$Y$3,IF($AA514=3,"P",""),IF($AA514=10,"P",""))</f>
        <v/>
      </c>
      <c r="P514" s="22"/>
      <c r="Q514" s="22"/>
      <c r="R514" s="360" t="e">
        <f>IF(INDEX(TblDatabase[Comment8],MATCH(1,INDEX(($L$4=ListEmployeeNamesInDatabase)*(C499=TblDatabase[Year]),0,1),0))="","",INDEX(TblDatabase[Comment8],MATCH(1,INDEX(($L$4=ListEmployeeNamesInDatabase)*(C499=TblDatabase[Year]),0,1),0)))</f>
        <v>#N/A</v>
      </c>
      <c r="S514" s="360"/>
      <c r="T514" s="360"/>
      <c r="U514" s="360"/>
      <c r="V514" s="360"/>
      <c r="W514" s="360"/>
      <c r="X514" s="360"/>
      <c r="Y514" s="361"/>
      <c r="Z514" s="149"/>
      <c r="AA514" s="151">
        <f>SUMIFS(TblDatabase[Competency8],ListEmployeeNamesInDatabase,$L$4,TblDatabase[Year],C499)</f>
        <v>0</v>
      </c>
      <c r="AB514" s="149"/>
      <c r="AC514" s="149"/>
      <c r="AD514" s="149"/>
      <c r="AE514" s="149"/>
      <c r="AF514" s="149"/>
    </row>
    <row r="515" spans="2:32" s="148" customFormat="1" ht="15" hidden="1" customHeight="1">
      <c r="B515" s="350" t="str">
        <f t="shared" si="11"/>
        <v/>
      </c>
      <c r="C515" s="351"/>
      <c r="D515" s="351"/>
      <c r="E515" s="352"/>
      <c r="F515" s="157" t="str">
        <f>IF(Settings!$M$4=Settings!$Y$3,IF($AA515=1,"P",""),IF($AA515=1,"P",""))</f>
        <v/>
      </c>
      <c r="G515" s="158" t="str">
        <f>IF(Settings!$M$4=Settings!$Y$3,IF($AA515=1,"P",""),IF($AA515=2,"P",""))</f>
        <v/>
      </c>
      <c r="H515" s="158" t="str">
        <f>IF(Settings!$M$4=Settings!$Y$3,IF($AA515=1,"P",""),IF($AA515=3,"P",""))</f>
        <v/>
      </c>
      <c r="I515" s="158" t="str">
        <f>IF(Settings!$M$4=Settings!$Y$3,IF($AA515=1,"P",""),IF($AA515=4,"P",""))</f>
        <v/>
      </c>
      <c r="J515" s="158" t="str">
        <f>IF(Settings!$M$4=Settings!$Y$3,IF($AA515=2,"P",""),IF($AA515=5,"P",""))</f>
        <v/>
      </c>
      <c r="K515" s="158" t="str">
        <f>IF(Settings!$M$4=Settings!$Y$3,IF($AA515=2,"P",""),IF($AA515=6,"P",""))</f>
        <v/>
      </c>
      <c r="L515" s="158" t="str">
        <f>IF(Settings!$M$4=Settings!$Y$3,IF($AA515=2,"P",""),IF($AA515=7,"P",""))</f>
        <v/>
      </c>
      <c r="M515" s="158" t="str">
        <f>IF(Settings!$M$4=Settings!$Y$3,IF($AA515=2,"P",""),IF($AA515=8,"P",""))</f>
        <v/>
      </c>
      <c r="N515" s="158" t="str">
        <f>IF(Settings!$M$4=Settings!$Y$3,IF($AA515=3,"P",""),IF($AA515=9,"P",""))</f>
        <v/>
      </c>
      <c r="O515" s="159" t="str">
        <f>IF(Settings!$M$4=Settings!$Y$3,IF($AA515=3,"P",""),IF($AA515=10,"P",""))</f>
        <v/>
      </c>
      <c r="P515" s="22"/>
      <c r="Q515" s="22"/>
      <c r="R515" s="353" t="e">
        <f>IF(INDEX(TblDatabase[Comment9],MATCH(1,INDEX(($L$4=ListEmployeeNamesInDatabase)*(C499=TblDatabase[Year]),0,1),0))="","",INDEX(TblDatabase[Comment9],MATCH(1,INDEX(($L$4=ListEmployeeNamesInDatabase)*(C499=TblDatabase[Year]),0,1),0)))</f>
        <v>#N/A</v>
      </c>
      <c r="S515" s="353"/>
      <c r="T515" s="353"/>
      <c r="U515" s="353"/>
      <c r="V515" s="353"/>
      <c r="W515" s="353"/>
      <c r="X515" s="353"/>
      <c r="Y515" s="354"/>
      <c r="Z515" s="149"/>
      <c r="AA515" s="151">
        <f>SUMIFS(TblDatabase[Competency9],ListEmployeeNamesInDatabase,$L$4,TblDatabase[Year],C499)</f>
        <v>0</v>
      </c>
      <c r="AB515" s="149"/>
      <c r="AC515" s="149"/>
      <c r="AD515" s="149"/>
      <c r="AE515" s="149"/>
      <c r="AF515" s="149"/>
    </row>
    <row r="516" spans="2:32" s="148" customFormat="1" ht="15" hidden="1" customHeight="1">
      <c r="B516" s="355" t="str">
        <f t="shared" si="11"/>
        <v/>
      </c>
      <c r="C516" s="356"/>
      <c r="D516" s="356"/>
      <c r="E516" s="357"/>
      <c r="F516" s="163" t="str">
        <f>IF(Settings!$M$4=Settings!$Y$3,IF($AA516=1,"P",""),IF($AA516=1,"P",""))</f>
        <v/>
      </c>
      <c r="G516" s="164" t="str">
        <f>IF(Settings!$M$4=Settings!$Y$3,IF($AA516=1,"P",""),IF($AA516=2,"P",""))</f>
        <v/>
      </c>
      <c r="H516" s="164" t="str">
        <f>IF(Settings!$M$4=Settings!$Y$3,IF($AA516=1,"P",""),IF($AA516=3,"P",""))</f>
        <v/>
      </c>
      <c r="I516" s="164" t="str">
        <f>IF(Settings!$M$4=Settings!$Y$3,IF($AA516=1,"P",""),IF($AA516=4,"P",""))</f>
        <v/>
      </c>
      <c r="J516" s="164" t="str">
        <f>IF(Settings!$M$4=Settings!$Y$3,IF($AA516=2,"P",""),IF($AA516=5,"P",""))</f>
        <v/>
      </c>
      <c r="K516" s="164" t="str">
        <f>IF(Settings!$M$4=Settings!$Y$3,IF($AA516=2,"P",""),IF($AA516=6,"P",""))</f>
        <v/>
      </c>
      <c r="L516" s="164" t="str">
        <f>IF(Settings!$M$4=Settings!$Y$3,IF($AA516=2,"P",""),IF($AA516=7,"P",""))</f>
        <v/>
      </c>
      <c r="M516" s="164" t="str">
        <f>IF(Settings!$M$4=Settings!$Y$3,IF($AA516=2,"P",""),IF($AA516=8,"P",""))</f>
        <v/>
      </c>
      <c r="N516" s="164" t="str">
        <f>IF(Settings!$M$4=Settings!$Y$3,IF($AA516=3,"P",""),IF($AA516=9,"P",""))</f>
        <v/>
      </c>
      <c r="O516" s="165" t="str">
        <f>IF(Settings!$M$4=Settings!$Y$3,IF($AA516=3,"P",""),IF($AA516=10,"P",""))</f>
        <v/>
      </c>
      <c r="P516" s="22"/>
      <c r="Q516" s="22"/>
      <c r="R516" s="360" t="e">
        <f>IF(INDEX(TblDatabase[Comment10],MATCH(1,INDEX(($L$4=ListEmployeeNamesInDatabase)*(C499=TblDatabase[Year]),0,1),0))="","",INDEX(TblDatabase[Comment10],MATCH(1,INDEX(($L$4=ListEmployeeNamesInDatabase)*(C499=TblDatabase[Year]),0,1),0)))</f>
        <v>#N/A</v>
      </c>
      <c r="S516" s="360"/>
      <c r="T516" s="360"/>
      <c r="U516" s="360"/>
      <c r="V516" s="360"/>
      <c r="W516" s="360"/>
      <c r="X516" s="360"/>
      <c r="Y516" s="361"/>
      <c r="Z516" s="149"/>
      <c r="AA516" s="151">
        <f>SUMIFS(TblDatabase[Competency10],ListEmployeeNamesInDatabase,$L$4,TblDatabase[Year],C499)</f>
        <v>0</v>
      </c>
      <c r="AB516" s="149"/>
      <c r="AC516" s="149"/>
      <c r="AD516" s="149"/>
      <c r="AE516" s="149"/>
      <c r="AF516" s="149"/>
    </row>
    <row r="517" spans="2:32" s="148" customFormat="1" ht="15" hidden="1" customHeight="1">
      <c r="B517" s="350" t="str">
        <f t="shared" si="11"/>
        <v/>
      </c>
      <c r="C517" s="351"/>
      <c r="D517" s="351"/>
      <c r="E517" s="352"/>
      <c r="F517" s="157" t="str">
        <f>IF(Settings!$M$4=Settings!$Y$3,IF($AA517=1,"P",""),IF($AA517=1,"P",""))</f>
        <v/>
      </c>
      <c r="G517" s="158" t="str">
        <f>IF(Settings!$M$4=Settings!$Y$3,IF($AA517=1,"P",""),IF($AA517=2,"P",""))</f>
        <v/>
      </c>
      <c r="H517" s="158" t="str">
        <f>IF(Settings!$M$4=Settings!$Y$3,IF($AA517=1,"P",""),IF($AA517=3,"P",""))</f>
        <v/>
      </c>
      <c r="I517" s="158" t="str">
        <f>IF(Settings!$M$4=Settings!$Y$3,IF($AA517=1,"P",""),IF($AA517=4,"P",""))</f>
        <v/>
      </c>
      <c r="J517" s="158" t="str">
        <f>IF(Settings!$M$4=Settings!$Y$3,IF($AA517=2,"P",""),IF($AA517=5,"P",""))</f>
        <v/>
      </c>
      <c r="K517" s="158" t="str">
        <f>IF(Settings!$M$4=Settings!$Y$3,IF($AA517=2,"P",""),IF($AA517=6,"P",""))</f>
        <v/>
      </c>
      <c r="L517" s="158" t="str">
        <f>IF(Settings!$M$4=Settings!$Y$3,IF($AA517=2,"P",""),IF($AA517=7,"P",""))</f>
        <v/>
      </c>
      <c r="M517" s="158" t="str">
        <f>IF(Settings!$M$4=Settings!$Y$3,IF($AA517=2,"P",""),IF($AA517=8,"P",""))</f>
        <v/>
      </c>
      <c r="N517" s="158" t="str">
        <f>IF(Settings!$M$4=Settings!$Y$3,IF($AA517=3,"P",""),IF($AA517=9,"P",""))</f>
        <v/>
      </c>
      <c r="O517" s="159" t="str">
        <f>IF(Settings!$M$4=Settings!$Y$3,IF($AA517=3,"P",""),IF($AA517=10,"P",""))</f>
        <v/>
      </c>
      <c r="P517" s="22"/>
      <c r="Q517" s="22"/>
      <c r="R517" s="353" t="e">
        <f>IF(INDEX(TblDatabase[Comment11],MATCH(1,INDEX(($L$4=ListEmployeeNamesInDatabase)*(C499=TblDatabase[Year]),0,1),0))="","",INDEX(TblDatabase[Comment11],MATCH(1,INDEX(($L$4=ListEmployeeNamesInDatabase)*(C499=TblDatabase[Year]),0,1),0)))</f>
        <v>#N/A</v>
      </c>
      <c r="S517" s="353"/>
      <c r="T517" s="353"/>
      <c r="U517" s="353"/>
      <c r="V517" s="353"/>
      <c r="W517" s="353"/>
      <c r="X517" s="353"/>
      <c r="Y517" s="354"/>
      <c r="Z517" s="149"/>
      <c r="AA517" s="151">
        <f>SUMIFS(TblDatabase[Competency11],ListEmployeeNamesInDatabase,$L$4,TblDatabase[Year],C499)</f>
        <v>0</v>
      </c>
      <c r="AB517" s="149"/>
      <c r="AC517" s="149"/>
      <c r="AD517" s="149"/>
      <c r="AE517" s="149"/>
      <c r="AF517" s="149"/>
    </row>
    <row r="518" spans="2:32" s="148" customFormat="1" ht="15" hidden="1" customHeight="1">
      <c r="B518" s="355" t="str">
        <f t="shared" si="11"/>
        <v/>
      </c>
      <c r="C518" s="356"/>
      <c r="D518" s="356"/>
      <c r="E518" s="357"/>
      <c r="F518" s="163" t="str">
        <f>IF(Settings!$M$4=Settings!$Y$3,IF($AA518=1,"P",""),IF($AA518=1,"P",""))</f>
        <v/>
      </c>
      <c r="G518" s="164" t="str">
        <f>IF(Settings!$M$4=Settings!$Y$3,IF($AA518=1,"P",""),IF($AA518=2,"P",""))</f>
        <v/>
      </c>
      <c r="H518" s="164" t="str">
        <f>IF(Settings!$M$4=Settings!$Y$3,IF($AA518=1,"P",""),IF($AA518=3,"P",""))</f>
        <v/>
      </c>
      <c r="I518" s="164" t="str">
        <f>IF(Settings!$M$4=Settings!$Y$3,IF($AA518=1,"P",""),IF($AA518=4,"P",""))</f>
        <v/>
      </c>
      <c r="J518" s="164" t="str">
        <f>IF(Settings!$M$4=Settings!$Y$3,IF($AA518=2,"P",""),IF($AA518=5,"P",""))</f>
        <v/>
      </c>
      <c r="K518" s="164" t="str">
        <f>IF(Settings!$M$4=Settings!$Y$3,IF($AA518=2,"P",""),IF($AA518=6,"P",""))</f>
        <v/>
      </c>
      <c r="L518" s="164" t="str">
        <f>IF(Settings!$M$4=Settings!$Y$3,IF($AA518=2,"P",""),IF($AA518=7,"P",""))</f>
        <v/>
      </c>
      <c r="M518" s="164" t="str">
        <f>IF(Settings!$M$4=Settings!$Y$3,IF($AA518=2,"P",""),IF($AA518=8,"P",""))</f>
        <v/>
      </c>
      <c r="N518" s="164" t="str">
        <f>IF(Settings!$M$4=Settings!$Y$3,IF($AA518=3,"P",""),IF($AA518=9,"P",""))</f>
        <v/>
      </c>
      <c r="O518" s="165" t="str">
        <f>IF(Settings!$M$4=Settings!$Y$3,IF($AA518=3,"P",""),IF($AA518=10,"P",""))</f>
        <v/>
      </c>
      <c r="P518" s="22"/>
      <c r="Q518" s="22"/>
      <c r="R518" s="360" t="e">
        <f>IF(INDEX(TblDatabase[Comment12],MATCH(1,INDEX(($L$4=ListEmployeeNamesInDatabase)*(C499=TblDatabase[Year]),0,1),0))="","",INDEX(TblDatabase[Comment12],MATCH(1,INDEX(($L$4=ListEmployeeNamesInDatabase)*(C499=TblDatabase[Year]),0,1),0)))</f>
        <v>#N/A</v>
      </c>
      <c r="S518" s="360"/>
      <c r="T518" s="360"/>
      <c r="U518" s="360"/>
      <c r="V518" s="360"/>
      <c r="W518" s="360"/>
      <c r="X518" s="360"/>
      <c r="Y518" s="361"/>
      <c r="Z518" s="149"/>
      <c r="AA518" s="151">
        <f>SUMIFS(TblDatabase[Competency12],ListEmployeeNamesInDatabase,$L$4,TblDatabase[Year],C499)</f>
        <v>0</v>
      </c>
      <c r="AB518" s="149"/>
      <c r="AC518" s="149"/>
      <c r="AD518" s="149"/>
      <c r="AE518" s="149"/>
      <c r="AF518" s="149"/>
    </row>
    <row r="519" spans="2:32" s="148" customFormat="1" ht="15" hidden="1" customHeight="1">
      <c r="B519" s="350" t="str">
        <f t="shared" si="11"/>
        <v/>
      </c>
      <c r="C519" s="351"/>
      <c r="D519" s="351"/>
      <c r="E519" s="352"/>
      <c r="F519" s="157" t="str">
        <f>IF(Settings!$M$4=Settings!$Y$3,IF($AA519=1,"P",""),IF($AA519=1,"P",""))</f>
        <v/>
      </c>
      <c r="G519" s="158" t="str">
        <f>IF(Settings!$M$4=Settings!$Y$3,IF($AA519=1,"P",""),IF($AA519=2,"P",""))</f>
        <v/>
      </c>
      <c r="H519" s="158" t="str">
        <f>IF(Settings!$M$4=Settings!$Y$3,IF($AA519=1,"P",""),IF($AA519=3,"P",""))</f>
        <v/>
      </c>
      <c r="I519" s="158" t="str">
        <f>IF(Settings!$M$4=Settings!$Y$3,IF($AA519=1,"P",""),IF($AA519=4,"P",""))</f>
        <v/>
      </c>
      <c r="J519" s="158" t="str">
        <f>IF(Settings!$M$4=Settings!$Y$3,IF($AA519=2,"P",""),IF($AA519=5,"P",""))</f>
        <v/>
      </c>
      <c r="K519" s="158" t="str">
        <f>IF(Settings!$M$4=Settings!$Y$3,IF($AA519=2,"P",""),IF($AA519=6,"P",""))</f>
        <v/>
      </c>
      <c r="L519" s="158" t="str">
        <f>IF(Settings!$M$4=Settings!$Y$3,IF($AA519=2,"P",""),IF($AA519=7,"P",""))</f>
        <v/>
      </c>
      <c r="M519" s="158" t="str">
        <f>IF(Settings!$M$4=Settings!$Y$3,IF($AA519=2,"P",""),IF($AA519=8,"P",""))</f>
        <v/>
      </c>
      <c r="N519" s="158" t="str">
        <f>IF(Settings!$M$4=Settings!$Y$3,IF($AA519=3,"P",""),IF($AA519=9,"P",""))</f>
        <v/>
      </c>
      <c r="O519" s="159" t="str">
        <f>IF(Settings!$M$4=Settings!$Y$3,IF($AA519=3,"P",""),IF($AA519=10,"P",""))</f>
        <v/>
      </c>
      <c r="P519" s="22"/>
      <c r="Q519" s="22"/>
      <c r="R519" s="353" t="e">
        <f>IF(INDEX(TblDatabase[Comment13],MATCH(1,INDEX(($L$4=ListEmployeeNamesInDatabase)*(C499=TblDatabase[Year]),0,1),0))="","",INDEX(TblDatabase[Comment13],MATCH(1,INDEX(($L$4=ListEmployeeNamesInDatabase)*(C499=TblDatabase[Year]),0,1),0)))</f>
        <v>#N/A</v>
      </c>
      <c r="S519" s="353"/>
      <c r="T519" s="353"/>
      <c r="U519" s="353"/>
      <c r="V519" s="353"/>
      <c r="W519" s="353"/>
      <c r="X519" s="353"/>
      <c r="Y519" s="354"/>
      <c r="Z519" s="149"/>
      <c r="AA519" s="151">
        <f>SUMIFS(TblDatabase[Competency13],ListEmployeeNamesInDatabase,$L$4,TblDatabase[Year],C499)</f>
        <v>0</v>
      </c>
      <c r="AB519" s="149"/>
      <c r="AC519" s="149"/>
      <c r="AD519" s="149"/>
      <c r="AE519" s="149"/>
      <c r="AF519" s="149"/>
    </row>
    <row r="520" spans="2:32" s="148" customFormat="1" ht="15" hidden="1" customHeight="1">
      <c r="B520" s="355" t="str">
        <f t="shared" si="11"/>
        <v/>
      </c>
      <c r="C520" s="356"/>
      <c r="D520" s="356"/>
      <c r="E520" s="357"/>
      <c r="F520" s="163" t="str">
        <f>IF(Settings!$M$4=Settings!$Y$3,IF($AA520=1,"P",""),IF($AA520=1,"P",""))</f>
        <v/>
      </c>
      <c r="G520" s="164" t="str">
        <f>IF(Settings!$M$4=Settings!$Y$3,IF($AA520=1,"P",""),IF($AA520=2,"P",""))</f>
        <v/>
      </c>
      <c r="H520" s="164" t="str">
        <f>IF(Settings!$M$4=Settings!$Y$3,IF($AA520=1,"P",""),IF($AA520=3,"P",""))</f>
        <v/>
      </c>
      <c r="I520" s="164" t="str">
        <f>IF(Settings!$M$4=Settings!$Y$3,IF($AA520=1,"P",""),IF($AA520=4,"P",""))</f>
        <v/>
      </c>
      <c r="J520" s="164" t="str">
        <f>IF(Settings!$M$4=Settings!$Y$3,IF($AA520=2,"P",""),IF($AA520=5,"P",""))</f>
        <v/>
      </c>
      <c r="K520" s="164" t="str">
        <f>IF(Settings!$M$4=Settings!$Y$3,IF($AA520=2,"P",""),IF($AA520=6,"P",""))</f>
        <v/>
      </c>
      <c r="L520" s="164" t="str">
        <f>IF(Settings!$M$4=Settings!$Y$3,IF($AA520=2,"P",""),IF($AA520=7,"P",""))</f>
        <v/>
      </c>
      <c r="M520" s="164" t="str">
        <f>IF(Settings!$M$4=Settings!$Y$3,IF($AA520=2,"P",""),IF($AA520=8,"P",""))</f>
        <v/>
      </c>
      <c r="N520" s="164" t="str">
        <f>IF(Settings!$M$4=Settings!$Y$3,IF($AA520=3,"P",""),IF($AA520=9,"P",""))</f>
        <v/>
      </c>
      <c r="O520" s="165" t="str">
        <f>IF(Settings!$M$4=Settings!$Y$3,IF($AA520=3,"P",""),IF($AA520=10,"P",""))</f>
        <v/>
      </c>
      <c r="P520" s="22"/>
      <c r="Q520" s="22"/>
      <c r="R520" s="360" t="e">
        <f>IF(INDEX(TblDatabase[Comment14],MATCH(1,INDEX(($L$4=ListEmployeeNamesInDatabase)*(C499=TblDatabase[Year]),0,1),0))="","",INDEX(TblDatabase[Comment14],MATCH(1,INDEX(($L$4=ListEmployeeNamesInDatabase)*(C499=TblDatabase[Year]),0,1),0)))</f>
        <v>#N/A</v>
      </c>
      <c r="S520" s="360"/>
      <c r="T520" s="360"/>
      <c r="U520" s="360"/>
      <c r="V520" s="360"/>
      <c r="W520" s="360"/>
      <c r="X520" s="360"/>
      <c r="Y520" s="361"/>
      <c r="Z520" s="149"/>
      <c r="AA520" s="151">
        <f>SUMIFS(TblDatabase[Competency14],ListEmployeeNamesInDatabase,$L$4,TblDatabase[Year],C499)</f>
        <v>0</v>
      </c>
      <c r="AB520" s="149"/>
      <c r="AC520" s="149"/>
      <c r="AD520" s="149"/>
      <c r="AE520" s="149"/>
      <c r="AF520" s="149"/>
    </row>
    <row r="521" spans="2:32" s="148" customFormat="1" ht="15" hidden="1" customHeight="1">
      <c r="B521" s="350" t="str">
        <f t="shared" si="11"/>
        <v/>
      </c>
      <c r="C521" s="351"/>
      <c r="D521" s="351"/>
      <c r="E521" s="352"/>
      <c r="F521" s="157" t="str">
        <f>IF(Settings!$M$4=Settings!$Y$3,IF($AA521=1,"P",""),IF($AA521=1,"P",""))</f>
        <v/>
      </c>
      <c r="G521" s="158" t="str">
        <f>IF(Settings!$M$4=Settings!$Y$3,IF($AA521=1,"P",""),IF($AA521=2,"P",""))</f>
        <v/>
      </c>
      <c r="H521" s="158" t="str">
        <f>IF(Settings!$M$4=Settings!$Y$3,IF($AA521=1,"P",""),IF($AA521=3,"P",""))</f>
        <v/>
      </c>
      <c r="I521" s="158" t="str">
        <f>IF(Settings!$M$4=Settings!$Y$3,IF($AA521=1,"P",""),IF($AA521=4,"P",""))</f>
        <v/>
      </c>
      <c r="J521" s="158" t="str">
        <f>IF(Settings!$M$4=Settings!$Y$3,IF($AA521=2,"P",""),IF($AA521=5,"P",""))</f>
        <v/>
      </c>
      <c r="K521" s="158" t="str">
        <f>IF(Settings!$M$4=Settings!$Y$3,IF($AA521=2,"P",""),IF($AA521=6,"P",""))</f>
        <v/>
      </c>
      <c r="L521" s="158" t="str">
        <f>IF(Settings!$M$4=Settings!$Y$3,IF($AA521=2,"P",""),IF($AA521=7,"P",""))</f>
        <v/>
      </c>
      <c r="M521" s="158" t="str">
        <f>IF(Settings!$M$4=Settings!$Y$3,IF($AA521=2,"P",""),IF($AA521=8,"P",""))</f>
        <v/>
      </c>
      <c r="N521" s="158" t="str">
        <f>IF(Settings!$M$4=Settings!$Y$3,IF($AA521=3,"P",""),IF($AA521=9,"P",""))</f>
        <v/>
      </c>
      <c r="O521" s="159" t="str">
        <f>IF(Settings!$M$4=Settings!$Y$3,IF($AA521=3,"P",""),IF($AA521=10,"P",""))</f>
        <v/>
      </c>
      <c r="P521" s="22"/>
      <c r="Q521" s="22"/>
      <c r="R521" s="353" t="e">
        <f>IF(INDEX(TblDatabase[Comment15],MATCH(1,INDEX(($L$4=ListEmployeeNamesInDatabase)*(C499=TblDatabase[Year]),0,1),0))="","",INDEX(TblDatabase[Comment15],MATCH(1,INDEX(($L$4=ListEmployeeNamesInDatabase)*(C499=TblDatabase[Year]),0,1),0)))</f>
        <v>#N/A</v>
      </c>
      <c r="S521" s="353"/>
      <c r="T521" s="353"/>
      <c r="U521" s="353"/>
      <c r="V521" s="353"/>
      <c r="W521" s="353"/>
      <c r="X521" s="353"/>
      <c r="Y521" s="354"/>
      <c r="Z521" s="149"/>
      <c r="AA521" s="151">
        <f>SUMIFS(TblDatabase[Competency15],ListEmployeeNamesInDatabase,$L$4,TblDatabase[Year],C499)</f>
        <v>0</v>
      </c>
      <c r="AB521" s="149"/>
      <c r="AC521" s="149"/>
      <c r="AD521" s="149"/>
      <c r="AE521" s="149"/>
      <c r="AF521" s="149"/>
    </row>
    <row r="522" spans="2:32" s="148" customFormat="1" ht="15" hidden="1" customHeight="1">
      <c r="B522" s="355" t="str">
        <f t="shared" si="11"/>
        <v/>
      </c>
      <c r="C522" s="356"/>
      <c r="D522" s="356"/>
      <c r="E522" s="357"/>
      <c r="F522" s="163" t="str">
        <f>IF(Settings!$M$4=Settings!$Y$3,IF($AA522=1,"P",""),IF($AA522=1,"P",""))</f>
        <v/>
      </c>
      <c r="G522" s="164" t="str">
        <f>IF(Settings!$M$4=Settings!$Y$3,IF($AA522=1,"P",""),IF($AA522=2,"P",""))</f>
        <v/>
      </c>
      <c r="H522" s="164" t="str">
        <f>IF(Settings!$M$4=Settings!$Y$3,IF($AA522=1,"P",""),IF($AA522=3,"P",""))</f>
        <v/>
      </c>
      <c r="I522" s="164" t="str">
        <f>IF(Settings!$M$4=Settings!$Y$3,IF($AA522=1,"P",""),IF($AA522=4,"P",""))</f>
        <v/>
      </c>
      <c r="J522" s="164" t="str">
        <f>IF(Settings!$M$4=Settings!$Y$3,IF($AA522=2,"P",""),IF($AA522=5,"P",""))</f>
        <v/>
      </c>
      <c r="K522" s="164" t="str">
        <f>IF(Settings!$M$4=Settings!$Y$3,IF($AA522=2,"P",""),IF($AA522=6,"P",""))</f>
        <v/>
      </c>
      <c r="L522" s="164" t="str">
        <f>IF(Settings!$M$4=Settings!$Y$3,IF($AA522=2,"P",""),IF($AA522=7,"P",""))</f>
        <v/>
      </c>
      <c r="M522" s="164" t="str">
        <f>IF(Settings!$M$4=Settings!$Y$3,IF($AA522=2,"P",""),IF($AA522=8,"P",""))</f>
        <v/>
      </c>
      <c r="N522" s="164" t="str">
        <f>IF(Settings!$M$4=Settings!$Y$3,IF($AA522=3,"P",""),IF($AA522=9,"P",""))</f>
        <v/>
      </c>
      <c r="O522" s="165" t="str">
        <f>IF(Settings!$M$4=Settings!$Y$3,IF($AA522=3,"P",""),IF($AA522=10,"P",""))</f>
        <v/>
      </c>
      <c r="P522" s="22"/>
      <c r="Q522" s="22"/>
      <c r="R522" s="360" t="e">
        <f>IF(INDEX(TblDatabase[Comment16],MATCH(1,INDEX(($L$4=ListEmployeeNamesInDatabase)*(C499=TblDatabase[Year]),0,1),0))="","",INDEX(TblDatabase[Comment16],MATCH(1,INDEX(($L$4=ListEmployeeNamesInDatabase)*(C499=TblDatabase[Year]),0,1),0)))</f>
        <v>#N/A</v>
      </c>
      <c r="S522" s="360"/>
      <c r="T522" s="360"/>
      <c r="U522" s="360"/>
      <c r="V522" s="360"/>
      <c r="W522" s="360"/>
      <c r="X522" s="360"/>
      <c r="Y522" s="361"/>
      <c r="Z522" s="149"/>
      <c r="AA522" s="151">
        <f>SUMIFS(TblDatabase[Competency16],ListEmployeeNamesInDatabase,$L$4,TblDatabase[Year],C499)</f>
        <v>0</v>
      </c>
      <c r="AB522" s="149"/>
      <c r="AC522" s="149"/>
      <c r="AD522" s="149"/>
      <c r="AE522" s="149"/>
      <c r="AF522" s="149"/>
    </row>
    <row r="523" spans="2:32" s="148" customFormat="1" ht="15" hidden="1" customHeight="1">
      <c r="B523" s="350" t="str">
        <f t="shared" si="11"/>
        <v/>
      </c>
      <c r="C523" s="351"/>
      <c r="D523" s="351"/>
      <c r="E523" s="352"/>
      <c r="F523" s="157" t="str">
        <f>IF(Settings!$M$4=Settings!$Y$3,IF($AA523=1,"P",""),IF($AA523=1,"P",""))</f>
        <v/>
      </c>
      <c r="G523" s="158" t="str">
        <f>IF(Settings!$M$4=Settings!$Y$3,IF($AA523=1,"P",""),IF($AA523=2,"P",""))</f>
        <v/>
      </c>
      <c r="H523" s="158" t="str">
        <f>IF(Settings!$M$4=Settings!$Y$3,IF($AA523=1,"P",""),IF($AA523=3,"P",""))</f>
        <v/>
      </c>
      <c r="I523" s="158" t="str">
        <f>IF(Settings!$M$4=Settings!$Y$3,IF($AA523=1,"P",""),IF($AA523=4,"P",""))</f>
        <v/>
      </c>
      <c r="J523" s="158" t="str">
        <f>IF(Settings!$M$4=Settings!$Y$3,IF($AA523=2,"P",""),IF($AA523=5,"P",""))</f>
        <v/>
      </c>
      <c r="K523" s="158" t="str">
        <f>IF(Settings!$M$4=Settings!$Y$3,IF($AA523=2,"P",""),IF($AA523=6,"P",""))</f>
        <v/>
      </c>
      <c r="L523" s="158" t="str">
        <f>IF(Settings!$M$4=Settings!$Y$3,IF($AA523=2,"P",""),IF($AA523=7,"P",""))</f>
        <v/>
      </c>
      <c r="M523" s="158" t="str">
        <f>IF(Settings!$M$4=Settings!$Y$3,IF($AA523=2,"P",""),IF($AA523=8,"P",""))</f>
        <v/>
      </c>
      <c r="N523" s="158" t="str">
        <f>IF(Settings!$M$4=Settings!$Y$3,IF($AA523=3,"P",""),IF($AA523=9,"P",""))</f>
        <v/>
      </c>
      <c r="O523" s="159" t="str">
        <f>IF(Settings!$M$4=Settings!$Y$3,IF($AA523=3,"P",""),IF($AA523=10,"P",""))</f>
        <v/>
      </c>
      <c r="P523" s="22"/>
      <c r="Q523" s="22"/>
      <c r="R523" s="353" t="e">
        <f>IF(INDEX(TblDatabase[Comment17],MATCH(1,INDEX(($L$4=ListEmployeeNamesInDatabase)*(C499=TblDatabase[Year]),0,1),0))="","",INDEX(TblDatabase[Comment17],MATCH(1,INDEX(($L$4=ListEmployeeNamesInDatabase)*(C499=TblDatabase[Year]),0,1),0)))</f>
        <v>#N/A</v>
      </c>
      <c r="S523" s="353"/>
      <c r="T523" s="353"/>
      <c r="U523" s="353"/>
      <c r="V523" s="353"/>
      <c r="W523" s="353"/>
      <c r="X523" s="353"/>
      <c r="Y523" s="354"/>
      <c r="Z523" s="149"/>
      <c r="AA523" s="151">
        <f>SUMIFS(TblDatabase[Competency17],ListEmployeeNamesInDatabase,$L$4,TblDatabase[Year],C499)</f>
        <v>0</v>
      </c>
      <c r="AB523" s="149"/>
      <c r="AC523" s="149"/>
      <c r="AD523" s="149"/>
      <c r="AE523" s="149"/>
      <c r="AF523" s="149"/>
    </row>
    <row r="524" spans="2:32" s="148" customFormat="1" ht="15" hidden="1" customHeight="1">
      <c r="B524" s="355" t="str">
        <f t="shared" si="11"/>
        <v/>
      </c>
      <c r="C524" s="356"/>
      <c r="D524" s="356"/>
      <c r="E524" s="357"/>
      <c r="F524" s="163" t="str">
        <f>IF(Settings!$M$4=Settings!$Y$3,IF($AA524=1,"P",""),IF($AA524=1,"P",""))</f>
        <v/>
      </c>
      <c r="G524" s="164" t="str">
        <f>IF(Settings!$M$4=Settings!$Y$3,IF($AA524=1,"P",""),IF($AA524=2,"P",""))</f>
        <v/>
      </c>
      <c r="H524" s="164" t="str">
        <f>IF(Settings!$M$4=Settings!$Y$3,IF($AA524=1,"P",""),IF($AA524=3,"P",""))</f>
        <v/>
      </c>
      <c r="I524" s="164" t="str">
        <f>IF(Settings!$M$4=Settings!$Y$3,IF($AA524=1,"P",""),IF($AA524=4,"P",""))</f>
        <v/>
      </c>
      <c r="J524" s="164" t="str">
        <f>IF(Settings!$M$4=Settings!$Y$3,IF($AA524=2,"P",""),IF($AA524=5,"P",""))</f>
        <v/>
      </c>
      <c r="K524" s="164" t="str">
        <f>IF(Settings!$M$4=Settings!$Y$3,IF($AA524=2,"P",""),IF($AA524=6,"P",""))</f>
        <v/>
      </c>
      <c r="L524" s="164" t="str">
        <f>IF(Settings!$M$4=Settings!$Y$3,IF($AA524=2,"P",""),IF($AA524=7,"P",""))</f>
        <v/>
      </c>
      <c r="M524" s="164" t="str">
        <f>IF(Settings!$M$4=Settings!$Y$3,IF($AA524=2,"P",""),IF($AA524=8,"P",""))</f>
        <v/>
      </c>
      <c r="N524" s="164" t="str">
        <f>IF(Settings!$M$4=Settings!$Y$3,IF($AA524=3,"P",""),IF($AA524=9,"P",""))</f>
        <v/>
      </c>
      <c r="O524" s="165" t="str">
        <f>IF(Settings!$M$4=Settings!$Y$3,IF($AA524=3,"P",""),IF($AA524=10,"P",""))</f>
        <v/>
      </c>
      <c r="P524" s="22"/>
      <c r="Q524" s="22"/>
      <c r="R524" s="360" t="e">
        <f>IF(INDEX(TblDatabase[Comment18],MATCH(1,INDEX(($L$4=ListEmployeeNamesInDatabase)*(C499=TblDatabase[Year]),0,1),0))="","",INDEX(TblDatabase[Comment18],MATCH(1,INDEX(($L$4=ListEmployeeNamesInDatabase)*(C499=TblDatabase[Year]),0,1),0)))</f>
        <v>#N/A</v>
      </c>
      <c r="S524" s="360"/>
      <c r="T524" s="360"/>
      <c r="U524" s="360"/>
      <c r="V524" s="360"/>
      <c r="W524" s="360"/>
      <c r="X524" s="360"/>
      <c r="Y524" s="361"/>
      <c r="Z524" s="149"/>
      <c r="AA524" s="151">
        <f>SUMIFS(TblDatabase[Competency18],ListEmployeeNamesInDatabase,$L$4,TblDatabase[Year],C499)</f>
        <v>0</v>
      </c>
      <c r="AB524" s="149"/>
      <c r="AC524" s="149"/>
      <c r="AD524" s="149"/>
      <c r="AE524" s="149"/>
      <c r="AF524" s="149"/>
    </row>
    <row r="525" spans="2:32" s="148" customFormat="1" ht="15" hidden="1" customHeight="1">
      <c r="B525" s="350" t="str">
        <f t="shared" si="11"/>
        <v/>
      </c>
      <c r="C525" s="351"/>
      <c r="D525" s="351"/>
      <c r="E525" s="352"/>
      <c r="F525" s="157" t="str">
        <f>IF(Settings!$M$4=Settings!$Y$3,IF($AA525=1,"P",""),IF($AA525=1,"P",""))</f>
        <v/>
      </c>
      <c r="G525" s="158" t="str">
        <f>IF(Settings!$M$4=Settings!$Y$3,IF($AA525=1,"P",""),IF($AA525=2,"P",""))</f>
        <v/>
      </c>
      <c r="H525" s="158" t="str">
        <f>IF(Settings!$M$4=Settings!$Y$3,IF($AA525=1,"P",""),IF($AA525=3,"P",""))</f>
        <v/>
      </c>
      <c r="I525" s="158" t="str">
        <f>IF(Settings!$M$4=Settings!$Y$3,IF($AA525=1,"P",""),IF($AA525=4,"P",""))</f>
        <v/>
      </c>
      <c r="J525" s="158" t="str">
        <f>IF(Settings!$M$4=Settings!$Y$3,IF($AA525=2,"P",""),IF($AA525=5,"P",""))</f>
        <v/>
      </c>
      <c r="K525" s="158" t="str">
        <f>IF(Settings!$M$4=Settings!$Y$3,IF($AA525=2,"P",""),IF($AA525=6,"P",""))</f>
        <v/>
      </c>
      <c r="L525" s="158" t="str">
        <f>IF(Settings!$M$4=Settings!$Y$3,IF($AA525=2,"P",""),IF($AA525=7,"P",""))</f>
        <v/>
      </c>
      <c r="M525" s="158" t="str">
        <f>IF(Settings!$M$4=Settings!$Y$3,IF($AA525=2,"P",""),IF($AA525=8,"P",""))</f>
        <v/>
      </c>
      <c r="N525" s="158" t="str">
        <f>IF(Settings!$M$4=Settings!$Y$3,IF($AA525=3,"P",""),IF($AA525=9,"P",""))</f>
        <v/>
      </c>
      <c r="O525" s="159" t="str">
        <f>IF(Settings!$M$4=Settings!$Y$3,IF($AA525=3,"P",""),IF($AA525=10,"P",""))</f>
        <v/>
      </c>
      <c r="P525" s="22"/>
      <c r="Q525" s="22"/>
      <c r="R525" s="353" t="e">
        <f>IF(INDEX(TblDatabase[Comment19],MATCH(1,INDEX(($L$4=ListEmployeeNamesInDatabase)*(C499=TblDatabase[Year]),0,1),0))="","",INDEX(TblDatabase[Comment19],MATCH(1,INDEX(($L$4=ListEmployeeNamesInDatabase)*(C499=TblDatabase[Year]),0,1),0)))</f>
        <v>#N/A</v>
      </c>
      <c r="S525" s="353"/>
      <c r="T525" s="353"/>
      <c r="U525" s="353"/>
      <c r="V525" s="353"/>
      <c r="W525" s="353"/>
      <c r="X525" s="353"/>
      <c r="Y525" s="354"/>
      <c r="Z525" s="149"/>
      <c r="AA525" s="151">
        <f>SUMIFS(TblDatabase[Competency19],ListEmployeeNamesInDatabase,$L$4,TblDatabase[Year],C499)</f>
        <v>0</v>
      </c>
      <c r="AB525" s="149"/>
      <c r="AC525" s="149"/>
      <c r="AD525" s="149"/>
      <c r="AE525" s="149"/>
      <c r="AF525" s="149"/>
    </row>
    <row r="526" spans="2:32" s="148" customFormat="1" ht="15" hidden="1" customHeight="1">
      <c r="B526" s="362" t="str">
        <f t="shared" si="11"/>
        <v/>
      </c>
      <c r="C526" s="363"/>
      <c r="D526" s="363"/>
      <c r="E526" s="364"/>
      <c r="F526" s="166" t="str">
        <f>IF(Settings!$M$4=Settings!$Y$3,IF($AA526=1,"P",""),IF($AA526=1,"P",""))</f>
        <v/>
      </c>
      <c r="G526" s="167" t="str">
        <f>IF(Settings!$M$4=Settings!$Y$3,IF($AA526=1,"P",""),IF($AA526=2,"P",""))</f>
        <v/>
      </c>
      <c r="H526" s="167" t="str">
        <f>IF(Settings!$M$4=Settings!$Y$3,IF($AA526=1,"P",""),IF($AA526=3,"P",""))</f>
        <v/>
      </c>
      <c r="I526" s="167" t="str">
        <f>IF(Settings!$M$4=Settings!$Y$3,IF($AA526=1,"P",""),IF($AA526=4,"P",""))</f>
        <v/>
      </c>
      <c r="J526" s="167" t="str">
        <f>IF(Settings!$M$4=Settings!$Y$3,IF($AA526=2,"P",""),IF($AA526=5,"P",""))</f>
        <v/>
      </c>
      <c r="K526" s="167" t="str">
        <f>IF(Settings!$M$4=Settings!$Y$3,IF($AA526=2,"P",""),IF($AA526=6,"P",""))</f>
        <v/>
      </c>
      <c r="L526" s="167" t="str">
        <f>IF(Settings!$M$4=Settings!$Y$3,IF($AA526=2,"P",""),IF($AA526=7,"P",""))</f>
        <v/>
      </c>
      <c r="M526" s="167" t="str">
        <f>IF(Settings!$M$4=Settings!$Y$3,IF($AA526=2,"P",""),IF($AA526=8,"P",""))</f>
        <v/>
      </c>
      <c r="N526" s="167" t="str">
        <f>IF(Settings!$M$4=Settings!$Y$3,IF($AA526=3,"P",""),IF($AA526=9,"P",""))</f>
        <v/>
      </c>
      <c r="O526" s="168" t="str">
        <f>IF(Settings!$M$4=Settings!$Y$3,IF($AA526=3,"P",""),IF($AA526=10,"P",""))</f>
        <v/>
      </c>
      <c r="P526" s="22"/>
      <c r="Q526" s="22"/>
      <c r="R526" s="365" t="e">
        <f>IF(INDEX(TblDatabase[Comment20],MATCH(1,INDEX(($L$4=ListEmployeeNamesInDatabase)*(C499=TblDatabase[Year]),0,1),0))="","",INDEX(TblDatabase[Comment20],MATCH(1,INDEX(($L$4=ListEmployeeNamesInDatabase)*(C499=TblDatabase[Year]),0,1),0)))</f>
        <v>#N/A</v>
      </c>
      <c r="S526" s="365"/>
      <c r="T526" s="365"/>
      <c r="U526" s="365"/>
      <c r="V526" s="365"/>
      <c r="W526" s="365"/>
      <c r="X526" s="365"/>
      <c r="Y526" s="366"/>
      <c r="Z526" s="149"/>
      <c r="AA526" s="151">
        <f>SUMIFS(TblDatabase[Competency20],ListEmployeeNamesInDatabase,$L$4,TblDatabase[Year],C499)</f>
        <v>0</v>
      </c>
      <c r="AB526" s="149"/>
      <c r="AC526" s="149"/>
      <c r="AD526" s="149"/>
      <c r="AE526" s="149"/>
      <c r="AF526" s="149"/>
    </row>
    <row r="527" spans="2:32" s="148" customFormat="1" hidden="1">
      <c r="B527" s="414" t="s">
        <v>26</v>
      </c>
      <c r="C527" s="415"/>
      <c r="D527" s="415"/>
      <c r="E527" s="371">
        <f ca="1">SUM(OFFSET(AA507,0,0,NumberOfCompetencies))</f>
        <v>0</v>
      </c>
      <c r="F527" s="372"/>
      <c r="G527" s="152"/>
      <c r="H527" s="152"/>
      <c r="I527" s="152"/>
      <c r="J527" s="152"/>
      <c r="K527" s="152"/>
      <c r="L527" s="152"/>
      <c r="M527" s="152"/>
      <c r="N527" s="152"/>
      <c r="O527" s="152"/>
      <c r="P527" s="152"/>
      <c r="Q527" s="152"/>
      <c r="R527" s="152"/>
      <c r="S527" s="152"/>
      <c r="T527" s="152"/>
      <c r="U527" s="152"/>
      <c r="V527" s="152"/>
      <c r="W527" s="152"/>
      <c r="X527" s="152"/>
      <c r="Y527" s="152"/>
      <c r="Z527" s="149"/>
      <c r="AA527" s="149"/>
      <c r="AB527" s="149"/>
      <c r="AC527" s="149"/>
      <c r="AD527" s="149"/>
      <c r="AE527" s="149"/>
      <c r="AF527" s="149"/>
    </row>
    <row r="528" spans="2:32" s="148" customFormat="1" hidden="1">
      <c r="B528" s="369" t="s">
        <v>27</v>
      </c>
      <c r="C528" s="370"/>
      <c r="D528" s="370"/>
      <c r="E528" s="358">
        <f ca="1">E527/NumberOfCompetencies</f>
        <v>0</v>
      </c>
      <c r="F528" s="359"/>
      <c r="G528" s="153"/>
      <c r="H528" s="153"/>
      <c r="I528" s="153"/>
      <c r="J528" s="153"/>
      <c r="K528" s="153"/>
      <c r="L528" s="153"/>
      <c r="M528" s="153"/>
      <c r="N528" s="153"/>
      <c r="O528" s="153"/>
      <c r="P528" s="153"/>
      <c r="Q528" s="153"/>
      <c r="R528" s="153"/>
      <c r="S528" s="153"/>
      <c r="T528" s="153"/>
      <c r="U528" s="153"/>
      <c r="V528" s="153"/>
      <c r="W528" s="153"/>
      <c r="X528" s="153"/>
      <c r="Y528" s="153"/>
      <c r="Z528" s="149"/>
      <c r="AA528" s="149"/>
      <c r="AB528" s="149"/>
      <c r="AC528" s="149"/>
      <c r="AD528" s="149"/>
      <c r="AE528" s="149"/>
      <c r="AF528" s="149"/>
    </row>
    <row r="529" spans="1:32" s="148" customFormat="1" hidden="1">
      <c r="B529" s="154"/>
      <c r="C529" s="154"/>
      <c r="D529" s="154"/>
      <c r="E529" s="154"/>
      <c r="F529" s="154"/>
      <c r="G529" s="154"/>
      <c r="H529" s="154"/>
      <c r="I529" s="154"/>
      <c r="J529" s="154"/>
      <c r="K529" s="154"/>
      <c r="L529" s="154"/>
      <c r="M529" s="154"/>
      <c r="N529" s="154"/>
      <c r="O529" s="154"/>
      <c r="P529" s="154"/>
      <c r="Q529" s="154"/>
      <c r="R529" s="154"/>
      <c r="S529" s="154"/>
      <c r="T529" s="154"/>
      <c r="U529" s="154"/>
      <c r="V529" s="154"/>
      <c r="W529" s="154"/>
      <c r="X529" s="154"/>
      <c r="Y529" s="154"/>
      <c r="Z529" s="149"/>
      <c r="AA529" s="149"/>
      <c r="AB529" s="149"/>
      <c r="AC529" s="149"/>
      <c r="AD529" s="149"/>
      <c r="AE529" s="149"/>
      <c r="AF529" s="149"/>
    </row>
    <row r="530" spans="1:32" s="148" customFormat="1" hidden="1">
      <c r="B530" s="338" t="str">
        <f>Settings!$N$15</f>
        <v>Previously agreed actions</v>
      </c>
      <c r="C530" s="339"/>
      <c r="D530" s="339"/>
      <c r="E530" s="339"/>
      <c r="F530" s="339"/>
      <c r="G530" s="339"/>
      <c r="H530" s="339"/>
      <c r="I530" s="339"/>
      <c r="J530" s="339"/>
      <c r="K530" s="339"/>
      <c r="L530" s="339"/>
      <c r="M530" s="339"/>
      <c r="N530" s="339"/>
      <c r="O530" s="339"/>
      <c r="P530" s="339"/>
      <c r="Q530" s="339"/>
      <c r="R530" s="339"/>
      <c r="S530" s="339"/>
      <c r="T530" s="339"/>
      <c r="U530" s="339"/>
      <c r="V530" s="339"/>
      <c r="W530" s="339"/>
      <c r="X530" s="339"/>
      <c r="Y530" s="340"/>
      <c r="Z530" s="149"/>
      <c r="AA530" s="149"/>
      <c r="AB530" s="149"/>
      <c r="AC530" s="149"/>
      <c r="AD530" s="149"/>
      <c r="AE530" s="149"/>
      <c r="AF530" s="149"/>
    </row>
    <row r="531" spans="1:32" s="148" customFormat="1" hidden="1">
      <c r="B531" s="341" t="e">
        <f>IF(INDEX(TblDatabase[Feedback Does Well],MATCH(1,INDEX(($L$4=ListEmployeeNamesInDatabase)*(C499=TblDatabase[Year]),0,1),0))="","",INDEX(TblDatabase[Feedback Does Well],MATCH(1,INDEX(($L$4=ListEmployeeNamesInDatabase)*(C499=TblDatabase[Year]),0,1),0)))</f>
        <v>#N/A</v>
      </c>
      <c r="C531" s="342"/>
      <c r="D531" s="342"/>
      <c r="E531" s="342"/>
      <c r="F531" s="342"/>
      <c r="G531" s="342"/>
      <c r="H531" s="342"/>
      <c r="I531" s="342"/>
      <c r="J531" s="342"/>
      <c r="K531" s="342"/>
      <c r="L531" s="342"/>
      <c r="M531" s="342"/>
      <c r="N531" s="342"/>
      <c r="O531" s="342"/>
      <c r="P531" s="342"/>
      <c r="Q531" s="342"/>
      <c r="R531" s="342"/>
      <c r="S531" s="342"/>
      <c r="T531" s="342"/>
      <c r="U531" s="342"/>
      <c r="V531" s="342"/>
      <c r="W531" s="342"/>
      <c r="X531" s="342"/>
      <c r="Y531" s="343"/>
      <c r="Z531" s="149"/>
      <c r="AA531" s="149"/>
      <c r="AB531" s="149"/>
      <c r="AC531" s="149"/>
      <c r="AD531" s="149"/>
      <c r="AE531" s="149"/>
      <c r="AF531" s="149"/>
    </row>
    <row r="532" spans="1:32" s="148" customFormat="1" hidden="1">
      <c r="B532" s="344"/>
      <c r="C532" s="345"/>
      <c r="D532" s="345"/>
      <c r="E532" s="345"/>
      <c r="F532" s="345"/>
      <c r="G532" s="345"/>
      <c r="H532" s="345"/>
      <c r="I532" s="345"/>
      <c r="J532" s="345"/>
      <c r="K532" s="345"/>
      <c r="L532" s="345"/>
      <c r="M532" s="345"/>
      <c r="N532" s="345"/>
      <c r="O532" s="345"/>
      <c r="P532" s="345"/>
      <c r="Q532" s="345"/>
      <c r="R532" s="345"/>
      <c r="S532" s="345"/>
      <c r="T532" s="345"/>
      <c r="U532" s="345"/>
      <c r="V532" s="345"/>
      <c r="W532" s="345"/>
      <c r="X532" s="345"/>
      <c r="Y532" s="346"/>
      <c r="Z532" s="149"/>
      <c r="AA532" s="149"/>
      <c r="AB532" s="149"/>
      <c r="AC532" s="149"/>
      <c r="AD532" s="149"/>
      <c r="AE532" s="149"/>
      <c r="AF532" s="149"/>
    </row>
    <row r="533" spans="1:32" s="148" customFormat="1" hidden="1">
      <c r="B533" s="347"/>
      <c r="C533" s="348"/>
      <c r="D533" s="348"/>
      <c r="E533" s="348"/>
      <c r="F533" s="348"/>
      <c r="G533" s="348"/>
      <c r="H533" s="348"/>
      <c r="I533" s="348"/>
      <c r="J533" s="348"/>
      <c r="K533" s="348"/>
      <c r="L533" s="348"/>
      <c r="M533" s="348"/>
      <c r="N533" s="348"/>
      <c r="O533" s="348"/>
      <c r="P533" s="348"/>
      <c r="Q533" s="348"/>
      <c r="R533" s="348"/>
      <c r="S533" s="348"/>
      <c r="T533" s="348"/>
      <c r="U533" s="348"/>
      <c r="V533" s="348"/>
      <c r="W533" s="348"/>
      <c r="X533" s="348"/>
      <c r="Y533" s="349"/>
      <c r="Z533" s="149"/>
      <c r="AA533" s="149"/>
      <c r="AB533" s="149"/>
      <c r="AC533" s="149"/>
      <c r="AD533" s="149"/>
      <c r="AE533" s="149"/>
      <c r="AF533" s="149"/>
    </row>
    <row r="534" spans="1:32" s="148" customFormat="1" hidden="1">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49"/>
      <c r="AA534" s="149"/>
      <c r="AB534" s="149"/>
      <c r="AC534" s="149"/>
      <c r="AD534" s="149"/>
      <c r="AE534" s="149"/>
      <c r="AF534" s="149"/>
    </row>
    <row r="535" spans="1:32" s="148" customFormat="1" hidden="1">
      <c r="B535" s="338" t="str">
        <f>Settings!$N$16</f>
        <v>Actions agreed during this review</v>
      </c>
      <c r="C535" s="339"/>
      <c r="D535" s="339"/>
      <c r="E535" s="339"/>
      <c r="F535" s="339"/>
      <c r="G535" s="339"/>
      <c r="H535" s="339"/>
      <c r="I535" s="339"/>
      <c r="J535" s="339"/>
      <c r="K535" s="339"/>
      <c r="L535" s="339"/>
      <c r="M535" s="339"/>
      <c r="N535" s="339"/>
      <c r="O535" s="339"/>
      <c r="P535" s="339"/>
      <c r="Q535" s="339"/>
      <c r="R535" s="339"/>
      <c r="S535" s="339"/>
      <c r="T535" s="339"/>
      <c r="U535" s="339"/>
      <c r="V535" s="339"/>
      <c r="W535" s="339"/>
      <c r="X535" s="339"/>
      <c r="Y535" s="340"/>
      <c r="Z535" s="149"/>
      <c r="AA535" s="149"/>
      <c r="AB535" s="149"/>
      <c r="AC535" s="149"/>
      <c r="AD535" s="149"/>
      <c r="AE535" s="149"/>
      <c r="AF535" s="149"/>
    </row>
    <row r="536" spans="1:32" s="148" customFormat="1" hidden="1">
      <c r="B536" s="341" t="e">
        <f>IF(INDEX(TblDatabase[Feedback To Improve],MATCH(1,INDEX(($L$4=ListEmployeeNamesInDatabase)*(C499=TblDatabase[Year]),0,1),0))="","",INDEX(TblDatabase[Feedback To Improve],MATCH(1,INDEX(($L$4=ListEmployeeNamesInDatabase)*(C499=TblDatabase[Year]),0,1),0)))</f>
        <v>#N/A</v>
      </c>
      <c r="C536" s="342"/>
      <c r="D536" s="342"/>
      <c r="E536" s="342"/>
      <c r="F536" s="342"/>
      <c r="G536" s="342"/>
      <c r="H536" s="342"/>
      <c r="I536" s="342"/>
      <c r="J536" s="342"/>
      <c r="K536" s="342"/>
      <c r="L536" s="342"/>
      <c r="M536" s="342"/>
      <c r="N536" s="342"/>
      <c r="O536" s="342"/>
      <c r="P536" s="342"/>
      <c r="Q536" s="342"/>
      <c r="R536" s="342"/>
      <c r="S536" s="342"/>
      <c r="T536" s="342"/>
      <c r="U536" s="342"/>
      <c r="V536" s="342"/>
      <c r="W536" s="342"/>
      <c r="X536" s="342"/>
      <c r="Y536" s="343"/>
      <c r="Z536" s="149"/>
      <c r="AA536" s="149"/>
      <c r="AB536" s="149"/>
      <c r="AC536" s="149"/>
      <c r="AD536" s="149"/>
      <c r="AE536" s="149"/>
      <c r="AF536" s="149"/>
    </row>
    <row r="537" spans="1:32" s="148" customFormat="1" hidden="1">
      <c r="B537" s="344"/>
      <c r="C537" s="345"/>
      <c r="D537" s="345"/>
      <c r="E537" s="345"/>
      <c r="F537" s="345"/>
      <c r="G537" s="345"/>
      <c r="H537" s="345"/>
      <c r="I537" s="345"/>
      <c r="J537" s="345"/>
      <c r="K537" s="345"/>
      <c r="L537" s="345"/>
      <c r="M537" s="345"/>
      <c r="N537" s="345"/>
      <c r="O537" s="345"/>
      <c r="P537" s="345"/>
      <c r="Q537" s="345"/>
      <c r="R537" s="345"/>
      <c r="S537" s="345"/>
      <c r="T537" s="345"/>
      <c r="U537" s="345"/>
      <c r="V537" s="345"/>
      <c r="W537" s="345"/>
      <c r="X537" s="345"/>
      <c r="Y537" s="346"/>
      <c r="Z537" s="149"/>
      <c r="AA537" s="149"/>
      <c r="AB537" s="149"/>
      <c r="AC537" s="149"/>
      <c r="AD537" s="149"/>
      <c r="AE537" s="149"/>
      <c r="AF537" s="149"/>
    </row>
    <row r="538" spans="1:32" s="148" customFormat="1" hidden="1">
      <c r="B538" s="347"/>
      <c r="C538" s="348"/>
      <c r="D538" s="348"/>
      <c r="E538" s="348"/>
      <c r="F538" s="348"/>
      <c r="G538" s="348"/>
      <c r="H538" s="348"/>
      <c r="I538" s="348"/>
      <c r="J538" s="348"/>
      <c r="K538" s="348"/>
      <c r="L538" s="348"/>
      <c r="M538" s="348"/>
      <c r="N538" s="348"/>
      <c r="O538" s="348"/>
      <c r="P538" s="348"/>
      <c r="Q538" s="348"/>
      <c r="R538" s="348"/>
      <c r="S538" s="348"/>
      <c r="T538" s="348"/>
      <c r="U538" s="348"/>
      <c r="V538" s="348"/>
      <c r="W538" s="348"/>
      <c r="X538" s="348"/>
      <c r="Y538" s="349"/>
      <c r="Z538" s="149"/>
      <c r="AA538" s="149"/>
      <c r="AB538" s="149"/>
      <c r="AC538" s="149"/>
      <c r="AD538" s="149"/>
      <c r="AE538" s="149"/>
      <c r="AF538" s="149"/>
    </row>
    <row r="539" spans="1:32" s="148" customFormat="1" hidden="1">
      <c r="B539" s="156"/>
      <c r="C539" s="156"/>
      <c r="D539" s="156"/>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49"/>
      <c r="AA539" s="149"/>
      <c r="AB539" s="149"/>
      <c r="AC539" s="149"/>
      <c r="AD539" s="149"/>
      <c r="AE539" s="149"/>
      <c r="AF539" s="149"/>
    </row>
    <row r="540" spans="1:32" s="148" customFormat="1" hidden="1">
      <c r="A540" s="150">
        <f>A499+1</f>
        <v>13</v>
      </c>
      <c r="B540" s="27" t="s">
        <v>14</v>
      </c>
      <c r="C540" s="333">
        <f>C499-1</f>
        <v>2008</v>
      </c>
      <c r="D540" s="334"/>
      <c r="Y540" s="149"/>
      <c r="Z540" s="149"/>
      <c r="AA540" s="149"/>
      <c r="AB540" s="149"/>
      <c r="AC540" s="149"/>
      <c r="AD540" s="149"/>
      <c r="AE540" s="149"/>
      <c r="AF540" s="149"/>
    </row>
    <row r="541" spans="1:32" s="148" customFormat="1" hidden="1">
      <c r="Y541" s="149"/>
      <c r="Z541" s="149"/>
      <c r="AA541" s="149"/>
      <c r="AB541" s="149"/>
      <c r="AC541" s="149"/>
      <c r="AD541" s="149"/>
      <c r="AE541" s="149"/>
      <c r="AF541" s="149"/>
    </row>
    <row r="542" spans="1:32" s="148" customFormat="1" hidden="1">
      <c r="B542" s="338" t="str">
        <f>Settings!$N$14</f>
        <v>Employee's comments</v>
      </c>
      <c r="C542" s="339"/>
      <c r="D542" s="339"/>
      <c r="E542" s="339"/>
      <c r="F542" s="339"/>
      <c r="G542" s="339"/>
      <c r="H542" s="339"/>
      <c r="I542" s="339"/>
      <c r="J542" s="339"/>
      <c r="K542" s="339"/>
      <c r="L542" s="339"/>
      <c r="M542" s="339"/>
      <c r="N542" s="339"/>
      <c r="O542" s="339"/>
      <c r="P542" s="339"/>
      <c r="Q542" s="339"/>
      <c r="R542" s="339"/>
      <c r="S542" s="339"/>
      <c r="T542" s="339"/>
      <c r="U542" s="339"/>
      <c r="V542" s="339"/>
      <c r="W542" s="339"/>
      <c r="X542" s="339"/>
      <c r="Y542" s="340"/>
      <c r="Z542" s="149"/>
      <c r="AA542" s="149"/>
      <c r="AB542" s="149"/>
      <c r="AC542" s="149"/>
      <c r="AD542" s="149"/>
      <c r="AE542" s="149"/>
      <c r="AF542" s="149"/>
    </row>
    <row r="543" spans="1:32" s="148" customFormat="1" hidden="1">
      <c r="B543" s="341" t="e">
        <f>IF(INDEX(TblDatabase[Feedback Warnings],MATCH(1,INDEX(($L$4=ListEmployeeNamesInDatabase)*(C540=TblDatabase[Year]),0,1),0))="","",INDEX(TblDatabase[Feedback Warnings],MATCH(1,INDEX(($L$4=ListEmployeeNamesInDatabase)*(C540=TblDatabase[Year]),0,1),0)))</f>
        <v>#N/A</v>
      </c>
      <c r="C543" s="342"/>
      <c r="D543" s="342"/>
      <c r="E543" s="342"/>
      <c r="F543" s="342"/>
      <c r="G543" s="342"/>
      <c r="H543" s="342"/>
      <c r="I543" s="342"/>
      <c r="J543" s="342"/>
      <c r="K543" s="342"/>
      <c r="L543" s="342"/>
      <c r="M543" s="342"/>
      <c r="N543" s="342"/>
      <c r="O543" s="342"/>
      <c r="P543" s="342"/>
      <c r="Q543" s="342"/>
      <c r="R543" s="342"/>
      <c r="S543" s="342"/>
      <c r="T543" s="342"/>
      <c r="U543" s="342"/>
      <c r="V543" s="342"/>
      <c r="W543" s="342"/>
      <c r="X543" s="342"/>
      <c r="Y543" s="343"/>
      <c r="Z543" s="149"/>
      <c r="AA543" s="149"/>
      <c r="AB543" s="149"/>
      <c r="AC543" s="149"/>
      <c r="AD543" s="149"/>
      <c r="AE543" s="149"/>
      <c r="AF543" s="149"/>
    </row>
    <row r="544" spans="1:32" s="148" customFormat="1" hidden="1">
      <c r="B544" s="344"/>
      <c r="C544" s="345"/>
      <c r="D544" s="345"/>
      <c r="E544" s="345"/>
      <c r="F544" s="345"/>
      <c r="G544" s="345"/>
      <c r="H544" s="345"/>
      <c r="I544" s="345"/>
      <c r="J544" s="345"/>
      <c r="K544" s="345"/>
      <c r="L544" s="345"/>
      <c r="M544" s="345"/>
      <c r="N544" s="345"/>
      <c r="O544" s="345"/>
      <c r="P544" s="345"/>
      <c r="Q544" s="345"/>
      <c r="R544" s="345"/>
      <c r="S544" s="345"/>
      <c r="T544" s="345"/>
      <c r="U544" s="345"/>
      <c r="V544" s="345"/>
      <c r="W544" s="345"/>
      <c r="X544" s="345"/>
      <c r="Y544" s="346"/>
      <c r="Z544" s="149"/>
      <c r="AA544" s="149"/>
      <c r="AB544" s="149"/>
      <c r="AC544" s="149"/>
      <c r="AD544" s="149"/>
      <c r="AE544" s="149"/>
      <c r="AF544" s="149"/>
    </row>
    <row r="545" spans="2:32" s="148" customFormat="1" hidden="1">
      <c r="B545" s="347"/>
      <c r="C545" s="348"/>
      <c r="D545" s="348"/>
      <c r="E545" s="348"/>
      <c r="F545" s="348"/>
      <c r="G545" s="348"/>
      <c r="H545" s="348"/>
      <c r="I545" s="348"/>
      <c r="J545" s="348"/>
      <c r="K545" s="348"/>
      <c r="L545" s="348"/>
      <c r="M545" s="348"/>
      <c r="N545" s="348"/>
      <c r="O545" s="348"/>
      <c r="P545" s="348"/>
      <c r="Q545" s="348"/>
      <c r="R545" s="348"/>
      <c r="S545" s="348"/>
      <c r="T545" s="348"/>
      <c r="U545" s="348"/>
      <c r="V545" s="348"/>
      <c r="W545" s="348"/>
      <c r="X545" s="348"/>
      <c r="Y545" s="349"/>
      <c r="Z545" s="149"/>
      <c r="AA545" s="149"/>
      <c r="AB545" s="149"/>
      <c r="AC545" s="149"/>
      <c r="AD545" s="149"/>
      <c r="AE545" s="149"/>
      <c r="AF545" s="149"/>
    </row>
    <row r="546" spans="2:32" s="148" customFormat="1" hidden="1">
      <c r="Y546" s="149"/>
      <c r="Z546" s="149"/>
      <c r="AA546" s="149"/>
      <c r="AB546" s="149"/>
      <c r="AC546" s="149"/>
      <c r="AD546" s="149"/>
      <c r="AE546" s="149"/>
      <c r="AF546" s="149"/>
    </row>
    <row r="547" spans="2:32" s="148" customFormat="1" ht="15" hidden="1" customHeight="1">
      <c r="B547" s="320" t="s">
        <v>8</v>
      </c>
      <c r="C547" s="321"/>
      <c r="D547" s="321"/>
      <c r="E547" s="321"/>
      <c r="F547" s="233">
        <f>IF(Settings!$M$4=Settings!$Y$3,Settings!$O$19,1)</f>
        <v>1</v>
      </c>
      <c r="G547" s="234">
        <f>IF(Settings!$M$4=Settings!$Y$3,Settings!$O$19,2)</f>
        <v>2</v>
      </c>
      <c r="H547" s="234">
        <f>IF(Settings!$M$4=Settings!$Y$3,Settings!$O$19,3)</f>
        <v>3</v>
      </c>
      <c r="I547" s="234">
        <f>IF(Settings!$M$4=Settings!$Y$3,Settings!$O$19,4)</f>
        <v>4</v>
      </c>
      <c r="J547" s="234">
        <f>IF(Settings!$M$4=Settings!$Y$3,Settings!$O$20,5)</f>
        <v>5</v>
      </c>
      <c r="K547" s="234">
        <f>IF(Settings!$M$4=Settings!$Y$3,Settings!$O$20,6)</f>
        <v>6</v>
      </c>
      <c r="L547" s="234">
        <f>IF(Settings!$M$4=Settings!$Y$3,Settings!$O$20,7)</f>
        <v>7</v>
      </c>
      <c r="M547" s="234">
        <f>IF(Settings!$M$4=Settings!$Y$3,Settings!$O$20,8)</f>
        <v>8</v>
      </c>
      <c r="N547" s="234">
        <f>IF(Settings!$M$4=Settings!$Y$3,Settings!$O$21,9)</f>
        <v>9</v>
      </c>
      <c r="O547" s="235">
        <f>IF(Settings!$M$4=Settings!$Y$3,Settings!$O$21,10)</f>
        <v>10</v>
      </c>
      <c r="P547" s="22"/>
      <c r="Q547" s="22"/>
      <c r="R547" s="333" t="s">
        <v>24</v>
      </c>
      <c r="S547" s="333"/>
      <c r="T547" s="333"/>
      <c r="U547" s="333"/>
      <c r="V547" s="333"/>
      <c r="W547" s="333"/>
      <c r="X547" s="333"/>
      <c r="Y547" s="334"/>
      <c r="Z547" s="149"/>
      <c r="AA547" s="149"/>
      <c r="AB547" s="149"/>
      <c r="AC547" s="149"/>
      <c r="AD547" s="149"/>
      <c r="AE547" s="149"/>
      <c r="AF547" s="149"/>
    </row>
    <row r="548" spans="2:32" s="148" customFormat="1" ht="15" hidden="1" customHeight="1">
      <c r="B548" s="335" t="str">
        <f t="shared" ref="B548:B567" si="12">B507</f>
        <v>Quality of Work</v>
      </c>
      <c r="C548" s="336"/>
      <c r="D548" s="336"/>
      <c r="E548" s="337"/>
      <c r="F548" s="162" t="str">
        <f>IF(Settings!$M$4=Settings!$Y$3,IF($AA548=1,"P",""),IF($AA548=1,"P",""))</f>
        <v/>
      </c>
      <c r="G548" s="160" t="str">
        <f>IF(Settings!$M$4=Settings!$Y$3,IF($AA548=1,"P",""),IF($AA548=2,"P",""))</f>
        <v/>
      </c>
      <c r="H548" s="160" t="str">
        <f>IF(Settings!$M$4=Settings!$Y$3,IF($AA548=1,"P",""),IF($AA548=3,"P",""))</f>
        <v/>
      </c>
      <c r="I548" s="160" t="str">
        <f>IF(Settings!$M$4=Settings!$Y$3,IF($AA548=1,"P",""),IF($AA548=4,"P",""))</f>
        <v/>
      </c>
      <c r="J548" s="160" t="str">
        <f>IF(Settings!$M$4=Settings!$Y$3,IF($AA548=2,"P",""),IF($AA548=5,"P",""))</f>
        <v/>
      </c>
      <c r="K548" s="160" t="str">
        <f>IF(Settings!$M$4=Settings!$Y$3,IF($AA548=2,"P",""),IF($AA548=6,"P",""))</f>
        <v/>
      </c>
      <c r="L548" s="160" t="str">
        <f>IF(Settings!$M$4=Settings!$Y$3,IF($AA548=2,"P",""),IF($AA548=7,"P",""))</f>
        <v/>
      </c>
      <c r="M548" s="160" t="str">
        <f>IF(Settings!$M$4=Settings!$Y$3,IF($AA548=2,"P",""),IF($AA548=8,"P",""))</f>
        <v/>
      </c>
      <c r="N548" s="160" t="str">
        <f>IF(Settings!$M$4=Settings!$Y$3,IF($AA548=3,"P",""),IF($AA548=9,"P",""))</f>
        <v/>
      </c>
      <c r="O548" s="161" t="str">
        <f>IF(Settings!$M$4=Settings!$Y$3,IF($AA548=3,"P",""),IF($AA548=10,"P",""))</f>
        <v/>
      </c>
      <c r="P548" s="22"/>
      <c r="Q548" s="22"/>
      <c r="R548" s="367" t="e">
        <f>IF(INDEX(TblDatabase[Comment1],MATCH(1,INDEX(($L$4=ListEmployeeNamesInDatabase)*(C540=TblDatabase[Year]),0,1),0))="","",INDEX(TblDatabase[Comment1],MATCH(1,INDEX(($L$4=ListEmployeeNamesInDatabase)*(C540=TblDatabase[Year]),0,1),0)))</f>
        <v>#N/A</v>
      </c>
      <c r="S548" s="367"/>
      <c r="T548" s="367"/>
      <c r="U548" s="367"/>
      <c r="V548" s="367"/>
      <c r="W548" s="367"/>
      <c r="X548" s="367"/>
      <c r="Y548" s="368"/>
      <c r="Z548" s="149"/>
      <c r="AA548" s="151">
        <f>SUMIFS(TblDatabase[Competency1],ListEmployeeNamesInDatabase,$L$4,TblDatabase[Year],C540)</f>
        <v>0</v>
      </c>
      <c r="AB548" s="149"/>
      <c r="AC548" s="149"/>
      <c r="AD548" s="149"/>
      <c r="AE548" s="149"/>
      <c r="AF548" s="149"/>
    </row>
    <row r="549" spans="2:32" s="148" customFormat="1" ht="15" hidden="1" customHeight="1">
      <c r="B549" s="355" t="str">
        <f t="shared" si="12"/>
        <v>CaLL flow</v>
      </c>
      <c r="C549" s="356"/>
      <c r="D549" s="356"/>
      <c r="E549" s="357"/>
      <c r="F549" s="163" t="str">
        <f>IF(Settings!$M$4=Settings!$Y$3,IF($AA549=1,"P",""),IF($AA549=1,"P",""))</f>
        <v/>
      </c>
      <c r="G549" s="164" t="str">
        <f>IF(Settings!$M$4=Settings!$Y$3,IF($AA549=1,"P",""),IF($AA549=2,"P",""))</f>
        <v/>
      </c>
      <c r="H549" s="164" t="str">
        <f>IF(Settings!$M$4=Settings!$Y$3,IF($AA549=1,"P",""),IF($AA549=3,"P",""))</f>
        <v/>
      </c>
      <c r="I549" s="164" t="str">
        <f>IF(Settings!$M$4=Settings!$Y$3,IF($AA549=1,"P",""),IF($AA549=4,"P",""))</f>
        <v/>
      </c>
      <c r="J549" s="164" t="str">
        <f>IF(Settings!$M$4=Settings!$Y$3,IF($AA549=2,"P",""),IF($AA549=5,"P",""))</f>
        <v/>
      </c>
      <c r="K549" s="164" t="str">
        <f>IF(Settings!$M$4=Settings!$Y$3,IF($AA549=2,"P",""),IF($AA549=6,"P",""))</f>
        <v/>
      </c>
      <c r="L549" s="164" t="str">
        <f>IF(Settings!$M$4=Settings!$Y$3,IF($AA549=2,"P",""),IF($AA549=7,"P",""))</f>
        <v/>
      </c>
      <c r="M549" s="164" t="str">
        <f>IF(Settings!$M$4=Settings!$Y$3,IF($AA549=2,"P",""),IF($AA549=8,"P",""))</f>
        <v/>
      </c>
      <c r="N549" s="164" t="str">
        <f>IF(Settings!$M$4=Settings!$Y$3,IF($AA549=3,"P",""),IF($AA549=9,"P",""))</f>
        <v/>
      </c>
      <c r="O549" s="165" t="str">
        <f>IF(Settings!$M$4=Settings!$Y$3,IF($AA549=3,"P",""),IF($AA549=10,"P",""))</f>
        <v/>
      </c>
      <c r="P549" s="22"/>
      <c r="Q549" s="22"/>
      <c r="R549" s="360" t="e">
        <f>IF(INDEX(TblDatabase[Comment2],MATCH(1,INDEX(($L$4=ListEmployeeNamesInDatabase)*(C540=TblDatabase[Year]),0,1),0))="","",INDEX(TblDatabase[Comment2],MATCH(1,INDEX(($L$4=ListEmployeeNamesInDatabase)*(C540=TblDatabase[Year]),0,1),0)))</f>
        <v>#N/A</v>
      </c>
      <c r="S549" s="360"/>
      <c r="T549" s="360"/>
      <c r="U549" s="360"/>
      <c r="V549" s="360"/>
      <c r="W549" s="360"/>
      <c r="X549" s="360"/>
      <c r="Y549" s="361"/>
      <c r="Z549" s="149"/>
      <c r="AA549" s="151">
        <f>SUMIFS(TblDatabase[Competency2],ListEmployeeNamesInDatabase,$L$4,TblDatabase[Year],C540)</f>
        <v>0</v>
      </c>
      <c r="AB549" s="149"/>
      <c r="AC549" s="149"/>
      <c r="AD549" s="149"/>
      <c r="AE549" s="149"/>
      <c r="AF549" s="149"/>
    </row>
    <row r="550" spans="2:32" s="148" customFormat="1" ht="15" hidden="1" customHeight="1">
      <c r="B550" s="350" t="str">
        <f t="shared" si="12"/>
        <v>Job Knowledge</v>
      </c>
      <c r="C550" s="351"/>
      <c r="D550" s="351"/>
      <c r="E550" s="352"/>
      <c r="F550" s="157" t="str">
        <f>IF(Settings!$M$4=Settings!$Y$3,IF($AA550=1,"P",""),IF($AA550=1,"P",""))</f>
        <v/>
      </c>
      <c r="G550" s="158" t="str">
        <f>IF(Settings!$M$4=Settings!$Y$3,IF($AA550=1,"P",""),IF($AA550=2,"P",""))</f>
        <v/>
      </c>
      <c r="H550" s="158" t="str">
        <f>IF(Settings!$M$4=Settings!$Y$3,IF($AA550=1,"P",""),IF($AA550=3,"P",""))</f>
        <v/>
      </c>
      <c r="I550" s="158" t="str">
        <f>IF(Settings!$M$4=Settings!$Y$3,IF($AA550=1,"P",""),IF($AA550=4,"P",""))</f>
        <v/>
      </c>
      <c r="J550" s="158" t="str">
        <f>IF(Settings!$M$4=Settings!$Y$3,IF($AA550=2,"P",""),IF($AA550=5,"P",""))</f>
        <v/>
      </c>
      <c r="K550" s="158" t="str">
        <f>IF(Settings!$M$4=Settings!$Y$3,IF($AA550=2,"P",""),IF($AA550=6,"P",""))</f>
        <v/>
      </c>
      <c r="L550" s="158" t="str">
        <f>IF(Settings!$M$4=Settings!$Y$3,IF($AA550=2,"P",""),IF($AA550=7,"P",""))</f>
        <v/>
      </c>
      <c r="M550" s="158" t="str">
        <f>IF(Settings!$M$4=Settings!$Y$3,IF($AA550=2,"P",""),IF($AA550=8,"P",""))</f>
        <v/>
      </c>
      <c r="N550" s="158" t="str">
        <f>IF(Settings!$M$4=Settings!$Y$3,IF($AA550=3,"P",""),IF($AA550=9,"P",""))</f>
        <v/>
      </c>
      <c r="O550" s="159" t="str">
        <f>IF(Settings!$M$4=Settings!$Y$3,IF($AA550=3,"P",""),IF($AA550=10,"P",""))</f>
        <v/>
      </c>
      <c r="P550" s="22"/>
      <c r="Q550" s="22"/>
      <c r="R550" s="353" t="e">
        <f>IF(INDEX(TblDatabase[Comment3],MATCH(1,INDEX(($L$4=ListEmployeeNamesInDatabase)*(C540=TblDatabase[Year]),0,1),0))="","",INDEX(TblDatabase[Comment3],MATCH(1,INDEX(($L$4=ListEmployeeNamesInDatabase)*(C540=TblDatabase[Year]),0,1),0)))</f>
        <v>#N/A</v>
      </c>
      <c r="S550" s="353"/>
      <c r="T550" s="353"/>
      <c r="U550" s="353"/>
      <c r="V550" s="353"/>
      <c r="W550" s="353"/>
      <c r="X550" s="353"/>
      <c r="Y550" s="354"/>
      <c r="Z550" s="149"/>
      <c r="AA550" s="151">
        <f>SUMIFS(TblDatabase[Competency3],ListEmployeeNamesInDatabase,$L$4,TblDatabase[Year],C540)</f>
        <v>0</v>
      </c>
      <c r="AB550" s="149"/>
      <c r="AC550" s="149"/>
      <c r="AD550" s="149"/>
      <c r="AE550" s="149"/>
      <c r="AF550" s="149"/>
    </row>
    <row r="551" spans="2:32" s="148" customFormat="1" ht="15" hidden="1" customHeight="1">
      <c r="B551" s="355" t="str">
        <f t="shared" si="12"/>
        <v>Client Service</v>
      </c>
      <c r="C551" s="356"/>
      <c r="D551" s="356"/>
      <c r="E551" s="357"/>
      <c r="F551" s="163" t="str">
        <f>IF(Settings!$M$4=Settings!$Y$3,IF($AA551=1,"P",""),IF($AA551=1,"P",""))</f>
        <v/>
      </c>
      <c r="G551" s="164" t="str">
        <f>IF(Settings!$M$4=Settings!$Y$3,IF($AA551=1,"P",""),IF($AA551=2,"P",""))</f>
        <v/>
      </c>
      <c r="H551" s="164" t="str">
        <f>IF(Settings!$M$4=Settings!$Y$3,IF($AA551=1,"P",""),IF($AA551=3,"P",""))</f>
        <v/>
      </c>
      <c r="I551" s="164" t="str">
        <f>IF(Settings!$M$4=Settings!$Y$3,IF($AA551=1,"P",""),IF($AA551=4,"P",""))</f>
        <v/>
      </c>
      <c r="J551" s="164" t="str">
        <f>IF(Settings!$M$4=Settings!$Y$3,IF($AA551=2,"P",""),IF($AA551=5,"P",""))</f>
        <v/>
      </c>
      <c r="K551" s="164" t="str">
        <f>IF(Settings!$M$4=Settings!$Y$3,IF($AA551=2,"P",""),IF($AA551=6,"P",""))</f>
        <v/>
      </c>
      <c r="L551" s="164" t="str">
        <f>IF(Settings!$M$4=Settings!$Y$3,IF($AA551=2,"P",""),IF($AA551=7,"P",""))</f>
        <v/>
      </c>
      <c r="M551" s="164" t="str">
        <f>IF(Settings!$M$4=Settings!$Y$3,IF($AA551=2,"P",""),IF($AA551=8,"P",""))</f>
        <v/>
      </c>
      <c r="N551" s="164" t="str">
        <f>IF(Settings!$M$4=Settings!$Y$3,IF($AA551=3,"P",""),IF($AA551=9,"P",""))</f>
        <v/>
      </c>
      <c r="O551" s="165" t="str">
        <f>IF(Settings!$M$4=Settings!$Y$3,IF($AA551=3,"P",""),IF($AA551=10,"P",""))</f>
        <v/>
      </c>
      <c r="P551" s="22"/>
      <c r="Q551" s="22"/>
      <c r="R551" s="360" t="e">
        <f>IF(INDEX(TblDatabase[Comment4],MATCH(1,INDEX(($L$4=ListEmployeeNamesInDatabase)*(C540=TblDatabase[Year]),0,1),0))="","",INDEX(TblDatabase[Comment4],MATCH(1,INDEX(($L$4=ListEmployeeNamesInDatabase)*(C540=TblDatabase[Year]),0,1),0)))</f>
        <v>#N/A</v>
      </c>
      <c r="S551" s="360"/>
      <c r="T551" s="360"/>
      <c r="U551" s="360"/>
      <c r="V551" s="360"/>
      <c r="W551" s="360"/>
      <c r="X551" s="360"/>
      <c r="Y551" s="361"/>
      <c r="Z551" s="149"/>
      <c r="AA551" s="151">
        <f>SUMIFS(TblDatabase[Competency4],ListEmployeeNamesInDatabase,$L$4,TblDatabase[Year],C540)</f>
        <v>0</v>
      </c>
      <c r="AB551" s="149"/>
      <c r="AC551" s="149"/>
      <c r="AD551" s="149"/>
      <c r="AE551" s="149"/>
      <c r="AF551" s="149"/>
    </row>
    <row r="552" spans="2:32" s="148" customFormat="1" ht="15" hidden="1" customHeight="1">
      <c r="B552" s="350" t="str">
        <f t="shared" si="12"/>
        <v>Teamwork</v>
      </c>
      <c r="C552" s="351"/>
      <c r="D552" s="351"/>
      <c r="E552" s="352"/>
      <c r="F552" s="157" t="str">
        <f>IF(Settings!$M$4=Settings!$Y$3,IF($AA552=1,"P",""),IF($AA552=1,"P",""))</f>
        <v/>
      </c>
      <c r="G552" s="158" t="str">
        <f>IF(Settings!$M$4=Settings!$Y$3,IF($AA552=1,"P",""),IF($AA552=2,"P",""))</f>
        <v/>
      </c>
      <c r="H552" s="158" t="str">
        <f>IF(Settings!$M$4=Settings!$Y$3,IF($AA552=1,"P",""),IF($AA552=3,"P",""))</f>
        <v/>
      </c>
      <c r="I552" s="158" t="str">
        <f>IF(Settings!$M$4=Settings!$Y$3,IF($AA552=1,"P",""),IF($AA552=4,"P",""))</f>
        <v/>
      </c>
      <c r="J552" s="158" t="str">
        <f>IF(Settings!$M$4=Settings!$Y$3,IF($AA552=2,"P",""),IF($AA552=5,"P",""))</f>
        <v/>
      </c>
      <c r="K552" s="158" t="str">
        <f>IF(Settings!$M$4=Settings!$Y$3,IF($AA552=2,"P",""),IF($AA552=6,"P",""))</f>
        <v/>
      </c>
      <c r="L552" s="158" t="str">
        <f>IF(Settings!$M$4=Settings!$Y$3,IF($AA552=2,"P",""),IF($AA552=7,"P",""))</f>
        <v/>
      </c>
      <c r="M552" s="158" t="str">
        <f>IF(Settings!$M$4=Settings!$Y$3,IF($AA552=2,"P",""),IF($AA552=8,"P",""))</f>
        <v/>
      </c>
      <c r="N552" s="158" t="str">
        <f>IF(Settings!$M$4=Settings!$Y$3,IF($AA552=3,"P",""),IF($AA552=9,"P",""))</f>
        <v/>
      </c>
      <c r="O552" s="159" t="str">
        <f>IF(Settings!$M$4=Settings!$Y$3,IF($AA552=3,"P",""),IF($AA552=10,"P",""))</f>
        <v/>
      </c>
      <c r="P552" s="22"/>
      <c r="Q552" s="22"/>
      <c r="R552" s="353" t="e">
        <f>IF(INDEX(TblDatabase[Comment5],MATCH(1,INDEX(($L$4=ListEmployeeNamesInDatabase)*(C540=TblDatabase[Year]),0,1),0))="","",INDEX(TblDatabase[Comment5],MATCH(1,INDEX(($L$4=ListEmployeeNamesInDatabase)*(C540=TblDatabase[Year]),0,1),0)))</f>
        <v>#N/A</v>
      </c>
      <c r="S552" s="353"/>
      <c r="T552" s="353"/>
      <c r="U552" s="353"/>
      <c r="V552" s="353"/>
      <c r="W552" s="353"/>
      <c r="X552" s="353"/>
      <c r="Y552" s="354"/>
      <c r="Z552" s="149"/>
      <c r="AA552" s="151">
        <f>SUMIFS(TblDatabase[Competency5],ListEmployeeNamesInDatabase,$L$4,TblDatabase[Year],C540)</f>
        <v>0</v>
      </c>
      <c r="AB552" s="149"/>
      <c r="AC552" s="149"/>
      <c r="AD552" s="149"/>
      <c r="AE552" s="149"/>
      <c r="AF552" s="149"/>
    </row>
    <row r="553" spans="2:32" s="148" customFormat="1" ht="15" hidden="1" customHeight="1">
      <c r="B553" s="355" t="str">
        <f t="shared" si="12"/>
        <v>Safety</v>
      </c>
      <c r="C553" s="356"/>
      <c r="D553" s="356"/>
      <c r="E553" s="357"/>
      <c r="F553" s="163" t="str">
        <f>IF(Settings!$M$4=Settings!$Y$3,IF($AA553=1,"P",""),IF($AA553=1,"P",""))</f>
        <v/>
      </c>
      <c r="G553" s="164" t="str">
        <f>IF(Settings!$M$4=Settings!$Y$3,IF($AA553=1,"P",""),IF($AA553=2,"P",""))</f>
        <v/>
      </c>
      <c r="H553" s="164" t="str">
        <f>IF(Settings!$M$4=Settings!$Y$3,IF($AA553=1,"P",""),IF($AA553=3,"P",""))</f>
        <v/>
      </c>
      <c r="I553" s="164" t="str">
        <f>IF(Settings!$M$4=Settings!$Y$3,IF($AA553=1,"P",""),IF($AA553=4,"P",""))</f>
        <v/>
      </c>
      <c r="J553" s="164" t="str">
        <f>IF(Settings!$M$4=Settings!$Y$3,IF($AA553=2,"P",""),IF($AA553=5,"P",""))</f>
        <v/>
      </c>
      <c r="K553" s="164" t="str">
        <f>IF(Settings!$M$4=Settings!$Y$3,IF($AA553=2,"P",""),IF($AA553=6,"P",""))</f>
        <v/>
      </c>
      <c r="L553" s="164" t="str">
        <f>IF(Settings!$M$4=Settings!$Y$3,IF($AA553=2,"P",""),IF($AA553=7,"P",""))</f>
        <v/>
      </c>
      <c r="M553" s="164" t="str">
        <f>IF(Settings!$M$4=Settings!$Y$3,IF($AA553=2,"P",""),IF($AA553=8,"P",""))</f>
        <v/>
      </c>
      <c r="N553" s="164" t="str">
        <f>IF(Settings!$M$4=Settings!$Y$3,IF($AA553=3,"P",""),IF($AA553=9,"P",""))</f>
        <v/>
      </c>
      <c r="O553" s="165" t="str">
        <f>IF(Settings!$M$4=Settings!$Y$3,IF($AA553=3,"P",""),IF($AA553=10,"P",""))</f>
        <v/>
      </c>
      <c r="P553" s="22"/>
      <c r="Q553" s="22"/>
      <c r="R553" s="360" t="e">
        <f>IF(INDEX(TblDatabase[Comment6],MATCH(1,INDEX(($L$4=ListEmployeeNamesInDatabase)*(C540=TblDatabase[Year]),0,1),0))="","",INDEX(TblDatabase[Comment6],MATCH(1,INDEX(($L$4=ListEmployeeNamesInDatabase)*(C540=TblDatabase[Year]),0,1),0)))</f>
        <v>#N/A</v>
      </c>
      <c r="S553" s="360"/>
      <c r="T553" s="360"/>
      <c r="U553" s="360"/>
      <c r="V553" s="360"/>
      <c r="W553" s="360"/>
      <c r="X553" s="360"/>
      <c r="Y553" s="361"/>
      <c r="Z553" s="149"/>
      <c r="AA553" s="151">
        <f>SUMIFS(TblDatabase[Competency6],ListEmployeeNamesInDatabase,$L$4,TblDatabase[Year],C540)</f>
        <v>0</v>
      </c>
      <c r="AB553" s="149"/>
      <c r="AC553" s="149"/>
      <c r="AD553" s="149"/>
      <c r="AE553" s="149"/>
      <c r="AF553" s="149"/>
    </row>
    <row r="554" spans="2:32" s="148" customFormat="1" ht="15" hidden="1" customHeight="1">
      <c r="B554" s="350" t="str">
        <f t="shared" si="12"/>
        <v>Reliability</v>
      </c>
      <c r="C554" s="351"/>
      <c r="D554" s="351"/>
      <c r="E554" s="352"/>
      <c r="F554" s="157" t="str">
        <f>IF(Settings!$M$4=Settings!$Y$3,IF($AA554=1,"P",""),IF($AA554=1,"P",""))</f>
        <v/>
      </c>
      <c r="G554" s="158" t="str">
        <f>IF(Settings!$M$4=Settings!$Y$3,IF($AA554=1,"P",""),IF($AA554=2,"P",""))</f>
        <v/>
      </c>
      <c r="H554" s="158" t="str">
        <f>IF(Settings!$M$4=Settings!$Y$3,IF($AA554=1,"P",""),IF($AA554=3,"P",""))</f>
        <v/>
      </c>
      <c r="I554" s="158" t="str">
        <f>IF(Settings!$M$4=Settings!$Y$3,IF($AA554=1,"P",""),IF($AA554=4,"P",""))</f>
        <v/>
      </c>
      <c r="J554" s="158" t="str">
        <f>IF(Settings!$M$4=Settings!$Y$3,IF($AA554=2,"P",""),IF($AA554=5,"P",""))</f>
        <v/>
      </c>
      <c r="K554" s="158" t="str">
        <f>IF(Settings!$M$4=Settings!$Y$3,IF($AA554=2,"P",""),IF($AA554=6,"P",""))</f>
        <v/>
      </c>
      <c r="L554" s="158" t="str">
        <f>IF(Settings!$M$4=Settings!$Y$3,IF($AA554=2,"P",""),IF($AA554=7,"P",""))</f>
        <v/>
      </c>
      <c r="M554" s="158" t="str">
        <f>IF(Settings!$M$4=Settings!$Y$3,IF($AA554=2,"P",""),IF($AA554=8,"P",""))</f>
        <v/>
      </c>
      <c r="N554" s="158" t="str">
        <f>IF(Settings!$M$4=Settings!$Y$3,IF($AA554=3,"P",""),IF($AA554=9,"P",""))</f>
        <v/>
      </c>
      <c r="O554" s="159" t="str">
        <f>IF(Settings!$M$4=Settings!$Y$3,IF($AA554=3,"P",""),IF($AA554=10,"P",""))</f>
        <v/>
      </c>
      <c r="P554" s="22"/>
      <c r="Q554" s="22"/>
      <c r="R554" s="353" t="e">
        <f>IF(INDEX(TblDatabase[Comment7],MATCH(1,INDEX(($L$4=ListEmployeeNamesInDatabase)*(C540=TblDatabase[Year]),0,1),0))="","",INDEX(TblDatabase[Comment7],MATCH(1,INDEX(($L$4=ListEmployeeNamesInDatabase)*(C540=TblDatabase[Year]),0,1),0)))</f>
        <v>#N/A</v>
      </c>
      <c r="S554" s="353"/>
      <c r="T554" s="353"/>
      <c r="U554" s="353"/>
      <c r="V554" s="353"/>
      <c r="W554" s="353"/>
      <c r="X554" s="353"/>
      <c r="Y554" s="354"/>
      <c r="Z554" s="149"/>
      <c r="AA554" s="151">
        <f>SUMIFS(TblDatabase[Competency7],ListEmployeeNamesInDatabase,$L$4,TblDatabase[Year],C540)</f>
        <v>0</v>
      </c>
      <c r="AB554" s="149"/>
      <c r="AC554" s="149"/>
      <c r="AD554" s="149"/>
      <c r="AE554" s="149"/>
      <c r="AF554" s="149"/>
    </row>
    <row r="555" spans="2:32" s="148" customFormat="1" ht="15" hidden="1" customHeight="1">
      <c r="B555" s="355" t="str">
        <f t="shared" si="12"/>
        <v>Initiative/Adaptability</v>
      </c>
      <c r="C555" s="356"/>
      <c r="D555" s="356"/>
      <c r="E555" s="357"/>
      <c r="F555" s="163" t="str">
        <f>IF(Settings!$M$4=Settings!$Y$3,IF($AA555=1,"P",""),IF($AA555=1,"P",""))</f>
        <v/>
      </c>
      <c r="G555" s="164" t="str">
        <f>IF(Settings!$M$4=Settings!$Y$3,IF($AA555=1,"P",""),IF($AA555=2,"P",""))</f>
        <v/>
      </c>
      <c r="H555" s="164" t="str">
        <f>IF(Settings!$M$4=Settings!$Y$3,IF($AA555=1,"P",""),IF($AA555=3,"P",""))</f>
        <v/>
      </c>
      <c r="I555" s="164" t="str">
        <f>IF(Settings!$M$4=Settings!$Y$3,IF($AA555=1,"P",""),IF($AA555=4,"P",""))</f>
        <v/>
      </c>
      <c r="J555" s="164" t="str">
        <f>IF(Settings!$M$4=Settings!$Y$3,IF($AA555=2,"P",""),IF($AA555=5,"P",""))</f>
        <v/>
      </c>
      <c r="K555" s="164" t="str">
        <f>IF(Settings!$M$4=Settings!$Y$3,IF($AA555=2,"P",""),IF($AA555=6,"P",""))</f>
        <v/>
      </c>
      <c r="L555" s="164" t="str">
        <f>IF(Settings!$M$4=Settings!$Y$3,IF($AA555=2,"P",""),IF($AA555=7,"P",""))</f>
        <v/>
      </c>
      <c r="M555" s="164" t="str">
        <f>IF(Settings!$M$4=Settings!$Y$3,IF($AA555=2,"P",""),IF($AA555=8,"P",""))</f>
        <v/>
      </c>
      <c r="N555" s="164" t="str">
        <f>IF(Settings!$M$4=Settings!$Y$3,IF($AA555=3,"P",""),IF($AA555=9,"P",""))</f>
        <v/>
      </c>
      <c r="O555" s="165" t="str">
        <f>IF(Settings!$M$4=Settings!$Y$3,IF($AA555=3,"P",""),IF($AA555=10,"P",""))</f>
        <v/>
      </c>
      <c r="P555" s="22"/>
      <c r="Q555" s="22"/>
      <c r="R555" s="360" t="e">
        <f>IF(INDEX(TblDatabase[Comment8],MATCH(1,INDEX(($L$4=ListEmployeeNamesInDatabase)*(C540=TblDatabase[Year]),0,1),0))="","",INDEX(TblDatabase[Comment8],MATCH(1,INDEX(($L$4=ListEmployeeNamesInDatabase)*(C540=TblDatabase[Year]),0,1),0)))</f>
        <v>#N/A</v>
      </c>
      <c r="S555" s="360"/>
      <c r="T555" s="360"/>
      <c r="U555" s="360"/>
      <c r="V555" s="360"/>
      <c r="W555" s="360"/>
      <c r="X555" s="360"/>
      <c r="Y555" s="361"/>
      <c r="Z555" s="149"/>
      <c r="AA555" s="151">
        <f>SUMIFS(TblDatabase[Competency8],ListEmployeeNamesInDatabase,$L$4,TblDatabase[Year],C540)</f>
        <v>0</v>
      </c>
      <c r="AB555" s="149"/>
      <c r="AC555" s="149"/>
      <c r="AD555" s="149"/>
      <c r="AE555" s="149"/>
      <c r="AF555" s="149"/>
    </row>
    <row r="556" spans="2:32" s="148" customFormat="1" ht="15" hidden="1" customHeight="1">
      <c r="B556" s="350" t="str">
        <f t="shared" si="12"/>
        <v/>
      </c>
      <c r="C556" s="351"/>
      <c r="D556" s="351"/>
      <c r="E556" s="352"/>
      <c r="F556" s="157" t="str">
        <f>IF(Settings!$M$4=Settings!$Y$3,IF($AA556=1,"P",""),IF($AA556=1,"P",""))</f>
        <v/>
      </c>
      <c r="G556" s="158" t="str">
        <f>IF(Settings!$M$4=Settings!$Y$3,IF($AA556=1,"P",""),IF($AA556=2,"P",""))</f>
        <v/>
      </c>
      <c r="H556" s="158" t="str">
        <f>IF(Settings!$M$4=Settings!$Y$3,IF($AA556=1,"P",""),IF($AA556=3,"P",""))</f>
        <v/>
      </c>
      <c r="I556" s="158" t="str">
        <f>IF(Settings!$M$4=Settings!$Y$3,IF($AA556=1,"P",""),IF($AA556=4,"P",""))</f>
        <v/>
      </c>
      <c r="J556" s="158" t="str">
        <f>IF(Settings!$M$4=Settings!$Y$3,IF($AA556=2,"P",""),IF($AA556=5,"P",""))</f>
        <v/>
      </c>
      <c r="K556" s="158" t="str">
        <f>IF(Settings!$M$4=Settings!$Y$3,IF($AA556=2,"P",""),IF($AA556=6,"P",""))</f>
        <v/>
      </c>
      <c r="L556" s="158" t="str">
        <f>IF(Settings!$M$4=Settings!$Y$3,IF($AA556=2,"P",""),IF($AA556=7,"P",""))</f>
        <v/>
      </c>
      <c r="M556" s="158" t="str">
        <f>IF(Settings!$M$4=Settings!$Y$3,IF($AA556=2,"P",""),IF($AA556=8,"P",""))</f>
        <v/>
      </c>
      <c r="N556" s="158" t="str">
        <f>IF(Settings!$M$4=Settings!$Y$3,IF($AA556=3,"P",""),IF($AA556=9,"P",""))</f>
        <v/>
      </c>
      <c r="O556" s="159" t="str">
        <f>IF(Settings!$M$4=Settings!$Y$3,IF($AA556=3,"P",""),IF($AA556=10,"P",""))</f>
        <v/>
      </c>
      <c r="P556" s="22"/>
      <c r="Q556" s="22"/>
      <c r="R556" s="353" t="e">
        <f>IF(INDEX(TblDatabase[Comment9],MATCH(1,INDEX(($L$4=ListEmployeeNamesInDatabase)*(C540=TblDatabase[Year]),0,1),0))="","",INDEX(TblDatabase[Comment9],MATCH(1,INDEX(($L$4=ListEmployeeNamesInDatabase)*(C540=TblDatabase[Year]),0,1),0)))</f>
        <v>#N/A</v>
      </c>
      <c r="S556" s="353"/>
      <c r="T556" s="353"/>
      <c r="U556" s="353"/>
      <c r="V556" s="353"/>
      <c r="W556" s="353"/>
      <c r="X556" s="353"/>
      <c r="Y556" s="354"/>
      <c r="Z556" s="149"/>
      <c r="AA556" s="151">
        <f>SUMIFS(TblDatabase[Competency9],ListEmployeeNamesInDatabase,$L$4,TblDatabase[Year],C540)</f>
        <v>0</v>
      </c>
      <c r="AB556" s="149"/>
      <c r="AC556" s="149"/>
      <c r="AD556" s="149"/>
      <c r="AE556" s="149"/>
      <c r="AF556" s="149"/>
    </row>
    <row r="557" spans="2:32" s="148" customFormat="1" ht="15" hidden="1" customHeight="1">
      <c r="B557" s="355" t="str">
        <f t="shared" si="12"/>
        <v/>
      </c>
      <c r="C557" s="356"/>
      <c r="D557" s="356"/>
      <c r="E557" s="357"/>
      <c r="F557" s="163" t="str">
        <f>IF(Settings!$M$4=Settings!$Y$3,IF($AA557=1,"P",""),IF($AA557=1,"P",""))</f>
        <v/>
      </c>
      <c r="G557" s="164" t="str">
        <f>IF(Settings!$M$4=Settings!$Y$3,IF($AA557=1,"P",""),IF($AA557=2,"P",""))</f>
        <v/>
      </c>
      <c r="H557" s="164" t="str">
        <f>IF(Settings!$M$4=Settings!$Y$3,IF($AA557=1,"P",""),IF($AA557=3,"P",""))</f>
        <v/>
      </c>
      <c r="I557" s="164" t="str">
        <f>IF(Settings!$M$4=Settings!$Y$3,IF($AA557=1,"P",""),IF($AA557=4,"P",""))</f>
        <v/>
      </c>
      <c r="J557" s="164" t="str">
        <f>IF(Settings!$M$4=Settings!$Y$3,IF($AA557=2,"P",""),IF($AA557=5,"P",""))</f>
        <v/>
      </c>
      <c r="K557" s="164" t="str">
        <f>IF(Settings!$M$4=Settings!$Y$3,IF($AA557=2,"P",""),IF($AA557=6,"P",""))</f>
        <v/>
      </c>
      <c r="L557" s="164" t="str">
        <f>IF(Settings!$M$4=Settings!$Y$3,IF($AA557=2,"P",""),IF($AA557=7,"P",""))</f>
        <v/>
      </c>
      <c r="M557" s="164" t="str">
        <f>IF(Settings!$M$4=Settings!$Y$3,IF($AA557=2,"P",""),IF($AA557=8,"P",""))</f>
        <v/>
      </c>
      <c r="N557" s="164" t="str">
        <f>IF(Settings!$M$4=Settings!$Y$3,IF($AA557=3,"P",""),IF($AA557=9,"P",""))</f>
        <v/>
      </c>
      <c r="O557" s="165" t="str">
        <f>IF(Settings!$M$4=Settings!$Y$3,IF($AA557=3,"P",""),IF($AA557=10,"P",""))</f>
        <v/>
      </c>
      <c r="P557" s="22"/>
      <c r="Q557" s="22"/>
      <c r="R557" s="360" t="e">
        <f>IF(INDEX(TblDatabase[Comment10],MATCH(1,INDEX(($L$4=ListEmployeeNamesInDatabase)*(C540=TblDatabase[Year]),0,1),0))="","",INDEX(TblDatabase[Comment10],MATCH(1,INDEX(($L$4=ListEmployeeNamesInDatabase)*(C540=TblDatabase[Year]),0,1),0)))</f>
        <v>#N/A</v>
      </c>
      <c r="S557" s="360"/>
      <c r="T557" s="360"/>
      <c r="U557" s="360"/>
      <c r="V557" s="360"/>
      <c r="W557" s="360"/>
      <c r="X557" s="360"/>
      <c r="Y557" s="361"/>
      <c r="Z557" s="149"/>
      <c r="AA557" s="151">
        <f>SUMIFS(TblDatabase[Competency10],ListEmployeeNamesInDatabase,$L$4,TblDatabase[Year],C540)</f>
        <v>0</v>
      </c>
      <c r="AB557" s="149"/>
      <c r="AC557" s="149"/>
      <c r="AD557" s="149"/>
      <c r="AE557" s="149"/>
      <c r="AF557" s="149"/>
    </row>
    <row r="558" spans="2:32" s="148" customFormat="1" ht="15" hidden="1" customHeight="1">
      <c r="B558" s="350" t="str">
        <f t="shared" si="12"/>
        <v/>
      </c>
      <c r="C558" s="351"/>
      <c r="D558" s="351"/>
      <c r="E558" s="352"/>
      <c r="F558" s="157" t="str">
        <f>IF(Settings!$M$4=Settings!$Y$3,IF($AA558=1,"P",""),IF($AA558=1,"P",""))</f>
        <v/>
      </c>
      <c r="G558" s="158" t="str">
        <f>IF(Settings!$M$4=Settings!$Y$3,IF($AA558=1,"P",""),IF($AA558=2,"P",""))</f>
        <v/>
      </c>
      <c r="H558" s="158" t="str">
        <f>IF(Settings!$M$4=Settings!$Y$3,IF($AA558=1,"P",""),IF($AA558=3,"P",""))</f>
        <v/>
      </c>
      <c r="I558" s="158" t="str">
        <f>IF(Settings!$M$4=Settings!$Y$3,IF($AA558=1,"P",""),IF($AA558=4,"P",""))</f>
        <v/>
      </c>
      <c r="J558" s="158" t="str">
        <f>IF(Settings!$M$4=Settings!$Y$3,IF($AA558=2,"P",""),IF($AA558=5,"P",""))</f>
        <v/>
      </c>
      <c r="K558" s="158" t="str">
        <f>IF(Settings!$M$4=Settings!$Y$3,IF($AA558=2,"P",""),IF($AA558=6,"P",""))</f>
        <v/>
      </c>
      <c r="L558" s="158" t="str">
        <f>IF(Settings!$M$4=Settings!$Y$3,IF($AA558=2,"P",""),IF($AA558=7,"P",""))</f>
        <v/>
      </c>
      <c r="M558" s="158" t="str">
        <f>IF(Settings!$M$4=Settings!$Y$3,IF($AA558=2,"P",""),IF($AA558=8,"P",""))</f>
        <v/>
      </c>
      <c r="N558" s="158" t="str">
        <f>IF(Settings!$M$4=Settings!$Y$3,IF($AA558=3,"P",""),IF($AA558=9,"P",""))</f>
        <v/>
      </c>
      <c r="O558" s="159" t="str">
        <f>IF(Settings!$M$4=Settings!$Y$3,IF($AA558=3,"P",""),IF($AA558=10,"P",""))</f>
        <v/>
      </c>
      <c r="P558" s="22"/>
      <c r="Q558" s="22"/>
      <c r="R558" s="353" t="e">
        <f>IF(INDEX(TblDatabase[Comment11],MATCH(1,INDEX(($L$4=ListEmployeeNamesInDatabase)*(C540=TblDatabase[Year]),0,1),0))="","",INDEX(TblDatabase[Comment11],MATCH(1,INDEX(($L$4=ListEmployeeNamesInDatabase)*(C540=TblDatabase[Year]),0,1),0)))</f>
        <v>#N/A</v>
      </c>
      <c r="S558" s="353"/>
      <c r="T558" s="353"/>
      <c r="U558" s="353"/>
      <c r="V558" s="353"/>
      <c r="W558" s="353"/>
      <c r="X558" s="353"/>
      <c r="Y558" s="354"/>
      <c r="Z558" s="149"/>
      <c r="AA558" s="151">
        <f>SUMIFS(TblDatabase[Competency11],ListEmployeeNamesInDatabase,$L$4,TblDatabase[Year],C540)</f>
        <v>0</v>
      </c>
      <c r="AB558" s="149"/>
      <c r="AC558" s="149"/>
      <c r="AD558" s="149"/>
      <c r="AE558" s="149"/>
      <c r="AF558" s="149"/>
    </row>
    <row r="559" spans="2:32" s="148" customFormat="1" ht="15" hidden="1" customHeight="1">
      <c r="B559" s="355" t="str">
        <f t="shared" si="12"/>
        <v/>
      </c>
      <c r="C559" s="356"/>
      <c r="D559" s="356"/>
      <c r="E559" s="357"/>
      <c r="F559" s="163" t="str">
        <f>IF(Settings!$M$4=Settings!$Y$3,IF($AA559=1,"P",""),IF($AA559=1,"P",""))</f>
        <v/>
      </c>
      <c r="G559" s="164" t="str">
        <f>IF(Settings!$M$4=Settings!$Y$3,IF($AA559=1,"P",""),IF($AA559=2,"P",""))</f>
        <v/>
      </c>
      <c r="H559" s="164" t="str">
        <f>IF(Settings!$M$4=Settings!$Y$3,IF($AA559=1,"P",""),IF($AA559=3,"P",""))</f>
        <v/>
      </c>
      <c r="I559" s="164" t="str">
        <f>IF(Settings!$M$4=Settings!$Y$3,IF($AA559=1,"P",""),IF($AA559=4,"P",""))</f>
        <v/>
      </c>
      <c r="J559" s="164" t="str">
        <f>IF(Settings!$M$4=Settings!$Y$3,IF($AA559=2,"P",""),IF($AA559=5,"P",""))</f>
        <v/>
      </c>
      <c r="K559" s="164" t="str">
        <f>IF(Settings!$M$4=Settings!$Y$3,IF($AA559=2,"P",""),IF($AA559=6,"P",""))</f>
        <v/>
      </c>
      <c r="L559" s="164" t="str">
        <f>IF(Settings!$M$4=Settings!$Y$3,IF($AA559=2,"P",""),IF($AA559=7,"P",""))</f>
        <v/>
      </c>
      <c r="M559" s="164" t="str">
        <f>IF(Settings!$M$4=Settings!$Y$3,IF($AA559=2,"P",""),IF($AA559=8,"P",""))</f>
        <v/>
      </c>
      <c r="N559" s="164" t="str">
        <f>IF(Settings!$M$4=Settings!$Y$3,IF($AA559=3,"P",""),IF($AA559=9,"P",""))</f>
        <v/>
      </c>
      <c r="O559" s="165" t="str">
        <f>IF(Settings!$M$4=Settings!$Y$3,IF($AA559=3,"P",""),IF($AA559=10,"P",""))</f>
        <v/>
      </c>
      <c r="P559" s="22"/>
      <c r="Q559" s="22"/>
      <c r="R559" s="360" t="e">
        <f>IF(INDEX(TblDatabase[Comment12],MATCH(1,INDEX(($L$4=ListEmployeeNamesInDatabase)*(C540=TblDatabase[Year]),0,1),0))="","",INDEX(TblDatabase[Comment12],MATCH(1,INDEX(($L$4=ListEmployeeNamesInDatabase)*(C540=TblDatabase[Year]),0,1),0)))</f>
        <v>#N/A</v>
      </c>
      <c r="S559" s="360"/>
      <c r="T559" s="360"/>
      <c r="U559" s="360"/>
      <c r="V559" s="360"/>
      <c r="W559" s="360"/>
      <c r="X559" s="360"/>
      <c r="Y559" s="361"/>
      <c r="Z559" s="149"/>
      <c r="AA559" s="151">
        <f>SUMIFS(TblDatabase[Competency12],ListEmployeeNamesInDatabase,$L$4,TblDatabase[Year],C540)</f>
        <v>0</v>
      </c>
      <c r="AB559" s="149"/>
      <c r="AC559" s="149"/>
      <c r="AD559" s="149"/>
      <c r="AE559" s="149"/>
      <c r="AF559" s="149"/>
    </row>
    <row r="560" spans="2:32" s="148" customFormat="1" ht="15" hidden="1" customHeight="1">
      <c r="B560" s="350" t="str">
        <f t="shared" si="12"/>
        <v/>
      </c>
      <c r="C560" s="351"/>
      <c r="D560" s="351"/>
      <c r="E560" s="352"/>
      <c r="F560" s="157" t="str">
        <f>IF(Settings!$M$4=Settings!$Y$3,IF($AA560=1,"P",""),IF($AA560=1,"P",""))</f>
        <v/>
      </c>
      <c r="G560" s="158" t="str">
        <f>IF(Settings!$M$4=Settings!$Y$3,IF($AA560=1,"P",""),IF($AA560=2,"P",""))</f>
        <v/>
      </c>
      <c r="H560" s="158" t="str">
        <f>IF(Settings!$M$4=Settings!$Y$3,IF($AA560=1,"P",""),IF($AA560=3,"P",""))</f>
        <v/>
      </c>
      <c r="I560" s="158" t="str">
        <f>IF(Settings!$M$4=Settings!$Y$3,IF($AA560=1,"P",""),IF($AA560=4,"P",""))</f>
        <v/>
      </c>
      <c r="J560" s="158" t="str">
        <f>IF(Settings!$M$4=Settings!$Y$3,IF($AA560=2,"P",""),IF($AA560=5,"P",""))</f>
        <v/>
      </c>
      <c r="K560" s="158" t="str">
        <f>IF(Settings!$M$4=Settings!$Y$3,IF($AA560=2,"P",""),IF($AA560=6,"P",""))</f>
        <v/>
      </c>
      <c r="L560" s="158" t="str">
        <f>IF(Settings!$M$4=Settings!$Y$3,IF($AA560=2,"P",""),IF($AA560=7,"P",""))</f>
        <v/>
      </c>
      <c r="M560" s="158" t="str">
        <f>IF(Settings!$M$4=Settings!$Y$3,IF($AA560=2,"P",""),IF($AA560=8,"P",""))</f>
        <v/>
      </c>
      <c r="N560" s="158" t="str">
        <f>IF(Settings!$M$4=Settings!$Y$3,IF($AA560=3,"P",""),IF($AA560=9,"P",""))</f>
        <v/>
      </c>
      <c r="O560" s="159" t="str">
        <f>IF(Settings!$M$4=Settings!$Y$3,IF($AA560=3,"P",""),IF($AA560=10,"P",""))</f>
        <v/>
      </c>
      <c r="P560" s="22"/>
      <c r="Q560" s="22"/>
      <c r="R560" s="353" t="e">
        <f>IF(INDEX(TblDatabase[Comment13],MATCH(1,INDEX(($L$4=ListEmployeeNamesInDatabase)*(C540=TblDatabase[Year]),0,1),0))="","",INDEX(TblDatabase[Comment13],MATCH(1,INDEX(($L$4=ListEmployeeNamesInDatabase)*(C540=TblDatabase[Year]),0,1),0)))</f>
        <v>#N/A</v>
      </c>
      <c r="S560" s="353"/>
      <c r="T560" s="353"/>
      <c r="U560" s="353"/>
      <c r="V560" s="353"/>
      <c r="W560" s="353"/>
      <c r="X560" s="353"/>
      <c r="Y560" s="354"/>
      <c r="Z560" s="149"/>
      <c r="AA560" s="151">
        <f>SUMIFS(TblDatabase[Competency13],ListEmployeeNamesInDatabase,$L$4,TblDatabase[Year],C540)</f>
        <v>0</v>
      </c>
      <c r="AB560" s="149"/>
      <c r="AC560" s="149"/>
      <c r="AD560" s="149"/>
      <c r="AE560" s="149"/>
      <c r="AF560" s="149"/>
    </row>
    <row r="561" spans="2:32" s="148" customFormat="1" ht="15" hidden="1" customHeight="1">
      <c r="B561" s="355" t="str">
        <f t="shared" si="12"/>
        <v/>
      </c>
      <c r="C561" s="356"/>
      <c r="D561" s="356"/>
      <c r="E561" s="357"/>
      <c r="F561" s="163" t="str">
        <f>IF(Settings!$M$4=Settings!$Y$3,IF($AA561=1,"P",""),IF($AA561=1,"P",""))</f>
        <v/>
      </c>
      <c r="G561" s="164" t="str">
        <f>IF(Settings!$M$4=Settings!$Y$3,IF($AA561=1,"P",""),IF($AA561=2,"P",""))</f>
        <v/>
      </c>
      <c r="H561" s="164" t="str">
        <f>IF(Settings!$M$4=Settings!$Y$3,IF($AA561=1,"P",""),IF($AA561=3,"P",""))</f>
        <v/>
      </c>
      <c r="I561" s="164" t="str">
        <f>IF(Settings!$M$4=Settings!$Y$3,IF($AA561=1,"P",""),IF($AA561=4,"P",""))</f>
        <v/>
      </c>
      <c r="J561" s="164" t="str">
        <f>IF(Settings!$M$4=Settings!$Y$3,IF($AA561=2,"P",""),IF($AA561=5,"P",""))</f>
        <v/>
      </c>
      <c r="K561" s="164" t="str">
        <f>IF(Settings!$M$4=Settings!$Y$3,IF($AA561=2,"P",""),IF($AA561=6,"P",""))</f>
        <v/>
      </c>
      <c r="L561" s="164" t="str">
        <f>IF(Settings!$M$4=Settings!$Y$3,IF($AA561=2,"P",""),IF($AA561=7,"P",""))</f>
        <v/>
      </c>
      <c r="M561" s="164" t="str">
        <f>IF(Settings!$M$4=Settings!$Y$3,IF($AA561=2,"P",""),IF($AA561=8,"P",""))</f>
        <v/>
      </c>
      <c r="N561" s="164" t="str">
        <f>IF(Settings!$M$4=Settings!$Y$3,IF($AA561=3,"P",""),IF($AA561=9,"P",""))</f>
        <v/>
      </c>
      <c r="O561" s="165" t="str">
        <f>IF(Settings!$M$4=Settings!$Y$3,IF($AA561=3,"P",""),IF($AA561=10,"P",""))</f>
        <v/>
      </c>
      <c r="P561" s="22"/>
      <c r="Q561" s="22"/>
      <c r="R561" s="360" t="e">
        <f>IF(INDEX(TblDatabase[Comment14],MATCH(1,INDEX(($L$4=ListEmployeeNamesInDatabase)*(C540=TblDatabase[Year]),0,1),0))="","",INDEX(TblDatabase[Comment14],MATCH(1,INDEX(($L$4=ListEmployeeNamesInDatabase)*(C540=TblDatabase[Year]),0,1),0)))</f>
        <v>#N/A</v>
      </c>
      <c r="S561" s="360"/>
      <c r="T561" s="360"/>
      <c r="U561" s="360"/>
      <c r="V561" s="360"/>
      <c r="W561" s="360"/>
      <c r="X561" s="360"/>
      <c r="Y561" s="361"/>
      <c r="Z561" s="149"/>
      <c r="AA561" s="151">
        <f>SUMIFS(TblDatabase[Competency14],ListEmployeeNamesInDatabase,$L$4,TblDatabase[Year],C540)</f>
        <v>0</v>
      </c>
      <c r="AB561" s="149"/>
      <c r="AC561" s="149"/>
      <c r="AD561" s="149"/>
      <c r="AE561" s="149"/>
      <c r="AF561" s="149"/>
    </row>
    <row r="562" spans="2:32" s="148" customFormat="1" ht="15" hidden="1" customHeight="1">
      <c r="B562" s="350" t="str">
        <f t="shared" si="12"/>
        <v/>
      </c>
      <c r="C562" s="351"/>
      <c r="D562" s="351"/>
      <c r="E562" s="352"/>
      <c r="F562" s="157" t="str">
        <f>IF(Settings!$M$4=Settings!$Y$3,IF($AA562=1,"P",""),IF($AA562=1,"P",""))</f>
        <v/>
      </c>
      <c r="G562" s="158" t="str">
        <f>IF(Settings!$M$4=Settings!$Y$3,IF($AA562=1,"P",""),IF($AA562=2,"P",""))</f>
        <v/>
      </c>
      <c r="H562" s="158" t="str">
        <f>IF(Settings!$M$4=Settings!$Y$3,IF($AA562=1,"P",""),IF($AA562=3,"P",""))</f>
        <v/>
      </c>
      <c r="I562" s="158" t="str">
        <f>IF(Settings!$M$4=Settings!$Y$3,IF($AA562=1,"P",""),IF($AA562=4,"P",""))</f>
        <v/>
      </c>
      <c r="J562" s="158" t="str">
        <f>IF(Settings!$M$4=Settings!$Y$3,IF($AA562=2,"P",""),IF($AA562=5,"P",""))</f>
        <v/>
      </c>
      <c r="K562" s="158" t="str">
        <f>IF(Settings!$M$4=Settings!$Y$3,IF($AA562=2,"P",""),IF($AA562=6,"P",""))</f>
        <v/>
      </c>
      <c r="L562" s="158" t="str">
        <f>IF(Settings!$M$4=Settings!$Y$3,IF($AA562=2,"P",""),IF($AA562=7,"P",""))</f>
        <v/>
      </c>
      <c r="M562" s="158" t="str">
        <f>IF(Settings!$M$4=Settings!$Y$3,IF($AA562=2,"P",""),IF($AA562=8,"P",""))</f>
        <v/>
      </c>
      <c r="N562" s="158" t="str">
        <f>IF(Settings!$M$4=Settings!$Y$3,IF($AA562=3,"P",""),IF($AA562=9,"P",""))</f>
        <v/>
      </c>
      <c r="O562" s="159" t="str">
        <f>IF(Settings!$M$4=Settings!$Y$3,IF($AA562=3,"P",""),IF($AA562=10,"P",""))</f>
        <v/>
      </c>
      <c r="P562" s="22"/>
      <c r="Q562" s="22"/>
      <c r="R562" s="353" t="e">
        <f>IF(INDEX(TblDatabase[Comment15],MATCH(1,INDEX(($L$4=ListEmployeeNamesInDatabase)*(C540=TblDatabase[Year]),0,1),0))="","",INDEX(TblDatabase[Comment15],MATCH(1,INDEX(($L$4=ListEmployeeNamesInDatabase)*(C540=TblDatabase[Year]),0,1),0)))</f>
        <v>#N/A</v>
      </c>
      <c r="S562" s="353"/>
      <c r="T562" s="353"/>
      <c r="U562" s="353"/>
      <c r="V562" s="353"/>
      <c r="W562" s="353"/>
      <c r="X562" s="353"/>
      <c r="Y562" s="354"/>
      <c r="Z562" s="149"/>
      <c r="AA562" s="151">
        <f>SUMIFS(TblDatabase[Competency15],ListEmployeeNamesInDatabase,$L$4,TblDatabase[Year],C540)</f>
        <v>0</v>
      </c>
      <c r="AB562" s="149"/>
      <c r="AC562" s="149"/>
      <c r="AD562" s="149"/>
      <c r="AE562" s="149"/>
      <c r="AF562" s="149"/>
    </row>
    <row r="563" spans="2:32" s="148" customFormat="1" ht="15" hidden="1" customHeight="1">
      <c r="B563" s="355" t="str">
        <f t="shared" si="12"/>
        <v/>
      </c>
      <c r="C563" s="356"/>
      <c r="D563" s="356"/>
      <c r="E563" s="357"/>
      <c r="F563" s="163" t="str">
        <f>IF(Settings!$M$4=Settings!$Y$3,IF($AA563=1,"P",""),IF($AA563=1,"P",""))</f>
        <v/>
      </c>
      <c r="G563" s="164" t="str">
        <f>IF(Settings!$M$4=Settings!$Y$3,IF($AA563=1,"P",""),IF($AA563=2,"P",""))</f>
        <v/>
      </c>
      <c r="H563" s="164" t="str">
        <f>IF(Settings!$M$4=Settings!$Y$3,IF($AA563=1,"P",""),IF($AA563=3,"P",""))</f>
        <v/>
      </c>
      <c r="I563" s="164" t="str">
        <f>IF(Settings!$M$4=Settings!$Y$3,IF($AA563=1,"P",""),IF($AA563=4,"P",""))</f>
        <v/>
      </c>
      <c r="J563" s="164" t="str">
        <f>IF(Settings!$M$4=Settings!$Y$3,IF($AA563=2,"P",""),IF($AA563=5,"P",""))</f>
        <v/>
      </c>
      <c r="K563" s="164" t="str">
        <f>IF(Settings!$M$4=Settings!$Y$3,IF($AA563=2,"P",""),IF($AA563=6,"P",""))</f>
        <v/>
      </c>
      <c r="L563" s="164" t="str">
        <f>IF(Settings!$M$4=Settings!$Y$3,IF($AA563=2,"P",""),IF($AA563=7,"P",""))</f>
        <v/>
      </c>
      <c r="M563" s="164" t="str">
        <f>IF(Settings!$M$4=Settings!$Y$3,IF($AA563=2,"P",""),IF($AA563=8,"P",""))</f>
        <v/>
      </c>
      <c r="N563" s="164" t="str">
        <f>IF(Settings!$M$4=Settings!$Y$3,IF($AA563=3,"P",""),IF($AA563=9,"P",""))</f>
        <v/>
      </c>
      <c r="O563" s="165" t="str">
        <f>IF(Settings!$M$4=Settings!$Y$3,IF($AA563=3,"P",""),IF($AA563=10,"P",""))</f>
        <v/>
      </c>
      <c r="P563" s="22"/>
      <c r="Q563" s="22"/>
      <c r="R563" s="360" t="e">
        <f>IF(INDEX(TblDatabase[Comment16],MATCH(1,INDEX(($L$4=ListEmployeeNamesInDatabase)*(C540=TblDatabase[Year]),0,1),0))="","",INDEX(TblDatabase[Comment16],MATCH(1,INDEX(($L$4=ListEmployeeNamesInDatabase)*(C540=TblDatabase[Year]),0,1),0)))</f>
        <v>#N/A</v>
      </c>
      <c r="S563" s="360"/>
      <c r="T563" s="360"/>
      <c r="U563" s="360"/>
      <c r="V563" s="360"/>
      <c r="W563" s="360"/>
      <c r="X563" s="360"/>
      <c r="Y563" s="361"/>
      <c r="Z563" s="149"/>
      <c r="AA563" s="151">
        <f>SUMIFS(TblDatabase[Competency16],ListEmployeeNamesInDatabase,$L$4,TblDatabase[Year],C540)</f>
        <v>0</v>
      </c>
      <c r="AB563" s="149"/>
      <c r="AC563" s="149"/>
      <c r="AD563" s="149"/>
      <c r="AE563" s="149"/>
      <c r="AF563" s="149"/>
    </row>
    <row r="564" spans="2:32" s="148" customFormat="1" ht="15" hidden="1" customHeight="1">
      <c r="B564" s="350" t="str">
        <f t="shared" si="12"/>
        <v/>
      </c>
      <c r="C564" s="351"/>
      <c r="D564" s="351"/>
      <c r="E564" s="352"/>
      <c r="F564" s="157" t="str">
        <f>IF(Settings!$M$4=Settings!$Y$3,IF($AA564=1,"P",""),IF($AA564=1,"P",""))</f>
        <v/>
      </c>
      <c r="G564" s="158" t="str">
        <f>IF(Settings!$M$4=Settings!$Y$3,IF($AA564=1,"P",""),IF($AA564=2,"P",""))</f>
        <v/>
      </c>
      <c r="H564" s="158" t="str">
        <f>IF(Settings!$M$4=Settings!$Y$3,IF($AA564=1,"P",""),IF($AA564=3,"P",""))</f>
        <v/>
      </c>
      <c r="I564" s="158" t="str">
        <f>IF(Settings!$M$4=Settings!$Y$3,IF($AA564=1,"P",""),IF($AA564=4,"P",""))</f>
        <v/>
      </c>
      <c r="J564" s="158" t="str">
        <f>IF(Settings!$M$4=Settings!$Y$3,IF($AA564=2,"P",""),IF($AA564=5,"P",""))</f>
        <v/>
      </c>
      <c r="K564" s="158" t="str">
        <f>IF(Settings!$M$4=Settings!$Y$3,IF($AA564=2,"P",""),IF($AA564=6,"P",""))</f>
        <v/>
      </c>
      <c r="L564" s="158" t="str">
        <f>IF(Settings!$M$4=Settings!$Y$3,IF($AA564=2,"P",""),IF($AA564=7,"P",""))</f>
        <v/>
      </c>
      <c r="M564" s="158" t="str">
        <f>IF(Settings!$M$4=Settings!$Y$3,IF($AA564=2,"P",""),IF($AA564=8,"P",""))</f>
        <v/>
      </c>
      <c r="N564" s="158" t="str">
        <f>IF(Settings!$M$4=Settings!$Y$3,IF($AA564=3,"P",""),IF($AA564=9,"P",""))</f>
        <v/>
      </c>
      <c r="O564" s="159" t="str">
        <f>IF(Settings!$M$4=Settings!$Y$3,IF($AA564=3,"P",""),IF($AA564=10,"P",""))</f>
        <v/>
      </c>
      <c r="P564" s="22"/>
      <c r="Q564" s="22"/>
      <c r="R564" s="353" t="e">
        <f>IF(INDEX(TblDatabase[Comment17],MATCH(1,INDEX(($L$4=ListEmployeeNamesInDatabase)*(C540=TblDatabase[Year]),0,1),0))="","",INDEX(TblDatabase[Comment17],MATCH(1,INDEX(($L$4=ListEmployeeNamesInDatabase)*(C540=TblDatabase[Year]),0,1),0)))</f>
        <v>#N/A</v>
      </c>
      <c r="S564" s="353"/>
      <c r="T564" s="353"/>
      <c r="U564" s="353"/>
      <c r="V564" s="353"/>
      <c r="W564" s="353"/>
      <c r="X564" s="353"/>
      <c r="Y564" s="354"/>
      <c r="Z564" s="149"/>
      <c r="AA564" s="151">
        <f>SUMIFS(TblDatabase[Competency17],ListEmployeeNamesInDatabase,$L$4,TblDatabase[Year],C540)</f>
        <v>0</v>
      </c>
      <c r="AB564" s="149"/>
      <c r="AC564" s="149"/>
      <c r="AD564" s="149"/>
      <c r="AE564" s="149"/>
      <c r="AF564" s="149"/>
    </row>
    <row r="565" spans="2:32" s="148" customFormat="1" ht="15" hidden="1" customHeight="1">
      <c r="B565" s="355" t="str">
        <f t="shared" si="12"/>
        <v/>
      </c>
      <c r="C565" s="356"/>
      <c r="D565" s="356"/>
      <c r="E565" s="357"/>
      <c r="F565" s="163" t="str">
        <f>IF(Settings!$M$4=Settings!$Y$3,IF($AA565=1,"P",""),IF($AA565=1,"P",""))</f>
        <v/>
      </c>
      <c r="G565" s="164" t="str">
        <f>IF(Settings!$M$4=Settings!$Y$3,IF($AA565=1,"P",""),IF($AA565=2,"P",""))</f>
        <v/>
      </c>
      <c r="H565" s="164" t="str">
        <f>IF(Settings!$M$4=Settings!$Y$3,IF($AA565=1,"P",""),IF($AA565=3,"P",""))</f>
        <v/>
      </c>
      <c r="I565" s="164" t="str">
        <f>IF(Settings!$M$4=Settings!$Y$3,IF($AA565=1,"P",""),IF($AA565=4,"P",""))</f>
        <v/>
      </c>
      <c r="J565" s="164" t="str">
        <f>IF(Settings!$M$4=Settings!$Y$3,IF($AA565=2,"P",""),IF($AA565=5,"P",""))</f>
        <v/>
      </c>
      <c r="K565" s="164" t="str">
        <f>IF(Settings!$M$4=Settings!$Y$3,IF($AA565=2,"P",""),IF($AA565=6,"P",""))</f>
        <v/>
      </c>
      <c r="L565" s="164" t="str">
        <f>IF(Settings!$M$4=Settings!$Y$3,IF($AA565=2,"P",""),IF($AA565=7,"P",""))</f>
        <v/>
      </c>
      <c r="M565" s="164" t="str">
        <f>IF(Settings!$M$4=Settings!$Y$3,IF($AA565=2,"P",""),IF($AA565=8,"P",""))</f>
        <v/>
      </c>
      <c r="N565" s="164" t="str">
        <f>IF(Settings!$M$4=Settings!$Y$3,IF($AA565=3,"P",""),IF($AA565=9,"P",""))</f>
        <v/>
      </c>
      <c r="O565" s="165" t="str">
        <f>IF(Settings!$M$4=Settings!$Y$3,IF($AA565=3,"P",""),IF($AA565=10,"P",""))</f>
        <v/>
      </c>
      <c r="P565" s="22"/>
      <c r="Q565" s="22"/>
      <c r="R565" s="360" t="e">
        <f>IF(INDEX(TblDatabase[Comment18],MATCH(1,INDEX(($L$4=ListEmployeeNamesInDatabase)*(C540=TblDatabase[Year]),0,1),0))="","",INDEX(TblDatabase[Comment18],MATCH(1,INDEX(($L$4=ListEmployeeNamesInDatabase)*(C540=TblDatabase[Year]),0,1),0)))</f>
        <v>#N/A</v>
      </c>
      <c r="S565" s="360"/>
      <c r="T565" s="360"/>
      <c r="U565" s="360"/>
      <c r="V565" s="360"/>
      <c r="W565" s="360"/>
      <c r="X565" s="360"/>
      <c r="Y565" s="361"/>
      <c r="Z565" s="149"/>
      <c r="AA565" s="151">
        <f>SUMIFS(TblDatabase[Competency18],ListEmployeeNamesInDatabase,$L$4,TblDatabase[Year],C540)</f>
        <v>0</v>
      </c>
      <c r="AB565" s="149"/>
      <c r="AC565" s="149"/>
      <c r="AD565" s="149"/>
      <c r="AE565" s="149"/>
      <c r="AF565" s="149"/>
    </row>
    <row r="566" spans="2:32" s="148" customFormat="1" ht="15" hidden="1" customHeight="1">
      <c r="B566" s="350" t="str">
        <f t="shared" si="12"/>
        <v/>
      </c>
      <c r="C566" s="351"/>
      <c r="D566" s="351"/>
      <c r="E566" s="352"/>
      <c r="F566" s="157" t="str">
        <f>IF(Settings!$M$4=Settings!$Y$3,IF($AA566=1,"P",""),IF($AA566=1,"P",""))</f>
        <v/>
      </c>
      <c r="G566" s="158" t="str">
        <f>IF(Settings!$M$4=Settings!$Y$3,IF($AA566=1,"P",""),IF($AA566=2,"P",""))</f>
        <v/>
      </c>
      <c r="H566" s="158" t="str">
        <f>IF(Settings!$M$4=Settings!$Y$3,IF($AA566=1,"P",""),IF($AA566=3,"P",""))</f>
        <v/>
      </c>
      <c r="I566" s="158" t="str">
        <f>IF(Settings!$M$4=Settings!$Y$3,IF($AA566=1,"P",""),IF($AA566=4,"P",""))</f>
        <v/>
      </c>
      <c r="J566" s="158" t="str">
        <f>IF(Settings!$M$4=Settings!$Y$3,IF($AA566=2,"P",""),IF($AA566=5,"P",""))</f>
        <v/>
      </c>
      <c r="K566" s="158" t="str">
        <f>IF(Settings!$M$4=Settings!$Y$3,IF($AA566=2,"P",""),IF($AA566=6,"P",""))</f>
        <v/>
      </c>
      <c r="L566" s="158" t="str">
        <f>IF(Settings!$M$4=Settings!$Y$3,IF($AA566=2,"P",""),IF($AA566=7,"P",""))</f>
        <v/>
      </c>
      <c r="M566" s="158" t="str">
        <f>IF(Settings!$M$4=Settings!$Y$3,IF($AA566=2,"P",""),IF($AA566=8,"P",""))</f>
        <v/>
      </c>
      <c r="N566" s="158" t="str">
        <f>IF(Settings!$M$4=Settings!$Y$3,IF($AA566=3,"P",""),IF($AA566=9,"P",""))</f>
        <v/>
      </c>
      <c r="O566" s="159" t="str">
        <f>IF(Settings!$M$4=Settings!$Y$3,IF($AA566=3,"P",""),IF($AA566=10,"P",""))</f>
        <v/>
      </c>
      <c r="P566" s="22"/>
      <c r="Q566" s="22"/>
      <c r="R566" s="353" t="e">
        <f>IF(INDEX(TblDatabase[Comment19],MATCH(1,INDEX(($L$4=ListEmployeeNamesInDatabase)*(C540=TblDatabase[Year]),0,1),0))="","",INDEX(TblDatabase[Comment19],MATCH(1,INDEX(($L$4=ListEmployeeNamesInDatabase)*(C540=TblDatabase[Year]),0,1),0)))</f>
        <v>#N/A</v>
      </c>
      <c r="S566" s="353"/>
      <c r="T566" s="353"/>
      <c r="U566" s="353"/>
      <c r="V566" s="353"/>
      <c r="W566" s="353"/>
      <c r="X566" s="353"/>
      <c r="Y566" s="354"/>
      <c r="Z566" s="149"/>
      <c r="AA566" s="151">
        <f>SUMIFS(TblDatabase[Competency19],ListEmployeeNamesInDatabase,$L$4,TblDatabase[Year],C540)</f>
        <v>0</v>
      </c>
      <c r="AB566" s="149"/>
      <c r="AC566" s="149"/>
      <c r="AD566" s="149"/>
      <c r="AE566" s="149"/>
      <c r="AF566" s="149"/>
    </row>
    <row r="567" spans="2:32" s="148" customFormat="1" ht="15" hidden="1" customHeight="1">
      <c r="B567" s="362" t="str">
        <f t="shared" si="12"/>
        <v/>
      </c>
      <c r="C567" s="363"/>
      <c r="D567" s="363"/>
      <c r="E567" s="364"/>
      <c r="F567" s="166" t="str">
        <f>IF(Settings!$M$4=Settings!$Y$3,IF($AA567=1,"P",""),IF($AA567=1,"P",""))</f>
        <v/>
      </c>
      <c r="G567" s="167" t="str">
        <f>IF(Settings!$M$4=Settings!$Y$3,IF($AA567=1,"P",""),IF($AA567=2,"P",""))</f>
        <v/>
      </c>
      <c r="H567" s="167" t="str">
        <f>IF(Settings!$M$4=Settings!$Y$3,IF($AA567=1,"P",""),IF($AA567=3,"P",""))</f>
        <v/>
      </c>
      <c r="I567" s="167" t="str">
        <f>IF(Settings!$M$4=Settings!$Y$3,IF($AA567=1,"P",""),IF($AA567=4,"P",""))</f>
        <v/>
      </c>
      <c r="J567" s="167" t="str">
        <f>IF(Settings!$M$4=Settings!$Y$3,IF($AA567=2,"P",""),IF($AA567=5,"P",""))</f>
        <v/>
      </c>
      <c r="K567" s="167" t="str">
        <f>IF(Settings!$M$4=Settings!$Y$3,IF($AA567=2,"P",""),IF($AA567=6,"P",""))</f>
        <v/>
      </c>
      <c r="L567" s="167" t="str">
        <f>IF(Settings!$M$4=Settings!$Y$3,IF($AA567=2,"P",""),IF($AA567=7,"P",""))</f>
        <v/>
      </c>
      <c r="M567" s="167" t="str">
        <f>IF(Settings!$M$4=Settings!$Y$3,IF($AA567=2,"P",""),IF($AA567=8,"P",""))</f>
        <v/>
      </c>
      <c r="N567" s="167" t="str">
        <f>IF(Settings!$M$4=Settings!$Y$3,IF($AA567=3,"P",""),IF($AA567=9,"P",""))</f>
        <v/>
      </c>
      <c r="O567" s="168" t="str">
        <f>IF(Settings!$M$4=Settings!$Y$3,IF($AA567=3,"P",""),IF($AA567=10,"P",""))</f>
        <v/>
      </c>
      <c r="P567" s="22"/>
      <c r="Q567" s="22"/>
      <c r="R567" s="365" t="e">
        <f>IF(INDEX(TblDatabase[Comment20],MATCH(1,INDEX(($L$4=ListEmployeeNamesInDatabase)*(C540=TblDatabase[Year]),0,1),0))="","",INDEX(TblDatabase[Comment20],MATCH(1,INDEX(($L$4=ListEmployeeNamesInDatabase)*(C540=TblDatabase[Year]),0,1),0)))</f>
        <v>#N/A</v>
      </c>
      <c r="S567" s="365"/>
      <c r="T567" s="365"/>
      <c r="U567" s="365"/>
      <c r="V567" s="365"/>
      <c r="W567" s="365"/>
      <c r="X567" s="365"/>
      <c r="Y567" s="366"/>
      <c r="Z567" s="149"/>
      <c r="AA567" s="151">
        <f>SUMIFS(TblDatabase[Competency20],ListEmployeeNamesInDatabase,$L$4,TblDatabase[Year],C540)</f>
        <v>0</v>
      </c>
      <c r="AB567" s="149"/>
      <c r="AC567" s="149"/>
      <c r="AD567" s="149"/>
      <c r="AE567" s="149"/>
      <c r="AF567" s="149"/>
    </row>
    <row r="568" spans="2:32" s="148" customFormat="1" hidden="1">
      <c r="B568" s="414" t="s">
        <v>26</v>
      </c>
      <c r="C568" s="415"/>
      <c r="D568" s="415"/>
      <c r="E568" s="371">
        <f ca="1">SUM(OFFSET(AA548,0,0,NumberOfCompetencies))</f>
        <v>0</v>
      </c>
      <c r="F568" s="372"/>
      <c r="G568" s="152"/>
      <c r="H568" s="152"/>
      <c r="I568" s="152"/>
      <c r="J568" s="152"/>
      <c r="K568" s="152"/>
      <c r="L568" s="152"/>
      <c r="M568" s="152"/>
      <c r="N568" s="152"/>
      <c r="O568" s="152"/>
      <c r="P568" s="152"/>
      <c r="Q568" s="152"/>
      <c r="R568" s="152"/>
      <c r="S568" s="152"/>
      <c r="T568" s="152"/>
      <c r="U568" s="152"/>
      <c r="V568" s="152"/>
      <c r="W568" s="152"/>
      <c r="X568" s="152"/>
      <c r="Y568" s="152"/>
      <c r="Z568" s="149"/>
      <c r="AA568" s="149"/>
      <c r="AB568" s="149"/>
      <c r="AC568" s="149"/>
      <c r="AD568" s="149"/>
      <c r="AE568" s="149"/>
      <c r="AF568" s="149"/>
    </row>
    <row r="569" spans="2:32" s="148" customFormat="1" hidden="1">
      <c r="B569" s="369" t="s">
        <v>27</v>
      </c>
      <c r="C569" s="370"/>
      <c r="D569" s="370"/>
      <c r="E569" s="358">
        <f ca="1">E568/NumberOfCompetencies</f>
        <v>0</v>
      </c>
      <c r="F569" s="359"/>
      <c r="G569" s="153"/>
      <c r="H569" s="153"/>
      <c r="I569" s="153"/>
      <c r="J569" s="153"/>
      <c r="K569" s="153"/>
      <c r="L569" s="153"/>
      <c r="M569" s="153"/>
      <c r="N569" s="153"/>
      <c r="O569" s="153"/>
      <c r="P569" s="153"/>
      <c r="Q569" s="153"/>
      <c r="R569" s="153"/>
      <c r="S569" s="153"/>
      <c r="T569" s="153"/>
      <c r="U569" s="153"/>
      <c r="V569" s="153"/>
      <c r="W569" s="153"/>
      <c r="X569" s="153"/>
      <c r="Y569" s="153"/>
      <c r="Z569" s="149"/>
      <c r="AA569" s="149"/>
      <c r="AB569" s="149"/>
      <c r="AC569" s="149"/>
      <c r="AD569" s="149"/>
      <c r="AE569" s="149"/>
      <c r="AF569" s="149"/>
    </row>
    <row r="570" spans="2:32" s="148" customFormat="1" hidden="1">
      <c r="B570" s="154"/>
      <c r="C570" s="154"/>
      <c r="D570" s="154"/>
      <c r="E570" s="154"/>
      <c r="F570" s="154"/>
      <c r="G570" s="154"/>
      <c r="H570" s="154"/>
      <c r="I570" s="154"/>
      <c r="J570" s="154"/>
      <c r="K570" s="154"/>
      <c r="L570" s="154"/>
      <c r="M570" s="154"/>
      <c r="N570" s="154"/>
      <c r="O570" s="154"/>
      <c r="P570" s="154"/>
      <c r="Q570" s="154"/>
      <c r="R570" s="154"/>
      <c r="S570" s="154"/>
      <c r="T570" s="154"/>
      <c r="U570" s="154"/>
      <c r="V570" s="154"/>
      <c r="W570" s="154"/>
      <c r="X570" s="154"/>
      <c r="Y570" s="154"/>
      <c r="Z570" s="149"/>
      <c r="AA570" s="149"/>
      <c r="AB570" s="149"/>
      <c r="AC570" s="149"/>
      <c r="AD570" s="149"/>
      <c r="AE570" s="149"/>
      <c r="AF570" s="149"/>
    </row>
    <row r="571" spans="2:32" s="148" customFormat="1" hidden="1">
      <c r="B571" s="338" t="str">
        <f>Settings!$N$15</f>
        <v>Previously agreed actions</v>
      </c>
      <c r="C571" s="339"/>
      <c r="D571" s="339"/>
      <c r="E571" s="339"/>
      <c r="F571" s="339"/>
      <c r="G571" s="339"/>
      <c r="H571" s="339"/>
      <c r="I571" s="339"/>
      <c r="J571" s="339"/>
      <c r="K571" s="339"/>
      <c r="L571" s="339"/>
      <c r="M571" s="339"/>
      <c r="N571" s="339"/>
      <c r="O571" s="339"/>
      <c r="P571" s="339"/>
      <c r="Q571" s="339"/>
      <c r="R571" s="339"/>
      <c r="S571" s="339"/>
      <c r="T571" s="339"/>
      <c r="U571" s="339"/>
      <c r="V571" s="339"/>
      <c r="W571" s="339"/>
      <c r="X571" s="339"/>
      <c r="Y571" s="340"/>
      <c r="Z571" s="149"/>
      <c r="AA571" s="149"/>
      <c r="AB571" s="149"/>
      <c r="AC571" s="149"/>
      <c r="AD571" s="149"/>
      <c r="AE571" s="149"/>
      <c r="AF571" s="149"/>
    </row>
    <row r="572" spans="2:32" s="148" customFormat="1" hidden="1">
      <c r="B572" s="341" t="e">
        <f>IF(INDEX(TblDatabase[Feedback Does Well],MATCH(1,INDEX(($L$4=ListEmployeeNamesInDatabase)*(C540=TblDatabase[Year]),0,1),0))="","",INDEX(TblDatabase[Feedback Does Well],MATCH(1,INDEX(($L$4=ListEmployeeNamesInDatabase)*(C540=TblDatabase[Year]),0,1),0)))</f>
        <v>#N/A</v>
      </c>
      <c r="C572" s="342"/>
      <c r="D572" s="342"/>
      <c r="E572" s="342"/>
      <c r="F572" s="342"/>
      <c r="G572" s="342"/>
      <c r="H572" s="342"/>
      <c r="I572" s="342"/>
      <c r="J572" s="342"/>
      <c r="K572" s="342"/>
      <c r="L572" s="342"/>
      <c r="M572" s="342"/>
      <c r="N572" s="342"/>
      <c r="O572" s="342"/>
      <c r="P572" s="342"/>
      <c r="Q572" s="342"/>
      <c r="R572" s="342"/>
      <c r="S572" s="342"/>
      <c r="T572" s="342"/>
      <c r="U572" s="342"/>
      <c r="V572" s="342"/>
      <c r="W572" s="342"/>
      <c r="X572" s="342"/>
      <c r="Y572" s="343"/>
      <c r="Z572" s="149"/>
      <c r="AA572" s="149"/>
      <c r="AB572" s="149"/>
      <c r="AC572" s="149"/>
      <c r="AD572" s="149"/>
      <c r="AE572" s="149"/>
      <c r="AF572" s="149"/>
    </row>
    <row r="573" spans="2:32" s="148" customFormat="1" hidden="1">
      <c r="B573" s="344"/>
      <c r="C573" s="345"/>
      <c r="D573" s="345"/>
      <c r="E573" s="345"/>
      <c r="F573" s="345"/>
      <c r="G573" s="345"/>
      <c r="H573" s="345"/>
      <c r="I573" s="345"/>
      <c r="J573" s="345"/>
      <c r="K573" s="345"/>
      <c r="L573" s="345"/>
      <c r="M573" s="345"/>
      <c r="N573" s="345"/>
      <c r="O573" s="345"/>
      <c r="P573" s="345"/>
      <c r="Q573" s="345"/>
      <c r="R573" s="345"/>
      <c r="S573" s="345"/>
      <c r="T573" s="345"/>
      <c r="U573" s="345"/>
      <c r="V573" s="345"/>
      <c r="W573" s="345"/>
      <c r="X573" s="345"/>
      <c r="Y573" s="346"/>
      <c r="Z573" s="149"/>
      <c r="AA573" s="149"/>
      <c r="AB573" s="149"/>
      <c r="AC573" s="149"/>
      <c r="AD573" s="149"/>
      <c r="AE573" s="149"/>
      <c r="AF573" s="149"/>
    </row>
    <row r="574" spans="2:32" s="148" customFormat="1" hidden="1">
      <c r="B574" s="347"/>
      <c r="C574" s="348"/>
      <c r="D574" s="348"/>
      <c r="E574" s="348"/>
      <c r="F574" s="348"/>
      <c r="G574" s="348"/>
      <c r="H574" s="348"/>
      <c r="I574" s="348"/>
      <c r="J574" s="348"/>
      <c r="K574" s="348"/>
      <c r="L574" s="348"/>
      <c r="M574" s="348"/>
      <c r="N574" s="348"/>
      <c r="O574" s="348"/>
      <c r="P574" s="348"/>
      <c r="Q574" s="348"/>
      <c r="R574" s="348"/>
      <c r="S574" s="348"/>
      <c r="T574" s="348"/>
      <c r="U574" s="348"/>
      <c r="V574" s="348"/>
      <c r="W574" s="348"/>
      <c r="X574" s="348"/>
      <c r="Y574" s="349"/>
      <c r="Z574" s="149"/>
      <c r="AA574" s="149"/>
      <c r="AB574" s="149"/>
      <c r="AC574" s="149"/>
      <c r="AD574" s="149"/>
      <c r="AE574" s="149"/>
      <c r="AF574" s="149"/>
    </row>
    <row r="575" spans="2:32" s="148" customFormat="1" hidden="1">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49"/>
      <c r="AA575" s="149"/>
      <c r="AB575" s="149"/>
      <c r="AC575" s="149"/>
      <c r="AD575" s="149"/>
      <c r="AE575" s="149"/>
      <c r="AF575" s="149"/>
    </row>
    <row r="576" spans="2:32" s="148" customFormat="1" hidden="1">
      <c r="B576" s="338" t="str">
        <f>Settings!$N$16</f>
        <v>Actions agreed during this review</v>
      </c>
      <c r="C576" s="339"/>
      <c r="D576" s="339"/>
      <c r="E576" s="339"/>
      <c r="F576" s="339"/>
      <c r="G576" s="339"/>
      <c r="H576" s="339"/>
      <c r="I576" s="339"/>
      <c r="J576" s="339"/>
      <c r="K576" s="339"/>
      <c r="L576" s="339"/>
      <c r="M576" s="339"/>
      <c r="N576" s="339"/>
      <c r="O576" s="339"/>
      <c r="P576" s="339"/>
      <c r="Q576" s="339"/>
      <c r="R576" s="339"/>
      <c r="S576" s="339"/>
      <c r="T576" s="339"/>
      <c r="U576" s="339"/>
      <c r="V576" s="339"/>
      <c r="W576" s="339"/>
      <c r="X576" s="339"/>
      <c r="Y576" s="340"/>
      <c r="Z576" s="149"/>
      <c r="AA576" s="149"/>
      <c r="AB576" s="149"/>
      <c r="AC576" s="149"/>
      <c r="AD576" s="149"/>
      <c r="AE576" s="149"/>
      <c r="AF576" s="149"/>
    </row>
    <row r="577" spans="1:32" s="148" customFormat="1" hidden="1">
      <c r="B577" s="341" t="e">
        <f>IF(INDEX(TblDatabase[Feedback To Improve],MATCH(1,INDEX(($L$4=ListEmployeeNamesInDatabase)*(C540=TblDatabase[Year]),0,1),0))="","",INDEX(TblDatabase[Feedback To Improve],MATCH(1,INDEX(($L$4=ListEmployeeNamesInDatabase)*(C540=TblDatabase[Year]),0,1),0)))</f>
        <v>#N/A</v>
      </c>
      <c r="C577" s="342"/>
      <c r="D577" s="342"/>
      <c r="E577" s="342"/>
      <c r="F577" s="342"/>
      <c r="G577" s="342"/>
      <c r="H577" s="342"/>
      <c r="I577" s="342"/>
      <c r="J577" s="342"/>
      <c r="K577" s="342"/>
      <c r="L577" s="342"/>
      <c r="M577" s="342"/>
      <c r="N577" s="342"/>
      <c r="O577" s="342"/>
      <c r="P577" s="342"/>
      <c r="Q577" s="342"/>
      <c r="R577" s="342"/>
      <c r="S577" s="342"/>
      <c r="T577" s="342"/>
      <c r="U577" s="342"/>
      <c r="V577" s="342"/>
      <c r="W577" s="342"/>
      <c r="X577" s="342"/>
      <c r="Y577" s="343"/>
      <c r="Z577" s="149"/>
      <c r="AA577" s="149"/>
      <c r="AB577" s="149"/>
      <c r="AC577" s="149"/>
      <c r="AD577" s="149"/>
      <c r="AE577" s="149"/>
      <c r="AF577" s="149"/>
    </row>
    <row r="578" spans="1:32" s="148" customFormat="1" hidden="1">
      <c r="B578" s="344"/>
      <c r="C578" s="345"/>
      <c r="D578" s="345"/>
      <c r="E578" s="345"/>
      <c r="F578" s="345"/>
      <c r="G578" s="345"/>
      <c r="H578" s="345"/>
      <c r="I578" s="345"/>
      <c r="J578" s="345"/>
      <c r="K578" s="345"/>
      <c r="L578" s="345"/>
      <c r="M578" s="345"/>
      <c r="N578" s="345"/>
      <c r="O578" s="345"/>
      <c r="P578" s="345"/>
      <c r="Q578" s="345"/>
      <c r="R578" s="345"/>
      <c r="S578" s="345"/>
      <c r="T578" s="345"/>
      <c r="U578" s="345"/>
      <c r="V578" s="345"/>
      <c r="W578" s="345"/>
      <c r="X578" s="345"/>
      <c r="Y578" s="346"/>
      <c r="Z578" s="149"/>
      <c r="AA578" s="149"/>
      <c r="AB578" s="149"/>
      <c r="AC578" s="149"/>
      <c r="AD578" s="149"/>
      <c r="AE578" s="149"/>
      <c r="AF578" s="149"/>
    </row>
    <row r="579" spans="1:32" s="148" customFormat="1" hidden="1">
      <c r="B579" s="347"/>
      <c r="C579" s="348"/>
      <c r="D579" s="348"/>
      <c r="E579" s="348"/>
      <c r="F579" s="348"/>
      <c r="G579" s="348"/>
      <c r="H579" s="348"/>
      <c r="I579" s="348"/>
      <c r="J579" s="348"/>
      <c r="K579" s="348"/>
      <c r="L579" s="348"/>
      <c r="M579" s="348"/>
      <c r="N579" s="348"/>
      <c r="O579" s="348"/>
      <c r="P579" s="348"/>
      <c r="Q579" s="348"/>
      <c r="R579" s="348"/>
      <c r="S579" s="348"/>
      <c r="T579" s="348"/>
      <c r="U579" s="348"/>
      <c r="V579" s="348"/>
      <c r="W579" s="348"/>
      <c r="X579" s="348"/>
      <c r="Y579" s="349"/>
      <c r="Z579" s="149"/>
      <c r="AA579" s="149"/>
      <c r="AB579" s="149"/>
      <c r="AC579" s="149"/>
      <c r="AD579" s="149"/>
      <c r="AE579" s="149"/>
      <c r="AF579" s="149"/>
    </row>
    <row r="580" spans="1:32" s="148" customFormat="1" hidden="1">
      <c r="B580" s="156"/>
      <c r="C580" s="156"/>
      <c r="D580" s="156"/>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49"/>
      <c r="AA580" s="149"/>
      <c r="AB580" s="149"/>
      <c r="AC580" s="149"/>
      <c r="AD580" s="149"/>
      <c r="AE580" s="149"/>
      <c r="AF580" s="149"/>
    </row>
    <row r="581" spans="1:32" s="148" customFormat="1" hidden="1">
      <c r="A581" s="150">
        <f>A540+1</f>
        <v>14</v>
      </c>
      <c r="B581" s="27" t="s">
        <v>14</v>
      </c>
      <c r="C581" s="333">
        <f>C540-1</f>
        <v>2007</v>
      </c>
      <c r="D581" s="334"/>
      <c r="Y581" s="149"/>
      <c r="Z581" s="149"/>
      <c r="AA581" s="149"/>
      <c r="AB581" s="149"/>
      <c r="AC581" s="149"/>
      <c r="AD581" s="149"/>
      <c r="AE581" s="149"/>
      <c r="AF581" s="149"/>
    </row>
    <row r="582" spans="1:32" s="148" customFormat="1" hidden="1">
      <c r="Y582" s="149"/>
      <c r="Z582" s="149"/>
      <c r="AA582" s="149"/>
      <c r="AB582" s="149"/>
      <c r="AC582" s="149"/>
      <c r="AD582" s="149"/>
      <c r="AE582" s="149"/>
      <c r="AF582" s="149"/>
    </row>
    <row r="583" spans="1:32" s="148" customFormat="1" hidden="1">
      <c r="B583" s="338" t="str">
        <f>Settings!$N$14</f>
        <v>Employee's comments</v>
      </c>
      <c r="C583" s="339"/>
      <c r="D583" s="339"/>
      <c r="E583" s="339"/>
      <c r="F583" s="339"/>
      <c r="G583" s="339"/>
      <c r="H583" s="339"/>
      <c r="I583" s="339"/>
      <c r="J583" s="339"/>
      <c r="K583" s="339"/>
      <c r="L583" s="339"/>
      <c r="M583" s="339"/>
      <c r="N583" s="339"/>
      <c r="O583" s="339"/>
      <c r="P583" s="339"/>
      <c r="Q583" s="339"/>
      <c r="R583" s="339"/>
      <c r="S583" s="339"/>
      <c r="T583" s="339"/>
      <c r="U583" s="339"/>
      <c r="V583" s="339"/>
      <c r="W583" s="339"/>
      <c r="X583" s="339"/>
      <c r="Y583" s="340"/>
      <c r="Z583" s="149"/>
      <c r="AA583" s="149"/>
      <c r="AB583" s="149"/>
      <c r="AC583" s="149"/>
      <c r="AD583" s="149"/>
      <c r="AE583" s="149"/>
      <c r="AF583" s="149"/>
    </row>
    <row r="584" spans="1:32" s="148" customFormat="1" hidden="1">
      <c r="B584" s="341" t="e">
        <f>IF(INDEX(TblDatabase[Feedback Warnings],MATCH(1,INDEX(($L$4=ListEmployeeNamesInDatabase)*(C581=TblDatabase[Year]),0,1),0))="","",INDEX(TblDatabase[Feedback Warnings],MATCH(1,INDEX(($L$4=ListEmployeeNamesInDatabase)*(C581=TblDatabase[Year]),0,1),0)))</f>
        <v>#N/A</v>
      </c>
      <c r="C584" s="342"/>
      <c r="D584" s="342"/>
      <c r="E584" s="342"/>
      <c r="F584" s="342"/>
      <c r="G584" s="342"/>
      <c r="H584" s="342"/>
      <c r="I584" s="342"/>
      <c r="J584" s="342"/>
      <c r="K584" s="342"/>
      <c r="L584" s="342"/>
      <c r="M584" s="342"/>
      <c r="N584" s="342"/>
      <c r="O584" s="342"/>
      <c r="P584" s="342"/>
      <c r="Q584" s="342"/>
      <c r="R584" s="342"/>
      <c r="S584" s="342"/>
      <c r="T584" s="342"/>
      <c r="U584" s="342"/>
      <c r="V584" s="342"/>
      <c r="W584" s="342"/>
      <c r="X584" s="342"/>
      <c r="Y584" s="343"/>
      <c r="Z584" s="149"/>
      <c r="AA584" s="149"/>
      <c r="AB584" s="149"/>
      <c r="AC584" s="149"/>
      <c r="AD584" s="149"/>
      <c r="AE584" s="149"/>
      <c r="AF584" s="149"/>
    </row>
    <row r="585" spans="1:32" s="148" customFormat="1" hidden="1">
      <c r="B585" s="344"/>
      <c r="C585" s="345"/>
      <c r="D585" s="345"/>
      <c r="E585" s="345"/>
      <c r="F585" s="345"/>
      <c r="G585" s="345"/>
      <c r="H585" s="345"/>
      <c r="I585" s="345"/>
      <c r="J585" s="345"/>
      <c r="K585" s="345"/>
      <c r="L585" s="345"/>
      <c r="M585" s="345"/>
      <c r="N585" s="345"/>
      <c r="O585" s="345"/>
      <c r="P585" s="345"/>
      <c r="Q585" s="345"/>
      <c r="R585" s="345"/>
      <c r="S585" s="345"/>
      <c r="T585" s="345"/>
      <c r="U585" s="345"/>
      <c r="V585" s="345"/>
      <c r="W585" s="345"/>
      <c r="X585" s="345"/>
      <c r="Y585" s="346"/>
      <c r="Z585" s="149"/>
      <c r="AA585" s="149"/>
      <c r="AB585" s="149"/>
      <c r="AC585" s="149"/>
      <c r="AD585" s="149"/>
      <c r="AE585" s="149"/>
      <c r="AF585" s="149"/>
    </row>
    <row r="586" spans="1:32" s="148" customFormat="1" hidden="1">
      <c r="B586" s="347"/>
      <c r="C586" s="348"/>
      <c r="D586" s="348"/>
      <c r="E586" s="348"/>
      <c r="F586" s="348"/>
      <c r="G586" s="348"/>
      <c r="H586" s="348"/>
      <c r="I586" s="348"/>
      <c r="J586" s="348"/>
      <c r="K586" s="348"/>
      <c r="L586" s="348"/>
      <c r="M586" s="348"/>
      <c r="N586" s="348"/>
      <c r="O586" s="348"/>
      <c r="P586" s="348"/>
      <c r="Q586" s="348"/>
      <c r="R586" s="348"/>
      <c r="S586" s="348"/>
      <c r="T586" s="348"/>
      <c r="U586" s="348"/>
      <c r="V586" s="348"/>
      <c r="W586" s="348"/>
      <c r="X586" s="348"/>
      <c r="Y586" s="349"/>
      <c r="Z586" s="149"/>
      <c r="AA586" s="149"/>
      <c r="AB586" s="149"/>
      <c r="AC586" s="149"/>
      <c r="AD586" s="149"/>
      <c r="AE586" s="149"/>
      <c r="AF586" s="149"/>
    </row>
    <row r="587" spans="1:32" s="148" customFormat="1" hidden="1">
      <c r="Y587" s="149"/>
      <c r="Z587" s="149"/>
      <c r="AA587" s="149"/>
      <c r="AB587" s="149"/>
      <c r="AC587" s="149"/>
      <c r="AD587" s="149"/>
      <c r="AE587" s="149"/>
      <c r="AF587" s="149"/>
    </row>
    <row r="588" spans="1:32" s="148" customFormat="1" ht="15" hidden="1" customHeight="1">
      <c r="B588" s="320" t="s">
        <v>8</v>
      </c>
      <c r="C588" s="321"/>
      <c r="D588" s="321"/>
      <c r="E588" s="321"/>
      <c r="F588" s="233">
        <f>IF(Settings!$M$4=Settings!$Y$3,Settings!$O$19,1)</f>
        <v>1</v>
      </c>
      <c r="G588" s="234">
        <f>IF(Settings!$M$4=Settings!$Y$3,Settings!$O$19,2)</f>
        <v>2</v>
      </c>
      <c r="H588" s="234">
        <f>IF(Settings!$M$4=Settings!$Y$3,Settings!$O$19,3)</f>
        <v>3</v>
      </c>
      <c r="I588" s="234">
        <f>IF(Settings!$M$4=Settings!$Y$3,Settings!$O$19,4)</f>
        <v>4</v>
      </c>
      <c r="J588" s="234">
        <f>IF(Settings!$M$4=Settings!$Y$3,Settings!$O$20,5)</f>
        <v>5</v>
      </c>
      <c r="K588" s="234">
        <f>IF(Settings!$M$4=Settings!$Y$3,Settings!$O$20,6)</f>
        <v>6</v>
      </c>
      <c r="L588" s="234">
        <f>IF(Settings!$M$4=Settings!$Y$3,Settings!$O$20,7)</f>
        <v>7</v>
      </c>
      <c r="M588" s="234">
        <f>IF(Settings!$M$4=Settings!$Y$3,Settings!$O$20,8)</f>
        <v>8</v>
      </c>
      <c r="N588" s="234">
        <f>IF(Settings!$M$4=Settings!$Y$3,Settings!$O$21,9)</f>
        <v>9</v>
      </c>
      <c r="O588" s="235">
        <f>IF(Settings!$M$4=Settings!$Y$3,Settings!$O$21,10)</f>
        <v>10</v>
      </c>
      <c r="P588" s="22"/>
      <c r="Q588" s="22"/>
      <c r="R588" s="333" t="s">
        <v>24</v>
      </c>
      <c r="S588" s="333"/>
      <c r="T588" s="333"/>
      <c r="U588" s="333"/>
      <c r="V588" s="333"/>
      <c r="W588" s="333"/>
      <c r="X588" s="333"/>
      <c r="Y588" s="334"/>
      <c r="Z588" s="149"/>
      <c r="AA588" s="149"/>
      <c r="AB588" s="149"/>
      <c r="AC588" s="149"/>
      <c r="AD588" s="149"/>
      <c r="AE588" s="149"/>
      <c r="AF588" s="149"/>
    </row>
    <row r="589" spans="1:32" s="148" customFormat="1" ht="15" hidden="1" customHeight="1">
      <c r="B589" s="335" t="str">
        <f t="shared" ref="B589:B608" si="13">B548</f>
        <v>Quality of Work</v>
      </c>
      <c r="C589" s="336"/>
      <c r="D589" s="336"/>
      <c r="E589" s="337"/>
      <c r="F589" s="162" t="str">
        <f>IF(Settings!$M$4=Settings!$Y$3,IF($AA589=1,"P",""),IF($AA589=1,"P",""))</f>
        <v/>
      </c>
      <c r="G589" s="160" t="str">
        <f>IF(Settings!$M$4=Settings!$Y$3,IF($AA589=1,"P",""),IF($AA589=2,"P",""))</f>
        <v/>
      </c>
      <c r="H589" s="160" t="str">
        <f>IF(Settings!$M$4=Settings!$Y$3,IF($AA589=1,"P",""),IF($AA589=3,"P",""))</f>
        <v/>
      </c>
      <c r="I589" s="160" t="str">
        <f>IF(Settings!$M$4=Settings!$Y$3,IF($AA589=1,"P",""),IF($AA589=4,"P",""))</f>
        <v/>
      </c>
      <c r="J589" s="160" t="str">
        <f>IF(Settings!$M$4=Settings!$Y$3,IF($AA589=2,"P",""),IF($AA589=5,"P",""))</f>
        <v/>
      </c>
      <c r="K589" s="160" t="str">
        <f>IF(Settings!$M$4=Settings!$Y$3,IF($AA589=2,"P",""),IF($AA589=6,"P",""))</f>
        <v/>
      </c>
      <c r="L589" s="160" t="str">
        <f>IF(Settings!$M$4=Settings!$Y$3,IF($AA589=2,"P",""),IF($AA589=7,"P",""))</f>
        <v/>
      </c>
      <c r="M589" s="160" t="str">
        <f>IF(Settings!$M$4=Settings!$Y$3,IF($AA589=2,"P",""),IF($AA589=8,"P",""))</f>
        <v/>
      </c>
      <c r="N589" s="160" t="str">
        <f>IF(Settings!$M$4=Settings!$Y$3,IF($AA589=3,"P",""),IF($AA589=9,"P",""))</f>
        <v/>
      </c>
      <c r="O589" s="161" t="str">
        <f>IF(Settings!$M$4=Settings!$Y$3,IF($AA589=3,"P",""),IF($AA589=10,"P",""))</f>
        <v/>
      </c>
      <c r="P589" s="22"/>
      <c r="Q589" s="22"/>
      <c r="R589" s="367" t="e">
        <f>IF(INDEX(TblDatabase[Comment1],MATCH(1,INDEX(($L$4=ListEmployeeNamesInDatabase)*(C581=TblDatabase[Year]),0,1),0))="","",INDEX(TblDatabase[Comment1],MATCH(1,INDEX(($L$4=ListEmployeeNamesInDatabase)*(C581=TblDatabase[Year]),0,1),0)))</f>
        <v>#N/A</v>
      </c>
      <c r="S589" s="367"/>
      <c r="T589" s="367"/>
      <c r="U589" s="367"/>
      <c r="V589" s="367"/>
      <c r="W589" s="367"/>
      <c r="X589" s="367"/>
      <c r="Y589" s="368"/>
      <c r="Z589" s="149"/>
      <c r="AA589" s="151">
        <f>SUMIFS(TblDatabase[Competency1],ListEmployeeNamesInDatabase,$L$4,TblDatabase[Year],C581)</f>
        <v>0</v>
      </c>
      <c r="AB589" s="149"/>
      <c r="AC589" s="149"/>
      <c r="AD589" s="149"/>
      <c r="AE589" s="149"/>
      <c r="AF589" s="149"/>
    </row>
    <row r="590" spans="1:32" s="148" customFormat="1" ht="15" hidden="1" customHeight="1">
      <c r="B590" s="355" t="str">
        <f t="shared" si="13"/>
        <v>CaLL flow</v>
      </c>
      <c r="C590" s="356"/>
      <c r="D590" s="356"/>
      <c r="E590" s="357"/>
      <c r="F590" s="163" t="str">
        <f>IF(Settings!$M$4=Settings!$Y$3,IF($AA590=1,"P",""),IF($AA590=1,"P",""))</f>
        <v/>
      </c>
      <c r="G590" s="164" t="str">
        <f>IF(Settings!$M$4=Settings!$Y$3,IF($AA590=1,"P",""),IF($AA590=2,"P",""))</f>
        <v/>
      </c>
      <c r="H590" s="164" t="str">
        <f>IF(Settings!$M$4=Settings!$Y$3,IF($AA590=1,"P",""),IF($AA590=3,"P",""))</f>
        <v/>
      </c>
      <c r="I590" s="164" t="str">
        <f>IF(Settings!$M$4=Settings!$Y$3,IF($AA590=1,"P",""),IF($AA590=4,"P",""))</f>
        <v/>
      </c>
      <c r="J590" s="164" t="str">
        <f>IF(Settings!$M$4=Settings!$Y$3,IF($AA590=2,"P",""),IF($AA590=5,"P",""))</f>
        <v/>
      </c>
      <c r="K590" s="164" t="str">
        <f>IF(Settings!$M$4=Settings!$Y$3,IF($AA590=2,"P",""),IF($AA590=6,"P",""))</f>
        <v/>
      </c>
      <c r="L590" s="164" t="str">
        <f>IF(Settings!$M$4=Settings!$Y$3,IF($AA590=2,"P",""),IF($AA590=7,"P",""))</f>
        <v/>
      </c>
      <c r="M590" s="164" t="str">
        <f>IF(Settings!$M$4=Settings!$Y$3,IF($AA590=2,"P",""),IF($AA590=8,"P",""))</f>
        <v/>
      </c>
      <c r="N590" s="164" t="str">
        <f>IF(Settings!$M$4=Settings!$Y$3,IF($AA590=3,"P",""),IF($AA590=9,"P",""))</f>
        <v/>
      </c>
      <c r="O590" s="165" t="str">
        <f>IF(Settings!$M$4=Settings!$Y$3,IF($AA590=3,"P",""),IF($AA590=10,"P",""))</f>
        <v/>
      </c>
      <c r="P590" s="22"/>
      <c r="Q590" s="22"/>
      <c r="R590" s="360" t="e">
        <f>IF(INDEX(TblDatabase[Comment2],MATCH(1,INDEX(($L$4=ListEmployeeNamesInDatabase)*(C581=TblDatabase[Year]),0,1),0))="","",INDEX(TblDatabase[Comment2],MATCH(1,INDEX(($L$4=ListEmployeeNamesInDatabase)*(C581=TblDatabase[Year]),0,1),0)))</f>
        <v>#N/A</v>
      </c>
      <c r="S590" s="360"/>
      <c r="T590" s="360"/>
      <c r="U590" s="360"/>
      <c r="V590" s="360"/>
      <c r="W590" s="360"/>
      <c r="X590" s="360"/>
      <c r="Y590" s="361"/>
      <c r="Z590" s="149"/>
      <c r="AA590" s="151">
        <f>SUMIFS(TblDatabase[Competency2],ListEmployeeNamesInDatabase,$L$4,TblDatabase[Year],C581)</f>
        <v>0</v>
      </c>
      <c r="AB590" s="149"/>
      <c r="AC590" s="149"/>
      <c r="AD590" s="149"/>
      <c r="AE590" s="149"/>
      <c r="AF590" s="149"/>
    </row>
    <row r="591" spans="1:32" s="148" customFormat="1" ht="15" hidden="1" customHeight="1">
      <c r="B591" s="350" t="str">
        <f t="shared" si="13"/>
        <v>Job Knowledge</v>
      </c>
      <c r="C591" s="351"/>
      <c r="D591" s="351"/>
      <c r="E591" s="352"/>
      <c r="F591" s="157" t="str">
        <f>IF(Settings!$M$4=Settings!$Y$3,IF($AA591=1,"P",""),IF($AA591=1,"P",""))</f>
        <v/>
      </c>
      <c r="G591" s="158" t="str">
        <f>IF(Settings!$M$4=Settings!$Y$3,IF($AA591=1,"P",""),IF($AA591=2,"P",""))</f>
        <v/>
      </c>
      <c r="H591" s="158" t="str">
        <f>IF(Settings!$M$4=Settings!$Y$3,IF($AA591=1,"P",""),IF($AA591=3,"P",""))</f>
        <v/>
      </c>
      <c r="I591" s="158" t="str">
        <f>IF(Settings!$M$4=Settings!$Y$3,IF($AA591=1,"P",""),IF($AA591=4,"P",""))</f>
        <v/>
      </c>
      <c r="J591" s="158" t="str">
        <f>IF(Settings!$M$4=Settings!$Y$3,IF($AA591=2,"P",""),IF($AA591=5,"P",""))</f>
        <v/>
      </c>
      <c r="K591" s="158" t="str">
        <f>IF(Settings!$M$4=Settings!$Y$3,IF($AA591=2,"P",""),IF($AA591=6,"P",""))</f>
        <v/>
      </c>
      <c r="L591" s="158" t="str">
        <f>IF(Settings!$M$4=Settings!$Y$3,IF($AA591=2,"P",""),IF($AA591=7,"P",""))</f>
        <v/>
      </c>
      <c r="M591" s="158" t="str">
        <f>IF(Settings!$M$4=Settings!$Y$3,IF($AA591=2,"P",""),IF($AA591=8,"P",""))</f>
        <v/>
      </c>
      <c r="N591" s="158" t="str">
        <f>IF(Settings!$M$4=Settings!$Y$3,IF($AA591=3,"P",""),IF($AA591=9,"P",""))</f>
        <v/>
      </c>
      <c r="O591" s="159" t="str">
        <f>IF(Settings!$M$4=Settings!$Y$3,IF($AA591=3,"P",""),IF($AA591=10,"P",""))</f>
        <v/>
      </c>
      <c r="P591" s="22"/>
      <c r="Q591" s="22"/>
      <c r="R591" s="353" t="e">
        <f>IF(INDEX(TblDatabase[Comment3],MATCH(1,INDEX(($L$4=ListEmployeeNamesInDatabase)*(C581=TblDatabase[Year]),0,1),0))="","",INDEX(TblDatabase[Comment3],MATCH(1,INDEX(($L$4=ListEmployeeNamesInDatabase)*(C581=TblDatabase[Year]),0,1),0)))</f>
        <v>#N/A</v>
      </c>
      <c r="S591" s="353"/>
      <c r="T591" s="353"/>
      <c r="U591" s="353"/>
      <c r="V591" s="353"/>
      <c r="W591" s="353"/>
      <c r="X591" s="353"/>
      <c r="Y591" s="354"/>
      <c r="Z591" s="149"/>
      <c r="AA591" s="151">
        <f>SUMIFS(TblDatabase[Competency3],ListEmployeeNamesInDatabase,$L$4,TblDatabase[Year],C581)</f>
        <v>0</v>
      </c>
      <c r="AB591" s="149"/>
      <c r="AC591" s="149"/>
      <c r="AD591" s="149"/>
      <c r="AE591" s="149"/>
      <c r="AF591" s="149"/>
    </row>
    <row r="592" spans="1:32" s="148" customFormat="1" ht="15" hidden="1" customHeight="1">
      <c r="B592" s="355" t="str">
        <f t="shared" si="13"/>
        <v>Client Service</v>
      </c>
      <c r="C592" s="356"/>
      <c r="D592" s="356"/>
      <c r="E592" s="357"/>
      <c r="F592" s="163" t="str">
        <f>IF(Settings!$M$4=Settings!$Y$3,IF($AA592=1,"P",""),IF($AA592=1,"P",""))</f>
        <v/>
      </c>
      <c r="G592" s="164" t="str">
        <f>IF(Settings!$M$4=Settings!$Y$3,IF($AA592=1,"P",""),IF($AA592=2,"P",""))</f>
        <v/>
      </c>
      <c r="H592" s="164" t="str">
        <f>IF(Settings!$M$4=Settings!$Y$3,IF($AA592=1,"P",""),IF($AA592=3,"P",""))</f>
        <v/>
      </c>
      <c r="I592" s="164" t="str">
        <f>IF(Settings!$M$4=Settings!$Y$3,IF($AA592=1,"P",""),IF($AA592=4,"P",""))</f>
        <v/>
      </c>
      <c r="J592" s="164" t="str">
        <f>IF(Settings!$M$4=Settings!$Y$3,IF($AA592=2,"P",""),IF($AA592=5,"P",""))</f>
        <v/>
      </c>
      <c r="K592" s="164" t="str">
        <f>IF(Settings!$M$4=Settings!$Y$3,IF($AA592=2,"P",""),IF($AA592=6,"P",""))</f>
        <v/>
      </c>
      <c r="L592" s="164" t="str">
        <f>IF(Settings!$M$4=Settings!$Y$3,IF($AA592=2,"P",""),IF($AA592=7,"P",""))</f>
        <v/>
      </c>
      <c r="M592" s="164" t="str">
        <f>IF(Settings!$M$4=Settings!$Y$3,IF($AA592=2,"P",""),IF($AA592=8,"P",""))</f>
        <v/>
      </c>
      <c r="N592" s="164" t="str">
        <f>IF(Settings!$M$4=Settings!$Y$3,IF($AA592=3,"P",""),IF($AA592=9,"P",""))</f>
        <v/>
      </c>
      <c r="O592" s="165" t="str">
        <f>IF(Settings!$M$4=Settings!$Y$3,IF($AA592=3,"P",""),IF($AA592=10,"P",""))</f>
        <v/>
      </c>
      <c r="P592" s="22"/>
      <c r="Q592" s="22"/>
      <c r="R592" s="360" t="e">
        <f>IF(INDEX(TblDatabase[Comment4],MATCH(1,INDEX(($L$4=ListEmployeeNamesInDatabase)*(C581=TblDatabase[Year]),0,1),0))="","",INDEX(TblDatabase[Comment4],MATCH(1,INDEX(($L$4=ListEmployeeNamesInDatabase)*(C581=TblDatabase[Year]),0,1),0)))</f>
        <v>#N/A</v>
      </c>
      <c r="S592" s="360"/>
      <c r="T592" s="360"/>
      <c r="U592" s="360"/>
      <c r="V592" s="360"/>
      <c r="W592" s="360"/>
      <c r="X592" s="360"/>
      <c r="Y592" s="361"/>
      <c r="Z592" s="149"/>
      <c r="AA592" s="151">
        <f>SUMIFS(TblDatabase[Competency4],ListEmployeeNamesInDatabase,$L$4,TblDatabase[Year],C581)</f>
        <v>0</v>
      </c>
      <c r="AB592" s="149"/>
      <c r="AC592" s="149"/>
      <c r="AD592" s="149"/>
      <c r="AE592" s="149"/>
      <c r="AF592" s="149"/>
    </row>
    <row r="593" spans="2:32" s="148" customFormat="1" ht="15" hidden="1" customHeight="1">
      <c r="B593" s="350" t="str">
        <f t="shared" si="13"/>
        <v>Teamwork</v>
      </c>
      <c r="C593" s="351"/>
      <c r="D593" s="351"/>
      <c r="E593" s="352"/>
      <c r="F593" s="157" t="str">
        <f>IF(Settings!$M$4=Settings!$Y$3,IF($AA593=1,"P",""),IF($AA593=1,"P",""))</f>
        <v/>
      </c>
      <c r="G593" s="158" t="str">
        <f>IF(Settings!$M$4=Settings!$Y$3,IF($AA593=1,"P",""),IF($AA593=2,"P",""))</f>
        <v/>
      </c>
      <c r="H593" s="158" t="str">
        <f>IF(Settings!$M$4=Settings!$Y$3,IF($AA593=1,"P",""),IF($AA593=3,"P",""))</f>
        <v/>
      </c>
      <c r="I593" s="158" t="str">
        <f>IF(Settings!$M$4=Settings!$Y$3,IF($AA593=1,"P",""),IF($AA593=4,"P",""))</f>
        <v/>
      </c>
      <c r="J593" s="158" t="str">
        <f>IF(Settings!$M$4=Settings!$Y$3,IF($AA593=2,"P",""),IF($AA593=5,"P",""))</f>
        <v/>
      </c>
      <c r="K593" s="158" t="str">
        <f>IF(Settings!$M$4=Settings!$Y$3,IF($AA593=2,"P",""),IF($AA593=6,"P",""))</f>
        <v/>
      </c>
      <c r="L593" s="158" t="str">
        <f>IF(Settings!$M$4=Settings!$Y$3,IF($AA593=2,"P",""),IF($AA593=7,"P",""))</f>
        <v/>
      </c>
      <c r="M593" s="158" t="str">
        <f>IF(Settings!$M$4=Settings!$Y$3,IF($AA593=2,"P",""),IF($AA593=8,"P",""))</f>
        <v/>
      </c>
      <c r="N593" s="158" t="str">
        <f>IF(Settings!$M$4=Settings!$Y$3,IF($AA593=3,"P",""),IF($AA593=9,"P",""))</f>
        <v/>
      </c>
      <c r="O593" s="159" t="str">
        <f>IF(Settings!$M$4=Settings!$Y$3,IF($AA593=3,"P",""),IF($AA593=10,"P",""))</f>
        <v/>
      </c>
      <c r="P593" s="22"/>
      <c r="Q593" s="22"/>
      <c r="R593" s="353" t="e">
        <f>IF(INDEX(TblDatabase[Comment5],MATCH(1,INDEX(($L$4=ListEmployeeNamesInDatabase)*(C581=TblDatabase[Year]),0,1),0))="","",INDEX(TblDatabase[Comment5],MATCH(1,INDEX(($L$4=ListEmployeeNamesInDatabase)*(C581=TblDatabase[Year]),0,1),0)))</f>
        <v>#N/A</v>
      </c>
      <c r="S593" s="353"/>
      <c r="T593" s="353"/>
      <c r="U593" s="353"/>
      <c r="V593" s="353"/>
      <c r="W593" s="353"/>
      <c r="X593" s="353"/>
      <c r="Y593" s="354"/>
      <c r="Z593" s="149"/>
      <c r="AA593" s="151">
        <f>SUMIFS(TblDatabase[Competency5],ListEmployeeNamesInDatabase,$L$4,TblDatabase[Year],C581)</f>
        <v>0</v>
      </c>
      <c r="AB593" s="149"/>
      <c r="AC593" s="149"/>
      <c r="AD593" s="149"/>
      <c r="AE593" s="149"/>
      <c r="AF593" s="149"/>
    </row>
    <row r="594" spans="2:32" s="148" customFormat="1" ht="15" hidden="1" customHeight="1">
      <c r="B594" s="355" t="str">
        <f t="shared" si="13"/>
        <v>Safety</v>
      </c>
      <c r="C594" s="356"/>
      <c r="D594" s="356"/>
      <c r="E594" s="357"/>
      <c r="F594" s="163" t="str">
        <f>IF(Settings!$M$4=Settings!$Y$3,IF($AA594=1,"P",""),IF($AA594=1,"P",""))</f>
        <v/>
      </c>
      <c r="G594" s="164" t="str">
        <f>IF(Settings!$M$4=Settings!$Y$3,IF($AA594=1,"P",""),IF($AA594=2,"P",""))</f>
        <v/>
      </c>
      <c r="H594" s="164" t="str">
        <f>IF(Settings!$M$4=Settings!$Y$3,IF($AA594=1,"P",""),IF($AA594=3,"P",""))</f>
        <v/>
      </c>
      <c r="I594" s="164" t="str">
        <f>IF(Settings!$M$4=Settings!$Y$3,IF($AA594=1,"P",""),IF($AA594=4,"P",""))</f>
        <v/>
      </c>
      <c r="J594" s="164" t="str">
        <f>IF(Settings!$M$4=Settings!$Y$3,IF($AA594=2,"P",""),IF($AA594=5,"P",""))</f>
        <v/>
      </c>
      <c r="K594" s="164" t="str">
        <f>IF(Settings!$M$4=Settings!$Y$3,IF($AA594=2,"P",""),IF($AA594=6,"P",""))</f>
        <v/>
      </c>
      <c r="L594" s="164" t="str">
        <f>IF(Settings!$M$4=Settings!$Y$3,IF($AA594=2,"P",""),IF($AA594=7,"P",""))</f>
        <v/>
      </c>
      <c r="M594" s="164" t="str">
        <f>IF(Settings!$M$4=Settings!$Y$3,IF($AA594=2,"P",""),IF($AA594=8,"P",""))</f>
        <v/>
      </c>
      <c r="N594" s="164" t="str">
        <f>IF(Settings!$M$4=Settings!$Y$3,IF($AA594=3,"P",""),IF($AA594=9,"P",""))</f>
        <v/>
      </c>
      <c r="O594" s="165" t="str">
        <f>IF(Settings!$M$4=Settings!$Y$3,IF($AA594=3,"P",""),IF($AA594=10,"P",""))</f>
        <v/>
      </c>
      <c r="P594" s="22"/>
      <c r="Q594" s="22"/>
      <c r="R594" s="360" t="e">
        <f>IF(INDEX(TblDatabase[Comment6],MATCH(1,INDEX(($L$4=ListEmployeeNamesInDatabase)*(C581=TblDatabase[Year]),0,1),0))="","",INDEX(TblDatabase[Comment6],MATCH(1,INDEX(($L$4=ListEmployeeNamesInDatabase)*(C581=TblDatabase[Year]),0,1),0)))</f>
        <v>#N/A</v>
      </c>
      <c r="S594" s="360"/>
      <c r="T594" s="360"/>
      <c r="U594" s="360"/>
      <c r="V594" s="360"/>
      <c r="W594" s="360"/>
      <c r="X594" s="360"/>
      <c r="Y594" s="361"/>
      <c r="Z594" s="149"/>
      <c r="AA594" s="151">
        <f>SUMIFS(TblDatabase[Competency6],ListEmployeeNamesInDatabase,$L$4,TblDatabase[Year],C581)</f>
        <v>0</v>
      </c>
      <c r="AB594" s="149"/>
      <c r="AC594" s="149"/>
      <c r="AD594" s="149"/>
      <c r="AE594" s="149"/>
      <c r="AF594" s="149"/>
    </row>
    <row r="595" spans="2:32" s="148" customFormat="1" ht="15" hidden="1" customHeight="1">
      <c r="B595" s="350" t="str">
        <f t="shared" si="13"/>
        <v>Reliability</v>
      </c>
      <c r="C595" s="351"/>
      <c r="D595" s="351"/>
      <c r="E595" s="352"/>
      <c r="F595" s="157" t="str">
        <f>IF(Settings!$M$4=Settings!$Y$3,IF($AA595=1,"P",""),IF($AA595=1,"P",""))</f>
        <v/>
      </c>
      <c r="G595" s="158" t="str">
        <f>IF(Settings!$M$4=Settings!$Y$3,IF($AA595=1,"P",""),IF($AA595=2,"P",""))</f>
        <v/>
      </c>
      <c r="H595" s="158" t="str">
        <f>IF(Settings!$M$4=Settings!$Y$3,IF($AA595=1,"P",""),IF($AA595=3,"P",""))</f>
        <v/>
      </c>
      <c r="I595" s="158" t="str">
        <f>IF(Settings!$M$4=Settings!$Y$3,IF($AA595=1,"P",""),IF($AA595=4,"P",""))</f>
        <v/>
      </c>
      <c r="J595" s="158" t="str">
        <f>IF(Settings!$M$4=Settings!$Y$3,IF($AA595=2,"P",""),IF($AA595=5,"P",""))</f>
        <v/>
      </c>
      <c r="K595" s="158" t="str">
        <f>IF(Settings!$M$4=Settings!$Y$3,IF($AA595=2,"P",""),IF($AA595=6,"P",""))</f>
        <v/>
      </c>
      <c r="L595" s="158" t="str">
        <f>IF(Settings!$M$4=Settings!$Y$3,IF($AA595=2,"P",""),IF($AA595=7,"P",""))</f>
        <v/>
      </c>
      <c r="M595" s="158" t="str">
        <f>IF(Settings!$M$4=Settings!$Y$3,IF($AA595=2,"P",""),IF($AA595=8,"P",""))</f>
        <v/>
      </c>
      <c r="N595" s="158" t="str">
        <f>IF(Settings!$M$4=Settings!$Y$3,IF($AA595=3,"P",""),IF($AA595=9,"P",""))</f>
        <v/>
      </c>
      <c r="O595" s="159" t="str">
        <f>IF(Settings!$M$4=Settings!$Y$3,IF($AA595=3,"P",""),IF($AA595=10,"P",""))</f>
        <v/>
      </c>
      <c r="P595" s="22"/>
      <c r="Q595" s="22"/>
      <c r="R595" s="353" t="e">
        <f>IF(INDEX(TblDatabase[Comment7],MATCH(1,INDEX(($L$4=ListEmployeeNamesInDatabase)*(C581=TblDatabase[Year]),0,1),0))="","",INDEX(TblDatabase[Comment7],MATCH(1,INDEX(($L$4=ListEmployeeNamesInDatabase)*(C581=TblDatabase[Year]),0,1),0)))</f>
        <v>#N/A</v>
      </c>
      <c r="S595" s="353"/>
      <c r="T595" s="353"/>
      <c r="U595" s="353"/>
      <c r="V595" s="353"/>
      <c r="W595" s="353"/>
      <c r="X595" s="353"/>
      <c r="Y595" s="354"/>
      <c r="Z595" s="149"/>
      <c r="AA595" s="151">
        <f>SUMIFS(TblDatabase[Competency7],ListEmployeeNamesInDatabase,$L$4,TblDatabase[Year],C581)</f>
        <v>0</v>
      </c>
      <c r="AB595" s="149"/>
      <c r="AC595" s="149"/>
      <c r="AD595" s="149"/>
      <c r="AE595" s="149"/>
      <c r="AF595" s="149"/>
    </row>
    <row r="596" spans="2:32" s="148" customFormat="1" ht="15" hidden="1" customHeight="1">
      <c r="B596" s="355" t="str">
        <f t="shared" si="13"/>
        <v>Initiative/Adaptability</v>
      </c>
      <c r="C596" s="356"/>
      <c r="D596" s="356"/>
      <c r="E596" s="357"/>
      <c r="F596" s="163" t="str">
        <f>IF(Settings!$M$4=Settings!$Y$3,IF($AA596=1,"P",""),IF($AA596=1,"P",""))</f>
        <v/>
      </c>
      <c r="G596" s="164" t="str">
        <f>IF(Settings!$M$4=Settings!$Y$3,IF($AA596=1,"P",""),IF($AA596=2,"P",""))</f>
        <v/>
      </c>
      <c r="H596" s="164" t="str">
        <f>IF(Settings!$M$4=Settings!$Y$3,IF($AA596=1,"P",""),IF($AA596=3,"P",""))</f>
        <v/>
      </c>
      <c r="I596" s="164" t="str">
        <f>IF(Settings!$M$4=Settings!$Y$3,IF($AA596=1,"P",""),IF($AA596=4,"P",""))</f>
        <v/>
      </c>
      <c r="J596" s="164" t="str">
        <f>IF(Settings!$M$4=Settings!$Y$3,IF($AA596=2,"P",""),IF($AA596=5,"P",""))</f>
        <v/>
      </c>
      <c r="K596" s="164" t="str">
        <f>IF(Settings!$M$4=Settings!$Y$3,IF($AA596=2,"P",""),IF($AA596=6,"P",""))</f>
        <v/>
      </c>
      <c r="L596" s="164" t="str">
        <f>IF(Settings!$M$4=Settings!$Y$3,IF($AA596=2,"P",""),IF($AA596=7,"P",""))</f>
        <v/>
      </c>
      <c r="M596" s="164" t="str">
        <f>IF(Settings!$M$4=Settings!$Y$3,IF($AA596=2,"P",""),IF($AA596=8,"P",""))</f>
        <v/>
      </c>
      <c r="N596" s="164" t="str">
        <f>IF(Settings!$M$4=Settings!$Y$3,IF($AA596=3,"P",""),IF($AA596=9,"P",""))</f>
        <v/>
      </c>
      <c r="O596" s="165" t="str">
        <f>IF(Settings!$M$4=Settings!$Y$3,IF($AA596=3,"P",""),IF($AA596=10,"P",""))</f>
        <v/>
      </c>
      <c r="P596" s="22"/>
      <c r="Q596" s="22"/>
      <c r="R596" s="360" t="e">
        <f>IF(INDEX(TblDatabase[Comment8],MATCH(1,INDEX(($L$4=ListEmployeeNamesInDatabase)*(C581=TblDatabase[Year]),0,1),0))="","",INDEX(TblDatabase[Comment8],MATCH(1,INDEX(($L$4=ListEmployeeNamesInDatabase)*(C581=TblDatabase[Year]),0,1),0)))</f>
        <v>#N/A</v>
      </c>
      <c r="S596" s="360"/>
      <c r="T596" s="360"/>
      <c r="U596" s="360"/>
      <c r="V596" s="360"/>
      <c r="W596" s="360"/>
      <c r="X596" s="360"/>
      <c r="Y596" s="361"/>
      <c r="Z596" s="149"/>
      <c r="AA596" s="151">
        <f>SUMIFS(TblDatabase[Competency8],ListEmployeeNamesInDatabase,$L$4,TblDatabase[Year],C581)</f>
        <v>0</v>
      </c>
      <c r="AB596" s="149"/>
      <c r="AC596" s="149"/>
      <c r="AD596" s="149"/>
      <c r="AE596" s="149"/>
      <c r="AF596" s="149"/>
    </row>
    <row r="597" spans="2:32" s="148" customFormat="1" ht="15" hidden="1" customHeight="1">
      <c r="B597" s="350" t="str">
        <f t="shared" si="13"/>
        <v/>
      </c>
      <c r="C597" s="351"/>
      <c r="D597" s="351"/>
      <c r="E597" s="352"/>
      <c r="F597" s="157" t="str">
        <f>IF(Settings!$M$4=Settings!$Y$3,IF($AA597=1,"P",""),IF($AA597=1,"P",""))</f>
        <v/>
      </c>
      <c r="G597" s="158" t="str">
        <f>IF(Settings!$M$4=Settings!$Y$3,IF($AA597=1,"P",""),IF($AA597=2,"P",""))</f>
        <v/>
      </c>
      <c r="H597" s="158" t="str">
        <f>IF(Settings!$M$4=Settings!$Y$3,IF($AA597=1,"P",""),IF($AA597=3,"P",""))</f>
        <v/>
      </c>
      <c r="I597" s="158" t="str">
        <f>IF(Settings!$M$4=Settings!$Y$3,IF($AA597=1,"P",""),IF($AA597=4,"P",""))</f>
        <v/>
      </c>
      <c r="J597" s="158" t="str">
        <f>IF(Settings!$M$4=Settings!$Y$3,IF($AA597=2,"P",""),IF($AA597=5,"P",""))</f>
        <v/>
      </c>
      <c r="K597" s="158" t="str">
        <f>IF(Settings!$M$4=Settings!$Y$3,IF($AA597=2,"P",""),IF($AA597=6,"P",""))</f>
        <v/>
      </c>
      <c r="L597" s="158" t="str">
        <f>IF(Settings!$M$4=Settings!$Y$3,IF($AA597=2,"P",""),IF($AA597=7,"P",""))</f>
        <v/>
      </c>
      <c r="M597" s="158" t="str">
        <f>IF(Settings!$M$4=Settings!$Y$3,IF($AA597=2,"P",""),IF($AA597=8,"P",""))</f>
        <v/>
      </c>
      <c r="N597" s="158" t="str">
        <f>IF(Settings!$M$4=Settings!$Y$3,IF($AA597=3,"P",""),IF($AA597=9,"P",""))</f>
        <v/>
      </c>
      <c r="O597" s="159" t="str">
        <f>IF(Settings!$M$4=Settings!$Y$3,IF($AA597=3,"P",""),IF($AA597=10,"P",""))</f>
        <v/>
      </c>
      <c r="P597" s="22"/>
      <c r="Q597" s="22"/>
      <c r="R597" s="353" t="e">
        <f>IF(INDEX(TblDatabase[Comment9],MATCH(1,INDEX(($L$4=ListEmployeeNamesInDatabase)*(C581=TblDatabase[Year]),0,1),0))="","",INDEX(TblDatabase[Comment9],MATCH(1,INDEX(($L$4=ListEmployeeNamesInDatabase)*(C581=TblDatabase[Year]),0,1),0)))</f>
        <v>#N/A</v>
      </c>
      <c r="S597" s="353"/>
      <c r="T597" s="353"/>
      <c r="U597" s="353"/>
      <c r="V597" s="353"/>
      <c r="W597" s="353"/>
      <c r="X597" s="353"/>
      <c r="Y597" s="354"/>
      <c r="Z597" s="149"/>
      <c r="AA597" s="151">
        <f>SUMIFS(TblDatabase[Competency9],ListEmployeeNamesInDatabase,$L$4,TblDatabase[Year],C581)</f>
        <v>0</v>
      </c>
      <c r="AB597" s="149"/>
      <c r="AC597" s="149"/>
      <c r="AD597" s="149"/>
      <c r="AE597" s="149"/>
      <c r="AF597" s="149"/>
    </row>
    <row r="598" spans="2:32" s="148" customFormat="1" ht="15" hidden="1" customHeight="1">
      <c r="B598" s="355" t="str">
        <f t="shared" si="13"/>
        <v/>
      </c>
      <c r="C598" s="356"/>
      <c r="D598" s="356"/>
      <c r="E598" s="357"/>
      <c r="F598" s="163" t="str">
        <f>IF(Settings!$M$4=Settings!$Y$3,IF($AA598=1,"P",""),IF($AA598=1,"P",""))</f>
        <v/>
      </c>
      <c r="G598" s="164" t="str">
        <f>IF(Settings!$M$4=Settings!$Y$3,IF($AA598=1,"P",""),IF($AA598=2,"P",""))</f>
        <v/>
      </c>
      <c r="H598" s="164" t="str">
        <f>IF(Settings!$M$4=Settings!$Y$3,IF($AA598=1,"P",""),IF($AA598=3,"P",""))</f>
        <v/>
      </c>
      <c r="I598" s="164" t="str">
        <f>IF(Settings!$M$4=Settings!$Y$3,IF($AA598=1,"P",""),IF($AA598=4,"P",""))</f>
        <v/>
      </c>
      <c r="J598" s="164" t="str">
        <f>IF(Settings!$M$4=Settings!$Y$3,IF($AA598=2,"P",""),IF($AA598=5,"P",""))</f>
        <v/>
      </c>
      <c r="K598" s="164" t="str">
        <f>IF(Settings!$M$4=Settings!$Y$3,IF($AA598=2,"P",""),IF($AA598=6,"P",""))</f>
        <v/>
      </c>
      <c r="L598" s="164" t="str">
        <f>IF(Settings!$M$4=Settings!$Y$3,IF($AA598=2,"P",""),IF($AA598=7,"P",""))</f>
        <v/>
      </c>
      <c r="M598" s="164" t="str">
        <f>IF(Settings!$M$4=Settings!$Y$3,IF($AA598=2,"P",""),IF($AA598=8,"P",""))</f>
        <v/>
      </c>
      <c r="N598" s="164" t="str">
        <f>IF(Settings!$M$4=Settings!$Y$3,IF($AA598=3,"P",""),IF($AA598=9,"P",""))</f>
        <v/>
      </c>
      <c r="O598" s="165" t="str">
        <f>IF(Settings!$M$4=Settings!$Y$3,IF($AA598=3,"P",""),IF($AA598=10,"P",""))</f>
        <v/>
      </c>
      <c r="P598" s="22"/>
      <c r="Q598" s="22"/>
      <c r="R598" s="360" t="e">
        <f>IF(INDEX(TblDatabase[Comment10],MATCH(1,INDEX(($L$4=ListEmployeeNamesInDatabase)*(C581=TblDatabase[Year]),0,1),0))="","",INDEX(TblDatabase[Comment10],MATCH(1,INDEX(($L$4=ListEmployeeNamesInDatabase)*(C581=TblDatabase[Year]),0,1),0)))</f>
        <v>#N/A</v>
      </c>
      <c r="S598" s="360"/>
      <c r="T598" s="360"/>
      <c r="U598" s="360"/>
      <c r="V598" s="360"/>
      <c r="W598" s="360"/>
      <c r="X598" s="360"/>
      <c r="Y598" s="361"/>
      <c r="Z598" s="149"/>
      <c r="AA598" s="151">
        <f>SUMIFS(TblDatabase[Competency10],ListEmployeeNamesInDatabase,$L$4,TblDatabase[Year],C581)</f>
        <v>0</v>
      </c>
      <c r="AB598" s="149"/>
      <c r="AC598" s="149"/>
      <c r="AD598" s="149"/>
      <c r="AE598" s="149"/>
      <c r="AF598" s="149"/>
    </row>
    <row r="599" spans="2:32" s="148" customFormat="1" ht="15" hidden="1" customHeight="1">
      <c r="B599" s="350" t="str">
        <f t="shared" si="13"/>
        <v/>
      </c>
      <c r="C599" s="351"/>
      <c r="D599" s="351"/>
      <c r="E599" s="352"/>
      <c r="F599" s="157" t="str">
        <f>IF(Settings!$M$4=Settings!$Y$3,IF($AA599=1,"P",""),IF($AA599=1,"P",""))</f>
        <v/>
      </c>
      <c r="G599" s="158" t="str">
        <f>IF(Settings!$M$4=Settings!$Y$3,IF($AA599=1,"P",""),IF($AA599=2,"P",""))</f>
        <v/>
      </c>
      <c r="H599" s="158" t="str">
        <f>IF(Settings!$M$4=Settings!$Y$3,IF($AA599=1,"P",""),IF($AA599=3,"P",""))</f>
        <v/>
      </c>
      <c r="I599" s="158" t="str">
        <f>IF(Settings!$M$4=Settings!$Y$3,IF($AA599=1,"P",""),IF($AA599=4,"P",""))</f>
        <v/>
      </c>
      <c r="J599" s="158" t="str">
        <f>IF(Settings!$M$4=Settings!$Y$3,IF($AA599=2,"P",""),IF($AA599=5,"P",""))</f>
        <v/>
      </c>
      <c r="K599" s="158" t="str">
        <f>IF(Settings!$M$4=Settings!$Y$3,IF($AA599=2,"P",""),IF($AA599=6,"P",""))</f>
        <v/>
      </c>
      <c r="L599" s="158" t="str">
        <f>IF(Settings!$M$4=Settings!$Y$3,IF($AA599=2,"P",""),IF($AA599=7,"P",""))</f>
        <v/>
      </c>
      <c r="M599" s="158" t="str">
        <f>IF(Settings!$M$4=Settings!$Y$3,IF($AA599=2,"P",""),IF($AA599=8,"P",""))</f>
        <v/>
      </c>
      <c r="N599" s="158" t="str">
        <f>IF(Settings!$M$4=Settings!$Y$3,IF($AA599=3,"P",""),IF($AA599=9,"P",""))</f>
        <v/>
      </c>
      <c r="O599" s="159" t="str">
        <f>IF(Settings!$M$4=Settings!$Y$3,IF($AA599=3,"P",""),IF($AA599=10,"P",""))</f>
        <v/>
      </c>
      <c r="P599" s="22"/>
      <c r="Q599" s="22"/>
      <c r="R599" s="353" t="e">
        <f>IF(INDEX(TblDatabase[Comment11],MATCH(1,INDEX(($L$4=ListEmployeeNamesInDatabase)*(C581=TblDatabase[Year]),0,1),0))="","",INDEX(TblDatabase[Comment11],MATCH(1,INDEX(($L$4=ListEmployeeNamesInDatabase)*(C581=TblDatabase[Year]),0,1),0)))</f>
        <v>#N/A</v>
      </c>
      <c r="S599" s="353"/>
      <c r="T599" s="353"/>
      <c r="U599" s="353"/>
      <c r="V599" s="353"/>
      <c r="W599" s="353"/>
      <c r="X599" s="353"/>
      <c r="Y599" s="354"/>
      <c r="Z599" s="149"/>
      <c r="AA599" s="151">
        <f>SUMIFS(TblDatabase[Competency11],ListEmployeeNamesInDatabase,$L$4,TblDatabase[Year],C581)</f>
        <v>0</v>
      </c>
      <c r="AB599" s="149"/>
      <c r="AC599" s="149"/>
      <c r="AD599" s="149"/>
      <c r="AE599" s="149"/>
      <c r="AF599" s="149"/>
    </row>
    <row r="600" spans="2:32" s="148" customFormat="1" ht="15" hidden="1" customHeight="1">
      <c r="B600" s="355" t="str">
        <f t="shared" si="13"/>
        <v/>
      </c>
      <c r="C600" s="356"/>
      <c r="D600" s="356"/>
      <c r="E600" s="357"/>
      <c r="F600" s="163" t="str">
        <f>IF(Settings!$M$4=Settings!$Y$3,IF($AA600=1,"P",""),IF($AA600=1,"P",""))</f>
        <v/>
      </c>
      <c r="G600" s="164" t="str">
        <f>IF(Settings!$M$4=Settings!$Y$3,IF($AA600=1,"P",""),IF($AA600=2,"P",""))</f>
        <v/>
      </c>
      <c r="H600" s="164" t="str">
        <f>IF(Settings!$M$4=Settings!$Y$3,IF($AA600=1,"P",""),IF($AA600=3,"P",""))</f>
        <v/>
      </c>
      <c r="I600" s="164" t="str">
        <f>IF(Settings!$M$4=Settings!$Y$3,IF($AA600=1,"P",""),IF($AA600=4,"P",""))</f>
        <v/>
      </c>
      <c r="J600" s="164" t="str">
        <f>IF(Settings!$M$4=Settings!$Y$3,IF($AA600=2,"P",""),IF($AA600=5,"P",""))</f>
        <v/>
      </c>
      <c r="K600" s="164" t="str">
        <f>IF(Settings!$M$4=Settings!$Y$3,IF($AA600=2,"P",""),IF($AA600=6,"P",""))</f>
        <v/>
      </c>
      <c r="L600" s="164" t="str">
        <f>IF(Settings!$M$4=Settings!$Y$3,IF($AA600=2,"P",""),IF($AA600=7,"P",""))</f>
        <v/>
      </c>
      <c r="M600" s="164" t="str">
        <f>IF(Settings!$M$4=Settings!$Y$3,IF($AA600=2,"P",""),IF($AA600=8,"P",""))</f>
        <v/>
      </c>
      <c r="N600" s="164" t="str">
        <f>IF(Settings!$M$4=Settings!$Y$3,IF($AA600=3,"P",""),IF($AA600=9,"P",""))</f>
        <v/>
      </c>
      <c r="O600" s="165" t="str">
        <f>IF(Settings!$M$4=Settings!$Y$3,IF($AA600=3,"P",""),IF($AA600=10,"P",""))</f>
        <v/>
      </c>
      <c r="P600" s="22"/>
      <c r="Q600" s="22"/>
      <c r="R600" s="360" t="e">
        <f>IF(INDEX(TblDatabase[Comment12],MATCH(1,INDEX(($L$4=ListEmployeeNamesInDatabase)*(C581=TblDatabase[Year]),0,1),0))="","",INDEX(TblDatabase[Comment12],MATCH(1,INDEX(($L$4=ListEmployeeNamesInDatabase)*(C581=TblDatabase[Year]),0,1),0)))</f>
        <v>#N/A</v>
      </c>
      <c r="S600" s="360"/>
      <c r="T600" s="360"/>
      <c r="U600" s="360"/>
      <c r="V600" s="360"/>
      <c r="W600" s="360"/>
      <c r="X600" s="360"/>
      <c r="Y600" s="361"/>
      <c r="Z600" s="149"/>
      <c r="AA600" s="151">
        <f>SUMIFS(TblDatabase[Competency12],ListEmployeeNamesInDatabase,$L$4,TblDatabase[Year],C581)</f>
        <v>0</v>
      </c>
      <c r="AB600" s="149"/>
      <c r="AC600" s="149"/>
      <c r="AD600" s="149"/>
      <c r="AE600" s="149"/>
      <c r="AF600" s="149"/>
    </row>
    <row r="601" spans="2:32" s="148" customFormat="1" ht="15" hidden="1" customHeight="1">
      <c r="B601" s="350" t="str">
        <f t="shared" si="13"/>
        <v/>
      </c>
      <c r="C601" s="351"/>
      <c r="D601" s="351"/>
      <c r="E601" s="352"/>
      <c r="F601" s="157" t="str">
        <f>IF(Settings!$M$4=Settings!$Y$3,IF($AA601=1,"P",""),IF($AA601=1,"P",""))</f>
        <v/>
      </c>
      <c r="G601" s="158" t="str">
        <f>IF(Settings!$M$4=Settings!$Y$3,IF($AA601=1,"P",""),IF($AA601=2,"P",""))</f>
        <v/>
      </c>
      <c r="H601" s="158" t="str">
        <f>IF(Settings!$M$4=Settings!$Y$3,IF($AA601=1,"P",""),IF($AA601=3,"P",""))</f>
        <v/>
      </c>
      <c r="I601" s="158" t="str">
        <f>IF(Settings!$M$4=Settings!$Y$3,IF($AA601=1,"P",""),IF($AA601=4,"P",""))</f>
        <v/>
      </c>
      <c r="J601" s="158" t="str">
        <f>IF(Settings!$M$4=Settings!$Y$3,IF($AA601=2,"P",""),IF($AA601=5,"P",""))</f>
        <v/>
      </c>
      <c r="K601" s="158" t="str">
        <f>IF(Settings!$M$4=Settings!$Y$3,IF($AA601=2,"P",""),IF($AA601=6,"P",""))</f>
        <v/>
      </c>
      <c r="L601" s="158" t="str">
        <f>IF(Settings!$M$4=Settings!$Y$3,IF($AA601=2,"P",""),IF($AA601=7,"P",""))</f>
        <v/>
      </c>
      <c r="M601" s="158" t="str">
        <f>IF(Settings!$M$4=Settings!$Y$3,IF($AA601=2,"P",""),IF($AA601=8,"P",""))</f>
        <v/>
      </c>
      <c r="N601" s="158" t="str">
        <f>IF(Settings!$M$4=Settings!$Y$3,IF($AA601=3,"P",""),IF($AA601=9,"P",""))</f>
        <v/>
      </c>
      <c r="O601" s="159" t="str">
        <f>IF(Settings!$M$4=Settings!$Y$3,IF($AA601=3,"P",""),IF($AA601=10,"P",""))</f>
        <v/>
      </c>
      <c r="P601" s="22"/>
      <c r="Q601" s="22"/>
      <c r="R601" s="353" t="e">
        <f>IF(INDEX(TblDatabase[Comment13],MATCH(1,INDEX(($L$4=ListEmployeeNamesInDatabase)*(C581=TblDatabase[Year]),0,1),0))="","",INDEX(TblDatabase[Comment13],MATCH(1,INDEX(($L$4=ListEmployeeNamesInDatabase)*(C581=TblDatabase[Year]),0,1),0)))</f>
        <v>#N/A</v>
      </c>
      <c r="S601" s="353"/>
      <c r="T601" s="353"/>
      <c r="U601" s="353"/>
      <c r="V601" s="353"/>
      <c r="W601" s="353"/>
      <c r="X601" s="353"/>
      <c r="Y601" s="354"/>
      <c r="Z601" s="149"/>
      <c r="AA601" s="151">
        <f>SUMIFS(TblDatabase[Competency13],ListEmployeeNamesInDatabase,$L$4,TblDatabase[Year],C581)</f>
        <v>0</v>
      </c>
      <c r="AB601" s="149"/>
      <c r="AC601" s="149"/>
      <c r="AD601" s="149"/>
      <c r="AE601" s="149"/>
      <c r="AF601" s="149"/>
    </row>
    <row r="602" spans="2:32" s="148" customFormat="1" ht="15" hidden="1" customHeight="1">
      <c r="B602" s="355" t="str">
        <f t="shared" si="13"/>
        <v/>
      </c>
      <c r="C602" s="356"/>
      <c r="D602" s="356"/>
      <c r="E602" s="357"/>
      <c r="F602" s="163" t="str">
        <f>IF(Settings!$M$4=Settings!$Y$3,IF($AA602=1,"P",""),IF($AA602=1,"P",""))</f>
        <v/>
      </c>
      <c r="G602" s="164" t="str">
        <f>IF(Settings!$M$4=Settings!$Y$3,IF($AA602=1,"P",""),IF($AA602=2,"P",""))</f>
        <v/>
      </c>
      <c r="H602" s="164" t="str">
        <f>IF(Settings!$M$4=Settings!$Y$3,IF($AA602=1,"P",""),IF($AA602=3,"P",""))</f>
        <v/>
      </c>
      <c r="I602" s="164" t="str">
        <f>IF(Settings!$M$4=Settings!$Y$3,IF($AA602=1,"P",""),IF($AA602=4,"P",""))</f>
        <v/>
      </c>
      <c r="J602" s="164" t="str">
        <f>IF(Settings!$M$4=Settings!$Y$3,IF($AA602=2,"P",""),IF($AA602=5,"P",""))</f>
        <v/>
      </c>
      <c r="K602" s="164" t="str">
        <f>IF(Settings!$M$4=Settings!$Y$3,IF($AA602=2,"P",""),IF($AA602=6,"P",""))</f>
        <v/>
      </c>
      <c r="L602" s="164" t="str">
        <f>IF(Settings!$M$4=Settings!$Y$3,IF($AA602=2,"P",""),IF($AA602=7,"P",""))</f>
        <v/>
      </c>
      <c r="M602" s="164" t="str">
        <f>IF(Settings!$M$4=Settings!$Y$3,IF($AA602=2,"P",""),IF($AA602=8,"P",""))</f>
        <v/>
      </c>
      <c r="N602" s="164" t="str">
        <f>IF(Settings!$M$4=Settings!$Y$3,IF($AA602=3,"P",""),IF($AA602=9,"P",""))</f>
        <v/>
      </c>
      <c r="O602" s="165" t="str">
        <f>IF(Settings!$M$4=Settings!$Y$3,IF($AA602=3,"P",""),IF($AA602=10,"P",""))</f>
        <v/>
      </c>
      <c r="P602" s="22"/>
      <c r="Q602" s="22"/>
      <c r="R602" s="360" t="e">
        <f>IF(INDEX(TblDatabase[Comment14],MATCH(1,INDEX(($L$4=ListEmployeeNamesInDatabase)*(C581=TblDatabase[Year]),0,1),0))="","",INDEX(TblDatabase[Comment14],MATCH(1,INDEX(($L$4=ListEmployeeNamesInDatabase)*(C581=TblDatabase[Year]),0,1),0)))</f>
        <v>#N/A</v>
      </c>
      <c r="S602" s="360"/>
      <c r="T602" s="360"/>
      <c r="U602" s="360"/>
      <c r="V602" s="360"/>
      <c r="W602" s="360"/>
      <c r="X602" s="360"/>
      <c r="Y602" s="361"/>
      <c r="Z602" s="149"/>
      <c r="AA602" s="151">
        <f>SUMIFS(TblDatabase[Competency14],ListEmployeeNamesInDatabase,$L$4,TblDatabase[Year],C581)</f>
        <v>0</v>
      </c>
      <c r="AB602" s="149"/>
      <c r="AC602" s="149"/>
      <c r="AD602" s="149"/>
      <c r="AE602" s="149"/>
      <c r="AF602" s="149"/>
    </row>
    <row r="603" spans="2:32" s="148" customFormat="1" ht="15" hidden="1" customHeight="1">
      <c r="B603" s="350" t="str">
        <f t="shared" si="13"/>
        <v/>
      </c>
      <c r="C603" s="351"/>
      <c r="D603" s="351"/>
      <c r="E603" s="352"/>
      <c r="F603" s="157" t="str">
        <f>IF(Settings!$M$4=Settings!$Y$3,IF($AA603=1,"P",""),IF($AA603=1,"P",""))</f>
        <v/>
      </c>
      <c r="G603" s="158" t="str">
        <f>IF(Settings!$M$4=Settings!$Y$3,IF($AA603=1,"P",""),IF($AA603=2,"P",""))</f>
        <v/>
      </c>
      <c r="H603" s="158" t="str">
        <f>IF(Settings!$M$4=Settings!$Y$3,IF($AA603=1,"P",""),IF($AA603=3,"P",""))</f>
        <v/>
      </c>
      <c r="I603" s="158" t="str">
        <f>IF(Settings!$M$4=Settings!$Y$3,IF($AA603=1,"P",""),IF($AA603=4,"P",""))</f>
        <v/>
      </c>
      <c r="J603" s="158" t="str">
        <f>IF(Settings!$M$4=Settings!$Y$3,IF($AA603=2,"P",""),IF($AA603=5,"P",""))</f>
        <v/>
      </c>
      <c r="K603" s="158" t="str">
        <f>IF(Settings!$M$4=Settings!$Y$3,IF($AA603=2,"P",""),IF($AA603=6,"P",""))</f>
        <v/>
      </c>
      <c r="L603" s="158" t="str">
        <f>IF(Settings!$M$4=Settings!$Y$3,IF($AA603=2,"P",""),IF($AA603=7,"P",""))</f>
        <v/>
      </c>
      <c r="M603" s="158" t="str">
        <f>IF(Settings!$M$4=Settings!$Y$3,IF($AA603=2,"P",""),IF($AA603=8,"P",""))</f>
        <v/>
      </c>
      <c r="N603" s="158" t="str">
        <f>IF(Settings!$M$4=Settings!$Y$3,IF($AA603=3,"P",""),IF($AA603=9,"P",""))</f>
        <v/>
      </c>
      <c r="O603" s="159" t="str">
        <f>IF(Settings!$M$4=Settings!$Y$3,IF($AA603=3,"P",""),IF($AA603=10,"P",""))</f>
        <v/>
      </c>
      <c r="P603" s="22"/>
      <c r="Q603" s="22"/>
      <c r="R603" s="353" t="e">
        <f>IF(INDEX(TblDatabase[Comment15],MATCH(1,INDEX(($L$4=ListEmployeeNamesInDatabase)*(C581=TblDatabase[Year]),0,1),0))="","",INDEX(TblDatabase[Comment15],MATCH(1,INDEX(($L$4=ListEmployeeNamesInDatabase)*(C581=TblDatabase[Year]),0,1),0)))</f>
        <v>#N/A</v>
      </c>
      <c r="S603" s="353"/>
      <c r="T603" s="353"/>
      <c r="U603" s="353"/>
      <c r="V603" s="353"/>
      <c r="W603" s="353"/>
      <c r="X603" s="353"/>
      <c r="Y603" s="354"/>
      <c r="Z603" s="149"/>
      <c r="AA603" s="151">
        <f>SUMIFS(TblDatabase[Competency15],ListEmployeeNamesInDatabase,$L$4,TblDatabase[Year],C581)</f>
        <v>0</v>
      </c>
      <c r="AB603" s="149"/>
      <c r="AC603" s="149"/>
      <c r="AD603" s="149"/>
      <c r="AE603" s="149"/>
      <c r="AF603" s="149"/>
    </row>
    <row r="604" spans="2:32" s="148" customFormat="1" ht="15" hidden="1" customHeight="1">
      <c r="B604" s="355" t="str">
        <f t="shared" si="13"/>
        <v/>
      </c>
      <c r="C604" s="356"/>
      <c r="D604" s="356"/>
      <c r="E604" s="357"/>
      <c r="F604" s="163" t="str">
        <f>IF(Settings!$M$4=Settings!$Y$3,IF($AA604=1,"P",""),IF($AA604=1,"P",""))</f>
        <v/>
      </c>
      <c r="G604" s="164" t="str">
        <f>IF(Settings!$M$4=Settings!$Y$3,IF($AA604=1,"P",""),IF($AA604=2,"P",""))</f>
        <v/>
      </c>
      <c r="H604" s="164" t="str">
        <f>IF(Settings!$M$4=Settings!$Y$3,IF($AA604=1,"P",""),IF($AA604=3,"P",""))</f>
        <v/>
      </c>
      <c r="I604" s="164" t="str">
        <f>IF(Settings!$M$4=Settings!$Y$3,IF($AA604=1,"P",""),IF($AA604=4,"P",""))</f>
        <v/>
      </c>
      <c r="J604" s="164" t="str">
        <f>IF(Settings!$M$4=Settings!$Y$3,IF($AA604=2,"P",""),IF($AA604=5,"P",""))</f>
        <v/>
      </c>
      <c r="K604" s="164" t="str">
        <f>IF(Settings!$M$4=Settings!$Y$3,IF($AA604=2,"P",""),IF($AA604=6,"P",""))</f>
        <v/>
      </c>
      <c r="L604" s="164" t="str">
        <f>IF(Settings!$M$4=Settings!$Y$3,IF($AA604=2,"P",""),IF($AA604=7,"P",""))</f>
        <v/>
      </c>
      <c r="M604" s="164" t="str">
        <f>IF(Settings!$M$4=Settings!$Y$3,IF($AA604=2,"P",""),IF($AA604=8,"P",""))</f>
        <v/>
      </c>
      <c r="N604" s="164" t="str">
        <f>IF(Settings!$M$4=Settings!$Y$3,IF($AA604=3,"P",""),IF($AA604=9,"P",""))</f>
        <v/>
      </c>
      <c r="O604" s="165" t="str">
        <f>IF(Settings!$M$4=Settings!$Y$3,IF($AA604=3,"P",""),IF($AA604=10,"P",""))</f>
        <v/>
      </c>
      <c r="P604" s="22"/>
      <c r="Q604" s="22"/>
      <c r="R604" s="360" t="e">
        <f>IF(INDEX(TblDatabase[Comment16],MATCH(1,INDEX(($L$4=ListEmployeeNamesInDatabase)*(C581=TblDatabase[Year]),0,1),0))="","",INDEX(TblDatabase[Comment16],MATCH(1,INDEX(($L$4=ListEmployeeNamesInDatabase)*(C581=TblDatabase[Year]),0,1),0)))</f>
        <v>#N/A</v>
      </c>
      <c r="S604" s="360"/>
      <c r="T604" s="360"/>
      <c r="U604" s="360"/>
      <c r="V604" s="360"/>
      <c r="W604" s="360"/>
      <c r="X604" s="360"/>
      <c r="Y604" s="361"/>
      <c r="Z604" s="149"/>
      <c r="AA604" s="151">
        <f>SUMIFS(TblDatabase[Competency16],ListEmployeeNamesInDatabase,$L$4,TblDatabase[Year],C581)</f>
        <v>0</v>
      </c>
      <c r="AB604" s="149"/>
      <c r="AC604" s="149"/>
      <c r="AD604" s="149"/>
      <c r="AE604" s="149"/>
      <c r="AF604" s="149"/>
    </row>
    <row r="605" spans="2:32" s="148" customFormat="1" ht="15" hidden="1" customHeight="1">
      <c r="B605" s="350" t="str">
        <f t="shared" si="13"/>
        <v/>
      </c>
      <c r="C605" s="351"/>
      <c r="D605" s="351"/>
      <c r="E605" s="352"/>
      <c r="F605" s="157" t="str">
        <f>IF(Settings!$M$4=Settings!$Y$3,IF($AA605=1,"P",""),IF($AA605=1,"P",""))</f>
        <v/>
      </c>
      <c r="G605" s="158" t="str">
        <f>IF(Settings!$M$4=Settings!$Y$3,IF($AA605=1,"P",""),IF($AA605=2,"P",""))</f>
        <v/>
      </c>
      <c r="H605" s="158" t="str">
        <f>IF(Settings!$M$4=Settings!$Y$3,IF($AA605=1,"P",""),IF($AA605=3,"P",""))</f>
        <v/>
      </c>
      <c r="I605" s="158" t="str">
        <f>IF(Settings!$M$4=Settings!$Y$3,IF($AA605=1,"P",""),IF($AA605=4,"P",""))</f>
        <v/>
      </c>
      <c r="J605" s="158" t="str">
        <f>IF(Settings!$M$4=Settings!$Y$3,IF($AA605=2,"P",""),IF($AA605=5,"P",""))</f>
        <v/>
      </c>
      <c r="K605" s="158" t="str">
        <f>IF(Settings!$M$4=Settings!$Y$3,IF($AA605=2,"P",""),IF($AA605=6,"P",""))</f>
        <v/>
      </c>
      <c r="L605" s="158" t="str">
        <f>IF(Settings!$M$4=Settings!$Y$3,IF($AA605=2,"P",""),IF($AA605=7,"P",""))</f>
        <v/>
      </c>
      <c r="M605" s="158" t="str">
        <f>IF(Settings!$M$4=Settings!$Y$3,IF($AA605=2,"P",""),IF($AA605=8,"P",""))</f>
        <v/>
      </c>
      <c r="N605" s="158" t="str">
        <f>IF(Settings!$M$4=Settings!$Y$3,IF($AA605=3,"P",""),IF($AA605=9,"P",""))</f>
        <v/>
      </c>
      <c r="O605" s="159" t="str">
        <f>IF(Settings!$M$4=Settings!$Y$3,IF($AA605=3,"P",""),IF($AA605=10,"P",""))</f>
        <v/>
      </c>
      <c r="P605" s="22"/>
      <c r="Q605" s="22"/>
      <c r="R605" s="353" t="e">
        <f>IF(INDEX(TblDatabase[Comment17],MATCH(1,INDEX(($L$4=ListEmployeeNamesInDatabase)*(C581=TblDatabase[Year]),0,1),0))="","",INDEX(TblDatabase[Comment17],MATCH(1,INDEX(($L$4=ListEmployeeNamesInDatabase)*(C581=TblDatabase[Year]),0,1),0)))</f>
        <v>#N/A</v>
      </c>
      <c r="S605" s="353"/>
      <c r="T605" s="353"/>
      <c r="U605" s="353"/>
      <c r="V605" s="353"/>
      <c r="W605" s="353"/>
      <c r="X605" s="353"/>
      <c r="Y605" s="354"/>
      <c r="Z605" s="149"/>
      <c r="AA605" s="151">
        <f>SUMIFS(TblDatabase[Competency17],ListEmployeeNamesInDatabase,$L$4,TblDatabase[Year],C581)</f>
        <v>0</v>
      </c>
      <c r="AB605" s="149"/>
      <c r="AC605" s="149"/>
      <c r="AD605" s="149"/>
      <c r="AE605" s="149"/>
      <c r="AF605" s="149"/>
    </row>
    <row r="606" spans="2:32" s="148" customFormat="1" ht="15" hidden="1" customHeight="1">
      <c r="B606" s="355" t="str">
        <f t="shared" si="13"/>
        <v/>
      </c>
      <c r="C606" s="356"/>
      <c r="D606" s="356"/>
      <c r="E606" s="357"/>
      <c r="F606" s="163" t="str">
        <f>IF(Settings!$M$4=Settings!$Y$3,IF($AA606=1,"P",""),IF($AA606=1,"P",""))</f>
        <v/>
      </c>
      <c r="G606" s="164" t="str">
        <f>IF(Settings!$M$4=Settings!$Y$3,IF($AA606=1,"P",""),IF($AA606=2,"P",""))</f>
        <v/>
      </c>
      <c r="H606" s="164" t="str">
        <f>IF(Settings!$M$4=Settings!$Y$3,IF($AA606=1,"P",""),IF($AA606=3,"P",""))</f>
        <v/>
      </c>
      <c r="I606" s="164" t="str">
        <f>IF(Settings!$M$4=Settings!$Y$3,IF($AA606=1,"P",""),IF($AA606=4,"P",""))</f>
        <v/>
      </c>
      <c r="J606" s="164" t="str">
        <f>IF(Settings!$M$4=Settings!$Y$3,IF($AA606=2,"P",""),IF($AA606=5,"P",""))</f>
        <v/>
      </c>
      <c r="K606" s="164" t="str">
        <f>IF(Settings!$M$4=Settings!$Y$3,IF($AA606=2,"P",""),IF($AA606=6,"P",""))</f>
        <v/>
      </c>
      <c r="L606" s="164" t="str">
        <f>IF(Settings!$M$4=Settings!$Y$3,IF($AA606=2,"P",""),IF($AA606=7,"P",""))</f>
        <v/>
      </c>
      <c r="M606" s="164" t="str">
        <f>IF(Settings!$M$4=Settings!$Y$3,IF($AA606=2,"P",""),IF($AA606=8,"P",""))</f>
        <v/>
      </c>
      <c r="N606" s="164" t="str">
        <f>IF(Settings!$M$4=Settings!$Y$3,IF($AA606=3,"P",""),IF($AA606=9,"P",""))</f>
        <v/>
      </c>
      <c r="O606" s="165" t="str">
        <f>IF(Settings!$M$4=Settings!$Y$3,IF($AA606=3,"P",""),IF($AA606=10,"P",""))</f>
        <v/>
      </c>
      <c r="P606" s="22"/>
      <c r="Q606" s="22"/>
      <c r="R606" s="360" t="e">
        <f>IF(INDEX(TblDatabase[Comment18],MATCH(1,INDEX(($L$4=ListEmployeeNamesInDatabase)*(C581=TblDatabase[Year]),0,1),0))="","",INDEX(TblDatabase[Comment18],MATCH(1,INDEX(($L$4=ListEmployeeNamesInDatabase)*(C581=TblDatabase[Year]),0,1),0)))</f>
        <v>#N/A</v>
      </c>
      <c r="S606" s="360"/>
      <c r="T606" s="360"/>
      <c r="U606" s="360"/>
      <c r="V606" s="360"/>
      <c r="W606" s="360"/>
      <c r="X606" s="360"/>
      <c r="Y606" s="361"/>
      <c r="Z606" s="149"/>
      <c r="AA606" s="151">
        <f>SUMIFS(TblDatabase[Competency18],ListEmployeeNamesInDatabase,$L$4,TblDatabase[Year],C581)</f>
        <v>0</v>
      </c>
      <c r="AB606" s="149"/>
      <c r="AC606" s="149"/>
      <c r="AD606" s="149"/>
      <c r="AE606" s="149"/>
      <c r="AF606" s="149"/>
    </row>
    <row r="607" spans="2:32" s="148" customFormat="1" ht="15" hidden="1" customHeight="1">
      <c r="B607" s="350" t="str">
        <f t="shared" si="13"/>
        <v/>
      </c>
      <c r="C607" s="351"/>
      <c r="D607" s="351"/>
      <c r="E607" s="352"/>
      <c r="F607" s="157" t="str">
        <f>IF(Settings!$M$4=Settings!$Y$3,IF($AA607=1,"P",""),IF($AA607=1,"P",""))</f>
        <v/>
      </c>
      <c r="G607" s="158" t="str">
        <f>IF(Settings!$M$4=Settings!$Y$3,IF($AA607=1,"P",""),IF($AA607=2,"P",""))</f>
        <v/>
      </c>
      <c r="H607" s="158" t="str">
        <f>IF(Settings!$M$4=Settings!$Y$3,IF($AA607=1,"P",""),IF($AA607=3,"P",""))</f>
        <v/>
      </c>
      <c r="I607" s="158" t="str">
        <f>IF(Settings!$M$4=Settings!$Y$3,IF($AA607=1,"P",""),IF($AA607=4,"P",""))</f>
        <v/>
      </c>
      <c r="J607" s="158" t="str">
        <f>IF(Settings!$M$4=Settings!$Y$3,IF($AA607=2,"P",""),IF($AA607=5,"P",""))</f>
        <v/>
      </c>
      <c r="K607" s="158" t="str">
        <f>IF(Settings!$M$4=Settings!$Y$3,IF($AA607=2,"P",""),IF($AA607=6,"P",""))</f>
        <v/>
      </c>
      <c r="L607" s="158" t="str">
        <f>IF(Settings!$M$4=Settings!$Y$3,IF($AA607=2,"P",""),IF($AA607=7,"P",""))</f>
        <v/>
      </c>
      <c r="M607" s="158" t="str">
        <f>IF(Settings!$M$4=Settings!$Y$3,IF($AA607=2,"P",""),IF($AA607=8,"P",""))</f>
        <v/>
      </c>
      <c r="N607" s="158" t="str">
        <f>IF(Settings!$M$4=Settings!$Y$3,IF($AA607=3,"P",""),IF($AA607=9,"P",""))</f>
        <v/>
      </c>
      <c r="O607" s="159" t="str">
        <f>IF(Settings!$M$4=Settings!$Y$3,IF($AA607=3,"P",""),IF($AA607=10,"P",""))</f>
        <v/>
      </c>
      <c r="P607" s="22"/>
      <c r="Q607" s="22"/>
      <c r="R607" s="353" t="e">
        <f>IF(INDEX(TblDatabase[Comment19],MATCH(1,INDEX(($L$4=ListEmployeeNamesInDatabase)*(C581=TblDatabase[Year]),0,1),0))="","",INDEX(TblDatabase[Comment19],MATCH(1,INDEX(($L$4=ListEmployeeNamesInDatabase)*(C581=TblDatabase[Year]),0,1),0)))</f>
        <v>#N/A</v>
      </c>
      <c r="S607" s="353"/>
      <c r="T607" s="353"/>
      <c r="U607" s="353"/>
      <c r="V607" s="353"/>
      <c r="W607" s="353"/>
      <c r="X607" s="353"/>
      <c r="Y607" s="354"/>
      <c r="Z607" s="149"/>
      <c r="AA607" s="151">
        <f>SUMIFS(TblDatabase[Competency19],ListEmployeeNamesInDatabase,$L$4,TblDatabase[Year],C581)</f>
        <v>0</v>
      </c>
      <c r="AB607" s="149"/>
      <c r="AC607" s="149"/>
      <c r="AD607" s="149"/>
      <c r="AE607" s="149"/>
      <c r="AF607" s="149"/>
    </row>
    <row r="608" spans="2:32" s="148" customFormat="1" ht="15" hidden="1" customHeight="1">
      <c r="B608" s="362" t="str">
        <f t="shared" si="13"/>
        <v/>
      </c>
      <c r="C608" s="363"/>
      <c r="D608" s="363"/>
      <c r="E608" s="364"/>
      <c r="F608" s="166" t="str">
        <f>IF(Settings!$M$4=Settings!$Y$3,IF($AA608=1,"P",""),IF($AA608=1,"P",""))</f>
        <v/>
      </c>
      <c r="G608" s="167" t="str">
        <f>IF(Settings!$M$4=Settings!$Y$3,IF($AA608=1,"P",""),IF($AA608=2,"P",""))</f>
        <v/>
      </c>
      <c r="H608" s="167" t="str">
        <f>IF(Settings!$M$4=Settings!$Y$3,IF($AA608=1,"P",""),IF($AA608=3,"P",""))</f>
        <v/>
      </c>
      <c r="I608" s="167" t="str">
        <f>IF(Settings!$M$4=Settings!$Y$3,IF($AA608=1,"P",""),IF($AA608=4,"P",""))</f>
        <v/>
      </c>
      <c r="J608" s="167" t="str">
        <f>IF(Settings!$M$4=Settings!$Y$3,IF($AA608=2,"P",""),IF($AA608=5,"P",""))</f>
        <v/>
      </c>
      <c r="K608" s="167" t="str">
        <f>IF(Settings!$M$4=Settings!$Y$3,IF($AA608=2,"P",""),IF($AA608=6,"P",""))</f>
        <v/>
      </c>
      <c r="L608" s="167" t="str">
        <f>IF(Settings!$M$4=Settings!$Y$3,IF($AA608=2,"P",""),IF($AA608=7,"P",""))</f>
        <v/>
      </c>
      <c r="M608" s="167" t="str">
        <f>IF(Settings!$M$4=Settings!$Y$3,IF($AA608=2,"P",""),IF($AA608=8,"P",""))</f>
        <v/>
      </c>
      <c r="N608" s="167" t="str">
        <f>IF(Settings!$M$4=Settings!$Y$3,IF($AA608=3,"P",""),IF($AA608=9,"P",""))</f>
        <v/>
      </c>
      <c r="O608" s="168" t="str">
        <f>IF(Settings!$M$4=Settings!$Y$3,IF($AA608=3,"P",""),IF($AA608=10,"P",""))</f>
        <v/>
      </c>
      <c r="P608" s="22"/>
      <c r="Q608" s="22"/>
      <c r="R608" s="365" t="e">
        <f>IF(INDEX(TblDatabase[Comment20],MATCH(1,INDEX(($L$4=ListEmployeeNamesInDatabase)*(C581=TblDatabase[Year]),0,1),0))="","",INDEX(TblDatabase[Comment20],MATCH(1,INDEX(($L$4=ListEmployeeNamesInDatabase)*(C581=TblDatabase[Year]),0,1),0)))</f>
        <v>#N/A</v>
      </c>
      <c r="S608" s="365"/>
      <c r="T608" s="365"/>
      <c r="U608" s="365"/>
      <c r="V608" s="365"/>
      <c r="W608" s="365"/>
      <c r="X608" s="365"/>
      <c r="Y608" s="366"/>
      <c r="Z608" s="149"/>
      <c r="AA608" s="151">
        <f>SUMIFS(TblDatabase[Competency20],ListEmployeeNamesInDatabase,$L$4,TblDatabase[Year],C581)</f>
        <v>0</v>
      </c>
      <c r="AB608" s="149"/>
      <c r="AC608" s="149"/>
      <c r="AD608" s="149"/>
      <c r="AE608" s="149"/>
      <c r="AF608" s="149"/>
    </row>
    <row r="609" spans="1:32" s="148" customFormat="1" hidden="1">
      <c r="B609" s="414" t="s">
        <v>26</v>
      </c>
      <c r="C609" s="415"/>
      <c r="D609" s="415"/>
      <c r="E609" s="371">
        <f ca="1">SUM(OFFSET(AA589,0,0,NumberOfCompetencies))</f>
        <v>0</v>
      </c>
      <c r="F609" s="372"/>
      <c r="G609" s="152"/>
      <c r="H609" s="152"/>
      <c r="I609" s="152"/>
      <c r="J609" s="152"/>
      <c r="K609" s="152"/>
      <c r="L609" s="152"/>
      <c r="M609" s="152"/>
      <c r="N609" s="152"/>
      <c r="O609" s="152"/>
      <c r="P609" s="152"/>
      <c r="Q609" s="152"/>
      <c r="R609" s="152"/>
      <c r="S609" s="152"/>
      <c r="T609" s="152"/>
      <c r="U609" s="152"/>
      <c r="V609" s="152"/>
      <c r="W609" s="152"/>
      <c r="X609" s="152"/>
      <c r="Y609" s="152"/>
      <c r="Z609" s="149"/>
      <c r="AA609" s="149"/>
      <c r="AB609" s="149"/>
      <c r="AC609" s="149"/>
      <c r="AD609" s="149"/>
      <c r="AE609" s="149"/>
      <c r="AF609" s="149"/>
    </row>
    <row r="610" spans="1:32" s="148" customFormat="1" hidden="1">
      <c r="B610" s="369" t="s">
        <v>27</v>
      </c>
      <c r="C610" s="370"/>
      <c r="D610" s="370"/>
      <c r="E610" s="358">
        <f ca="1">E609/NumberOfCompetencies</f>
        <v>0</v>
      </c>
      <c r="F610" s="359"/>
      <c r="G610" s="153"/>
      <c r="H610" s="153"/>
      <c r="I610" s="153"/>
      <c r="J610" s="153"/>
      <c r="K610" s="153"/>
      <c r="L610" s="153"/>
      <c r="M610" s="153"/>
      <c r="N610" s="153"/>
      <c r="O610" s="153"/>
      <c r="P610" s="153"/>
      <c r="Q610" s="153"/>
      <c r="R610" s="153"/>
      <c r="S610" s="153"/>
      <c r="T610" s="153"/>
      <c r="U610" s="153"/>
      <c r="V610" s="153"/>
      <c r="W610" s="153"/>
      <c r="X610" s="153"/>
      <c r="Y610" s="153"/>
      <c r="Z610" s="149"/>
      <c r="AA610" s="149"/>
      <c r="AB610" s="149"/>
      <c r="AC610" s="149"/>
      <c r="AD610" s="149"/>
      <c r="AE610" s="149"/>
      <c r="AF610" s="149"/>
    </row>
    <row r="611" spans="1:32" s="148" customFormat="1" hidden="1">
      <c r="B611" s="154"/>
      <c r="C611" s="154"/>
      <c r="D611" s="154"/>
      <c r="E611" s="154"/>
      <c r="F611" s="154"/>
      <c r="G611" s="154"/>
      <c r="H611" s="154"/>
      <c r="I611" s="154"/>
      <c r="J611" s="154"/>
      <c r="K611" s="154"/>
      <c r="L611" s="154"/>
      <c r="M611" s="154"/>
      <c r="N611" s="154"/>
      <c r="O611" s="154"/>
      <c r="P611" s="154"/>
      <c r="Q611" s="154"/>
      <c r="R611" s="154"/>
      <c r="S611" s="154"/>
      <c r="T611" s="154"/>
      <c r="U611" s="154"/>
      <c r="V611" s="154"/>
      <c r="W611" s="154"/>
      <c r="X611" s="154"/>
      <c r="Y611" s="154"/>
      <c r="Z611" s="149"/>
      <c r="AA611" s="149"/>
      <c r="AB611" s="149"/>
      <c r="AC611" s="149"/>
      <c r="AD611" s="149"/>
      <c r="AE611" s="149"/>
      <c r="AF611" s="149"/>
    </row>
    <row r="612" spans="1:32" s="148" customFormat="1" hidden="1">
      <c r="B612" s="338" t="str">
        <f>Settings!$N$15</f>
        <v>Previously agreed actions</v>
      </c>
      <c r="C612" s="339"/>
      <c r="D612" s="339"/>
      <c r="E612" s="339"/>
      <c r="F612" s="339"/>
      <c r="G612" s="339"/>
      <c r="H612" s="339"/>
      <c r="I612" s="339"/>
      <c r="J612" s="339"/>
      <c r="K612" s="339"/>
      <c r="L612" s="339"/>
      <c r="M612" s="339"/>
      <c r="N612" s="339"/>
      <c r="O612" s="339"/>
      <c r="P612" s="339"/>
      <c r="Q612" s="339"/>
      <c r="R612" s="339"/>
      <c r="S612" s="339"/>
      <c r="T612" s="339"/>
      <c r="U612" s="339"/>
      <c r="V612" s="339"/>
      <c r="W612" s="339"/>
      <c r="X612" s="339"/>
      <c r="Y612" s="340"/>
      <c r="Z612" s="149"/>
      <c r="AA612" s="149"/>
      <c r="AB612" s="149"/>
      <c r="AC612" s="149"/>
      <c r="AD612" s="149"/>
      <c r="AE612" s="149"/>
      <c r="AF612" s="149"/>
    </row>
    <row r="613" spans="1:32" s="148" customFormat="1" hidden="1">
      <c r="B613" s="341" t="e">
        <f>IF(INDEX(TblDatabase[Feedback Does Well],MATCH(1,INDEX(($L$4=ListEmployeeNamesInDatabase)*(C581=TblDatabase[Year]),0,1),0))="","",INDEX(TblDatabase[Feedback Does Well],MATCH(1,INDEX(($L$4=ListEmployeeNamesInDatabase)*(C581=TblDatabase[Year]),0,1),0)))</f>
        <v>#N/A</v>
      </c>
      <c r="C613" s="342"/>
      <c r="D613" s="342"/>
      <c r="E613" s="342"/>
      <c r="F613" s="342"/>
      <c r="G613" s="342"/>
      <c r="H613" s="342"/>
      <c r="I613" s="342"/>
      <c r="J613" s="342"/>
      <c r="K613" s="342"/>
      <c r="L613" s="342"/>
      <c r="M613" s="342"/>
      <c r="N613" s="342"/>
      <c r="O613" s="342"/>
      <c r="P613" s="342"/>
      <c r="Q613" s="342"/>
      <c r="R613" s="342"/>
      <c r="S613" s="342"/>
      <c r="T613" s="342"/>
      <c r="U613" s="342"/>
      <c r="V613" s="342"/>
      <c r="W613" s="342"/>
      <c r="X613" s="342"/>
      <c r="Y613" s="343"/>
      <c r="Z613" s="149"/>
      <c r="AA613" s="149"/>
      <c r="AB613" s="149"/>
      <c r="AC613" s="149"/>
      <c r="AD613" s="149"/>
      <c r="AE613" s="149"/>
      <c r="AF613" s="149"/>
    </row>
    <row r="614" spans="1:32" s="148" customFormat="1" hidden="1">
      <c r="B614" s="344"/>
      <c r="C614" s="345"/>
      <c r="D614" s="345"/>
      <c r="E614" s="345"/>
      <c r="F614" s="345"/>
      <c r="G614" s="345"/>
      <c r="H614" s="345"/>
      <c r="I614" s="345"/>
      <c r="J614" s="345"/>
      <c r="K614" s="345"/>
      <c r="L614" s="345"/>
      <c r="M614" s="345"/>
      <c r="N614" s="345"/>
      <c r="O614" s="345"/>
      <c r="P614" s="345"/>
      <c r="Q614" s="345"/>
      <c r="R614" s="345"/>
      <c r="S614" s="345"/>
      <c r="T614" s="345"/>
      <c r="U614" s="345"/>
      <c r="V614" s="345"/>
      <c r="W614" s="345"/>
      <c r="X614" s="345"/>
      <c r="Y614" s="346"/>
      <c r="Z614" s="149"/>
      <c r="AA614" s="149"/>
      <c r="AB614" s="149"/>
      <c r="AC614" s="149"/>
      <c r="AD614" s="149"/>
      <c r="AE614" s="149"/>
      <c r="AF614" s="149"/>
    </row>
    <row r="615" spans="1:32" s="148" customFormat="1" hidden="1">
      <c r="B615" s="347"/>
      <c r="C615" s="348"/>
      <c r="D615" s="348"/>
      <c r="E615" s="348"/>
      <c r="F615" s="348"/>
      <c r="G615" s="348"/>
      <c r="H615" s="348"/>
      <c r="I615" s="348"/>
      <c r="J615" s="348"/>
      <c r="K615" s="348"/>
      <c r="L615" s="348"/>
      <c r="M615" s="348"/>
      <c r="N615" s="348"/>
      <c r="O615" s="348"/>
      <c r="P615" s="348"/>
      <c r="Q615" s="348"/>
      <c r="R615" s="348"/>
      <c r="S615" s="348"/>
      <c r="T615" s="348"/>
      <c r="U615" s="348"/>
      <c r="V615" s="348"/>
      <c r="W615" s="348"/>
      <c r="X615" s="348"/>
      <c r="Y615" s="349"/>
      <c r="Z615" s="149"/>
      <c r="AA615" s="149"/>
      <c r="AB615" s="149"/>
      <c r="AC615" s="149"/>
      <c r="AD615" s="149"/>
      <c r="AE615" s="149"/>
      <c r="AF615" s="149"/>
    </row>
    <row r="616" spans="1:32" s="148" customFormat="1" hidden="1">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49"/>
      <c r="AA616" s="149"/>
      <c r="AB616" s="149"/>
      <c r="AC616" s="149"/>
      <c r="AD616" s="149"/>
      <c r="AE616" s="149"/>
      <c r="AF616" s="149"/>
    </row>
    <row r="617" spans="1:32" s="148" customFormat="1" hidden="1">
      <c r="B617" s="338" t="str">
        <f>Settings!$N$16</f>
        <v>Actions agreed during this review</v>
      </c>
      <c r="C617" s="339"/>
      <c r="D617" s="339"/>
      <c r="E617" s="339"/>
      <c r="F617" s="339"/>
      <c r="G617" s="339"/>
      <c r="H617" s="339"/>
      <c r="I617" s="339"/>
      <c r="J617" s="339"/>
      <c r="K617" s="339"/>
      <c r="L617" s="339"/>
      <c r="M617" s="339"/>
      <c r="N617" s="339"/>
      <c r="O617" s="339"/>
      <c r="P617" s="339"/>
      <c r="Q617" s="339"/>
      <c r="R617" s="339"/>
      <c r="S617" s="339"/>
      <c r="T617" s="339"/>
      <c r="U617" s="339"/>
      <c r="V617" s="339"/>
      <c r="W617" s="339"/>
      <c r="X617" s="339"/>
      <c r="Y617" s="340"/>
      <c r="Z617" s="149"/>
      <c r="AA617" s="149"/>
      <c r="AB617" s="149"/>
      <c r="AC617" s="149"/>
      <c r="AD617" s="149"/>
      <c r="AE617" s="149"/>
      <c r="AF617" s="149"/>
    </row>
    <row r="618" spans="1:32" s="148" customFormat="1" hidden="1">
      <c r="B618" s="341" t="e">
        <f>IF(INDEX(TblDatabase[Feedback To Improve],MATCH(1,INDEX(($L$4=ListEmployeeNamesInDatabase)*(C581=TblDatabase[Year]),0,1),0))="","",INDEX(TblDatabase[Feedback To Improve],MATCH(1,INDEX(($L$4=ListEmployeeNamesInDatabase)*(C581=TblDatabase[Year]),0,1),0)))</f>
        <v>#N/A</v>
      </c>
      <c r="C618" s="342"/>
      <c r="D618" s="342"/>
      <c r="E618" s="342"/>
      <c r="F618" s="342"/>
      <c r="G618" s="342"/>
      <c r="H618" s="342"/>
      <c r="I618" s="342"/>
      <c r="J618" s="342"/>
      <c r="K618" s="342"/>
      <c r="L618" s="342"/>
      <c r="M618" s="342"/>
      <c r="N618" s="342"/>
      <c r="O618" s="342"/>
      <c r="P618" s="342"/>
      <c r="Q618" s="342"/>
      <c r="R618" s="342"/>
      <c r="S618" s="342"/>
      <c r="T618" s="342"/>
      <c r="U618" s="342"/>
      <c r="V618" s="342"/>
      <c r="W618" s="342"/>
      <c r="X618" s="342"/>
      <c r="Y618" s="343"/>
      <c r="Z618" s="149"/>
      <c r="AA618" s="149"/>
      <c r="AB618" s="149"/>
      <c r="AC618" s="149"/>
      <c r="AD618" s="149"/>
      <c r="AE618" s="149"/>
      <c r="AF618" s="149"/>
    </row>
    <row r="619" spans="1:32" s="148" customFormat="1" hidden="1">
      <c r="B619" s="344"/>
      <c r="C619" s="345"/>
      <c r="D619" s="345"/>
      <c r="E619" s="345"/>
      <c r="F619" s="345"/>
      <c r="G619" s="345"/>
      <c r="H619" s="345"/>
      <c r="I619" s="345"/>
      <c r="J619" s="345"/>
      <c r="K619" s="345"/>
      <c r="L619" s="345"/>
      <c r="M619" s="345"/>
      <c r="N619" s="345"/>
      <c r="O619" s="345"/>
      <c r="P619" s="345"/>
      <c r="Q619" s="345"/>
      <c r="R619" s="345"/>
      <c r="S619" s="345"/>
      <c r="T619" s="345"/>
      <c r="U619" s="345"/>
      <c r="V619" s="345"/>
      <c r="W619" s="345"/>
      <c r="X619" s="345"/>
      <c r="Y619" s="346"/>
      <c r="Z619" s="149"/>
      <c r="AA619" s="149"/>
      <c r="AB619" s="149"/>
      <c r="AC619" s="149"/>
      <c r="AD619" s="149"/>
      <c r="AE619" s="149"/>
      <c r="AF619" s="149"/>
    </row>
    <row r="620" spans="1:32" s="148" customFormat="1" hidden="1">
      <c r="B620" s="347"/>
      <c r="C620" s="348"/>
      <c r="D620" s="348"/>
      <c r="E620" s="348"/>
      <c r="F620" s="348"/>
      <c r="G620" s="348"/>
      <c r="H620" s="348"/>
      <c r="I620" s="348"/>
      <c r="J620" s="348"/>
      <c r="K620" s="348"/>
      <c r="L620" s="348"/>
      <c r="M620" s="348"/>
      <c r="N620" s="348"/>
      <c r="O620" s="348"/>
      <c r="P620" s="348"/>
      <c r="Q620" s="348"/>
      <c r="R620" s="348"/>
      <c r="S620" s="348"/>
      <c r="T620" s="348"/>
      <c r="U620" s="348"/>
      <c r="V620" s="348"/>
      <c r="W620" s="348"/>
      <c r="X620" s="348"/>
      <c r="Y620" s="349"/>
      <c r="Z620" s="149"/>
      <c r="AA620" s="149"/>
      <c r="AB620" s="149"/>
      <c r="AC620" s="149"/>
      <c r="AD620" s="149"/>
      <c r="AE620" s="149"/>
      <c r="AF620" s="149"/>
    </row>
    <row r="621" spans="1:32" s="148" customFormat="1" hidden="1">
      <c r="B621" s="156"/>
      <c r="C621" s="156"/>
      <c r="D621" s="156"/>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49"/>
      <c r="AA621" s="149"/>
      <c r="AB621" s="149"/>
      <c r="AC621" s="149"/>
      <c r="AD621" s="149"/>
      <c r="AE621" s="149"/>
      <c r="AF621" s="149"/>
    </row>
    <row r="622" spans="1:32" s="148" customFormat="1" hidden="1">
      <c r="A622" s="150">
        <f>A581+1</f>
        <v>15</v>
      </c>
      <c r="B622" s="27" t="s">
        <v>14</v>
      </c>
      <c r="C622" s="333">
        <f>C581-1</f>
        <v>2006</v>
      </c>
      <c r="D622" s="334"/>
      <c r="Y622" s="149"/>
      <c r="Z622" s="149"/>
      <c r="AA622" s="149"/>
      <c r="AB622" s="149"/>
      <c r="AC622" s="149"/>
      <c r="AD622" s="149"/>
      <c r="AE622" s="149"/>
      <c r="AF622" s="149"/>
    </row>
    <row r="623" spans="1:32" s="148" customFormat="1" hidden="1">
      <c r="Y623" s="149"/>
      <c r="Z623" s="149"/>
      <c r="AA623" s="149"/>
      <c r="AB623" s="149"/>
      <c r="AC623" s="149"/>
      <c r="AD623" s="149"/>
      <c r="AE623" s="149"/>
      <c r="AF623" s="149"/>
    </row>
    <row r="624" spans="1:32" s="148" customFormat="1" hidden="1">
      <c r="B624" s="338" t="str">
        <f>Settings!$N$14</f>
        <v>Employee's comments</v>
      </c>
      <c r="C624" s="339"/>
      <c r="D624" s="339"/>
      <c r="E624" s="339"/>
      <c r="F624" s="339"/>
      <c r="G624" s="339"/>
      <c r="H624" s="339"/>
      <c r="I624" s="339"/>
      <c r="J624" s="339"/>
      <c r="K624" s="339"/>
      <c r="L624" s="339"/>
      <c r="M624" s="339"/>
      <c r="N624" s="339"/>
      <c r="O624" s="339"/>
      <c r="P624" s="339"/>
      <c r="Q624" s="339"/>
      <c r="R624" s="339"/>
      <c r="S624" s="339"/>
      <c r="T624" s="339"/>
      <c r="U624" s="339"/>
      <c r="V624" s="339"/>
      <c r="W624" s="339"/>
      <c r="X624" s="339"/>
      <c r="Y624" s="340"/>
      <c r="Z624" s="149"/>
      <c r="AA624" s="149"/>
      <c r="AB624" s="149"/>
      <c r="AC624" s="149"/>
      <c r="AD624" s="149"/>
      <c r="AE624" s="149"/>
      <c r="AF624" s="149"/>
    </row>
    <row r="625" spans="2:32" s="148" customFormat="1" hidden="1">
      <c r="B625" s="341" t="e">
        <f>IF(INDEX(TblDatabase[Feedback Warnings],MATCH(1,INDEX(($L$4=ListEmployeeNamesInDatabase)*(C622=TblDatabase[Year]),0,1),0))="","",INDEX(TblDatabase[Feedback Warnings],MATCH(1,INDEX(($L$4=ListEmployeeNamesInDatabase)*(C622=TblDatabase[Year]),0,1),0)))</f>
        <v>#N/A</v>
      </c>
      <c r="C625" s="342"/>
      <c r="D625" s="342"/>
      <c r="E625" s="342"/>
      <c r="F625" s="342"/>
      <c r="G625" s="342"/>
      <c r="H625" s="342"/>
      <c r="I625" s="342"/>
      <c r="J625" s="342"/>
      <c r="K625" s="342"/>
      <c r="L625" s="342"/>
      <c r="M625" s="342"/>
      <c r="N625" s="342"/>
      <c r="O625" s="342"/>
      <c r="P625" s="342"/>
      <c r="Q625" s="342"/>
      <c r="R625" s="342"/>
      <c r="S625" s="342"/>
      <c r="T625" s="342"/>
      <c r="U625" s="342"/>
      <c r="V625" s="342"/>
      <c r="W625" s="342"/>
      <c r="X625" s="342"/>
      <c r="Y625" s="343"/>
      <c r="Z625" s="149"/>
      <c r="AA625" s="149"/>
      <c r="AB625" s="149"/>
      <c r="AC625" s="149"/>
      <c r="AD625" s="149"/>
      <c r="AE625" s="149"/>
      <c r="AF625" s="149"/>
    </row>
    <row r="626" spans="2:32" s="148" customFormat="1" hidden="1">
      <c r="B626" s="344"/>
      <c r="C626" s="345"/>
      <c r="D626" s="345"/>
      <c r="E626" s="345"/>
      <c r="F626" s="345"/>
      <c r="G626" s="345"/>
      <c r="H626" s="345"/>
      <c r="I626" s="345"/>
      <c r="J626" s="345"/>
      <c r="K626" s="345"/>
      <c r="L626" s="345"/>
      <c r="M626" s="345"/>
      <c r="N626" s="345"/>
      <c r="O626" s="345"/>
      <c r="P626" s="345"/>
      <c r="Q626" s="345"/>
      <c r="R626" s="345"/>
      <c r="S626" s="345"/>
      <c r="T626" s="345"/>
      <c r="U626" s="345"/>
      <c r="V626" s="345"/>
      <c r="W626" s="345"/>
      <c r="X626" s="345"/>
      <c r="Y626" s="346"/>
      <c r="Z626" s="149"/>
      <c r="AA626" s="149"/>
      <c r="AB626" s="149"/>
      <c r="AC626" s="149"/>
      <c r="AD626" s="149"/>
      <c r="AE626" s="149"/>
      <c r="AF626" s="149"/>
    </row>
    <row r="627" spans="2:32" s="148" customFormat="1" hidden="1">
      <c r="B627" s="347"/>
      <c r="C627" s="348"/>
      <c r="D627" s="348"/>
      <c r="E627" s="348"/>
      <c r="F627" s="348"/>
      <c r="G627" s="348"/>
      <c r="H627" s="348"/>
      <c r="I627" s="348"/>
      <c r="J627" s="348"/>
      <c r="K627" s="348"/>
      <c r="L627" s="348"/>
      <c r="M627" s="348"/>
      <c r="N627" s="348"/>
      <c r="O627" s="348"/>
      <c r="P627" s="348"/>
      <c r="Q627" s="348"/>
      <c r="R627" s="348"/>
      <c r="S627" s="348"/>
      <c r="T627" s="348"/>
      <c r="U627" s="348"/>
      <c r="V627" s="348"/>
      <c r="W627" s="348"/>
      <c r="X627" s="348"/>
      <c r="Y627" s="349"/>
      <c r="Z627" s="149"/>
      <c r="AA627" s="149"/>
      <c r="AB627" s="149"/>
      <c r="AC627" s="149"/>
      <c r="AD627" s="149"/>
      <c r="AE627" s="149"/>
      <c r="AF627" s="149"/>
    </row>
    <row r="628" spans="2:32" s="148" customFormat="1" hidden="1">
      <c r="Y628" s="149"/>
      <c r="Z628" s="149"/>
      <c r="AA628" s="149"/>
      <c r="AB628" s="149"/>
      <c r="AC628" s="149"/>
      <c r="AD628" s="149"/>
      <c r="AE628" s="149"/>
      <c r="AF628" s="149"/>
    </row>
    <row r="629" spans="2:32" s="148" customFormat="1" ht="15" hidden="1" customHeight="1">
      <c r="B629" s="320" t="s">
        <v>8</v>
      </c>
      <c r="C629" s="321"/>
      <c r="D629" s="321"/>
      <c r="E629" s="321"/>
      <c r="F629" s="233">
        <f>IF(Settings!$M$4=Settings!$Y$3,Settings!$O$19,1)</f>
        <v>1</v>
      </c>
      <c r="G629" s="234">
        <f>IF(Settings!$M$4=Settings!$Y$3,Settings!$O$19,2)</f>
        <v>2</v>
      </c>
      <c r="H629" s="234">
        <f>IF(Settings!$M$4=Settings!$Y$3,Settings!$O$19,3)</f>
        <v>3</v>
      </c>
      <c r="I629" s="234">
        <f>IF(Settings!$M$4=Settings!$Y$3,Settings!$O$19,4)</f>
        <v>4</v>
      </c>
      <c r="J629" s="234">
        <f>IF(Settings!$M$4=Settings!$Y$3,Settings!$O$20,5)</f>
        <v>5</v>
      </c>
      <c r="K629" s="234">
        <f>IF(Settings!$M$4=Settings!$Y$3,Settings!$O$20,6)</f>
        <v>6</v>
      </c>
      <c r="L629" s="234">
        <f>IF(Settings!$M$4=Settings!$Y$3,Settings!$O$20,7)</f>
        <v>7</v>
      </c>
      <c r="M629" s="234">
        <f>IF(Settings!$M$4=Settings!$Y$3,Settings!$O$20,8)</f>
        <v>8</v>
      </c>
      <c r="N629" s="234">
        <f>IF(Settings!$M$4=Settings!$Y$3,Settings!$O$21,9)</f>
        <v>9</v>
      </c>
      <c r="O629" s="235">
        <f>IF(Settings!$M$4=Settings!$Y$3,Settings!$O$21,10)</f>
        <v>10</v>
      </c>
      <c r="P629" s="22"/>
      <c r="Q629" s="22"/>
      <c r="R629" s="333" t="s">
        <v>24</v>
      </c>
      <c r="S629" s="333"/>
      <c r="T629" s="333"/>
      <c r="U629" s="333"/>
      <c r="V629" s="333"/>
      <c r="W629" s="333"/>
      <c r="X629" s="333"/>
      <c r="Y629" s="334"/>
      <c r="Z629" s="149"/>
      <c r="AA629" s="149"/>
      <c r="AB629" s="149"/>
      <c r="AC629" s="149"/>
      <c r="AD629" s="149"/>
      <c r="AE629" s="149"/>
      <c r="AF629" s="149"/>
    </row>
    <row r="630" spans="2:32" s="148" customFormat="1" ht="15" hidden="1" customHeight="1">
      <c r="B630" s="335" t="str">
        <f t="shared" ref="B630:B649" si="14">B589</f>
        <v>Quality of Work</v>
      </c>
      <c r="C630" s="336"/>
      <c r="D630" s="336"/>
      <c r="E630" s="337"/>
      <c r="F630" s="162" t="str">
        <f>IF(Settings!$M$4=Settings!$Y$3,IF($AA630=1,"P",""),IF($AA630=1,"P",""))</f>
        <v/>
      </c>
      <c r="G630" s="160" t="str">
        <f>IF(Settings!$M$4=Settings!$Y$3,IF($AA630=1,"P",""),IF($AA630=2,"P",""))</f>
        <v/>
      </c>
      <c r="H630" s="160" t="str">
        <f>IF(Settings!$M$4=Settings!$Y$3,IF($AA630=1,"P",""),IF($AA630=3,"P",""))</f>
        <v/>
      </c>
      <c r="I630" s="160" t="str">
        <f>IF(Settings!$M$4=Settings!$Y$3,IF($AA630=1,"P",""),IF($AA630=4,"P",""))</f>
        <v/>
      </c>
      <c r="J630" s="160" t="str">
        <f>IF(Settings!$M$4=Settings!$Y$3,IF($AA630=2,"P",""),IF($AA630=5,"P",""))</f>
        <v/>
      </c>
      <c r="K630" s="160" t="str">
        <f>IF(Settings!$M$4=Settings!$Y$3,IF($AA630=2,"P",""),IF($AA630=6,"P",""))</f>
        <v/>
      </c>
      <c r="L630" s="160" t="str">
        <f>IF(Settings!$M$4=Settings!$Y$3,IF($AA630=2,"P",""),IF($AA630=7,"P",""))</f>
        <v/>
      </c>
      <c r="M630" s="160" t="str">
        <f>IF(Settings!$M$4=Settings!$Y$3,IF($AA630=2,"P",""),IF($AA630=8,"P",""))</f>
        <v/>
      </c>
      <c r="N630" s="160" t="str">
        <f>IF(Settings!$M$4=Settings!$Y$3,IF($AA630=3,"P",""),IF($AA630=9,"P",""))</f>
        <v/>
      </c>
      <c r="O630" s="161" t="str">
        <f>IF(Settings!$M$4=Settings!$Y$3,IF($AA630=3,"P",""),IF($AA630=10,"P",""))</f>
        <v/>
      </c>
      <c r="P630" s="22"/>
      <c r="Q630" s="22"/>
      <c r="R630" s="367" t="e">
        <f>IF(INDEX(TblDatabase[Comment1],MATCH(1,INDEX(($L$4=ListEmployeeNamesInDatabase)*(C622=TblDatabase[Year]),0,1),0))="","",INDEX(TblDatabase[Comment1],MATCH(1,INDEX(($L$4=ListEmployeeNamesInDatabase)*(C622=TblDatabase[Year]),0,1),0)))</f>
        <v>#N/A</v>
      </c>
      <c r="S630" s="367"/>
      <c r="T630" s="367"/>
      <c r="U630" s="367"/>
      <c r="V630" s="367"/>
      <c r="W630" s="367"/>
      <c r="X630" s="367"/>
      <c r="Y630" s="368"/>
      <c r="Z630" s="149"/>
      <c r="AA630" s="151">
        <f>SUMIFS(TblDatabase[Competency1],ListEmployeeNamesInDatabase,$L$4,TblDatabase[Year],C622)</f>
        <v>0</v>
      </c>
      <c r="AB630" s="149"/>
      <c r="AC630" s="149"/>
      <c r="AD630" s="149"/>
      <c r="AE630" s="149"/>
      <c r="AF630" s="149"/>
    </row>
    <row r="631" spans="2:32" s="148" customFormat="1" ht="15" hidden="1" customHeight="1">
      <c r="B631" s="355" t="str">
        <f t="shared" si="14"/>
        <v>CaLL flow</v>
      </c>
      <c r="C631" s="356"/>
      <c r="D631" s="356"/>
      <c r="E631" s="357"/>
      <c r="F631" s="163" t="str">
        <f>IF(Settings!$M$4=Settings!$Y$3,IF($AA631=1,"P",""),IF($AA631=1,"P",""))</f>
        <v/>
      </c>
      <c r="G631" s="164" t="str">
        <f>IF(Settings!$M$4=Settings!$Y$3,IF($AA631=1,"P",""),IF($AA631=2,"P",""))</f>
        <v/>
      </c>
      <c r="H631" s="164" t="str">
        <f>IF(Settings!$M$4=Settings!$Y$3,IF($AA631=1,"P",""),IF($AA631=3,"P",""))</f>
        <v/>
      </c>
      <c r="I631" s="164" t="str">
        <f>IF(Settings!$M$4=Settings!$Y$3,IF($AA631=1,"P",""),IF($AA631=4,"P",""))</f>
        <v/>
      </c>
      <c r="J631" s="164" t="str">
        <f>IF(Settings!$M$4=Settings!$Y$3,IF($AA631=2,"P",""),IF($AA631=5,"P",""))</f>
        <v/>
      </c>
      <c r="K631" s="164" t="str">
        <f>IF(Settings!$M$4=Settings!$Y$3,IF($AA631=2,"P",""),IF($AA631=6,"P",""))</f>
        <v/>
      </c>
      <c r="L631" s="164" t="str">
        <f>IF(Settings!$M$4=Settings!$Y$3,IF($AA631=2,"P",""),IF($AA631=7,"P",""))</f>
        <v/>
      </c>
      <c r="M631" s="164" t="str">
        <f>IF(Settings!$M$4=Settings!$Y$3,IF($AA631=2,"P",""),IF($AA631=8,"P",""))</f>
        <v/>
      </c>
      <c r="N631" s="164" t="str">
        <f>IF(Settings!$M$4=Settings!$Y$3,IF($AA631=3,"P",""),IF($AA631=9,"P",""))</f>
        <v/>
      </c>
      <c r="O631" s="165" t="str">
        <f>IF(Settings!$M$4=Settings!$Y$3,IF($AA631=3,"P",""),IF($AA631=10,"P",""))</f>
        <v/>
      </c>
      <c r="P631" s="22"/>
      <c r="Q631" s="22"/>
      <c r="R631" s="360" t="e">
        <f>IF(INDEX(TblDatabase[Comment2],MATCH(1,INDEX(($L$4=ListEmployeeNamesInDatabase)*(C622=TblDatabase[Year]),0,1),0))="","",INDEX(TblDatabase[Comment2],MATCH(1,INDEX(($L$4=ListEmployeeNamesInDatabase)*(C622=TblDatabase[Year]),0,1),0)))</f>
        <v>#N/A</v>
      </c>
      <c r="S631" s="360"/>
      <c r="T631" s="360"/>
      <c r="U631" s="360"/>
      <c r="V631" s="360"/>
      <c r="W631" s="360"/>
      <c r="X631" s="360"/>
      <c r="Y631" s="361"/>
      <c r="Z631" s="149"/>
      <c r="AA631" s="151">
        <f>SUMIFS(TblDatabase[Competency2],ListEmployeeNamesInDatabase,$L$4,TblDatabase[Year],C622)</f>
        <v>0</v>
      </c>
      <c r="AB631" s="149"/>
      <c r="AC631" s="149"/>
      <c r="AD631" s="149"/>
      <c r="AE631" s="149"/>
      <c r="AF631" s="149"/>
    </row>
    <row r="632" spans="2:32" s="148" customFormat="1" ht="15" hidden="1" customHeight="1">
      <c r="B632" s="350" t="str">
        <f t="shared" si="14"/>
        <v>Job Knowledge</v>
      </c>
      <c r="C632" s="351"/>
      <c r="D632" s="351"/>
      <c r="E632" s="352"/>
      <c r="F632" s="157" t="str">
        <f>IF(Settings!$M$4=Settings!$Y$3,IF($AA632=1,"P",""),IF($AA632=1,"P",""))</f>
        <v/>
      </c>
      <c r="G632" s="158" t="str">
        <f>IF(Settings!$M$4=Settings!$Y$3,IF($AA632=1,"P",""),IF($AA632=2,"P",""))</f>
        <v/>
      </c>
      <c r="H632" s="158" t="str">
        <f>IF(Settings!$M$4=Settings!$Y$3,IF($AA632=1,"P",""),IF($AA632=3,"P",""))</f>
        <v/>
      </c>
      <c r="I632" s="158" t="str">
        <f>IF(Settings!$M$4=Settings!$Y$3,IF($AA632=1,"P",""),IF($AA632=4,"P",""))</f>
        <v/>
      </c>
      <c r="J632" s="158" t="str">
        <f>IF(Settings!$M$4=Settings!$Y$3,IF($AA632=2,"P",""),IF($AA632=5,"P",""))</f>
        <v/>
      </c>
      <c r="K632" s="158" t="str">
        <f>IF(Settings!$M$4=Settings!$Y$3,IF($AA632=2,"P",""),IF($AA632=6,"P",""))</f>
        <v/>
      </c>
      <c r="L632" s="158" t="str">
        <f>IF(Settings!$M$4=Settings!$Y$3,IF($AA632=2,"P",""),IF($AA632=7,"P",""))</f>
        <v/>
      </c>
      <c r="M632" s="158" t="str">
        <f>IF(Settings!$M$4=Settings!$Y$3,IF($AA632=2,"P",""),IF($AA632=8,"P",""))</f>
        <v/>
      </c>
      <c r="N632" s="158" t="str">
        <f>IF(Settings!$M$4=Settings!$Y$3,IF($AA632=3,"P",""),IF($AA632=9,"P",""))</f>
        <v/>
      </c>
      <c r="O632" s="159" t="str">
        <f>IF(Settings!$M$4=Settings!$Y$3,IF($AA632=3,"P",""),IF($AA632=10,"P",""))</f>
        <v/>
      </c>
      <c r="P632" s="22"/>
      <c r="Q632" s="22"/>
      <c r="R632" s="353" t="e">
        <f>IF(INDEX(TblDatabase[Comment3],MATCH(1,INDEX(($L$4=ListEmployeeNamesInDatabase)*(C622=TblDatabase[Year]),0,1),0))="","",INDEX(TblDatabase[Comment3],MATCH(1,INDEX(($L$4=ListEmployeeNamesInDatabase)*(C622=TblDatabase[Year]),0,1),0)))</f>
        <v>#N/A</v>
      </c>
      <c r="S632" s="353"/>
      <c r="T632" s="353"/>
      <c r="U632" s="353"/>
      <c r="V632" s="353"/>
      <c r="W632" s="353"/>
      <c r="X632" s="353"/>
      <c r="Y632" s="354"/>
      <c r="Z632" s="149"/>
      <c r="AA632" s="151">
        <f>SUMIFS(TblDatabase[Competency3],ListEmployeeNamesInDatabase,$L$4,TblDatabase[Year],C622)</f>
        <v>0</v>
      </c>
      <c r="AB632" s="149"/>
      <c r="AC632" s="149"/>
      <c r="AD632" s="149"/>
      <c r="AE632" s="149"/>
      <c r="AF632" s="149"/>
    </row>
    <row r="633" spans="2:32" s="148" customFormat="1" ht="15" hidden="1" customHeight="1">
      <c r="B633" s="355" t="str">
        <f t="shared" si="14"/>
        <v>Client Service</v>
      </c>
      <c r="C633" s="356"/>
      <c r="D633" s="356"/>
      <c r="E633" s="357"/>
      <c r="F633" s="163" t="str">
        <f>IF(Settings!$M$4=Settings!$Y$3,IF($AA633=1,"P",""),IF($AA633=1,"P",""))</f>
        <v/>
      </c>
      <c r="G633" s="164" t="str">
        <f>IF(Settings!$M$4=Settings!$Y$3,IF($AA633=1,"P",""),IF($AA633=2,"P",""))</f>
        <v/>
      </c>
      <c r="H633" s="164" t="str">
        <f>IF(Settings!$M$4=Settings!$Y$3,IF($AA633=1,"P",""),IF($AA633=3,"P",""))</f>
        <v/>
      </c>
      <c r="I633" s="164" t="str">
        <f>IF(Settings!$M$4=Settings!$Y$3,IF($AA633=1,"P",""),IF($AA633=4,"P",""))</f>
        <v/>
      </c>
      <c r="J633" s="164" t="str">
        <f>IF(Settings!$M$4=Settings!$Y$3,IF($AA633=2,"P",""),IF($AA633=5,"P",""))</f>
        <v/>
      </c>
      <c r="K633" s="164" t="str">
        <f>IF(Settings!$M$4=Settings!$Y$3,IF($AA633=2,"P",""),IF($AA633=6,"P",""))</f>
        <v/>
      </c>
      <c r="L633" s="164" t="str">
        <f>IF(Settings!$M$4=Settings!$Y$3,IF($AA633=2,"P",""),IF($AA633=7,"P",""))</f>
        <v/>
      </c>
      <c r="M633" s="164" t="str">
        <f>IF(Settings!$M$4=Settings!$Y$3,IF($AA633=2,"P",""),IF($AA633=8,"P",""))</f>
        <v/>
      </c>
      <c r="N633" s="164" t="str">
        <f>IF(Settings!$M$4=Settings!$Y$3,IF($AA633=3,"P",""),IF($AA633=9,"P",""))</f>
        <v/>
      </c>
      <c r="O633" s="165" t="str">
        <f>IF(Settings!$M$4=Settings!$Y$3,IF($AA633=3,"P",""),IF($AA633=10,"P",""))</f>
        <v/>
      </c>
      <c r="P633" s="22"/>
      <c r="Q633" s="22"/>
      <c r="R633" s="360" t="e">
        <f>IF(INDEX(TblDatabase[Comment4],MATCH(1,INDEX(($L$4=ListEmployeeNamesInDatabase)*(C622=TblDatabase[Year]),0,1),0))="","",INDEX(TblDatabase[Comment4],MATCH(1,INDEX(($L$4=ListEmployeeNamesInDatabase)*(C622=TblDatabase[Year]),0,1),0)))</f>
        <v>#N/A</v>
      </c>
      <c r="S633" s="360"/>
      <c r="T633" s="360"/>
      <c r="U633" s="360"/>
      <c r="V633" s="360"/>
      <c r="W633" s="360"/>
      <c r="X633" s="360"/>
      <c r="Y633" s="361"/>
      <c r="Z633" s="149"/>
      <c r="AA633" s="151">
        <f>SUMIFS(TblDatabase[Competency4],ListEmployeeNamesInDatabase,$L$4,TblDatabase[Year],C622)</f>
        <v>0</v>
      </c>
      <c r="AB633" s="149"/>
      <c r="AC633" s="149"/>
      <c r="AD633" s="149"/>
      <c r="AE633" s="149"/>
      <c r="AF633" s="149"/>
    </row>
    <row r="634" spans="2:32" s="148" customFormat="1" ht="15" hidden="1" customHeight="1">
      <c r="B634" s="350" t="str">
        <f t="shared" si="14"/>
        <v>Teamwork</v>
      </c>
      <c r="C634" s="351"/>
      <c r="D634" s="351"/>
      <c r="E634" s="352"/>
      <c r="F634" s="157" t="str">
        <f>IF(Settings!$M$4=Settings!$Y$3,IF($AA634=1,"P",""),IF($AA634=1,"P",""))</f>
        <v/>
      </c>
      <c r="G634" s="158" t="str">
        <f>IF(Settings!$M$4=Settings!$Y$3,IF($AA634=1,"P",""),IF($AA634=2,"P",""))</f>
        <v/>
      </c>
      <c r="H634" s="158" t="str">
        <f>IF(Settings!$M$4=Settings!$Y$3,IF($AA634=1,"P",""),IF($AA634=3,"P",""))</f>
        <v/>
      </c>
      <c r="I634" s="158" t="str">
        <f>IF(Settings!$M$4=Settings!$Y$3,IF($AA634=1,"P",""),IF($AA634=4,"P",""))</f>
        <v/>
      </c>
      <c r="J634" s="158" t="str">
        <f>IF(Settings!$M$4=Settings!$Y$3,IF($AA634=2,"P",""),IF($AA634=5,"P",""))</f>
        <v/>
      </c>
      <c r="K634" s="158" t="str">
        <f>IF(Settings!$M$4=Settings!$Y$3,IF($AA634=2,"P",""),IF($AA634=6,"P",""))</f>
        <v/>
      </c>
      <c r="L634" s="158" t="str">
        <f>IF(Settings!$M$4=Settings!$Y$3,IF($AA634=2,"P",""),IF($AA634=7,"P",""))</f>
        <v/>
      </c>
      <c r="M634" s="158" t="str">
        <f>IF(Settings!$M$4=Settings!$Y$3,IF($AA634=2,"P",""),IF($AA634=8,"P",""))</f>
        <v/>
      </c>
      <c r="N634" s="158" t="str">
        <f>IF(Settings!$M$4=Settings!$Y$3,IF($AA634=3,"P",""),IF($AA634=9,"P",""))</f>
        <v/>
      </c>
      <c r="O634" s="159" t="str">
        <f>IF(Settings!$M$4=Settings!$Y$3,IF($AA634=3,"P",""),IF($AA634=10,"P",""))</f>
        <v/>
      </c>
      <c r="P634" s="22"/>
      <c r="Q634" s="22"/>
      <c r="R634" s="353" t="e">
        <f>IF(INDEX(TblDatabase[Comment5],MATCH(1,INDEX(($L$4=ListEmployeeNamesInDatabase)*(C622=TblDatabase[Year]),0,1),0))="","",INDEX(TblDatabase[Comment5],MATCH(1,INDEX(($L$4=ListEmployeeNamesInDatabase)*(C622=TblDatabase[Year]),0,1),0)))</f>
        <v>#N/A</v>
      </c>
      <c r="S634" s="353"/>
      <c r="T634" s="353"/>
      <c r="U634" s="353"/>
      <c r="V634" s="353"/>
      <c r="W634" s="353"/>
      <c r="X634" s="353"/>
      <c r="Y634" s="354"/>
      <c r="Z634" s="149"/>
      <c r="AA634" s="151">
        <f>SUMIFS(TblDatabase[Competency5],ListEmployeeNamesInDatabase,$L$4,TblDatabase[Year],C622)</f>
        <v>0</v>
      </c>
      <c r="AB634" s="149"/>
      <c r="AC634" s="149"/>
      <c r="AD634" s="149"/>
      <c r="AE634" s="149"/>
      <c r="AF634" s="149"/>
    </row>
    <row r="635" spans="2:32" s="148" customFormat="1" ht="15" hidden="1" customHeight="1">
      <c r="B635" s="355" t="str">
        <f t="shared" si="14"/>
        <v>Safety</v>
      </c>
      <c r="C635" s="356"/>
      <c r="D635" s="356"/>
      <c r="E635" s="357"/>
      <c r="F635" s="163" t="str">
        <f>IF(Settings!$M$4=Settings!$Y$3,IF($AA635=1,"P",""),IF($AA635=1,"P",""))</f>
        <v/>
      </c>
      <c r="G635" s="164" t="str">
        <f>IF(Settings!$M$4=Settings!$Y$3,IF($AA635=1,"P",""),IF($AA635=2,"P",""))</f>
        <v/>
      </c>
      <c r="H635" s="164" t="str">
        <f>IF(Settings!$M$4=Settings!$Y$3,IF($AA635=1,"P",""),IF($AA635=3,"P",""))</f>
        <v/>
      </c>
      <c r="I635" s="164" t="str">
        <f>IF(Settings!$M$4=Settings!$Y$3,IF($AA635=1,"P",""),IF($AA635=4,"P",""))</f>
        <v/>
      </c>
      <c r="J635" s="164" t="str">
        <f>IF(Settings!$M$4=Settings!$Y$3,IF($AA635=2,"P",""),IF($AA635=5,"P",""))</f>
        <v/>
      </c>
      <c r="K635" s="164" t="str">
        <f>IF(Settings!$M$4=Settings!$Y$3,IF($AA635=2,"P",""),IF($AA635=6,"P",""))</f>
        <v/>
      </c>
      <c r="L635" s="164" t="str">
        <f>IF(Settings!$M$4=Settings!$Y$3,IF($AA635=2,"P",""),IF($AA635=7,"P",""))</f>
        <v/>
      </c>
      <c r="M635" s="164" t="str">
        <f>IF(Settings!$M$4=Settings!$Y$3,IF($AA635=2,"P",""),IF($AA635=8,"P",""))</f>
        <v/>
      </c>
      <c r="N635" s="164" t="str">
        <f>IF(Settings!$M$4=Settings!$Y$3,IF($AA635=3,"P",""),IF($AA635=9,"P",""))</f>
        <v/>
      </c>
      <c r="O635" s="165" t="str">
        <f>IF(Settings!$M$4=Settings!$Y$3,IF($AA635=3,"P",""),IF($AA635=10,"P",""))</f>
        <v/>
      </c>
      <c r="P635" s="22"/>
      <c r="Q635" s="22"/>
      <c r="R635" s="360" t="e">
        <f>IF(INDEX(TblDatabase[Comment6],MATCH(1,INDEX(($L$4=ListEmployeeNamesInDatabase)*(C622=TblDatabase[Year]),0,1),0))="","",INDEX(TblDatabase[Comment6],MATCH(1,INDEX(($L$4=ListEmployeeNamesInDatabase)*(C622=TblDatabase[Year]),0,1),0)))</f>
        <v>#N/A</v>
      </c>
      <c r="S635" s="360"/>
      <c r="T635" s="360"/>
      <c r="U635" s="360"/>
      <c r="V635" s="360"/>
      <c r="W635" s="360"/>
      <c r="X635" s="360"/>
      <c r="Y635" s="361"/>
      <c r="Z635" s="149"/>
      <c r="AA635" s="151">
        <f>SUMIFS(TblDatabase[Competency6],ListEmployeeNamesInDatabase,$L$4,TblDatabase[Year],C622)</f>
        <v>0</v>
      </c>
      <c r="AB635" s="149"/>
      <c r="AC635" s="149"/>
      <c r="AD635" s="149"/>
      <c r="AE635" s="149"/>
      <c r="AF635" s="149"/>
    </row>
    <row r="636" spans="2:32" s="148" customFormat="1" ht="15" hidden="1" customHeight="1">
      <c r="B636" s="350" t="str">
        <f t="shared" si="14"/>
        <v>Reliability</v>
      </c>
      <c r="C636" s="351"/>
      <c r="D636" s="351"/>
      <c r="E636" s="352"/>
      <c r="F636" s="157" t="str">
        <f>IF(Settings!$M$4=Settings!$Y$3,IF($AA636=1,"P",""),IF($AA636=1,"P",""))</f>
        <v/>
      </c>
      <c r="G636" s="158" t="str">
        <f>IF(Settings!$M$4=Settings!$Y$3,IF($AA636=1,"P",""),IF($AA636=2,"P",""))</f>
        <v/>
      </c>
      <c r="H636" s="158" t="str">
        <f>IF(Settings!$M$4=Settings!$Y$3,IF($AA636=1,"P",""),IF($AA636=3,"P",""))</f>
        <v/>
      </c>
      <c r="I636" s="158" t="str">
        <f>IF(Settings!$M$4=Settings!$Y$3,IF($AA636=1,"P",""),IF($AA636=4,"P",""))</f>
        <v/>
      </c>
      <c r="J636" s="158" t="str">
        <f>IF(Settings!$M$4=Settings!$Y$3,IF($AA636=2,"P",""),IF($AA636=5,"P",""))</f>
        <v/>
      </c>
      <c r="K636" s="158" t="str">
        <f>IF(Settings!$M$4=Settings!$Y$3,IF($AA636=2,"P",""),IF($AA636=6,"P",""))</f>
        <v/>
      </c>
      <c r="L636" s="158" t="str">
        <f>IF(Settings!$M$4=Settings!$Y$3,IF($AA636=2,"P",""),IF($AA636=7,"P",""))</f>
        <v/>
      </c>
      <c r="M636" s="158" t="str">
        <f>IF(Settings!$M$4=Settings!$Y$3,IF($AA636=2,"P",""),IF($AA636=8,"P",""))</f>
        <v/>
      </c>
      <c r="N636" s="158" t="str">
        <f>IF(Settings!$M$4=Settings!$Y$3,IF($AA636=3,"P",""),IF($AA636=9,"P",""))</f>
        <v/>
      </c>
      <c r="O636" s="159" t="str">
        <f>IF(Settings!$M$4=Settings!$Y$3,IF($AA636=3,"P",""),IF($AA636=10,"P",""))</f>
        <v/>
      </c>
      <c r="P636" s="22"/>
      <c r="Q636" s="22"/>
      <c r="R636" s="353" t="e">
        <f>IF(INDEX(TblDatabase[Comment7],MATCH(1,INDEX(($L$4=ListEmployeeNamesInDatabase)*(C622=TblDatabase[Year]),0,1),0))="","",INDEX(TblDatabase[Comment7],MATCH(1,INDEX(($L$4=ListEmployeeNamesInDatabase)*(C622=TblDatabase[Year]),0,1),0)))</f>
        <v>#N/A</v>
      </c>
      <c r="S636" s="353"/>
      <c r="T636" s="353"/>
      <c r="U636" s="353"/>
      <c r="V636" s="353"/>
      <c r="W636" s="353"/>
      <c r="X636" s="353"/>
      <c r="Y636" s="354"/>
      <c r="Z636" s="149"/>
      <c r="AA636" s="151">
        <f>SUMIFS(TblDatabase[Competency7],ListEmployeeNamesInDatabase,$L$4,TblDatabase[Year],C622)</f>
        <v>0</v>
      </c>
      <c r="AB636" s="149"/>
      <c r="AC636" s="149"/>
      <c r="AD636" s="149"/>
      <c r="AE636" s="149"/>
      <c r="AF636" s="149"/>
    </row>
    <row r="637" spans="2:32" s="148" customFormat="1" ht="15" hidden="1" customHeight="1">
      <c r="B637" s="355" t="str">
        <f t="shared" si="14"/>
        <v>Initiative/Adaptability</v>
      </c>
      <c r="C637" s="356"/>
      <c r="D637" s="356"/>
      <c r="E637" s="357"/>
      <c r="F637" s="163" t="str">
        <f>IF(Settings!$M$4=Settings!$Y$3,IF($AA637=1,"P",""),IF($AA637=1,"P",""))</f>
        <v/>
      </c>
      <c r="G637" s="164" t="str">
        <f>IF(Settings!$M$4=Settings!$Y$3,IF($AA637=1,"P",""),IF($AA637=2,"P",""))</f>
        <v/>
      </c>
      <c r="H637" s="164" t="str">
        <f>IF(Settings!$M$4=Settings!$Y$3,IF($AA637=1,"P",""),IF($AA637=3,"P",""))</f>
        <v/>
      </c>
      <c r="I637" s="164" t="str">
        <f>IF(Settings!$M$4=Settings!$Y$3,IF($AA637=1,"P",""),IF($AA637=4,"P",""))</f>
        <v/>
      </c>
      <c r="J637" s="164" t="str">
        <f>IF(Settings!$M$4=Settings!$Y$3,IF($AA637=2,"P",""),IF($AA637=5,"P",""))</f>
        <v/>
      </c>
      <c r="K637" s="164" t="str">
        <f>IF(Settings!$M$4=Settings!$Y$3,IF($AA637=2,"P",""),IF($AA637=6,"P",""))</f>
        <v/>
      </c>
      <c r="L637" s="164" t="str">
        <f>IF(Settings!$M$4=Settings!$Y$3,IF($AA637=2,"P",""),IF($AA637=7,"P",""))</f>
        <v/>
      </c>
      <c r="M637" s="164" t="str">
        <f>IF(Settings!$M$4=Settings!$Y$3,IF($AA637=2,"P",""),IF($AA637=8,"P",""))</f>
        <v/>
      </c>
      <c r="N637" s="164" t="str">
        <f>IF(Settings!$M$4=Settings!$Y$3,IF($AA637=3,"P",""),IF($AA637=9,"P",""))</f>
        <v/>
      </c>
      <c r="O637" s="165" t="str">
        <f>IF(Settings!$M$4=Settings!$Y$3,IF($AA637=3,"P",""),IF($AA637=10,"P",""))</f>
        <v/>
      </c>
      <c r="P637" s="22"/>
      <c r="Q637" s="22"/>
      <c r="R637" s="360" t="e">
        <f>IF(INDEX(TblDatabase[Comment8],MATCH(1,INDEX(($L$4=ListEmployeeNamesInDatabase)*(C622=TblDatabase[Year]),0,1),0))="","",INDEX(TblDatabase[Comment8],MATCH(1,INDEX(($L$4=ListEmployeeNamesInDatabase)*(C622=TblDatabase[Year]),0,1),0)))</f>
        <v>#N/A</v>
      </c>
      <c r="S637" s="360"/>
      <c r="T637" s="360"/>
      <c r="U637" s="360"/>
      <c r="V637" s="360"/>
      <c r="W637" s="360"/>
      <c r="X637" s="360"/>
      <c r="Y637" s="361"/>
      <c r="Z637" s="149"/>
      <c r="AA637" s="151">
        <f>SUMIFS(TblDatabase[Competency8],ListEmployeeNamesInDatabase,$L$4,TblDatabase[Year],C622)</f>
        <v>0</v>
      </c>
      <c r="AB637" s="149"/>
      <c r="AC637" s="149"/>
      <c r="AD637" s="149"/>
      <c r="AE637" s="149"/>
      <c r="AF637" s="149"/>
    </row>
    <row r="638" spans="2:32" s="148" customFormat="1" ht="15" hidden="1" customHeight="1">
      <c r="B638" s="350" t="str">
        <f t="shared" si="14"/>
        <v/>
      </c>
      <c r="C638" s="351"/>
      <c r="D638" s="351"/>
      <c r="E638" s="352"/>
      <c r="F638" s="157" t="str">
        <f>IF(Settings!$M$4=Settings!$Y$3,IF($AA638=1,"P",""),IF($AA638=1,"P",""))</f>
        <v/>
      </c>
      <c r="G638" s="158" t="str">
        <f>IF(Settings!$M$4=Settings!$Y$3,IF($AA638=1,"P",""),IF($AA638=2,"P",""))</f>
        <v/>
      </c>
      <c r="H638" s="158" t="str">
        <f>IF(Settings!$M$4=Settings!$Y$3,IF($AA638=1,"P",""),IF($AA638=3,"P",""))</f>
        <v/>
      </c>
      <c r="I638" s="158" t="str">
        <f>IF(Settings!$M$4=Settings!$Y$3,IF($AA638=1,"P",""),IF($AA638=4,"P",""))</f>
        <v/>
      </c>
      <c r="J638" s="158" t="str">
        <f>IF(Settings!$M$4=Settings!$Y$3,IF($AA638=2,"P",""),IF($AA638=5,"P",""))</f>
        <v/>
      </c>
      <c r="K638" s="158" t="str">
        <f>IF(Settings!$M$4=Settings!$Y$3,IF($AA638=2,"P",""),IF($AA638=6,"P",""))</f>
        <v/>
      </c>
      <c r="L638" s="158" t="str">
        <f>IF(Settings!$M$4=Settings!$Y$3,IF($AA638=2,"P",""),IF($AA638=7,"P",""))</f>
        <v/>
      </c>
      <c r="M638" s="158" t="str">
        <f>IF(Settings!$M$4=Settings!$Y$3,IF($AA638=2,"P",""),IF($AA638=8,"P",""))</f>
        <v/>
      </c>
      <c r="N638" s="158" t="str">
        <f>IF(Settings!$M$4=Settings!$Y$3,IF($AA638=3,"P",""),IF($AA638=9,"P",""))</f>
        <v/>
      </c>
      <c r="O638" s="159" t="str">
        <f>IF(Settings!$M$4=Settings!$Y$3,IF($AA638=3,"P",""),IF($AA638=10,"P",""))</f>
        <v/>
      </c>
      <c r="P638" s="22"/>
      <c r="Q638" s="22"/>
      <c r="R638" s="353" t="e">
        <f>IF(INDEX(TblDatabase[Comment9],MATCH(1,INDEX(($L$4=ListEmployeeNamesInDatabase)*(C622=TblDatabase[Year]),0,1),0))="","",INDEX(TblDatabase[Comment9],MATCH(1,INDEX(($L$4=ListEmployeeNamesInDatabase)*(C622=TblDatabase[Year]),0,1),0)))</f>
        <v>#N/A</v>
      </c>
      <c r="S638" s="353"/>
      <c r="T638" s="353"/>
      <c r="U638" s="353"/>
      <c r="V638" s="353"/>
      <c r="W638" s="353"/>
      <c r="X638" s="353"/>
      <c r="Y638" s="354"/>
      <c r="Z638" s="149"/>
      <c r="AA638" s="151">
        <f>SUMIFS(TblDatabase[Competency9],ListEmployeeNamesInDatabase,$L$4,TblDatabase[Year],C622)</f>
        <v>0</v>
      </c>
      <c r="AB638" s="149"/>
      <c r="AC638" s="149"/>
      <c r="AD638" s="149"/>
      <c r="AE638" s="149"/>
      <c r="AF638" s="149"/>
    </row>
    <row r="639" spans="2:32" s="148" customFormat="1" ht="15" hidden="1" customHeight="1">
      <c r="B639" s="355" t="str">
        <f t="shared" si="14"/>
        <v/>
      </c>
      <c r="C639" s="356"/>
      <c r="D639" s="356"/>
      <c r="E639" s="357"/>
      <c r="F639" s="163" t="str">
        <f>IF(Settings!$M$4=Settings!$Y$3,IF($AA639=1,"P",""),IF($AA639=1,"P",""))</f>
        <v/>
      </c>
      <c r="G639" s="164" t="str">
        <f>IF(Settings!$M$4=Settings!$Y$3,IF($AA639=1,"P",""),IF($AA639=2,"P",""))</f>
        <v/>
      </c>
      <c r="H639" s="164" t="str">
        <f>IF(Settings!$M$4=Settings!$Y$3,IF($AA639=1,"P",""),IF($AA639=3,"P",""))</f>
        <v/>
      </c>
      <c r="I639" s="164" t="str">
        <f>IF(Settings!$M$4=Settings!$Y$3,IF($AA639=1,"P",""),IF($AA639=4,"P",""))</f>
        <v/>
      </c>
      <c r="J639" s="164" t="str">
        <f>IF(Settings!$M$4=Settings!$Y$3,IF($AA639=2,"P",""),IF($AA639=5,"P",""))</f>
        <v/>
      </c>
      <c r="K639" s="164" t="str">
        <f>IF(Settings!$M$4=Settings!$Y$3,IF($AA639=2,"P",""),IF($AA639=6,"P",""))</f>
        <v/>
      </c>
      <c r="L639" s="164" t="str">
        <f>IF(Settings!$M$4=Settings!$Y$3,IF($AA639=2,"P",""),IF($AA639=7,"P",""))</f>
        <v/>
      </c>
      <c r="M639" s="164" t="str">
        <f>IF(Settings!$M$4=Settings!$Y$3,IF($AA639=2,"P",""),IF($AA639=8,"P",""))</f>
        <v/>
      </c>
      <c r="N639" s="164" t="str">
        <f>IF(Settings!$M$4=Settings!$Y$3,IF($AA639=3,"P",""),IF($AA639=9,"P",""))</f>
        <v/>
      </c>
      <c r="O639" s="165" t="str">
        <f>IF(Settings!$M$4=Settings!$Y$3,IF($AA639=3,"P",""),IF($AA639=10,"P",""))</f>
        <v/>
      </c>
      <c r="P639" s="22"/>
      <c r="Q639" s="22"/>
      <c r="R639" s="360" t="e">
        <f>IF(INDEX(TblDatabase[Comment10],MATCH(1,INDEX(($L$4=ListEmployeeNamesInDatabase)*(C622=TblDatabase[Year]),0,1),0))="","",INDEX(TblDatabase[Comment10],MATCH(1,INDEX(($L$4=ListEmployeeNamesInDatabase)*(C622=TblDatabase[Year]),0,1),0)))</f>
        <v>#N/A</v>
      </c>
      <c r="S639" s="360"/>
      <c r="T639" s="360"/>
      <c r="U639" s="360"/>
      <c r="V639" s="360"/>
      <c r="W639" s="360"/>
      <c r="X639" s="360"/>
      <c r="Y639" s="361"/>
      <c r="Z639" s="149"/>
      <c r="AA639" s="151">
        <f>SUMIFS(TblDatabase[Competency10],ListEmployeeNamesInDatabase,$L$4,TblDatabase[Year],C622)</f>
        <v>0</v>
      </c>
      <c r="AB639" s="149"/>
      <c r="AC639" s="149"/>
      <c r="AD639" s="149"/>
      <c r="AE639" s="149"/>
      <c r="AF639" s="149"/>
    </row>
    <row r="640" spans="2:32" s="148" customFormat="1" ht="15" hidden="1" customHeight="1">
      <c r="B640" s="350" t="str">
        <f t="shared" si="14"/>
        <v/>
      </c>
      <c r="C640" s="351"/>
      <c r="D640" s="351"/>
      <c r="E640" s="352"/>
      <c r="F640" s="157" t="str">
        <f>IF(Settings!$M$4=Settings!$Y$3,IF($AA640=1,"P",""),IF($AA640=1,"P",""))</f>
        <v/>
      </c>
      <c r="G640" s="158" t="str">
        <f>IF(Settings!$M$4=Settings!$Y$3,IF($AA640=1,"P",""),IF($AA640=2,"P",""))</f>
        <v/>
      </c>
      <c r="H640" s="158" t="str">
        <f>IF(Settings!$M$4=Settings!$Y$3,IF($AA640=1,"P",""),IF($AA640=3,"P",""))</f>
        <v/>
      </c>
      <c r="I640" s="158" t="str">
        <f>IF(Settings!$M$4=Settings!$Y$3,IF($AA640=1,"P",""),IF($AA640=4,"P",""))</f>
        <v/>
      </c>
      <c r="J640" s="158" t="str">
        <f>IF(Settings!$M$4=Settings!$Y$3,IF($AA640=2,"P",""),IF($AA640=5,"P",""))</f>
        <v/>
      </c>
      <c r="K640" s="158" t="str">
        <f>IF(Settings!$M$4=Settings!$Y$3,IF($AA640=2,"P",""),IF($AA640=6,"P",""))</f>
        <v/>
      </c>
      <c r="L640" s="158" t="str">
        <f>IF(Settings!$M$4=Settings!$Y$3,IF($AA640=2,"P",""),IF($AA640=7,"P",""))</f>
        <v/>
      </c>
      <c r="M640" s="158" t="str">
        <f>IF(Settings!$M$4=Settings!$Y$3,IF($AA640=2,"P",""),IF($AA640=8,"P",""))</f>
        <v/>
      </c>
      <c r="N640" s="158" t="str">
        <f>IF(Settings!$M$4=Settings!$Y$3,IF($AA640=3,"P",""),IF($AA640=9,"P",""))</f>
        <v/>
      </c>
      <c r="O640" s="159" t="str">
        <f>IF(Settings!$M$4=Settings!$Y$3,IF($AA640=3,"P",""),IF($AA640=10,"P",""))</f>
        <v/>
      </c>
      <c r="P640" s="22"/>
      <c r="Q640" s="22"/>
      <c r="R640" s="353" t="e">
        <f>IF(INDEX(TblDatabase[Comment11],MATCH(1,INDEX(($L$4=ListEmployeeNamesInDatabase)*(C622=TblDatabase[Year]),0,1),0))="","",INDEX(TblDatabase[Comment11],MATCH(1,INDEX(($L$4=ListEmployeeNamesInDatabase)*(C622=TblDatabase[Year]),0,1),0)))</f>
        <v>#N/A</v>
      </c>
      <c r="S640" s="353"/>
      <c r="T640" s="353"/>
      <c r="U640" s="353"/>
      <c r="V640" s="353"/>
      <c r="W640" s="353"/>
      <c r="X640" s="353"/>
      <c r="Y640" s="354"/>
      <c r="Z640" s="149"/>
      <c r="AA640" s="151">
        <f>SUMIFS(TblDatabase[Competency11],ListEmployeeNamesInDatabase,$L$4,TblDatabase[Year],C622)</f>
        <v>0</v>
      </c>
      <c r="AB640" s="149"/>
      <c r="AC640" s="149"/>
      <c r="AD640" s="149"/>
      <c r="AE640" s="149"/>
      <c r="AF640" s="149"/>
    </row>
    <row r="641" spans="2:32" s="148" customFormat="1" ht="15" hidden="1" customHeight="1">
      <c r="B641" s="355" t="str">
        <f t="shared" si="14"/>
        <v/>
      </c>
      <c r="C641" s="356"/>
      <c r="D641" s="356"/>
      <c r="E641" s="357"/>
      <c r="F641" s="163" t="str">
        <f>IF(Settings!$M$4=Settings!$Y$3,IF($AA641=1,"P",""),IF($AA641=1,"P",""))</f>
        <v/>
      </c>
      <c r="G641" s="164" t="str">
        <f>IF(Settings!$M$4=Settings!$Y$3,IF($AA641=1,"P",""),IF($AA641=2,"P",""))</f>
        <v/>
      </c>
      <c r="H641" s="164" t="str">
        <f>IF(Settings!$M$4=Settings!$Y$3,IF($AA641=1,"P",""),IF($AA641=3,"P",""))</f>
        <v/>
      </c>
      <c r="I641" s="164" t="str">
        <f>IF(Settings!$M$4=Settings!$Y$3,IF($AA641=1,"P",""),IF($AA641=4,"P",""))</f>
        <v/>
      </c>
      <c r="J641" s="164" t="str">
        <f>IF(Settings!$M$4=Settings!$Y$3,IF($AA641=2,"P",""),IF($AA641=5,"P",""))</f>
        <v/>
      </c>
      <c r="K641" s="164" t="str">
        <f>IF(Settings!$M$4=Settings!$Y$3,IF($AA641=2,"P",""),IF($AA641=6,"P",""))</f>
        <v/>
      </c>
      <c r="L641" s="164" t="str">
        <f>IF(Settings!$M$4=Settings!$Y$3,IF($AA641=2,"P",""),IF($AA641=7,"P",""))</f>
        <v/>
      </c>
      <c r="M641" s="164" t="str">
        <f>IF(Settings!$M$4=Settings!$Y$3,IF($AA641=2,"P",""),IF($AA641=8,"P",""))</f>
        <v/>
      </c>
      <c r="N641" s="164" t="str">
        <f>IF(Settings!$M$4=Settings!$Y$3,IF($AA641=3,"P",""),IF($AA641=9,"P",""))</f>
        <v/>
      </c>
      <c r="O641" s="165" t="str">
        <f>IF(Settings!$M$4=Settings!$Y$3,IF($AA641=3,"P",""),IF($AA641=10,"P",""))</f>
        <v/>
      </c>
      <c r="P641" s="22"/>
      <c r="Q641" s="22"/>
      <c r="R641" s="360" t="e">
        <f>IF(INDEX(TblDatabase[Comment12],MATCH(1,INDEX(($L$4=ListEmployeeNamesInDatabase)*(C622=TblDatabase[Year]),0,1),0))="","",INDEX(TblDatabase[Comment12],MATCH(1,INDEX(($L$4=ListEmployeeNamesInDatabase)*(C622=TblDatabase[Year]),0,1),0)))</f>
        <v>#N/A</v>
      </c>
      <c r="S641" s="360"/>
      <c r="T641" s="360"/>
      <c r="U641" s="360"/>
      <c r="V641" s="360"/>
      <c r="W641" s="360"/>
      <c r="X641" s="360"/>
      <c r="Y641" s="361"/>
      <c r="Z641" s="149"/>
      <c r="AA641" s="151">
        <f>SUMIFS(TblDatabase[Competency12],ListEmployeeNamesInDatabase,$L$4,TblDatabase[Year],C622)</f>
        <v>0</v>
      </c>
      <c r="AB641" s="149"/>
      <c r="AC641" s="149"/>
      <c r="AD641" s="149"/>
      <c r="AE641" s="149"/>
      <c r="AF641" s="149"/>
    </row>
    <row r="642" spans="2:32" s="148" customFormat="1" ht="15" hidden="1" customHeight="1">
      <c r="B642" s="350" t="str">
        <f t="shared" si="14"/>
        <v/>
      </c>
      <c r="C642" s="351"/>
      <c r="D642" s="351"/>
      <c r="E642" s="352"/>
      <c r="F642" s="157" t="str">
        <f>IF(Settings!$M$4=Settings!$Y$3,IF($AA642=1,"P",""),IF($AA642=1,"P",""))</f>
        <v/>
      </c>
      <c r="G642" s="158" t="str">
        <f>IF(Settings!$M$4=Settings!$Y$3,IF($AA642=1,"P",""),IF($AA642=2,"P",""))</f>
        <v/>
      </c>
      <c r="H642" s="158" t="str">
        <f>IF(Settings!$M$4=Settings!$Y$3,IF($AA642=1,"P",""),IF($AA642=3,"P",""))</f>
        <v/>
      </c>
      <c r="I642" s="158" t="str">
        <f>IF(Settings!$M$4=Settings!$Y$3,IF($AA642=1,"P",""),IF($AA642=4,"P",""))</f>
        <v/>
      </c>
      <c r="J642" s="158" t="str">
        <f>IF(Settings!$M$4=Settings!$Y$3,IF($AA642=2,"P",""),IF($AA642=5,"P",""))</f>
        <v/>
      </c>
      <c r="K642" s="158" t="str">
        <f>IF(Settings!$M$4=Settings!$Y$3,IF($AA642=2,"P",""),IF($AA642=6,"P",""))</f>
        <v/>
      </c>
      <c r="L642" s="158" t="str">
        <f>IF(Settings!$M$4=Settings!$Y$3,IF($AA642=2,"P",""),IF($AA642=7,"P",""))</f>
        <v/>
      </c>
      <c r="M642" s="158" t="str">
        <f>IF(Settings!$M$4=Settings!$Y$3,IF($AA642=2,"P",""),IF($AA642=8,"P",""))</f>
        <v/>
      </c>
      <c r="N642" s="158" t="str">
        <f>IF(Settings!$M$4=Settings!$Y$3,IF($AA642=3,"P",""),IF($AA642=9,"P",""))</f>
        <v/>
      </c>
      <c r="O642" s="159" t="str">
        <f>IF(Settings!$M$4=Settings!$Y$3,IF($AA642=3,"P",""),IF($AA642=10,"P",""))</f>
        <v/>
      </c>
      <c r="P642" s="22"/>
      <c r="Q642" s="22"/>
      <c r="R642" s="353" t="e">
        <f>IF(INDEX(TblDatabase[Comment13],MATCH(1,INDEX(($L$4=ListEmployeeNamesInDatabase)*(C622=TblDatabase[Year]),0,1),0))="","",INDEX(TblDatabase[Comment13],MATCH(1,INDEX(($L$4=ListEmployeeNamesInDatabase)*(C622=TblDatabase[Year]),0,1),0)))</f>
        <v>#N/A</v>
      </c>
      <c r="S642" s="353"/>
      <c r="T642" s="353"/>
      <c r="U642" s="353"/>
      <c r="V642" s="353"/>
      <c r="W642" s="353"/>
      <c r="X642" s="353"/>
      <c r="Y642" s="354"/>
      <c r="Z642" s="149"/>
      <c r="AA642" s="151">
        <f>SUMIFS(TblDatabase[Competency13],ListEmployeeNamesInDatabase,$L$4,TblDatabase[Year],C622)</f>
        <v>0</v>
      </c>
      <c r="AB642" s="149"/>
      <c r="AC642" s="149"/>
      <c r="AD642" s="149"/>
      <c r="AE642" s="149"/>
      <c r="AF642" s="149"/>
    </row>
    <row r="643" spans="2:32" s="148" customFormat="1" ht="15" hidden="1" customHeight="1">
      <c r="B643" s="355" t="str">
        <f t="shared" si="14"/>
        <v/>
      </c>
      <c r="C643" s="356"/>
      <c r="D643" s="356"/>
      <c r="E643" s="357"/>
      <c r="F643" s="163" t="str">
        <f>IF(Settings!$M$4=Settings!$Y$3,IF($AA643=1,"P",""),IF($AA643=1,"P",""))</f>
        <v/>
      </c>
      <c r="G643" s="164" t="str">
        <f>IF(Settings!$M$4=Settings!$Y$3,IF($AA643=1,"P",""),IF($AA643=2,"P",""))</f>
        <v/>
      </c>
      <c r="H643" s="164" t="str">
        <f>IF(Settings!$M$4=Settings!$Y$3,IF($AA643=1,"P",""),IF($AA643=3,"P",""))</f>
        <v/>
      </c>
      <c r="I643" s="164" t="str">
        <f>IF(Settings!$M$4=Settings!$Y$3,IF($AA643=1,"P",""),IF($AA643=4,"P",""))</f>
        <v/>
      </c>
      <c r="J643" s="164" t="str">
        <f>IF(Settings!$M$4=Settings!$Y$3,IF($AA643=2,"P",""),IF($AA643=5,"P",""))</f>
        <v/>
      </c>
      <c r="K643" s="164" t="str">
        <f>IF(Settings!$M$4=Settings!$Y$3,IF($AA643=2,"P",""),IF($AA643=6,"P",""))</f>
        <v/>
      </c>
      <c r="L643" s="164" t="str">
        <f>IF(Settings!$M$4=Settings!$Y$3,IF($AA643=2,"P",""),IF($AA643=7,"P",""))</f>
        <v/>
      </c>
      <c r="M643" s="164" t="str">
        <f>IF(Settings!$M$4=Settings!$Y$3,IF($AA643=2,"P",""),IF($AA643=8,"P",""))</f>
        <v/>
      </c>
      <c r="N643" s="164" t="str">
        <f>IF(Settings!$M$4=Settings!$Y$3,IF($AA643=3,"P",""),IF($AA643=9,"P",""))</f>
        <v/>
      </c>
      <c r="O643" s="165" t="str">
        <f>IF(Settings!$M$4=Settings!$Y$3,IF($AA643=3,"P",""),IF($AA643=10,"P",""))</f>
        <v/>
      </c>
      <c r="P643" s="22"/>
      <c r="Q643" s="22"/>
      <c r="R643" s="360" t="e">
        <f>IF(INDEX(TblDatabase[Comment14],MATCH(1,INDEX(($L$4=ListEmployeeNamesInDatabase)*(C622=TblDatabase[Year]),0,1),0))="","",INDEX(TblDatabase[Comment14],MATCH(1,INDEX(($L$4=ListEmployeeNamesInDatabase)*(C622=TblDatabase[Year]),0,1),0)))</f>
        <v>#N/A</v>
      </c>
      <c r="S643" s="360"/>
      <c r="T643" s="360"/>
      <c r="U643" s="360"/>
      <c r="V643" s="360"/>
      <c r="W643" s="360"/>
      <c r="X643" s="360"/>
      <c r="Y643" s="361"/>
      <c r="Z643" s="149"/>
      <c r="AA643" s="151">
        <f>SUMIFS(TblDatabase[Competency14],ListEmployeeNamesInDatabase,$L$4,TblDatabase[Year],C622)</f>
        <v>0</v>
      </c>
      <c r="AB643" s="149"/>
      <c r="AC643" s="149"/>
      <c r="AD643" s="149"/>
      <c r="AE643" s="149"/>
      <c r="AF643" s="149"/>
    </row>
    <row r="644" spans="2:32" s="148" customFormat="1" ht="15" hidden="1" customHeight="1">
      <c r="B644" s="350" t="str">
        <f t="shared" si="14"/>
        <v/>
      </c>
      <c r="C644" s="351"/>
      <c r="D644" s="351"/>
      <c r="E644" s="352"/>
      <c r="F644" s="157" t="str">
        <f>IF(Settings!$M$4=Settings!$Y$3,IF($AA644=1,"P",""),IF($AA644=1,"P",""))</f>
        <v/>
      </c>
      <c r="G644" s="158" t="str">
        <f>IF(Settings!$M$4=Settings!$Y$3,IF($AA644=1,"P",""),IF($AA644=2,"P",""))</f>
        <v/>
      </c>
      <c r="H644" s="158" t="str">
        <f>IF(Settings!$M$4=Settings!$Y$3,IF($AA644=1,"P",""),IF($AA644=3,"P",""))</f>
        <v/>
      </c>
      <c r="I644" s="158" t="str">
        <f>IF(Settings!$M$4=Settings!$Y$3,IF($AA644=1,"P",""),IF($AA644=4,"P",""))</f>
        <v/>
      </c>
      <c r="J644" s="158" t="str">
        <f>IF(Settings!$M$4=Settings!$Y$3,IF($AA644=2,"P",""),IF($AA644=5,"P",""))</f>
        <v/>
      </c>
      <c r="K644" s="158" t="str">
        <f>IF(Settings!$M$4=Settings!$Y$3,IF($AA644=2,"P",""),IF($AA644=6,"P",""))</f>
        <v/>
      </c>
      <c r="L644" s="158" t="str">
        <f>IF(Settings!$M$4=Settings!$Y$3,IF($AA644=2,"P",""),IF($AA644=7,"P",""))</f>
        <v/>
      </c>
      <c r="M644" s="158" t="str">
        <f>IF(Settings!$M$4=Settings!$Y$3,IF($AA644=2,"P",""),IF($AA644=8,"P",""))</f>
        <v/>
      </c>
      <c r="N644" s="158" t="str">
        <f>IF(Settings!$M$4=Settings!$Y$3,IF($AA644=3,"P",""),IF($AA644=9,"P",""))</f>
        <v/>
      </c>
      <c r="O644" s="159" t="str">
        <f>IF(Settings!$M$4=Settings!$Y$3,IF($AA644=3,"P",""),IF($AA644=10,"P",""))</f>
        <v/>
      </c>
      <c r="P644" s="22"/>
      <c r="Q644" s="22"/>
      <c r="R644" s="353" t="e">
        <f>IF(INDEX(TblDatabase[Comment15],MATCH(1,INDEX(($L$4=ListEmployeeNamesInDatabase)*(C622=TblDatabase[Year]),0,1),0))="","",INDEX(TblDatabase[Comment15],MATCH(1,INDEX(($L$4=ListEmployeeNamesInDatabase)*(C622=TblDatabase[Year]),0,1),0)))</f>
        <v>#N/A</v>
      </c>
      <c r="S644" s="353"/>
      <c r="T644" s="353"/>
      <c r="U644" s="353"/>
      <c r="V644" s="353"/>
      <c r="W644" s="353"/>
      <c r="X644" s="353"/>
      <c r="Y644" s="354"/>
      <c r="Z644" s="149"/>
      <c r="AA644" s="151">
        <f>SUMIFS(TblDatabase[Competency15],ListEmployeeNamesInDatabase,$L$4,TblDatabase[Year],C622)</f>
        <v>0</v>
      </c>
      <c r="AB644" s="149"/>
      <c r="AC644" s="149"/>
      <c r="AD644" s="149"/>
      <c r="AE644" s="149"/>
      <c r="AF644" s="149"/>
    </row>
    <row r="645" spans="2:32" s="148" customFormat="1" ht="15" hidden="1" customHeight="1">
      <c r="B645" s="355" t="str">
        <f t="shared" si="14"/>
        <v/>
      </c>
      <c r="C645" s="356"/>
      <c r="D645" s="356"/>
      <c r="E645" s="357"/>
      <c r="F645" s="163" t="str">
        <f>IF(Settings!$M$4=Settings!$Y$3,IF($AA645=1,"P",""),IF($AA645=1,"P",""))</f>
        <v/>
      </c>
      <c r="G645" s="164" t="str">
        <f>IF(Settings!$M$4=Settings!$Y$3,IF($AA645=1,"P",""),IF($AA645=2,"P",""))</f>
        <v/>
      </c>
      <c r="H645" s="164" t="str">
        <f>IF(Settings!$M$4=Settings!$Y$3,IF($AA645=1,"P",""),IF($AA645=3,"P",""))</f>
        <v/>
      </c>
      <c r="I645" s="164" t="str">
        <f>IF(Settings!$M$4=Settings!$Y$3,IF($AA645=1,"P",""),IF($AA645=4,"P",""))</f>
        <v/>
      </c>
      <c r="J645" s="164" t="str">
        <f>IF(Settings!$M$4=Settings!$Y$3,IF($AA645=2,"P",""),IF($AA645=5,"P",""))</f>
        <v/>
      </c>
      <c r="K645" s="164" t="str">
        <f>IF(Settings!$M$4=Settings!$Y$3,IF($AA645=2,"P",""),IF($AA645=6,"P",""))</f>
        <v/>
      </c>
      <c r="L645" s="164" t="str">
        <f>IF(Settings!$M$4=Settings!$Y$3,IF($AA645=2,"P",""),IF($AA645=7,"P",""))</f>
        <v/>
      </c>
      <c r="M645" s="164" t="str">
        <f>IF(Settings!$M$4=Settings!$Y$3,IF($AA645=2,"P",""),IF($AA645=8,"P",""))</f>
        <v/>
      </c>
      <c r="N645" s="164" t="str">
        <f>IF(Settings!$M$4=Settings!$Y$3,IF($AA645=3,"P",""),IF($AA645=9,"P",""))</f>
        <v/>
      </c>
      <c r="O645" s="165" t="str">
        <f>IF(Settings!$M$4=Settings!$Y$3,IF($AA645=3,"P",""),IF($AA645=10,"P",""))</f>
        <v/>
      </c>
      <c r="P645" s="22"/>
      <c r="Q645" s="22"/>
      <c r="R645" s="360" t="e">
        <f>IF(INDEX(TblDatabase[Comment16],MATCH(1,INDEX(($L$4=ListEmployeeNamesInDatabase)*(C622=TblDatabase[Year]),0,1),0))="","",INDEX(TblDatabase[Comment16],MATCH(1,INDEX(($L$4=ListEmployeeNamesInDatabase)*(C622=TblDatabase[Year]),0,1),0)))</f>
        <v>#N/A</v>
      </c>
      <c r="S645" s="360"/>
      <c r="T645" s="360"/>
      <c r="U645" s="360"/>
      <c r="V645" s="360"/>
      <c r="W645" s="360"/>
      <c r="X645" s="360"/>
      <c r="Y645" s="361"/>
      <c r="Z645" s="149"/>
      <c r="AA645" s="151">
        <f>SUMIFS(TblDatabase[Competency16],ListEmployeeNamesInDatabase,$L$4,TblDatabase[Year],C622)</f>
        <v>0</v>
      </c>
      <c r="AB645" s="149"/>
      <c r="AC645" s="149"/>
      <c r="AD645" s="149"/>
      <c r="AE645" s="149"/>
      <c r="AF645" s="149"/>
    </row>
    <row r="646" spans="2:32" s="148" customFormat="1" ht="15" hidden="1" customHeight="1">
      <c r="B646" s="350" t="str">
        <f t="shared" si="14"/>
        <v/>
      </c>
      <c r="C646" s="351"/>
      <c r="D646" s="351"/>
      <c r="E646" s="352"/>
      <c r="F646" s="157" t="str">
        <f>IF(Settings!$M$4=Settings!$Y$3,IF($AA646=1,"P",""),IF($AA646=1,"P",""))</f>
        <v/>
      </c>
      <c r="G646" s="158" t="str">
        <f>IF(Settings!$M$4=Settings!$Y$3,IF($AA646=1,"P",""),IF($AA646=2,"P",""))</f>
        <v/>
      </c>
      <c r="H646" s="158" t="str">
        <f>IF(Settings!$M$4=Settings!$Y$3,IF($AA646=1,"P",""),IF($AA646=3,"P",""))</f>
        <v/>
      </c>
      <c r="I646" s="158" t="str">
        <f>IF(Settings!$M$4=Settings!$Y$3,IF($AA646=1,"P",""),IF($AA646=4,"P",""))</f>
        <v/>
      </c>
      <c r="J646" s="158" t="str">
        <f>IF(Settings!$M$4=Settings!$Y$3,IF($AA646=2,"P",""),IF($AA646=5,"P",""))</f>
        <v/>
      </c>
      <c r="K646" s="158" t="str">
        <f>IF(Settings!$M$4=Settings!$Y$3,IF($AA646=2,"P",""),IF($AA646=6,"P",""))</f>
        <v/>
      </c>
      <c r="L646" s="158" t="str">
        <f>IF(Settings!$M$4=Settings!$Y$3,IF($AA646=2,"P",""),IF($AA646=7,"P",""))</f>
        <v/>
      </c>
      <c r="M646" s="158" t="str">
        <f>IF(Settings!$M$4=Settings!$Y$3,IF($AA646=2,"P",""),IF($AA646=8,"P",""))</f>
        <v/>
      </c>
      <c r="N646" s="158" t="str">
        <f>IF(Settings!$M$4=Settings!$Y$3,IF($AA646=3,"P",""),IF($AA646=9,"P",""))</f>
        <v/>
      </c>
      <c r="O646" s="159" t="str">
        <f>IF(Settings!$M$4=Settings!$Y$3,IF($AA646=3,"P",""),IF($AA646=10,"P",""))</f>
        <v/>
      </c>
      <c r="P646" s="22"/>
      <c r="Q646" s="22"/>
      <c r="R646" s="353" t="e">
        <f>IF(INDEX(TblDatabase[Comment17],MATCH(1,INDEX(($L$4=ListEmployeeNamesInDatabase)*(C622=TblDatabase[Year]),0,1),0))="","",INDEX(TblDatabase[Comment17],MATCH(1,INDEX(($L$4=ListEmployeeNamesInDatabase)*(C622=TblDatabase[Year]),0,1),0)))</f>
        <v>#N/A</v>
      </c>
      <c r="S646" s="353"/>
      <c r="T646" s="353"/>
      <c r="U646" s="353"/>
      <c r="V646" s="353"/>
      <c r="W646" s="353"/>
      <c r="X646" s="353"/>
      <c r="Y646" s="354"/>
      <c r="Z646" s="149"/>
      <c r="AA646" s="151">
        <f>SUMIFS(TblDatabase[Competency17],ListEmployeeNamesInDatabase,$L$4,TblDatabase[Year],C622)</f>
        <v>0</v>
      </c>
      <c r="AB646" s="149"/>
      <c r="AC646" s="149"/>
      <c r="AD646" s="149"/>
      <c r="AE646" s="149"/>
      <c r="AF646" s="149"/>
    </row>
    <row r="647" spans="2:32" s="148" customFormat="1" ht="15" hidden="1" customHeight="1">
      <c r="B647" s="355" t="str">
        <f t="shared" si="14"/>
        <v/>
      </c>
      <c r="C647" s="356"/>
      <c r="D647" s="356"/>
      <c r="E647" s="357"/>
      <c r="F647" s="163" t="str">
        <f>IF(Settings!$M$4=Settings!$Y$3,IF($AA647=1,"P",""),IF($AA647=1,"P",""))</f>
        <v/>
      </c>
      <c r="G647" s="164" t="str">
        <f>IF(Settings!$M$4=Settings!$Y$3,IF($AA647=1,"P",""),IF($AA647=2,"P",""))</f>
        <v/>
      </c>
      <c r="H647" s="164" t="str">
        <f>IF(Settings!$M$4=Settings!$Y$3,IF($AA647=1,"P",""),IF($AA647=3,"P",""))</f>
        <v/>
      </c>
      <c r="I647" s="164" t="str">
        <f>IF(Settings!$M$4=Settings!$Y$3,IF($AA647=1,"P",""),IF($AA647=4,"P",""))</f>
        <v/>
      </c>
      <c r="J647" s="164" t="str">
        <f>IF(Settings!$M$4=Settings!$Y$3,IF($AA647=2,"P",""),IF($AA647=5,"P",""))</f>
        <v/>
      </c>
      <c r="K647" s="164" t="str">
        <f>IF(Settings!$M$4=Settings!$Y$3,IF($AA647=2,"P",""),IF($AA647=6,"P",""))</f>
        <v/>
      </c>
      <c r="L647" s="164" t="str">
        <f>IF(Settings!$M$4=Settings!$Y$3,IF($AA647=2,"P",""),IF($AA647=7,"P",""))</f>
        <v/>
      </c>
      <c r="M647" s="164" t="str">
        <f>IF(Settings!$M$4=Settings!$Y$3,IF($AA647=2,"P",""),IF($AA647=8,"P",""))</f>
        <v/>
      </c>
      <c r="N647" s="164" t="str">
        <f>IF(Settings!$M$4=Settings!$Y$3,IF($AA647=3,"P",""),IF($AA647=9,"P",""))</f>
        <v/>
      </c>
      <c r="O647" s="165" t="str">
        <f>IF(Settings!$M$4=Settings!$Y$3,IF($AA647=3,"P",""),IF($AA647=10,"P",""))</f>
        <v/>
      </c>
      <c r="P647" s="22"/>
      <c r="Q647" s="22"/>
      <c r="R647" s="360" t="e">
        <f>IF(INDEX(TblDatabase[Comment18],MATCH(1,INDEX(($L$4=ListEmployeeNamesInDatabase)*(C622=TblDatabase[Year]),0,1),0))="","",INDEX(TblDatabase[Comment18],MATCH(1,INDEX(($L$4=ListEmployeeNamesInDatabase)*(C622=TblDatabase[Year]),0,1),0)))</f>
        <v>#N/A</v>
      </c>
      <c r="S647" s="360"/>
      <c r="T647" s="360"/>
      <c r="U647" s="360"/>
      <c r="V647" s="360"/>
      <c r="W647" s="360"/>
      <c r="X647" s="360"/>
      <c r="Y647" s="361"/>
      <c r="Z647" s="149"/>
      <c r="AA647" s="151">
        <f>SUMIFS(TblDatabase[Competency18],ListEmployeeNamesInDatabase,$L$4,TblDatabase[Year],C622)</f>
        <v>0</v>
      </c>
      <c r="AB647" s="149"/>
      <c r="AC647" s="149"/>
      <c r="AD647" s="149"/>
      <c r="AE647" s="149"/>
      <c r="AF647" s="149"/>
    </row>
    <row r="648" spans="2:32" s="148" customFormat="1" ht="15" hidden="1" customHeight="1">
      <c r="B648" s="350" t="str">
        <f t="shared" si="14"/>
        <v/>
      </c>
      <c r="C648" s="351"/>
      <c r="D648" s="351"/>
      <c r="E648" s="352"/>
      <c r="F648" s="157" t="str">
        <f>IF(Settings!$M$4=Settings!$Y$3,IF($AA648=1,"P",""),IF($AA648=1,"P",""))</f>
        <v/>
      </c>
      <c r="G648" s="158" t="str">
        <f>IF(Settings!$M$4=Settings!$Y$3,IF($AA648=1,"P",""),IF($AA648=2,"P",""))</f>
        <v/>
      </c>
      <c r="H648" s="158" t="str">
        <f>IF(Settings!$M$4=Settings!$Y$3,IF($AA648=1,"P",""),IF($AA648=3,"P",""))</f>
        <v/>
      </c>
      <c r="I648" s="158" t="str">
        <f>IF(Settings!$M$4=Settings!$Y$3,IF($AA648=1,"P",""),IF($AA648=4,"P",""))</f>
        <v/>
      </c>
      <c r="J648" s="158" t="str">
        <f>IF(Settings!$M$4=Settings!$Y$3,IF($AA648=2,"P",""),IF($AA648=5,"P",""))</f>
        <v/>
      </c>
      <c r="K648" s="158" t="str">
        <f>IF(Settings!$M$4=Settings!$Y$3,IF($AA648=2,"P",""),IF($AA648=6,"P",""))</f>
        <v/>
      </c>
      <c r="L648" s="158" t="str">
        <f>IF(Settings!$M$4=Settings!$Y$3,IF($AA648=2,"P",""),IF($AA648=7,"P",""))</f>
        <v/>
      </c>
      <c r="M648" s="158" t="str">
        <f>IF(Settings!$M$4=Settings!$Y$3,IF($AA648=2,"P",""),IF($AA648=8,"P",""))</f>
        <v/>
      </c>
      <c r="N648" s="158" t="str">
        <f>IF(Settings!$M$4=Settings!$Y$3,IF($AA648=3,"P",""),IF($AA648=9,"P",""))</f>
        <v/>
      </c>
      <c r="O648" s="159" t="str">
        <f>IF(Settings!$M$4=Settings!$Y$3,IF($AA648=3,"P",""),IF($AA648=10,"P",""))</f>
        <v/>
      </c>
      <c r="P648" s="22"/>
      <c r="Q648" s="22"/>
      <c r="R648" s="353" t="e">
        <f>IF(INDEX(TblDatabase[Comment19],MATCH(1,INDEX(($L$4=ListEmployeeNamesInDatabase)*(C622=TblDatabase[Year]),0,1),0))="","",INDEX(TblDatabase[Comment19],MATCH(1,INDEX(($L$4=ListEmployeeNamesInDatabase)*(C622=TblDatabase[Year]),0,1),0)))</f>
        <v>#N/A</v>
      </c>
      <c r="S648" s="353"/>
      <c r="T648" s="353"/>
      <c r="U648" s="353"/>
      <c r="V648" s="353"/>
      <c r="W648" s="353"/>
      <c r="X648" s="353"/>
      <c r="Y648" s="354"/>
      <c r="Z648" s="149"/>
      <c r="AA648" s="151">
        <f>SUMIFS(TblDatabase[Competency19],ListEmployeeNamesInDatabase,$L$4,TblDatabase[Year],C622)</f>
        <v>0</v>
      </c>
      <c r="AB648" s="149"/>
      <c r="AC648" s="149"/>
      <c r="AD648" s="149"/>
      <c r="AE648" s="149"/>
      <c r="AF648" s="149"/>
    </row>
    <row r="649" spans="2:32" s="148" customFormat="1" ht="15" hidden="1" customHeight="1">
      <c r="B649" s="362" t="str">
        <f t="shared" si="14"/>
        <v/>
      </c>
      <c r="C649" s="363"/>
      <c r="D649" s="363"/>
      <c r="E649" s="364"/>
      <c r="F649" s="166" t="str">
        <f>IF(Settings!$M$4=Settings!$Y$3,IF($AA649=1,"P",""),IF($AA649=1,"P",""))</f>
        <v/>
      </c>
      <c r="G649" s="167" t="str">
        <f>IF(Settings!$M$4=Settings!$Y$3,IF($AA649=1,"P",""),IF($AA649=2,"P",""))</f>
        <v/>
      </c>
      <c r="H649" s="167" t="str">
        <f>IF(Settings!$M$4=Settings!$Y$3,IF($AA649=1,"P",""),IF($AA649=3,"P",""))</f>
        <v/>
      </c>
      <c r="I649" s="167" t="str">
        <f>IF(Settings!$M$4=Settings!$Y$3,IF($AA649=1,"P",""),IF($AA649=4,"P",""))</f>
        <v/>
      </c>
      <c r="J649" s="167" t="str">
        <f>IF(Settings!$M$4=Settings!$Y$3,IF($AA649=2,"P",""),IF($AA649=5,"P",""))</f>
        <v/>
      </c>
      <c r="K649" s="167" t="str">
        <f>IF(Settings!$M$4=Settings!$Y$3,IF($AA649=2,"P",""),IF($AA649=6,"P",""))</f>
        <v/>
      </c>
      <c r="L649" s="167" t="str">
        <f>IF(Settings!$M$4=Settings!$Y$3,IF($AA649=2,"P",""),IF($AA649=7,"P",""))</f>
        <v/>
      </c>
      <c r="M649" s="167" t="str">
        <f>IF(Settings!$M$4=Settings!$Y$3,IF($AA649=2,"P",""),IF($AA649=8,"P",""))</f>
        <v/>
      </c>
      <c r="N649" s="167" t="str">
        <f>IF(Settings!$M$4=Settings!$Y$3,IF($AA649=3,"P",""),IF($AA649=9,"P",""))</f>
        <v/>
      </c>
      <c r="O649" s="168" t="str">
        <f>IF(Settings!$M$4=Settings!$Y$3,IF($AA649=3,"P",""),IF($AA649=10,"P",""))</f>
        <v/>
      </c>
      <c r="P649" s="22"/>
      <c r="Q649" s="22"/>
      <c r="R649" s="365" t="e">
        <f>IF(INDEX(TblDatabase[Comment20],MATCH(1,INDEX(($L$4=ListEmployeeNamesInDatabase)*(C622=TblDatabase[Year]),0,1),0))="","",INDEX(TblDatabase[Comment20],MATCH(1,INDEX(($L$4=ListEmployeeNamesInDatabase)*(C622=TblDatabase[Year]),0,1),0)))</f>
        <v>#N/A</v>
      </c>
      <c r="S649" s="365"/>
      <c r="T649" s="365"/>
      <c r="U649" s="365"/>
      <c r="V649" s="365"/>
      <c r="W649" s="365"/>
      <c r="X649" s="365"/>
      <c r="Y649" s="366"/>
      <c r="Z649" s="149"/>
      <c r="AA649" s="151">
        <f>SUMIFS(TblDatabase[Competency20],ListEmployeeNamesInDatabase,$L$4,TblDatabase[Year],C622)</f>
        <v>0</v>
      </c>
      <c r="AB649" s="149"/>
      <c r="AC649" s="149"/>
      <c r="AD649" s="149"/>
      <c r="AE649" s="149"/>
      <c r="AF649" s="149"/>
    </row>
    <row r="650" spans="2:32" s="148" customFormat="1" hidden="1">
      <c r="B650" s="414" t="s">
        <v>26</v>
      </c>
      <c r="C650" s="415"/>
      <c r="D650" s="415"/>
      <c r="E650" s="371">
        <f ca="1">SUM(OFFSET(AA630,0,0,NumberOfCompetencies))</f>
        <v>0</v>
      </c>
      <c r="F650" s="372"/>
      <c r="G650" s="152"/>
      <c r="H650" s="152"/>
      <c r="I650" s="152"/>
      <c r="J650" s="152"/>
      <c r="K650" s="152"/>
      <c r="L650" s="152"/>
      <c r="M650" s="152"/>
      <c r="N650" s="152"/>
      <c r="O650" s="152"/>
      <c r="P650" s="152"/>
      <c r="Q650" s="152"/>
      <c r="R650" s="152"/>
      <c r="S650" s="152"/>
      <c r="T650" s="152"/>
      <c r="U650" s="152"/>
      <c r="V650" s="152"/>
      <c r="W650" s="152"/>
      <c r="X650" s="152"/>
      <c r="Y650" s="152"/>
      <c r="Z650" s="149"/>
      <c r="AA650" s="149"/>
      <c r="AB650" s="149"/>
      <c r="AC650" s="149"/>
      <c r="AD650" s="149"/>
      <c r="AE650" s="149"/>
      <c r="AF650" s="149"/>
    </row>
    <row r="651" spans="2:32" s="148" customFormat="1" hidden="1">
      <c r="B651" s="369" t="s">
        <v>27</v>
      </c>
      <c r="C651" s="370"/>
      <c r="D651" s="370"/>
      <c r="E651" s="358">
        <f ca="1">E650/NumberOfCompetencies</f>
        <v>0</v>
      </c>
      <c r="F651" s="359"/>
      <c r="G651" s="153"/>
      <c r="H651" s="153"/>
      <c r="I651" s="153"/>
      <c r="J651" s="153"/>
      <c r="K651" s="153"/>
      <c r="L651" s="153"/>
      <c r="M651" s="153"/>
      <c r="N651" s="153"/>
      <c r="O651" s="153"/>
      <c r="P651" s="153"/>
      <c r="Q651" s="153"/>
      <c r="R651" s="153"/>
      <c r="S651" s="153"/>
      <c r="T651" s="153"/>
      <c r="U651" s="153"/>
      <c r="V651" s="153"/>
      <c r="W651" s="153"/>
      <c r="X651" s="153"/>
      <c r="Y651" s="153"/>
      <c r="Z651" s="149"/>
      <c r="AA651" s="149"/>
      <c r="AB651" s="149"/>
      <c r="AC651" s="149"/>
      <c r="AD651" s="149"/>
      <c r="AE651" s="149"/>
      <c r="AF651" s="149"/>
    </row>
    <row r="652" spans="2:32" s="148" customFormat="1" hidden="1">
      <c r="B652" s="154"/>
      <c r="C652" s="154"/>
      <c r="D652" s="154"/>
      <c r="E652" s="154"/>
      <c r="F652" s="154"/>
      <c r="G652" s="154"/>
      <c r="H652" s="154"/>
      <c r="I652" s="154"/>
      <c r="J652" s="154"/>
      <c r="K652" s="154"/>
      <c r="L652" s="154"/>
      <c r="M652" s="154"/>
      <c r="N652" s="154"/>
      <c r="O652" s="154"/>
      <c r="P652" s="154"/>
      <c r="Q652" s="154"/>
      <c r="R652" s="154"/>
      <c r="S652" s="154"/>
      <c r="T652" s="154"/>
      <c r="U652" s="154"/>
      <c r="V652" s="154"/>
      <c r="W652" s="154"/>
      <c r="X652" s="154"/>
      <c r="Y652" s="154"/>
      <c r="Z652" s="149"/>
      <c r="AA652" s="149"/>
      <c r="AB652" s="149"/>
      <c r="AC652" s="149"/>
      <c r="AD652" s="149"/>
      <c r="AE652" s="149"/>
      <c r="AF652" s="149"/>
    </row>
    <row r="653" spans="2:32" s="148" customFormat="1" hidden="1">
      <c r="B653" s="338" t="str">
        <f>Settings!$N$15</f>
        <v>Previously agreed actions</v>
      </c>
      <c r="C653" s="339"/>
      <c r="D653" s="339"/>
      <c r="E653" s="339"/>
      <c r="F653" s="339"/>
      <c r="G653" s="339"/>
      <c r="H653" s="339"/>
      <c r="I653" s="339"/>
      <c r="J653" s="339"/>
      <c r="K653" s="339"/>
      <c r="L653" s="339"/>
      <c r="M653" s="339"/>
      <c r="N653" s="339"/>
      <c r="O653" s="339"/>
      <c r="P653" s="339"/>
      <c r="Q653" s="339"/>
      <c r="R653" s="339"/>
      <c r="S653" s="339"/>
      <c r="T653" s="339"/>
      <c r="U653" s="339"/>
      <c r="V653" s="339"/>
      <c r="W653" s="339"/>
      <c r="X653" s="339"/>
      <c r="Y653" s="340"/>
      <c r="Z653" s="149"/>
      <c r="AA653" s="149"/>
      <c r="AB653" s="149"/>
      <c r="AC653" s="149"/>
      <c r="AD653" s="149"/>
      <c r="AE653" s="149"/>
      <c r="AF653" s="149"/>
    </row>
    <row r="654" spans="2:32" s="148" customFormat="1" hidden="1">
      <c r="B654" s="341" t="e">
        <f>IF(INDEX(TblDatabase[Feedback Does Well],MATCH(1,INDEX(($L$4=ListEmployeeNamesInDatabase)*(C622=TblDatabase[Year]),0,1),0))="","",INDEX(TblDatabase[Feedback Does Well],MATCH(1,INDEX(($L$4=ListEmployeeNamesInDatabase)*(C622=TblDatabase[Year]),0,1),0)))</f>
        <v>#N/A</v>
      </c>
      <c r="C654" s="342"/>
      <c r="D654" s="342"/>
      <c r="E654" s="342"/>
      <c r="F654" s="342"/>
      <c r="G654" s="342"/>
      <c r="H654" s="342"/>
      <c r="I654" s="342"/>
      <c r="J654" s="342"/>
      <c r="K654" s="342"/>
      <c r="L654" s="342"/>
      <c r="M654" s="342"/>
      <c r="N654" s="342"/>
      <c r="O654" s="342"/>
      <c r="P654" s="342"/>
      <c r="Q654" s="342"/>
      <c r="R654" s="342"/>
      <c r="S654" s="342"/>
      <c r="T654" s="342"/>
      <c r="U654" s="342"/>
      <c r="V654" s="342"/>
      <c r="W654" s="342"/>
      <c r="X654" s="342"/>
      <c r="Y654" s="343"/>
      <c r="Z654" s="149"/>
      <c r="AA654" s="149"/>
      <c r="AB654" s="149"/>
      <c r="AC654" s="149"/>
      <c r="AD654" s="149"/>
      <c r="AE654" s="149"/>
      <c r="AF654" s="149"/>
    </row>
    <row r="655" spans="2:32" s="148" customFormat="1" hidden="1">
      <c r="B655" s="344"/>
      <c r="C655" s="345"/>
      <c r="D655" s="345"/>
      <c r="E655" s="345"/>
      <c r="F655" s="345"/>
      <c r="G655" s="345"/>
      <c r="H655" s="345"/>
      <c r="I655" s="345"/>
      <c r="J655" s="345"/>
      <c r="K655" s="345"/>
      <c r="L655" s="345"/>
      <c r="M655" s="345"/>
      <c r="N655" s="345"/>
      <c r="O655" s="345"/>
      <c r="P655" s="345"/>
      <c r="Q655" s="345"/>
      <c r="R655" s="345"/>
      <c r="S655" s="345"/>
      <c r="T655" s="345"/>
      <c r="U655" s="345"/>
      <c r="V655" s="345"/>
      <c r="W655" s="345"/>
      <c r="X655" s="345"/>
      <c r="Y655" s="346"/>
      <c r="Z655" s="149"/>
      <c r="AA655" s="149"/>
      <c r="AB655" s="149"/>
      <c r="AC655" s="149"/>
      <c r="AD655" s="149"/>
      <c r="AE655" s="149"/>
      <c r="AF655" s="149"/>
    </row>
    <row r="656" spans="2:32" s="148" customFormat="1" hidden="1">
      <c r="B656" s="347"/>
      <c r="C656" s="348"/>
      <c r="D656" s="348"/>
      <c r="E656" s="348"/>
      <c r="F656" s="348"/>
      <c r="G656" s="348"/>
      <c r="H656" s="348"/>
      <c r="I656" s="348"/>
      <c r="J656" s="348"/>
      <c r="K656" s="348"/>
      <c r="L656" s="348"/>
      <c r="M656" s="348"/>
      <c r="N656" s="348"/>
      <c r="O656" s="348"/>
      <c r="P656" s="348"/>
      <c r="Q656" s="348"/>
      <c r="R656" s="348"/>
      <c r="S656" s="348"/>
      <c r="T656" s="348"/>
      <c r="U656" s="348"/>
      <c r="V656" s="348"/>
      <c r="W656" s="348"/>
      <c r="X656" s="348"/>
      <c r="Y656" s="349"/>
      <c r="Z656" s="149"/>
      <c r="AA656" s="149"/>
      <c r="AB656" s="149"/>
      <c r="AC656" s="149"/>
      <c r="AD656" s="149"/>
      <c r="AE656" s="149"/>
      <c r="AF656" s="149"/>
    </row>
    <row r="657" spans="1:32" s="148" customFormat="1" hidden="1">
      <c r="B657" s="155"/>
      <c r="C657" s="155"/>
      <c r="D657" s="155"/>
      <c r="E657" s="155"/>
      <c r="F657" s="155"/>
      <c r="G657" s="155"/>
      <c r="H657" s="155"/>
      <c r="I657" s="155"/>
      <c r="J657" s="155"/>
      <c r="K657" s="155"/>
      <c r="L657" s="155"/>
      <c r="M657" s="155"/>
      <c r="N657" s="155"/>
      <c r="O657" s="155"/>
      <c r="P657" s="155"/>
      <c r="Q657" s="155"/>
      <c r="R657" s="155"/>
      <c r="S657" s="155"/>
      <c r="T657" s="155"/>
      <c r="U657" s="155"/>
      <c r="V657" s="155"/>
      <c r="W657" s="155"/>
      <c r="X657" s="155"/>
      <c r="Y657" s="155"/>
      <c r="Z657" s="149"/>
      <c r="AA657" s="149"/>
      <c r="AB657" s="149"/>
      <c r="AC657" s="149"/>
      <c r="AD657" s="149"/>
      <c r="AE657" s="149"/>
      <c r="AF657" s="149"/>
    </row>
    <row r="658" spans="1:32" s="148" customFormat="1" hidden="1">
      <c r="B658" s="338" t="str">
        <f>Settings!$N$16</f>
        <v>Actions agreed during this review</v>
      </c>
      <c r="C658" s="339"/>
      <c r="D658" s="339"/>
      <c r="E658" s="339"/>
      <c r="F658" s="339"/>
      <c r="G658" s="339"/>
      <c r="H658" s="339"/>
      <c r="I658" s="339"/>
      <c r="J658" s="339"/>
      <c r="K658" s="339"/>
      <c r="L658" s="339"/>
      <c r="M658" s="339"/>
      <c r="N658" s="339"/>
      <c r="O658" s="339"/>
      <c r="P658" s="339"/>
      <c r="Q658" s="339"/>
      <c r="R658" s="339"/>
      <c r="S658" s="339"/>
      <c r="T658" s="339"/>
      <c r="U658" s="339"/>
      <c r="V658" s="339"/>
      <c r="W658" s="339"/>
      <c r="X658" s="339"/>
      <c r="Y658" s="340"/>
      <c r="Z658" s="149"/>
      <c r="AA658" s="149"/>
      <c r="AB658" s="149"/>
      <c r="AC658" s="149"/>
      <c r="AD658" s="149"/>
      <c r="AE658" s="149"/>
      <c r="AF658" s="149"/>
    </row>
    <row r="659" spans="1:32" s="148" customFormat="1" hidden="1">
      <c r="B659" s="341" t="e">
        <f>IF(INDEX(TblDatabase[Feedback To Improve],MATCH(1,INDEX(($L$4=ListEmployeeNamesInDatabase)*(C622=TblDatabase[Year]),0,1),0))="","",INDEX(TblDatabase[Feedback To Improve],MATCH(1,INDEX(($L$4=ListEmployeeNamesInDatabase)*(C622=TblDatabase[Year]),0,1),0)))</f>
        <v>#N/A</v>
      </c>
      <c r="C659" s="342"/>
      <c r="D659" s="342"/>
      <c r="E659" s="342"/>
      <c r="F659" s="342"/>
      <c r="G659" s="342"/>
      <c r="H659" s="342"/>
      <c r="I659" s="342"/>
      <c r="J659" s="342"/>
      <c r="K659" s="342"/>
      <c r="L659" s="342"/>
      <c r="M659" s="342"/>
      <c r="N659" s="342"/>
      <c r="O659" s="342"/>
      <c r="P659" s="342"/>
      <c r="Q659" s="342"/>
      <c r="R659" s="342"/>
      <c r="S659" s="342"/>
      <c r="T659" s="342"/>
      <c r="U659" s="342"/>
      <c r="V659" s="342"/>
      <c r="W659" s="342"/>
      <c r="X659" s="342"/>
      <c r="Y659" s="343"/>
      <c r="Z659" s="149"/>
      <c r="AA659" s="149"/>
      <c r="AB659" s="149"/>
      <c r="AC659" s="149"/>
      <c r="AD659" s="149"/>
      <c r="AE659" s="149"/>
      <c r="AF659" s="149"/>
    </row>
    <row r="660" spans="1:32" s="148" customFormat="1" hidden="1">
      <c r="B660" s="344"/>
      <c r="C660" s="345"/>
      <c r="D660" s="345"/>
      <c r="E660" s="345"/>
      <c r="F660" s="345"/>
      <c r="G660" s="345"/>
      <c r="H660" s="345"/>
      <c r="I660" s="345"/>
      <c r="J660" s="345"/>
      <c r="K660" s="345"/>
      <c r="L660" s="345"/>
      <c r="M660" s="345"/>
      <c r="N660" s="345"/>
      <c r="O660" s="345"/>
      <c r="P660" s="345"/>
      <c r="Q660" s="345"/>
      <c r="R660" s="345"/>
      <c r="S660" s="345"/>
      <c r="T660" s="345"/>
      <c r="U660" s="345"/>
      <c r="V660" s="345"/>
      <c r="W660" s="345"/>
      <c r="X660" s="345"/>
      <c r="Y660" s="346"/>
      <c r="Z660" s="149"/>
      <c r="AA660" s="149"/>
      <c r="AB660" s="149"/>
      <c r="AC660" s="149"/>
      <c r="AD660" s="149"/>
      <c r="AE660" s="149"/>
      <c r="AF660" s="149"/>
    </row>
    <row r="661" spans="1:32" s="148" customFormat="1" hidden="1">
      <c r="B661" s="347"/>
      <c r="C661" s="348"/>
      <c r="D661" s="348"/>
      <c r="E661" s="348"/>
      <c r="F661" s="348"/>
      <c r="G661" s="348"/>
      <c r="H661" s="348"/>
      <c r="I661" s="348"/>
      <c r="J661" s="348"/>
      <c r="K661" s="348"/>
      <c r="L661" s="348"/>
      <c r="M661" s="348"/>
      <c r="N661" s="348"/>
      <c r="O661" s="348"/>
      <c r="P661" s="348"/>
      <c r="Q661" s="348"/>
      <c r="R661" s="348"/>
      <c r="S661" s="348"/>
      <c r="T661" s="348"/>
      <c r="U661" s="348"/>
      <c r="V661" s="348"/>
      <c r="W661" s="348"/>
      <c r="X661" s="348"/>
      <c r="Y661" s="349"/>
      <c r="Z661" s="149"/>
      <c r="AA661" s="149"/>
      <c r="AB661" s="149"/>
      <c r="AC661" s="149"/>
      <c r="AD661" s="149"/>
      <c r="AE661" s="149"/>
      <c r="AF661" s="149"/>
    </row>
    <row r="662" spans="1:32" s="148" customFormat="1" hidden="1">
      <c r="B662" s="156"/>
      <c r="C662" s="156"/>
      <c r="D662" s="156"/>
      <c r="E662" s="155"/>
      <c r="F662" s="155"/>
      <c r="G662" s="155"/>
      <c r="H662" s="155"/>
      <c r="I662" s="155"/>
      <c r="J662" s="155"/>
      <c r="K662" s="155"/>
      <c r="L662" s="155"/>
      <c r="M662" s="155"/>
      <c r="N662" s="155"/>
      <c r="O662" s="155"/>
      <c r="P662" s="155"/>
      <c r="Q662" s="155"/>
      <c r="R662" s="155"/>
      <c r="S662" s="155"/>
      <c r="T662" s="155"/>
      <c r="U662" s="155"/>
      <c r="V662" s="155"/>
      <c r="W662" s="155"/>
      <c r="X662" s="155"/>
      <c r="Y662" s="155"/>
      <c r="Z662" s="149"/>
      <c r="AA662" s="149"/>
      <c r="AB662" s="149"/>
      <c r="AC662" s="149"/>
      <c r="AD662" s="149"/>
      <c r="AE662" s="149"/>
      <c r="AF662" s="149"/>
    </row>
    <row r="663" spans="1:32" s="148" customFormat="1" hidden="1">
      <c r="A663" s="150">
        <f>A622+1</f>
        <v>16</v>
      </c>
      <c r="B663" s="27" t="s">
        <v>14</v>
      </c>
      <c r="C663" s="333">
        <f>C622-1</f>
        <v>2005</v>
      </c>
      <c r="D663" s="334"/>
      <c r="Y663" s="149"/>
      <c r="Z663" s="149"/>
      <c r="AA663" s="149"/>
      <c r="AB663" s="149"/>
      <c r="AC663" s="149"/>
      <c r="AD663" s="149"/>
      <c r="AE663" s="149"/>
      <c r="AF663" s="149"/>
    </row>
    <row r="664" spans="1:32" s="148" customFormat="1" hidden="1">
      <c r="Y664" s="149"/>
      <c r="Z664" s="149"/>
      <c r="AA664" s="149"/>
      <c r="AB664" s="149"/>
      <c r="AC664" s="149"/>
      <c r="AD664" s="149"/>
      <c r="AE664" s="149"/>
      <c r="AF664" s="149"/>
    </row>
    <row r="665" spans="1:32" s="148" customFormat="1" hidden="1">
      <c r="B665" s="338" t="str">
        <f>Settings!$N$14</f>
        <v>Employee's comments</v>
      </c>
      <c r="C665" s="339"/>
      <c r="D665" s="339"/>
      <c r="E665" s="339"/>
      <c r="F665" s="339"/>
      <c r="G665" s="339"/>
      <c r="H665" s="339"/>
      <c r="I665" s="339"/>
      <c r="J665" s="339"/>
      <c r="K665" s="339"/>
      <c r="L665" s="339"/>
      <c r="M665" s="339"/>
      <c r="N665" s="339"/>
      <c r="O665" s="339"/>
      <c r="P665" s="339"/>
      <c r="Q665" s="339"/>
      <c r="R665" s="339"/>
      <c r="S665" s="339"/>
      <c r="T665" s="339"/>
      <c r="U665" s="339"/>
      <c r="V665" s="339"/>
      <c r="W665" s="339"/>
      <c r="X665" s="339"/>
      <c r="Y665" s="340"/>
      <c r="Z665" s="149"/>
      <c r="AA665" s="149"/>
      <c r="AB665" s="149"/>
      <c r="AC665" s="149"/>
      <c r="AD665" s="149"/>
      <c r="AE665" s="149"/>
      <c r="AF665" s="149"/>
    </row>
    <row r="666" spans="1:32" s="148" customFormat="1" hidden="1">
      <c r="B666" s="341" t="e">
        <f>IF(INDEX(TblDatabase[Feedback Warnings],MATCH(1,INDEX(($L$4=ListEmployeeNamesInDatabase)*(C663=TblDatabase[Year]),0,1),0))="","",INDEX(TblDatabase[Feedback Warnings],MATCH(1,INDEX(($L$4=ListEmployeeNamesInDatabase)*(C663=TblDatabase[Year]),0,1),0)))</f>
        <v>#N/A</v>
      </c>
      <c r="C666" s="342"/>
      <c r="D666" s="342"/>
      <c r="E666" s="342"/>
      <c r="F666" s="342"/>
      <c r="G666" s="342"/>
      <c r="H666" s="342"/>
      <c r="I666" s="342"/>
      <c r="J666" s="342"/>
      <c r="K666" s="342"/>
      <c r="L666" s="342"/>
      <c r="M666" s="342"/>
      <c r="N666" s="342"/>
      <c r="O666" s="342"/>
      <c r="P666" s="342"/>
      <c r="Q666" s="342"/>
      <c r="R666" s="342"/>
      <c r="S666" s="342"/>
      <c r="T666" s="342"/>
      <c r="U666" s="342"/>
      <c r="V666" s="342"/>
      <c r="W666" s="342"/>
      <c r="X666" s="342"/>
      <c r="Y666" s="343"/>
      <c r="Z666" s="149"/>
      <c r="AA666" s="149"/>
      <c r="AB666" s="149"/>
      <c r="AC666" s="149"/>
      <c r="AD666" s="149"/>
      <c r="AE666" s="149"/>
      <c r="AF666" s="149"/>
    </row>
    <row r="667" spans="1:32" s="148" customFormat="1" hidden="1">
      <c r="B667" s="344"/>
      <c r="C667" s="345"/>
      <c r="D667" s="345"/>
      <c r="E667" s="345"/>
      <c r="F667" s="345"/>
      <c r="G667" s="345"/>
      <c r="H667" s="345"/>
      <c r="I667" s="345"/>
      <c r="J667" s="345"/>
      <c r="K667" s="345"/>
      <c r="L667" s="345"/>
      <c r="M667" s="345"/>
      <c r="N667" s="345"/>
      <c r="O667" s="345"/>
      <c r="P667" s="345"/>
      <c r="Q667" s="345"/>
      <c r="R667" s="345"/>
      <c r="S667" s="345"/>
      <c r="T667" s="345"/>
      <c r="U667" s="345"/>
      <c r="V667" s="345"/>
      <c r="W667" s="345"/>
      <c r="X667" s="345"/>
      <c r="Y667" s="346"/>
      <c r="Z667" s="149"/>
      <c r="AA667" s="149"/>
      <c r="AB667" s="149"/>
      <c r="AC667" s="149"/>
      <c r="AD667" s="149"/>
      <c r="AE667" s="149"/>
      <c r="AF667" s="149"/>
    </row>
    <row r="668" spans="1:32" s="148" customFormat="1" hidden="1">
      <c r="B668" s="347"/>
      <c r="C668" s="348"/>
      <c r="D668" s="348"/>
      <c r="E668" s="348"/>
      <c r="F668" s="348"/>
      <c r="G668" s="348"/>
      <c r="H668" s="348"/>
      <c r="I668" s="348"/>
      <c r="J668" s="348"/>
      <c r="K668" s="348"/>
      <c r="L668" s="348"/>
      <c r="M668" s="348"/>
      <c r="N668" s="348"/>
      <c r="O668" s="348"/>
      <c r="P668" s="348"/>
      <c r="Q668" s="348"/>
      <c r="R668" s="348"/>
      <c r="S668" s="348"/>
      <c r="T668" s="348"/>
      <c r="U668" s="348"/>
      <c r="V668" s="348"/>
      <c r="W668" s="348"/>
      <c r="X668" s="348"/>
      <c r="Y668" s="349"/>
      <c r="Z668" s="149"/>
      <c r="AA668" s="149"/>
      <c r="AB668" s="149"/>
      <c r="AC668" s="149"/>
      <c r="AD668" s="149"/>
      <c r="AE668" s="149"/>
      <c r="AF668" s="149"/>
    </row>
    <row r="669" spans="1:32" s="148" customFormat="1" hidden="1">
      <c r="Y669" s="149"/>
      <c r="Z669" s="149"/>
      <c r="AA669" s="149"/>
      <c r="AB669" s="149"/>
      <c r="AC669" s="149"/>
      <c r="AD669" s="149"/>
      <c r="AE669" s="149"/>
      <c r="AF669" s="149"/>
    </row>
    <row r="670" spans="1:32" s="148" customFormat="1" ht="15" hidden="1" customHeight="1">
      <c r="B670" s="320" t="s">
        <v>8</v>
      </c>
      <c r="C670" s="321"/>
      <c r="D670" s="321"/>
      <c r="E670" s="321"/>
      <c r="F670" s="233">
        <f>IF(Settings!$M$4=Settings!$Y$3,Settings!$O$19,1)</f>
        <v>1</v>
      </c>
      <c r="G670" s="234">
        <f>IF(Settings!$M$4=Settings!$Y$3,Settings!$O$19,2)</f>
        <v>2</v>
      </c>
      <c r="H670" s="234">
        <f>IF(Settings!$M$4=Settings!$Y$3,Settings!$O$19,3)</f>
        <v>3</v>
      </c>
      <c r="I670" s="234">
        <f>IF(Settings!$M$4=Settings!$Y$3,Settings!$O$19,4)</f>
        <v>4</v>
      </c>
      <c r="J670" s="234">
        <f>IF(Settings!$M$4=Settings!$Y$3,Settings!$O$20,5)</f>
        <v>5</v>
      </c>
      <c r="K670" s="234">
        <f>IF(Settings!$M$4=Settings!$Y$3,Settings!$O$20,6)</f>
        <v>6</v>
      </c>
      <c r="L670" s="234">
        <f>IF(Settings!$M$4=Settings!$Y$3,Settings!$O$20,7)</f>
        <v>7</v>
      </c>
      <c r="M670" s="234">
        <f>IF(Settings!$M$4=Settings!$Y$3,Settings!$O$20,8)</f>
        <v>8</v>
      </c>
      <c r="N670" s="234">
        <f>IF(Settings!$M$4=Settings!$Y$3,Settings!$O$21,9)</f>
        <v>9</v>
      </c>
      <c r="O670" s="235">
        <f>IF(Settings!$M$4=Settings!$Y$3,Settings!$O$21,10)</f>
        <v>10</v>
      </c>
      <c r="P670" s="22"/>
      <c r="Q670" s="22"/>
      <c r="R670" s="333" t="s">
        <v>24</v>
      </c>
      <c r="S670" s="333"/>
      <c r="T670" s="333"/>
      <c r="U670" s="333"/>
      <c r="V670" s="333"/>
      <c r="W670" s="333"/>
      <c r="X670" s="333"/>
      <c r="Y670" s="334"/>
      <c r="Z670" s="149"/>
      <c r="AA670" s="149"/>
      <c r="AB670" s="149"/>
      <c r="AC670" s="149"/>
      <c r="AD670" s="149"/>
      <c r="AE670" s="149"/>
      <c r="AF670" s="149"/>
    </row>
    <row r="671" spans="1:32" s="148" customFormat="1" ht="15" hidden="1" customHeight="1">
      <c r="B671" s="335" t="str">
        <f t="shared" ref="B671:B690" si="15">B630</f>
        <v>Quality of Work</v>
      </c>
      <c r="C671" s="336"/>
      <c r="D671" s="336"/>
      <c r="E671" s="337"/>
      <c r="F671" s="162" t="str">
        <f>IF(Settings!$M$4=Settings!$Y$3,IF($AA671=1,"P",""),IF($AA671=1,"P",""))</f>
        <v/>
      </c>
      <c r="G671" s="160" t="str">
        <f>IF(Settings!$M$4=Settings!$Y$3,IF($AA671=1,"P",""),IF($AA671=2,"P",""))</f>
        <v/>
      </c>
      <c r="H671" s="160" t="str">
        <f>IF(Settings!$M$4=Settings!$Y$3,IF($AA671=1,"P",""),IF($AA671=3,"P",""))</f>
        <v/>
      </c>
      <c r="I671" s="160" t="str">
        <f>IF(Settings!$M$4=Settings!$Y$3,IF($AA671=1,"P",""),IF($AA671=4,"P",""))</f>
        <v/>
      </c>
      <c r="J671" s="160" t="str">
        <f>IF(Settings!$M$4=Settings!$Y$3,IF($AA671=2,"P",""),IF($AA671=5,"P",""))</f>
        <v/>
      </c>
      <c r="K671" s="160" t="str">
        <f>IF(Settings!$M$4=Settings!$Y$3,IF($AA671=2,"P",""),IF($AA671=6,"P",""))</f>
        <v/>
      </c>
      <c r="L671" s="160" t="str">
        <f>IF(Settings!$M$4=Settings!$Y$3,IF($AA671=2,"P",""),IF($AA671=7,"P",""))</f>
        <v/>
      </c>
      <c r="M671" s="160" t="str">
        <f>IF(Settings!$M$4=Settings!$Y$3,IF($AA671=2,"P",""),IF($AA671=8,"P",""))</f>
        <v/>
      </c>
      <c r="N671" s="160" t="str">
        <f>IF(Settings!$M$4=Settings!$Y$3,IF($AA671=3,"P",""),IF($AA671=9,"P",""))</f>
        <v/>
      </c>
      <c r="O671" s="161" t="str">
        <f>IF(Settings!$M$4=Settings!$Y$3,IF($AA671=3,"P",""),IF($AA671=10,"P",""))</f>
        <v/>
      </c>
      <c r="P671" s="22"/>
      <c r="Q671" s="22"/>
      <c r="R671" s="367" t="e">
        <f>IF(INDEX(TblDatabase[Comment1],MATCH(1,INDEX(($L$4=ListEmployeeNamesInDatabase)*(C663=TblDatabase[Year]),0,1),0))="","",INDEX(TblDatabase[Comment1],MATCH(1,INDEX(($L$4=ListEmployeeNamesInDatabase)*(C663=TblDatabase[Year]),0,1),0)))</f>
        <v>#N/A</v>
      </c>
      <c r="S671" s="367"/>
      <c r="T671" s="367"/>
      <c r="U671" s="367"/>
      <c r="V671" s="367"/>
      <c r="W671" s="367"/>
      <c r="X671" s="367"/>
      <c r="Y671" s="368"/>
      <c r="Z671" s="149"/>
      <c r="AA671" s="151">
        <f>SUMIFS(TblDatabase[Competency1],ListEmployeeNamesInDatabase,$L$4,TblDatabase[Year],C663)</f>
        <v>0</v>
      </c>
      <c r="AB671" s="149"/>
      <c r="AC671" s="149"/>
      <c r="AD671" s="149"/>
      <c r="AE671" s="149"/>
      <c r="AF671" s="149"/>
    </row>
    <row r="672" spans="1:32" s="148" customFormat="1" ht="15" hidden="1" customHeight="1">
      <c r="B672" s="355" t="str">
        <f t="shared" si="15"/>
        <v>CaLL flow</v>
      </c>
      <c r="C672" s="356"/>
      <c r="D672" s="356"/>
      <c r="E672" s="357"/>
      <c r="F672" s="163" t="str">
        <f>IF(Settings!$M$4=Settings!$Y$3,IF($AA672=1,"P",""),IF($AA672=1,"P",""))</f>
        <v/>
      </c>
      <c r="G672" s="164" t="str">
        <f>IF(Settings!$M$4=Settings!$Y$3,IF($AA672=1,"P",""),IF($AA672=2,"P",""))</f>
        <v/>
      </c>
      <c r="H672" s="164" t="str">
        <f>IF(Settings!$M$4=Settings!$Y$3,IF($AA672=1,"P",""),IF($AA672=3,"P",""))</f>
        <v/>
      </c>
      <c r="I672" s="164" t="str">
        <f>IF(Settings!$M$4=Settings!$Y$3,IF($AA672=1,"P",""),IF($AA672=4,"P",""))</f>
        <v/>
      </c>
      <c r="J672" s="164" t="str">
        <f>IF(Settings!$M$4=Settings!$Y$3,IF($AA672=2,"P",""),IF($AA672=5,"P",""))</f>
        <v/>
      </c>
      <c r="K672" s="164" t="str">
        <f>IF(Settings!$M$4=Settings!$Y$3,IF($AA672=2,"P",""),IF($AA672=6,"P",""))</f>
        <v/>
      </c>
      <c r="L672" s="164" t="str">
        <f>IF(Settings!$M$4=Settings!$Y$3,IF($AA672=2,"P",""),IF($AA672=7,"P",""))</f>
        <v/>
      </c>
      <c r="M672" s="164" t="str">
        <f>IF(Settings!$M$4=Settings!$Y$3,IF($AA672=2,"P",""),IF($AA672=8,"P",""))</f>
        <v/>
      </c>
      <c r="N672" s="164" t="str">
        <f>IF(Settings!$M$4=Settings!$Y$3,IF($AA672=3,"P",""),IF($AA672=9,"P",""))</f>
        <v/>
      </c>
      <c r="O672" s="165" t="str">
        <f>IF(Settings!$M$4=Settings!$Y$3,IF($AA672=3,"P",""),IF($AA672=10,"P",""))</f>
        <v/>
      </c>
      <c r="P672" s="22"/>
      <c r="Q672" s="22"/>
      <c r="R672" s="360" t="e">
        <f>IF(INDEX(TblDatabase[Comment2],MATCH(1,INDEX(($L$4=ListEmployeeNamesInDatabase)*(C663=TblDatabase[Year]),0,1),0))="","",INDEX(TblDatabase[Comment2],MATCH(1,INDEX(($L$4=ListEmployeeNamesInDatabase)*(C663=TblDatabase[Year]),0,1),0)))</f>
        <v>#N/A</v>
      </c>
      <c r="S672" s="360"/>
      <c r="T672" s="360"/>
      <c r="U672" s="360"/>
      <c r="V672" s="360"/>
      <c r="W672" s="360"/>
      <c r="X672" s="360"/>
      <c r="Y672" s="361"/>
      <c r="Z672" s="149"/>
      <c r="AA672" s="151">
        <f>SUMIFS(TblDatabase[Competency2],ListEmployeeNamesInDatabase,$L$4,TblDatabase[Year],C663)</f>
        <v>0</v>
      </c>
      <c r="AB672" s="149"/>
      <c r="AC672" s="149"/>
      <c r="AD672" s="149"/>
      <c r="AE672" s="149"/>
      <c r="AF672" s="149"/>
    </row>
    <row r="673" spans="2:32" s="148" customFormat="1" ht="15" hidden="1" customHeight="1">
      <c r="B673" s="350" t="str">
        <f t="shared" si="15"/>
        <v>Job Knowledge</v>
      </c>
      <c r="C673" s="351"/>
      <c r="D673" s="351"/>
      <c r="E673" s="352"/>
      <c r="F673" s="157" t="str">
        <f>IF(Settings!$M$4=Settings!$Y$3,IF($AA673=1,"P",""),IF($AA673=1,"P",""))</f>
        <v/>
      </c>
      <c r="G673" s="158" t="str">
        <f>IF(Settings!$M$4=Settings!$Y$3,IF($AA673=1,"P",""),IF($AA673=2,"P",""))</f>
        <v/>
      </c>
      <c r="H673" s="158" t="str">
        <f>IF(Settings!$M$4=Settings!$Y$3,IF($AA673=1,"P",""),IF($AA673=3,"P",""))</f>
        <v/>
      </c>
      <c r="I673" s="158" t="str">
        <f>IF(Settings!$M$4=Settings!$Y$3,IF($AA673=1,"P",""),IF($AA673=4,"P",""))</f>
        <v/>
      </c>
      <c r="J673" s="158" t="str">
        <f>IF(Settings!$M$4=Settings!$Y$3,IF($AA673=2,"P",""),IF($AA673=5,"P",""))</f>
        <v/>
      </c>
      <c r="K673" s="158" t="str">
        <f>IF(Settings!$M$4=Settings!$Y$3,IF($AA673=2,"P",""),IF($AA673=6,"P",""))</f>
        <v/>
      </c>
      <c r="L673" s="158" t="str">
        <f>IF(Settings!$M$4=Settings!$Y$3,IF($AA673=2,"P",""),IF($AA673=7,"P",""))</f>
        <v/>
      </c>
      <c r="M673" s="158" t="str">
        <f>IF(Settings!$M$4=Settings!$Y$3,IF($AA673=2,"P",""),IF($AA673=8,"P",""))</f>
        <v/>
      </c>
      <c r="N673" s="158" t="str">
        <f>IF(Settings!$M$4=Settings!$Y$3,IF($AA673=3,"P",""),IF($AA673=9,"P",""))</f>
        <v/>
      </c>
      <c r="O673" s="159" t="str">
        <f>IF(Settings!$M$4=Settings!$Y$3,IF($AA673=3,"P",""),IF($AA673=10,"P",""))</f>
        <v/>
      </c>
      <c r="P673" s="22"/>
      <c r="Q673" s="22"/>
      <c r="R673" s="353" t="e">
        <f>IF(INDEX(TblDatabase[Comment3],MATCH(1,INDEX(($L$4=ListEmployeeNamesInDatabase)*(C663=TblDatabase[Year]),0,1),0))="","",INDEX(TblDatabase[Comment3],MATCH(1,INDEX(($L$4=ListEmployeeNamesInDatabase)*(C663=TblDatabase[Year]),0,1),0)))</f>
        <v>#N/A</v>
      </c>
      <c r="S673" s="353"/>
      <c r="T673" s="353"/>
      <c r="U673" s="353"/>
      <c r="V673" s="353"/>
      <c r="W673" s="353"/>
      <c r="X673" s="353"/>
      <c r="Y673" s="354"/>
      <c r="Z673" s="149"/>
      <c r="AA673" s="151">
        <f>SUMIFS(TblDatabase[Competency3],ListEmployeeNamesInDatabase,$L$4,TblDatabase[Year],C663)</f>
        <v>0</v>
      </c>
      <c r="AB673" s="149"/>
      <c r="AC673" s="149"/>
      <c r="AD673" s="149"/>
      <c r="AE673" s="149"/>
      <c r="AF673" s="149"/>
    </row>
    <row r="674" spans="2:32" s="148" customFormat="1" ht="15" hidden="1" customHeight="1">
      <c r="B674" s="355" t="str">
        <f t="shared" si="15"/>
        <v>Client Service</v>
      </c>
      <c r="C674" s="356"/>
      <c r="D674" s="356"/>
      <c r="E674" s="357"/>
      <c r="F674" s="163" t="str">
        <f>IF(Settings!$M$4=Settings!$Y$3,IF($AA674=1,"P",""),IF($AA674=1,"P",""))</f>
        <v/>
      </c>
      <c r="G674" s="164" t="str">
        <f>IF(Settings!$M$4=Settings!$Y$3,IF($AA674=1,"P",""),IF($AA674=2,"P",""))</f>
        <v/>
      </c>
      <c r="H674" s="164" t="str">
        <f>IF(Settings!$M$4=Settings!$Y$3,IF($AA674=1,"P",""),IF($AA674=3,"P",""))</f>
        <v/>
      </c>
      <c r="I674" s="164" t="str">
        <f>IF(Settings!$M$4=Settings!$Y$3,IF($AA674=1,"P",""),IF($AA674=4,"P",""))</f>
        <v/>
      </c>
      <c r="J674" s="164" t="str">
        <f>IF(Settings!$M$4=Settings!$Y$3,IF($AA674=2,"P",""),IF($AA674=5,"P",""))</f>
        <v/>
      </c>
      <c r="K674" s="164" t="str">
        <f>IF(Settings!$M$4=Settings!$Y$3,IF($AA674=2,"P",""),IF($AA674=6,"P",""))</f>
        <v/>
      </c>
      <c r="L674" s="164" t="str">
        <f>IF(Settings!$M$4=Settings!$Y$3,IF($AA674=2,"P",""),IF($AA674=7,"P",""))</f>
        <v/>
      </c>
      <c r="M674" s="164" t="str">
        <f>IF(Settings!$M$4=Settings!$Y$3,IF($AA674=2,"P",""),IF($AA674=8,"P",""))</f>
        <v/>
      </c>
      <c r="N674" s="164" t="str">
        <f>IF(Settings!$M$4=Settings!$Y$3,IF($AA674=3,"P",""),IF($AA674=9,"P",""))</f>
        <v/>
      </c>
      <c r="O674" s="165" t="str">
        <f>IF(Settings!$M$4=Settings!$Y$3,IF($AA674=3,"P",""),IF($AA674=10,"P",""))</f>
        <v/>
      </c>
      <c r="P674" s="22"/>
      <c r="Q674" s="22"/>
      <c r="R674" s="360" t="e">
        <f>IF(INDEX(TblDatabase[Comment4],MATCH(1,INDEX(($L$4=ListEmployeeNamesInDatabase)*(C663=TblDatabase[Year]),0,1),0))="","",INDEX(TblDatabase[Comment4],MATCH(1,INDEX(($L$4=ListEmployeeNamesInDatabase)*(C663=TblDatabase[Year]),0,1),0)))</f>
        <v>#N/A</v>
      </c>
      <c r="S674" s="360"/>
      <c r="T674" s="360"/>
      <c r="U674" s="360"/>
      <c r="V674" s="360"/>
      <c r="W674" s="360"/>
      <c r="X674" s="360"/>
      <c r="Y674" s="361"/>
      <c r="Z674" s="149"/>
      <c r="AA674" s="151">
        <f>SUMIFS(TblDatabase[Competency4],ListEmployeeNamesInDatabase,$L$4,TblDatabase[Year],C663)</f>
        <v>0</v>
      </c>
      <c r="AB674" s="149"/>
      <c r="AC674" s="149"/>
      <c r="AD674" s="149"/>
      <c r="AE674" s="149"/>
      <c r="AF674" s="149"/>
    </row>
    <row r="675" spans="2:32" s="148" customFormat="1" ht="15" hidden="1" customHeight="1">
      <c r="B675" s="350" t="str">
        <f t="shared" si="15"/>
        <v>Teamwork</v>
      </c>
      <c r="C675" s="351"/>
      <c r="D675" s="351"/>
      <c r="E675" s="352"/>
      <c r="F675" s="157" t="str">
        <f>IF(Settings!$M$4=Settings!$Y$3,IF($AA675=1,"P",""),IF($AA675=1,"P",""))</f>
        <v/>
      </c>
      <c r="G675" s="158" t="str">
        <f>IF(Settings!$M$4=Settings!$Y$3,IF($AA675=1,"P",""),IF($AA675=2,"P",""))</f>
        <v/>
      </c>
      <c r="H675" s="158" t="str">
        <f>IF(Settings!$M$4=Settings!$Y$3,IF($AA675=1,"P",""),IF($AA675=3,"P",""))</f>
        <v/>
      </c>
      <c r="I675" s="158" t="str">
        <f>IF(Settings!$M$4=Settings!$Y$3,IF($AA675=1,"P",""),IF($AA675=4,"P",""))</f>
        <v/>
      </c>
      <c r="J675" s="158" t="str">
        <f>IF(Settings!$M$4=Settings!$Y$3,IF($AA675=2,"P",""),IF($AA675=5,"P",""))</f>
        <v/>
      </c>
      <c r="K675" s="158" t="str">
        <f>IF(Settings!$M$4=Settings!$Y$3,IF($AA675=2,"P",""),IF($AA675=6,"P",""))</f>
        <v/>
      </c>
      <c r="L675" s="158" t="str">
        <f>IF(Settings!$M$4=Settings!$Y$3,IF($AA675=2,"P",""),IF($AA675=7,"P",""))</f>
        <v/>
      </c>
      <c r="M675" s="158" t="str">
        <f>IF(Settings!$M$4=Settings!$Y$3,IF($AA675=2,"P",""),IF($AA675=8,"P",""))</f>
        <v/>
      </c>
      <c r="N675" s="158" t="str">
        <f>IF(Settings!$M$4=Settings!$Y$3,IF($AA675=3,"P",""),IF($AA675=9,"P",""))</f>
        <v/>
      </c>
      <c r="O675" s="159" t="str">
        <f>IF(Settings!$M$4=Settings!$Y$3,IF($AA675=3,"P",""),IF($AA675=10,"P",""))</f>
        <v/>
      </c>
      <c r="P675" s="22"/>
      <c r="Q675" s="22"/>
      <c r="R675" s="353" t="e">
        <f>IF(INDEX(TblDatabase[Comment5],MATCH(1,INDEX(($L$4=ListEmployeeNamesInDatabase)*(C663=TblDatabase[Year]),0,1),0))="","",INDEX(TblDatabase[Comment5],MATCH(1,INDEX(($L$4=ListEmployeeNamesInDatabase)*(C663=TblDatabase[Year]),0,1),0)))</f>
        <v>#N/A</v>
      </c>
      <c r="S675" s="353"/>
      <c r="T675" s="353"/>
      <c r="U675" s="353"/>
      <c r="V675" s="353"/>
      <c r="W675" s="353"/>
      <c r="X675" s="353"/>
      <c r="Y675" s="354"/>
      <c r="Z675" s="149"/>
      <c r="AA675" s="151">
        <f>SUMIFS(TblDatabase[Competency5],ListEmployeeNamesInDatabase,$L$4,TblDatabase[Year],C663)</f>
        <v>0</v>
      </c>
      <c r="AB675" s="149"/>
      <c r="AC675" s="149"/>
      <c r="AD675" s="149"/>
      <c r="AE675" s="149"/>
      <c r="AF675" s="149"/>
    </row>
    <row r="676" spans="2:32" s="148" customFormat="1" ht="15" hidden="1" customHeight="1">
      <c r="B676" s="355" t="str">
        <f t="shared" si="15"/>
        <v>Safety</v>
      </c>
      <c r="C676" s="356"/>
      <c r="D676" s="356"/>
      <c r="E676" s="357"/>
      <c r="F676" s="163" t="str">
        <f>IF(Settings!$M$4=Settings!$Y$3,IF($AA676=1,"P",""),IF($AA676=1,"P",""))</f>
        <v/>
      </c>
      <c r="G676" s="164" t="str">
        <f>IF(Settings!$M$4=Settings!$Y$3,IF($AA676=1,"P",""),IF($AA676=2,"P",""))</f>
        <v/>
      </c>
      <c r="H676" s="164" t="str">
        <f>IF(Settings!$M$4=Settings!$Y$3,IF($AA676=1,"P",""),IF($AA676=3,"P",""))</f>
        <v/>
      </c>
      <c r="I676" s="164" t="str">
        <f>IF(Settings!$M$4=Settings!$Y$3,IF($AA676=1,"P",""),IF($AA676=4,"P",""))</f>
        <v/>
      </c>
      <c r="J676" s="164" t="str">
        <f>IF(Settings!$M$4=Settings!$Y$3,IF($AA676=2,"P",""),IF($AA676=5,"P",""))</f>
        <v/>
      </c>
      <c r="K676" s="164" t="str">
        <f>IF(Settings!$M$4=Settings!$Y$3,IF($AA676=2,"P",""),IF($AA676=6,"P",""))</f>
        <v/>
      </c>
      <c r="L676" s="164" t="str">
        <f>IF(Settings!$M$4=Settings!$Y$3,IF($AA676=2,"P",""),IF($AA676=7,"P",""))</f>
        <v/>
      </c>
      <c r="M676" s="164" t="str">
        <f>IF(Settings!$M$4=Settings!$Y$3,IF($AA676=2,"P",""),IF($AA676=8,"P",""))</f>
        <v/>
      </c>
      <c r="N676" s="164" t="str">
        <f>IF(Settings!$M$4=Settings!$Y$3,IF($AA676=3,"P",""),IF($AA676=9,"P",""))</f>
        <v/>
      </c>
      <c r="O676" s="165" t="str">
        <f>IF(Settings!$M$4=Settings!$Y$3,IF($AA676=3,"P",""),IF($AA676=10,"P",""))</f>
        <v/>
      </c>
      <c r="P676" s="22"/>
      <c r="Q676" s="22"/>
      <c r="R676" s="360" t="e">
        <f>IF(INDEX(TblDatabase[Comment6],MATCH(1,INDEX(($L$4=ListEmployeeNamesInDatabase)*(C663=TblDatabase[Year]),0,1),0))="","",INDEX(TblDatabase[Comment6],MATCH(1,INDEX(($L$4=ListEmployeeNamesInDatabase)*(C663=TblDatabase[Year]),0,1),0)))</f>
        <v>#N/A</v>
      </c>
      <c r="S676" s="360"/>
      <c r="T676" s="360"/>
      <c r="U676" s="360"/>
      <c r="V676" s="360"/>
      <c r="W676" s="360"/>
      <c r="X676" s="360"/>
      <c r="Y676" s="361"/>
      <c r="Z676" s="149"/>
      <c r="AA676" s="151">
        <f>SUMIFS(TblDatabase[Competency6],ListEmployeeNamesInDatabase,$L$4,TblDatabase[Year],C663)</f>
        <v>0</v>
      </c>
      <c r="AB676" s="149"/>
      <c r="AC676" s="149"/>
      <c r="AD676" s="149"/>
      <c r="AE676" s="149"/>
      <c r="AF676" s="149"/>
    </row>
    <row r="677" spans="2:32" s="148" customFormat="1" ht="15" hidden="1" customHeight="1">
      <c r="B677" s="350" t="str">
        <f t="shared" si="15"/>
        <v>Reliability</v>
      </c>
      <c r="C677" s="351"/>
      <c r="D677" s="351"/>
      <c r="E677" s="352"/>
      <c r="F677" s="157" t="str">
        <f>IF(Settings!$M$4=Settings!$Y$3,IF($AA677=1,"P",""),IF($AA677=1,"P",""))</f>
        <v/>
      </c>
      <c r="G677" s="158" t="str">
        <f>IF(Settings!$M$4=Settings!$Y$3,IF($AA677=1,"P",""),IF($AA677=2,"P",""))</f>
        <v/>
      </c>
      <c r="H677" s="158" t="str">
        <f>IF(Settings!$M$4=Settings!$Y$3,IF($AA677=1,"P",""),IF($AA677=3,"P",""))</f>
        <v/>
      </c>
      <c r="I677" s="158" t="str">
        <f>IF(Settings!$M$4=Settings!$Y$3,IF($AA677=1,"P",""),IF($AA677=4,"P",""))</f>
        <v/>
      </c>
      <c r="J677" s="158" t="str">
        <f>IF(Settings!$M$4=Settings!$Y$3,IF($AA677=2,"P",""),IF($AA677=5,"P",""))</f>
        <v/>
      </c>
      <c r="K677" s="158" t="str">
        <f>IF(Settings!$M$4=Settings!$Y$3,IF($AA677=2,"P",""),IF($AA677=6,"P",""))</f>
        <v/>
      </c>
      <c r="L677" s="158" t="str">
        <f>IF(Settings!$M$4=Settings!$Y$3,IF($AA677=2,"P",""),IF($AA677=7,"P",""))</f>
        <v/>
      </c>
      <c r="M677" s="158" t="str">
        <f>IF(Settings!$M$4=Settings!$Y$3,IF($AA677=2,"P",""),IF($AA677=8,"P",""))</f>
        <v/>
      </c>
      <c r="N677" s="158" t="str">
        <f>IF(Settings!$M$4=Settings!$Y$3,IF($AA677=3,"P",""),IF($AA677=9,"P",""))</f>
        <v/>
      </c>
      <c r="O677" s="159" t="str">
        <f>IF(Settings!$M$4=Settings!$Y$3,IF($AA677=3,"P",""),IF($AA677=10,"P",""))</f>
        <v/>
      </c>
      <c r="P677" s="22"/>
      <c r="Q677" s="22"/>
      <c r="R677" s="353" t="e">
        <f>IF(INDEX(TblDatabase[Comment7],MATCH(1,INDEX(($L$4=ListEmployeeNamesInDatabase)*(C663=TblDatabase[Year]),0,1),0))="","",INDEX(TblDatabase[Comment7],MATCH(1,INDEX(($L$4=ListEmployeeNamesInDatabase)*(C663=TblDatabase[Year]),0,1),0)))</f>
        <v>#N/A</v>
      </c>
      <c r="S677" s="353"/>
      <c r="T677" s="353"/>
      <c r="U677" s="353"/>
      <c r="V677" s="353"/>
      <c r="W677" s="353"/>
      <c r="X677" s="353"/>
      <c r="Y677" s="354"/>
      <c r="Z677" s="149"/>
      <c r="AA677" s="151">
        <f>SUMIFS(TblDatabase[Competency7],ListEmployeeNamesInDatabase,$L$4,TblDatabase[Year],C663)</f>
        <v>0</v>
      </c>
      <c r="AB677" s="149"/>
      <c r="AC677" s="149"/>
      <c r="AD677" s="149"/>
      <c r="AE677" s="149"/>
      <c r="AF677" s="149"/>
    </row>
    <row r="678" spans="2:32" s="148" customFormat="1" ht="15" hidden="1" customHeight="1">
      <c r="B678" s="355" t="str">
        <f t="shared" si="15"/>
        <v>Initiative/Adaptability</v>
      </c>
      <c r="C678" s="356"/>
      <c r="D678" s="356"/>
      <c r="E678" s="357"/>
      <c r="F678" s="163" t="str">
        <f>IF(Settings!$M$4=Settings!$Y$3,IF($AA678=1,"P",""),IF($AA678=1,"P",""))</f>
        <v/>
      </c>
      <c r="G678" s="164" t="str">
        <f>IF(Settings!$M$4=Settings!$Y$3,IF($AA678=1,"P",""),IF($AA678=2,"P",""))</f>
        <v/>
      </c>
      <c r="H678" s="164" t="str">
        <f>IF(Settings!$M$4=Settings!$Y$3,IF($AA678=1,"P",""),IF($AA678=3,"P",""))</f>
        <v/>
      </c>
      <c r="I678" s="164" t="str">
        <f>IF(Settings!$M$4=Settings!$Y$3,IF($AA678=1,"P",""),IF($AA678=4,"P",""))</f>
        <v/>
      </c>
      <c r="J678" s="164" t="str">
        <f>IF(Settings!$M$4=Settings!$Y$3,IF($AA678=2,"P",""),IF($AA678=5,"P",""))</f>
        <v/>
      </c>
      <c r="K678" s="164" t="str">
        <f>IF(Settings!$M$4=Settings!$Y$3,IF($AA678=2,"P",""),IF($AA678=6,"P",""))</f>
        <v/>
      </c>
      <c r="L678" s="164" t="str">
        <f>IF(Settings!$M$4=Settings!$Y$3,IF($AA678=2,"P",""),IF($AA678=7,"P",""))</f>
        <v/>
      </c>
      <c r="M678" s="164" t="str">
        <f>IF(Settings!$M$4=Settings!$Y$3,IF($AA678=2,"P",""),IF($AA678=8,"P",""))</f>
        <v/>
      </c>
      <c r="N678" s="164" t="str">
        <f>IF(Settings!$M$4=Settings!$Y$3,IF($AA678=3,"P",""),IF($AA678=9,"P",""))</f>
        <v/>
      </c>
      <c r="O678" s="165" t="str">
        <f>IF(Settings!$M$4=Settings!$Y$3,IF($AA678=3,"P",""),IF($AA678=10,"P",""))</f>
        <v/>
      </c>
      <c r="P678" s="22"/>
      <c r="Q678" s="22"/>
      <c r="R678" s="360" t="e">
        <f>IF(INDEX(TblDatabase[Comment8],MATCH(1,INDEX(($L$4=ListEmployeeNamesInDatabase)*(C663=TblDatabase[Year]),0,1),0))="","",INDEX(TblDatabase[Comment8],MATCH(1,INDEX(($L$4=ListEmployeeNamesInDatabase)*(C663=TblDatabase[Year]),0,1),0)))</f>
        <v>#N/A</v>
      </c>
      <c r="S678" s="360"/>
      <c r="T678" s="360"/>
      <c r="U678" s="360"/>
      <c r="V678" s="360"/>
      <c r="W678" s="360"/>
      <c r="X678" s="360"/>
      <c r="Y678" s="361"/>
      <c r="Z678" s="149"/>
      <c r="AA678" s="151">
        <f>SUMIFS(TblDatabase[Competency8],ListEmployeeNamesInDatabase,$L$4,TblDatabase[Year],C663)</f>
        <v>0</v>
      </c>
      <c r="AB678" s="149"/>
      <c r="AC678" s="149"/>
      <c r="AD678" s="149"/>
      <c r="AE678" s="149"/>
      <c r="AF678" s="149"/>
    </row>
    <row r="679" spans="2:32" s="148" customFormat="1" ht="15" hidden="1" customHeight="1">
      <c r="B679" s="350" t="str">
        <f t="shared" si="15"/>
        <v/>
      </c>
      <c r="C679" s="351"/>
      <c r="D679" s="351"/>
      <c r="E679" s="352"/>
      <c r="F679" s="157" t="str">
        <f>IF(Settings!$M$4=Settings!$Y$3,IF($AA679=1,"P",""),IF($AA679=1,"P",""))</f>
        <v/>
      </c>
      <c r="G679" s="158" t="str">
        <f>IF(Settings!$M$4=Settings!$Y$3,IF($AA679=1,"P",""),IF($AA679=2,"P",""))</f>
        <v/>
      </c>
      <c r="H679" s="158" t="str">
        <f>IF(Settings!$M$4=Settings!$Y$3,IF($AA679=1,"P",""),IF($AA679=3,"P",""))</f>
        <v/>
      </c>
      <c r="I679" s="158" t="str">
        <f>IF(Settings!$M$4=Settings!$Y$3,IF($AA679=1,"P",""),IF($AA679=4,"P",""))</f>
        <v/>
      </c>
      <c r="J679" s="158" t="str">
        <f>IF(Settings!$M$4=Settings!$Y$3,IF($AA679=2,"P",""),IF($AA679=5,"P",""))</f>
        <v/>
      </c>
      <c r="K679" s="158" t="str">
        <f>IF(Settings!$M$4=Settings!$Y$3,IF($AA679=2,"P",""),IF($AA679=6,"P",""))</f>
        <v/>
      </c>
      <c r="L679" s="158" t="str">
        <f>IF(Settings!$M$4=Settings!$Y$3,IF($AA679=2,"P",""),IF($AA679=7,"P",""))</f>
        <v/>
      </c>
      <c r="M679" s="158" t="str">
        <f>IF(Settings!$M$4=Settings!$Y$3,IF($AA679=2,"P",""),IF($AA679=8,"P",""))</f>
        <v/>
      </c>
      <c r="N679" s="158" t="str">
        <f>IF(Settings!$M$4=Settings!$Y$3,IF($AA679=3,"P",""),IF($AA679=9,"P",""))</f>
        <v/>
      </c>
      <c r="O679" s="159" t="str">
        <f>IF(Settings!$M$4=Settings!$Y$3,IF($AA679=3,"P",""),IF($AA679=10,"P",""))</f>
        <v/>
      </c>
      <c r="P679" s="22"/>
      <c r="Q679" s="22"/>
      <c r="R679" s="353" t="e">
        <f>IF(INDEX(TblDatabase[Comment9],MATCH(1,INDEX(($L$4=ListEmployeeNamesInDatabase)*(C663=TblDatabase[Year]),0,1),0))="","",INDEX(TblDatabase[Comment9],MATCH(1,INDEX(($L$4=ListEmployeeNamesInDatabase)*(C663=TblDatabase[Year]),0,1),0)))</f>
        <v>#N/A</v>
      </c>
      <c r="S679" s="353"/>
      <c r="T679" s="353"/>
      <c r="U679" s="353"/>
      <c r="V679" s="353"/>
      <c r="W679" s="353"/>
      <c r="X679" s="353"/>
      <c r="Y679" s="354"/>
      <c r="Z679" s="149"/>
      <c r="AA679" s="151">
        <f>SUMIFS(TblDatabase[Competency9],ListEmployeeNamesInDatabase,$L$4,TblDatabase[Year],C663)</f>
        <v>0</v>
      </c>
      <c r="AB679" s="149"/>
      <c r="AC679" s="149"/>
      <c r="AD679" s="149"/>
      <c r="AE679" s="149"/>
      <c r="AF679" s="149"/>
    </row>
    <row r="680" spans="2:32" s="148" customFormat="1" ht="15" hidden="1" customHeight="1">
      <c r="B680" s="355" t="str">
        <f t="shared" si="15"/>
        <v/>
      </c>
      <c r="C680" s="356"/>
      <c r="D680" s="356"/>
      <c r="E680" s="357"/>
      <c r="F680" s="163" t="str">
        <f>IF(Settings!$M$4=Settings!$Y$3,IF($AA680=1,"P",""),IF($AA680=1,"P",""))</f>
        <v/>
      </c>
      <c r="G680" s="164" t="str">
        <f>IF(Settings!$M$4=Settings!$Y$3,IF($AA680=1,"P",""),IF($AA680=2,"P",""))</f>
        <v/>
      </c>
      <c r="H680" s="164" t="str">
        <f>IF(Settings!$M$4=Settings!$Y$3,IF($AA680=1,"P",""),IF($AA680=3,"P",""))</f>
        <v/>
      </c>
      <c r="I680" s="164" t="str">
        <f>IF(Settings!$M$4=Settings!$Y$3,IF($AA680=1,"P",""),IF($AA680=4,"P",""))</f>
        <v/>
      </c>
      <c r="J680" s="164" t="str">
        <f>IF(Settings!$M$4=Settings!$Y$3,IF($AA680=2,"P",""),IF($AA680=5,"P",""))</f>
        <v/>
      </c>
      <c r="K680" s="164" t="str">
        <f>IF(Settings!$M$4=Settings!$Y$3,IF($AA680=2,"P",""),IF($AA680=6,"P",""))</f>
        <v/>
      </c>
      <c r="L680" s="164" t="str">
        <f>IF(Settings!$M$4=Settings!$Y$3,IF($AA680=2,"P",""),IF($AA680=7,"P",""))</f>
        <v/>
      </c>
      <c r="M680" s="164" t="str">
        <f>IF(Settings!$M$4=Settings!$Y$3,IF($AA680=2,"P",""),IF($AA680=8,"P",""))</f>
        <v/>
      </c>
      <c r="N680" s="164" t="str">
        <f>IF(Settings!$M$4=Settings!$Y$3,IF($AA680=3,"P",""),IF($AA680=9,"P",""))</f>
        <v/>
      </c>
      <c r="O680" s="165" t="str">
        <f>IF(Settings!$M$4=Settings!$Y$3,IF($AA680=3,"P",""),IF($AA680=10,"P",""))</f>
        <v/>
      </c>
      <c r="P680" s="22"/>
      <c r="Q680" s="22"/>
      <c r="R680" s="360" t="e">
        <f>IF(INDEX(TblDatabase[Comment10],MATCH(1,INDEX(($L$4=ListEmployeeNamesInDatabase)*(C663=TblDatabase[Year]),0,1),0))="","",INDEX(TblDatabase[Comment10],MATCH(1,INDEX(($L$4=ListEmployeeNamesInDatabase)*(C663=TblDatabase[Year]),0,1),0)))</f>
        <v>#N/A</v>
      </c>
      <c r="S680" s="360"/>
      <c r="T680" s="360"/>
      <c r="U680" s="360"/>
      <c r="V680" s="360"/>
      <c r="W680" s="360"/>
      <c r="X680" s="360"/>
      <c r="Y680" s="361"/>
      <c r="Z680" s="149"/>
      <c r="AA680" s="151">
        <f>SUMIFS(TblDatabase[Competency10],ListEmployeeNamesInDatabase,$L$4,TblDatabase[Year],C663)</f>
        <v>0</v>
      </c>
      <c r="AB680" s="149"/>
      <c r="AC680" s="149"/>
      <c r="AD680" s="149"/>
      <c r="AE680" s="149"/>
      <c r="AF680" s="149"/>
    </row>
    <row r="681" spans="2:32" s="148" customFormat="1" ht="15" hidden="1" customHeight="1">
      <c r="B681" s="350" t="str">
        <f t="shared" si="15"/>
        <v/>
      </c>
      <c r="C681" s="351"/>
      <c r="D681" s="351"/>
      <c r="E681" s="352"/>
      <c r="F681" s="157" t="str">
        <f>IF(Settings!$M$4=Settings!$Y$3,IF($AA681=1,"P",""),IF($AA681=1,"P",""))</f>
        <v/>
      </c>
      <c r="G681" s="158" t="str">
        <f>IF(Settings!$M$4=Settings!$Y$3,IF($AA681=1,"P",""),IF($AA681=2,"P",""))</f>
        <v/>
      </c>
      <c r="H681" s="158" t="str">
        <f>IF(Settings!$M$4=Settings!$Y$3,IF($AA681=1,"P",""),IF($AA681=3,"P",""))</f>
        <v/>
      </c>
      <c r="I681" s="158" t="str">
        <f>IF(Settings!$M$4=Settings!$Y$3,IF($AA681=1,"P",""),IF($AA681=4,"P",""))</f>
        <v/>
      </c>
      <c r="J681" s="158" t="str">
        <f>IF(Settings!$M$4=Settings!$Y$3,IF($AA681=2,"P",""),IF($AA681=5,"P",""))</f>
        <v/>
      </c>
      <c r="K681" s="158" t="str">
        <f>IF(Settings!$M$4=Settings!$Y$3,IF($AA681=2,"P",""),IF($AA681=6,"P",""))</f>
        <v/>
      </c>
      <c r="L681" s="158" t="str">
        <f>IF(Settings!$M$4=Settings!$Y$3,IF($AA681=2,"P",""),IF($AA681=7,"P",""))</f>
        <v/>
      </c>
      <c r="M681" s="158" t="str">
        <f>IF(Settings!$M$4=Settings!$Y$3,IF($AA681=2,"P",""),IF($AA681=8,"P",""))</f>
        <v/>
      </c>
      <c r="N681" s="158" t="str">
        <f>IF(Settings!$M$4=Settings!$Y$3,IF($AA681=3,"P",""),IF($AA681=9,"P",""))</f>
        <v/>
      </c>
      <c r="O681" s="159" t="str">
        <f>IF(Settings!$M$4=Settings!$Y$3,IF($AA681=3,"P",""),IF($AA681=10,"P",""))</f>
        <v/>
      </c>
      <c r="P681" s="22"/>
      <c r="Q681" s="22"/>
      <c r="R681" s="353" t="e">
        <f>IF(INDEX(TblDatabase[Comment11],MATCH(1,INDEX(($L$4=ListEmployeeNamesInDatabase)*(C663=TblDatabase[Year]),0,1),0))="","",INDEX(TblDatabase[Comment11],MATCH(1,INDEX(($L$4=ListEmployeeNamesInDatabase)*(C663=TblDatabase[Year]),0,1),0)))</f>
        <v>#N/A</v>
      </c>
      <c r="S681" s="353"/>
      <c r="T681" s="353"/>
      <c r="U681" s="353"/>
      <c r="V681" s="353"/>
      <c r="W681" s="353"/>
      <c r="X681" s="353"/>
      <c r="Y681" s="354"/>
      <c r="Z681" s="149"/>
      <c r="AA681" s="151">
        <f>SUMIFS(TblDatabase[Competency11],ListEmployeeNamesInDatabase,$L$4,TblDatabase[Year],C663)</f>
        <v>0</v>
      </c>
      <c r="AB681" s="149"/>
      <c r="AC681" s="149"/>
      <c r="AD681" s="149"/>
      <c r="AE681" s="149"/>
      <c r="AF681" s="149"/>
    </row>
    <row r="682" spans="2:32" s="148" customFormat="1" ht="15" hidden="1" customHeight="1">
      <c r="B682" s="355" t="str">
        <f t="shared" si="15"/>
        <v/>
      </c>
      <c r="C682" s="356"/>
      <c r="D682" s="356"/>
      <c r="E682" s="357"/>
      <c r="F682" s="163" t="str">
        <f>IF(Settings!$M$4=Settings!$Y$3,IF($AA682=1,"P",""),IF($AA682=1,"P",""))</f>
        <v/>
      </c>
      <c r="G682" s="164" t="str">
        <f>IF(Settings!$M$4=Settings!$Y$3,IF($AA682=1,"P",""),IF($AA682=2,"P",""))</f>
        <v/>
      </c>
      <c r="H682" s="164" t="str">
        <f>IF(Settings!$M$4=Settings!$Y$3,IF($AA682=1,"P",""),IF($AA682=3,"P",""))</f>
        <v/>
      </c>
      <c r="I682" s="164" t="str">
        <f>IF(Settings!$M$4=Settings!$Y$3,IF($AA682=1,"P",""),IF($AA682=4,"P",""))</f>
        <v/>
      </c>
      <c r="J682" s="164" t="str">
        <f>IF(Settings!$M$4=Settings!$Y$3,IF($AA682=2,"P",""),IF($AA682=5,"P",""))</f>
        <v/>
      </c>
      <c r="K682" s="164" t="str">
        <f>IF(Settings!$M$4=Settings!$Y$3,IF($AA682=2,"P",""),IF($AA682=6,"P",""))</f>
        <v/>
      </c>
      <c r="L682" s="164" t="str">
        <f>IF(Settings!$M$4=Settings!$Y$3,IF($AA682=2,"P",""),IF($AA682=7,"P",""))</f>
        <v/>
      </c>
      <c r="M682" s="164" t="str">
        <f>IF(Settings!$M$4=Settings!$Y$3,IF($AA682=2,"P",""),IF($AA682=8,"P",""))</f>
        <v/>
      </c>
      <c r="N682" s="164" t="str">
        <f>IF(Settings!$M$4=Settings!$Y$3,IF($AA682=3,"P",""),IF($AA682=9,"P",""))</f>
        <v/>
      </c>
      <c r="O682" s="165" t="str">
        <f>IF(Settings!$M$4=Settings!$Y$3,IF($AA682=3,"P",""),IF($AA682=10,"P",""))</f>
        <v/>
      </c>
      <c r="P682" s="22"/>
      <c r="Q682" s="22"/>
      <c r="R682" s="360" t="e">
        <f>IF(INDEX(TblDatabase[Comment12],MATCH(1,INDEX(($L$4=ListEmployeeNamesInDatabase)*(C663=TblDatabase[Year]),0,1),0))="","",INDEX(TblDatabase[Comment12],MATCH(1,INDEX(($L$4=ListEmployeeNamesInDatabase)*(C663=TblDatabase[Year]),0,1),0)))</f>
        <v>#N/A</v>
      </c>
      <c r="S682" s="360"/>
      <c r="T682" s="360"/>
      <c r="U682" s="360"/>
      <c r="V682" s="360"/>
      <c r="W682" s="360"/>
      <c r="X682" s="360"/>
      <c r="Y682" s="361"/>
      <c r="Z682" s="149"/>
      <c r="AA682" s="151">
        <f>SUMIFS(TblDatabase[Competency12],ListEmployeeNamesInDatabase,$L$4,TblDatabase[Year],C663)</f>
        <v>0</v>
      </c>
      <c r="AB682" s="149"/>
      <c r="AC682" s="149"/>
      <c r="AD682" s="149"/>
      <c r="AE682" s="149"/>
      <c r="AF682" s="149"/>
    </row>
    <row r="683" spans="2:32" s="148" customFormat="1" ht="15" hidden="1" customHeight="1">
      <c r="B683" s="350" t="str">
        <f t="shared" si="15"/>
        <v/>
      </c>
      <c r="C683" s="351"/>
      <c r="D683" s="351"/>
      <c r="E683" s="352"/>
      <c r="F683" s="157" t="str">
        <f>IF(Settings!$M$4=Settings!$Y$3,IF($AA683=1,"P",""),IF($AA683=1,"P",""))</f>
        <v/>
      </c>
      <c r="G683" s="158" t="str">
        <f>IF(Settings!$M$4=Settings!$Y$3,IF($AA683=1,"P",""),IF($AA683=2,"P",""))</f>
        <v/>
      </c>
      <c r="H683" s="158" t="str">
        <f>IF(Settings!$M$4=Settings!$Y$3,IF($AA683=1,"P",""),IF($AA683=3,"P",""))</f>
        <v/>
      </c>
      <c r="I683" s="158" t="str">
        <f>IF(Settings!$M$4=Settings!$Y$3,IF($AA683=1,"P",""),IF($AA683=4,"P",""))</f>
        <v/>
      </c>
      <c r="J683" s="158" t="str">
        <f>IF(Settings!$M$4=Settings!$Y$3,IF($AA683=2,"P",""),IF($AA683=5,"P",""))</f>
        <v/>
      </c>
      <c r="K683" s="158" t="str">
        <f>IF(Settings!$M$4=Settings!$Y$3,IF($AA683=2,"P",""),IF($AA683=6,"P",""))</f>
        <v/>
      </c>
      <c r="L683" s="158" t="str">
        <f>IF(Settings!$M$4=Settings!$Y$3,IF($AA683=2,"P",""),IF($AA683=7,"P",""))</f>
        <v/>
      </c>
      <c r="M683" s="158" t="str">
        <f>IF(Settings!$M$4=Settings!$Y$3,IF($AA683=2,"P",""),IF($AA683=8,"P",""))</f>
        <v/>
      </c>
      <c r="N683" s="158" t="str">
        <f>IF(Settings!$M$4=Settings!$Y$3,IF($AA683=3,"P",""),IF($AA683=9,"P",""))</f>
        <v/>
      </c>
      <c r="O683" s="159" t="str">
        <f>IF(Settings!$M$4=Settings!$Y$3,IF($AA683=3,"P",""),IF($AA683=10,"P",""))</f>
        <v/>
      </c>
      <c r="P683" s="22"/>
      <c r="Q683" s="22"/>
      <c r="R683" s="353" t="e">
        <f>IF(INDEX(TblDatabase[Comment13],MATCH(1,INDEX(($L$4=ListEmployeeNamesInDatabase)*(C663=TblDatabase[Year]),0,1),0))="","",INDEX(TblDatabase[Comment13],MATCH(1,INDEX(($L$4=ListEmployeeNamesInDatabase)*(C663=TblDatabase[Year]),0,1),0)))</f>
        <v>#N/A</v>
      </c>
      <c r="S683" s="353"/>
      <c r="T683" s="353"/>
      <c r="U683" s="353"/>
      <c r="V683" s="353"/>
      <c r="W683" s="353"/>
      <c r="X683" s="353"/>
      <c r="Y683" s="354"/>
      <c r="Z683" s="149"/>
      <c r="AA683" s="151">
        <f>SUMIFS(TblDatabase[Competency13],ListEmployeeNamesInDatabase,$L$4,TblDatabase[Year],C663)</f>
        <v>0</v>
      </c>
      <c r="AB683" s="149"/>
      <c r="AC683" s="149"/>
      <c r="AD683" s="149"/>
      <c r="AE683" s="149"/>
      <c r="AF683" s="149"/>
    </row>
    <row r="684" spans="2:32" s="148" customFormat="1" ht="15" hidden="1" customHeight="1">
      <c r="B684" s="355" t="str">
        <f t="shared" si="15"/>
        <v/>
      </c>
      <c r="C684" s="356"/>
      <c r="D684" s="356"/>
      <c r="E684" s="357"/>
      <c r="F684" s="163" t="str">
        <f>IF(Settings!$M$4=Settings!$Y$3,IF($AA684=1,"P",""),IF($AA684=1,"P",""))</f>
        <v/>
      </c>
      <c r="G684" s="164" t="str">
        <f>IF(Settings!$M$4=Settings!$Y$3,IF($AA684=1,"P",""),IF($AA684=2,"P",""))</f>
        <v/>
      </c>
      <c r="H684" s="164" t="str">
        <f>IF(Settings!$M$4=Settings!$Y$3,IF($AA684=1,"P",""),IF($AA684=3,"P",""))</f>
        <v/>
      </c>
      <c r="I684" s="164" t="str">
        <f>IF(Settings!$M$4=Settings!$Y$3,IF($AA684=1,"P",""),IF($AA684=4,"P",""))</f>
        <v/>
      </c>
      <c r="J684" s="164" t="str">
        <f>IF(Settings!$M$4=Settings!$Y$3,IF($AA684=2,"P",""),IF($AA684=5,"P",""))</f>
        <v/>
      </c>
      <c r="K684" s="164" t="str">
        <f>IF(Settings!$M$4=Settings!$Y$3,IF($AA684=2,"P",""),IF($AA684=6,"P",""))</f>
        <v/>
      </c>
      <c r="L684" s="164" t="str">
        <f>IF(Settings!$M$4=Settings!$Y$3,IF($AA684=2,"P",""),IF($AA684=7,"P",""))</f>
        <v/>
      </c>
      <c r="M684" s="164" t="str">
        <f>IF(Settings!$M$4=Settings!$Y$3,IF($AA684=2,"P",""),IF($AA684=8,"P",""))</f>
        <v/>
      </c>
      <c r="N684" s="164" t="str">
        <f>IF(Settings!$M$4=Settings!$Y$3,IF($AA684=3,"P",""),IF($AA684=9,"P",""))</f>
        <v/>
      </c>
      <c r="O684" s="165" t="str">
        <f>IF(Settings!$M$4=Settings!$Y$3,IF($AA684=3,"P",""),IF($AA684=10,"P",""))</f>
        <v/>
      </c>
      <c r="P684" s="22"/>
      <c r="Q684" s="22"/>
      <c r="R684" s="360" t="e">
        <f>IF(INDEX(TblDatabase[Comment14],MATCH(1,INDEX(($L$4=ListEmployeeNamesInDatabase)*(C663=TblDatabase[Year]),0,1),0))="","",INDEX(TblDatabase[Comment14],MATCH(1,INDEX(($L$4=ListEmployeeNamesInDatabase)*(C663=TblDatabase[Year]),0,1),0)))</f>
        <v>#N/A</v>
      </c>
      <c r="S684" s="360"/>
      <c r="T684" s="360"/>
      <c r="U684" s="360"/>
      <c r="V684" s="360"/>
      <c r="W684" s="360"/>
      <c r="X684" s="360"/>
      <c r="Y684" s="361"/>
      <c r="Z684" s="149"/>
      <c r="AA684" s="151">
        <f>SUMIFS(TblDatabase[Competency14],ListEmployeeNamesInDatabase,$L$4,TblDatabase[Year],C663)</f>
        <v>0</v>
      </c>
      <c r="AB684" s="149"/>
      <c r="AC684" s="149"/>
      <c r="AD684" s="149"/>
      <c r="AE684" s="149"/>
      <c r="AF684" s="149"/>
    </row>
    <row r="685" spans="2:32" s="148" customFormat="1" ht="15" hidden="1" customHeight="1">
      <c r="B685" s="350" t="str">
        <f t="shared" si="15"/>
        <v/>
      </c>
      <c r="C685" s="351"/>
      <c r="D685" s="351"/>
      <c r="E685" s="352"/>
      <c r="F685" s="157" t="str">
        <f>IF(Settings!$M$4=Settings!$Y$3,IF($AA685=1,"P",""),IF($AA685=1,"P",""))</f>
        <v/>
      </c>
      <c r="G685" s="158" t="str">
        <f>IF(Settings!$M$4=Settings!$Y$3,IF($AA685=1,"P",""),IF($AA685=2,"P",""))</f>
        <v/>
      </c>
      <c r="H685" s="158" t="str">
        <f>IF(Settings!$M$4=Settings!$Y$3,IF($AA685=1,"P",""),IF($AA685=3,"P",""))</f>
        <v/>
      </c>
      <c r="I685" s="158" t="str">
        <f>IF(Settings!$M$4=Settings!$Y$3,IF($AA685=1,"P",""),IF($AA685=4,"P",""))</f>
        <v/>
      </c>
      <c r="J685" s="158" t="str">
        <f>IF(Settings!$M$4=Settings!$Y$3,IF($AA685=2,"P",""),IF($AA685=5,"P",""))</f>
        <v/>
      </c>
      <c r="K685" s="158" t="str">
        <f>IF(Settings!$M$4=Settings!$Y$3,IF($AA685=2,"P",""),IF($AA685=6,"P",""))</f>
        <v/>
      </c>
      <c r="L685" s="158" t="str">
        <f>IF(Settings!$M$4=Settings!$Y$3,IF($AA685=2,"P",""),IF($AA685=7,"P",""))</f>
        <v/>
      </c>
      <c r="M685" s="158" t="str">
        <f>IF(Settings!$M$4=Settings!$Y$3,IF($AA685=2,"P",""),IF($AA685=8,"P",""))</f>
        <v/>
      </c>
      <c r="N685" s="158" t="str">
        <f>IF(Settings!$M$4=Settings!$Y$3,IF($AA685=3,"P",""),IF($AA685=9,"P",""))</f>
        <v/>
      </c>
      <c r="O685" s="159" t="str">
        <f>IF(Settings!$M$4=Settings!$Y$3,IF($AA685=3,"P",""),IF($AA685=10,"P",""))</f>
        <v/>
      </c>
      <c r="P685" s="22"/>
      <c r="Q685" s="22"/>
      <c r="R685" s="353" t="e">
        <f>IF(INDEX(TblDatabase[Comment15],MATCH(1,INDEX(($L$4=ListEmployeeNamesInDatabase)*(C663=TblDatabase[Year]),0,1),0))="","",INDEX(TblDatabase[Comment15],MATCH(1,INDEX(($L$4=ListEmployeeNamesInDatabase)*(C663=TblDatabase[Year]),0,1),0)))</f>
        <v>#N/A</v>
      </c>
      <c r="S685" s="353"/>
      <c r="T685" s="353"/>
      <c r="U685" s="353"/>
      <c r="V685" s="353"/>
      <c r="W685" s="353"/>
      <c r="X685" s="353"/>
      <c r="Y685" s="354"/>
      <c r="Z685" s="149"/>
      <c r="AA685" s="151">
        <f>SUMIFS(TblDatabase[Competency15],ListEmployeeNamesInDatabase,$L$4,TblDatabase[Year],C663)</f>
        <v>0</v>
      </c>
      <c r="AB685" s="149"/>
      <c r="AC685" s="149"/>
      <c r="AD685" s="149"/>
      <c r="AE685" s="149"/>
      <c r="AF685" s="149"/>
    </row>
    <row r="686" spans="2:32" s="148" customFormat="1" ht="15" hidden="1" customHeight="1">
      <c r="B686" s="355" t="str">
        <f t="shared" si="15"/>
        <v/>
      </c>
      <c r="C686" s="356"/>
      <c r="D686" s="356"/>
      <c r="E686" s="357"/>
      <c r="F686" s="163" t="str">
        <f>IF(Settings!$M$4=Settings!$Y$3,IF($AA686=1,"P",""),IF($AA686=1,"P",""))</f>
        <v/>
      </c>
      <c r="G686" s="164" t="str">
        <f>IF(Settings!$M$4=Settings!$Y$3,IF($AA686=1,"P",""),IF($AA686=2,"P",""))</f>
        <v/>
      </c>
      <c r="H686" s="164" t="str">
        <f>IF(Settings!$M$4=Settings!$Y$3,IF($AA686=1,"P",""),IF($AA686=3,"P",""))</f>
        <v/>
      </c>
      <c r="I686" s="164" t="str">
        <f>IF(Settings!$M$4=Settings!$Y$3,IF($AA686=1,"P",""),IF($AA686=4,"P",""))</f>
        <v/>
      </c>
      <c r="J686" s="164" t="str">
        <f>IF(Settings!$M$4=Settings!$Y$3,IF($AA686=2,"P",""),IF($AA686=5,"P",""))</f>
        <v/>
      </c>
      <c r="K686" s="164" t="str">
        <f>IF(Settings!$M$4=Settings!$Y$3,IF($AA686=2,"P",""),IF($AA686=6,"P",""))</f>
        <v/>
      </c>
      <c r="L686" s="164" t="str">
        <f>IF(Settings!$M$4=Settings!$Y$3,IF($AA686=2,"P",""),IF($AA686=7,"P",""))</f>
        <v/>
      </c>
      <c r="M686" s="164" t="str">
        <f>IF(Settings!$M$4=Settings!$Y$3,IF($AA686=2,"P",""),IF($AA686=8,"P",""))</f>
        <v/>
      </c>
      <c r="N686" s="164" t="str">
        <f>IF(Settings!$M$4=Settings!$Y$3,IF($AA686=3,"P",""),IF($AA686=9,"P",""))</f>
        <v/>
      </c>
      <c r="O686" s="165" t="str">
        <f>IF(Settings!$M$4=Settings!$Y$3,IF($AA686=3,"P",""),IF($AA686=10,"P",""))</f>
        <v/>
      </c>
      <c r="P686" s="22"/>
      <c r="Q686" s="22"/>
      <c r="R686" s="360" t="e">
        <f>IF(INDEX(TblDatabase[Comment16],MATCH(1,INDEX(($L$4=ListEmployeeNamesInDatabase)*(C663=TblDatabase[Year]),0,1),0))="","",INDEX(TblDatabase[Comment16],MATCH(1,INDEX(($L$4=ListEmployeeNamesInDatabase)*(C663=TblDatabase[Year]),0,1),0)))</f>
        <v>#N/A</v>
      </c>
      <c r="S686" s="360"/>
      <c r="T686" s="360"/>
      <c r="U686" s="360"/>
      <c r="V686" s="360"/>
      <c r="W686" s="360"/>
      <c r="X686" s="360"/>
      <c r="Y686" s="361"/>
      <c r="Z686" s="149"/>
      <c r="AA686" s="151">
        <f>SUMIFS(TblDatabase[Competency16],ListEmployeeNamesInDatabase,$L$4,TblDatabase[Year],C663)</f>
        <v>0</v>
      </c>
      <c r="AB686" s="149"/>
      <c r="AC686" s="149"/>
      <c r="AD686" s="149"/>
      <c r="AE686" s="149"/>
      <c r="AF686" s="149"/>
    </row>
    <row r="687" spans="2:32" s="148" customFormat="1" ht="15" hidden="1" customHeight="1">
      <c r="B687" s="350" t="str">
        <f t="shared" si="15"/>
        <v/>
      </c>
      <c r="C687" s="351"/>
      <c r="D687" s="351"/>
      <c r="E687" s="352"/>
      <c r="F687" s="157" t="str">
        <f>IF(Settings!$M$4=Settings!$Y$3,IF($AA687=1,"P",""),IF($AA687=1,"P",""))</f>
        <v/>
      </c>
      <c r="G687" s="158" t="str">
        <f>IF(Settings!$M$4=Settings!$Y$3,IF($AA687=1,"P",""),IF($AA687=2,"P",""))</f>
        <v/>
      </c>
      <c r="H687" s="158" t="str">
        <f>IF(Settings!$M$4=Settings!$Y$3,IF($AA687=1,"P",""),IF($AA687=3,"P",""))</f>
        <v/>
      </c>
      <c r="I687" s="158" t="str">
        <f>IF(Settings!$M$4=Settings!$Y$3,IF($AA687=1,"P",""),IF($AA687=4,"P",""))</f>
        <v/>
      </c>
      <c r="J687" s="158" t="str">
        <f>IF(Settings!$M$4=Settings!$Y$3,IF($AA687=2,"P",""),IF($AA687=5,"P",""))</f>
        <v/>
      </c>
      <c r="K687" s="158" t="str">
        <f>IF(Settings!$M$4=Settings!$Y$3,IF($AA687=2,"P",""),IF($AA687=6,"P",""))</f>
        <v/>
      </c>
      <c r="L687" s="158" t="str">
        <f>IF(Settings!$M$4=Settings!$Y$3,IF($AA687=2,"P",""),IF($AA687=7,"P",""))</f>
        <v/>
      </c>
      <c r="M687" s="158" t="str">
        <f>IF(Settings!$M$4=Settings!$Y$3,IF($AA687=2,"P",""),IF($AA687=8,"P",""))</f>
        <v/>
      </c>
      <c r="N687" s="158" t="str">
        <f>IF(Settings!$M$4=Settings!$Y$3,IF($AA687=3,"P",""),IF($AA687=9,"P",""))</f>
        <v/>
      </c>
      <c r="O687" s="159" t="str">
        <f>IF(Settings!$M$4=Settings!$Y$3,IF($AA687=3,"P",""),IF($AA687=10,"P",""))</f>
        <v/>
      </c>
      <c r="P687" s="22"/>
      <c r="Q687" s="22"/>
      <c r="R687" s="353" t="e">
        <f>IF(INDEX(TblDatabase[Comment17],MATCH(1,INDEX(($L$4=ListEmployeeNamesInDatabase)*(C663=TblDatabase[Year]),0,1),0))="","",INDEX(TblDatabase[Comment17],MATCH(1,INDEX(($L$4=ListEmployeeNamesInDatabase)*(C663=TblDatabase[Year]),0,1),0)))</f>
        <v>#N/A</v>
      </c>
      <c r="S687" s="353"/>
      <c r="T687" s="353"/>
      <c r="U687" s="353"/>
      <c r="V687" s="353"/>
      <c r="W687" s="353"/>
      <c r="X687" s="353"/>
      <c r="Y687" s="354"/>
      <c r="Z687" s="149"/>
      <c r="AA687" s="151">
        <f>SUMIFS(TblDatabase[Competency17],ListEmployeeNamesInDatabase,$L$4,TblDatabase[Year],C663)</f>
        <v>0</v>
      </c>
      <c r="AB687" s="149"/>
      <c r="AC687" s="149"/>
      <c r="AD687" s="149"/>
      <c r="AE687" s="149"/>
      <c r="AF687" s="149"/>
    </row>
    <row r="688" spans="2:32" s="148" customFormat="1" ht="15" hidden="1" customHeight="1">
      <c r="B688" s="355" t="str">
        <f t="shared" si="15"/>
        <v/>
      </c>
      <c r="C688" s="356"/>
      <c r="D688" s="356"/>
      <c r="E688" s="357"/>
      <c r="F688" s="163" t="str">
        <f>IF(Settings!$M$4=Settings!$Y$3,IF($AA688=1,"P",""),IF($AA688=1,"P",""))</f>
        <v/>
      </c>
      <c r="G688" s="164" t="str">
        <f>IF(Settings!$M$4=Settings!$Y$3,IF($AA688=1,"P",""),IF($AA688=2,"P",""))</f>
        <v/>
      </c>
      <c r="H688" s="164" t="str">
        <f>IF(Settings!$M$4=Settings!$Y$3,IF($AA688=1,"P",""),IF($AA688=3,"P",""))</f>
        <v/>
      </c>
      <c r="I688" s="164" t="str">
        <f>IF(Settings!$M$4=Settings!$Y$3,IF($AA688=1,"P",""),IF($AA688=4,"P",""))</f>
        <v/>
      </c>
      <c r="J688" s="164" t="str">
        <f>IF(Settings!$M$4=Settings!$Y$3,IF($AA688=2,"P",""),IF($AA688=5,"P",""))</f>
        <v/>
      </c>
      <c r="K688" s="164" t="str">
        <f>IF(Settings!$M$4=Settings!$Y$3,IF($AA688=2,"P",""),IF($AA688=6,"P",""))</f>
        <v/>
      </c>
      <c r="L688" s="164" t="str">
        <f>IF(Settings!$M$4=Settings!$Y$3,IF($AA688=2,"P",""),IF($AA688=7,"P",""))</f>
        <v/>
      </c>
      <c r="M688" s="164" t="str">
        <f>IF(Settings!$M$4=Settings!$Y$3,IF($AA688=2,"P",""),IF($AA688=8,"P",""))</f>
        <v/>
      </c>
      <c r="N688" s="164" t="str">
        <f>IF(Settings!$M$4=Settings!$Y$3,IF($AA688=3,"P",""),IF($AA688=9,"P",""))</f>
        <v/>
      </c>
      <c r="O688" s="165" t="str">
        <f>IF(Settings!$M$4=Settings!$Y$3,IF($AA688=3,"P",""),IF($AA688=10,"P",""))</f>
        <v/>
      </c>
      <c r="P688" s="22"/>
      <c r="Q688" s="22"/>
      <c r="R688" s="360" t="e">
        <f>IF(INDEX(TblDatabase[Comment18],MATCH(1,INDEX(($L$4=ListEmployeeNamesInDatabase)*(C663=TblDatabase[Year]),0,1),0))="","",INDEX(TblDatabase[Comment18],MATCH(1,INDEX(($L$4=ListEmployeeNamesInDatabase)*(C663=TblDatabase[Year]),0,1),0)))</f>
        <v>#N/A</v>
      </c>
      <c r="S688" s="360"/>
      <c r="T688" s="360"/>
      <c r="U688" s="360"/>
      <c r="V688" s="360"/>
      <c r="W688" s="360"/>
      <c r="X688" s="360"/>
      <c r="Y688" s="361"/>
      <c r="Z688" s="149"/>
      <c r="AA688" s="151">
        <f>SUMIFS(TblDatabase[Competency18],ListEmployeeNamesInDatabase,$L$4,TblDatabase[Year],C663)</f>
        <v>0</v>
      </c>
      <c r="AB688" s="149"/>
      <c r="AC688" s="149"/>
      <c r="AD688" s="149"/>
      <c r="AE688" s="149"/>
      <c r="AF688" s="149"/>
    </row>
    <row r="689" spans="1:32" s="148" customFormat="1" ht="15" hidden="1" customHeight="1">
      <c r="B689" s="350" t="str">
        <f t="shared" si="15"/>
        <v/>
      </c>
      <c r="C689" s="351"/>
      <c r="D689" s="351"/>
      <c r="E689" s="352"/>
      <c r="F689" s="157" t="str">
        <f>IF(Settings!$M$4=Settings!$Y$3,IF($AA689=1,"P",""),IF($AA689=1,"P",""))</f>
        <v/>
      </c>
      <c r="G689" s="158" t="str">
        <f>IF(Settings!$M$4=Settings!$Y$3,IF($AA689=1,"P",""),IF($AA689=2,"P",""))</f>
        <v/>
      </c>
      <c r="H689" s="158" t="str">
        <f>IF(Settings!$M$4=Settings!$Y$3,IF($AA689=1,"P",""),IF($AA689=3,"P",""))</f>
        <v/>
      </c>
      <c r="I689" s="158" t="str">
        <f>IF(Settings!$M$4=Settings!$Y$3,IF($AA689=1,"P",""),IF($AA689=4,"P",""))</f>
        <v/>
      </c>
      <c r="J689" s="158" t="str">
        <f>IF(Settings!$M$4=Settings!$Y$3,IF($AA689=2,"P",""),IF($AA689=5,"P",""))</f>
        <v/>
      </c>
      <c r="K689" s="158" t="str">
        <f>IF(Settings!$M$4=Settings!$Y$3,IF($AA689=2,"P",""),IF($AA689=6,"P",""))</f>
        <v/>
      </c>
      <c r="L689" s="158" t="str">
        <f>IF(Settings!$M$4=Settings!$Y$3,IF($AA689=2,"P",""),IF($AA689=7,"P",""))</f>
        <v/>
      </c>
      <c r="M689" s="158" t="str">
        <f>IF(Settings!$M$4=Settings!$Y$3,IF($AA689=2,"P",""),IF($AA689=8,"P",""))</f>
        <v/>
      </c>
      <c r="N689" s="158" t="str">
        <f>IF(Settings!$M$4=Settings!$Y$3,IF($AA689=3,"P",""),IF($AA689=9,"P",""))</f>
        <v/>
      </c>
      <c r="O689" s="159" t="str">
        <f>IF(Settings!$M$4=Settings!$Y$3,IF($AA689=3,"P",""),IF($AA689=10,"P",""))</f>
        <v/>
      </c>
      <c r="P689" s="22"/>
      <c r="Q689" s="22"/>
      <c r="R689" s="353" t="e">
        <f>IF(INDEX(TblDatabase[Comment19],MATCH(1,INDEX(($L$4=ListEmployeeNamesInDatabase)*(C663=TblDatabase[Year]),0,1),0))="","",INDEX(TblDatabase[Comment19],MATCH(1,INDEX(($L$4=ListEmployeeNamesInDatabase)*(C663=TblDatabase[Year]),0,1),0)))</f>
        <v>#N/A</v>
      </c>
      <c r="S689" s="353"/>
      <c r="T689" s="353"/>
      <c r="U689" s="353"/>
      <c r="V689" s="353"/>
      <c r="W689" s="353"/>
      <c r="X689" s="353"/>
      <c r="Y689" s="354"/>
      <c r="Z689" s="149"/>
      <c r="AA689" s="151">
        <f>SUMIFS(TblDatabase[Competency19],ListEmployeeNamesInDatabase,$L$4,TblDatabase[Year],C663)</f>
        <v>0</v>
      </c>
      <c r="AB689" s="149"/>
      <c r="AC689" s="149"/>
      <c r="AD689" s="149"/>
      <c r="AE689" s="149"/>
      <c r="AF689" s="149"/>
    </row>
    <row r="690" spans="1:32" s="148" customFormat="1" ht="15" hidden="1" customHeight="1">
      <c r="B690" s="362" t="str">
        <f t="shared" si="15"/>
        <v/>
      </c>
      <c r="C690" s="363"/>
      <c r="D690" s="363"/>
      <c r="E690" s="364"/>
      <c r="F690" s="166" t="str">
        <f>IF(Settings!$M$4=Settings!$Y$3,IF($AA690=1,"P",""),IF($AA690=1,"P",""))</f>
        <v/>
      </c>
      <c r="G690" s="167" t="str">
        <f>IF(Settings!$M$4=Settings!$Y$3,IF($AA690=1,"P",""),IF($AA690=2,"P",""))</f>
        <v/>
      </c>
      <c r="H690" s="167" t="str">
        <f>IF(Settings!$M$4=Settings!$Y$3,IF($AA690=1,"P",""),IF($AA690=3,"P",""))</f>
        <v/>
      </c>
      <c r="I690" s="167" t="str">
        <f>IF(Settings!$M$4=Settings!$Y$3,IF($AA690=1,"P",""),IF($AA690=4,"P",""))</f>
        <v/>
      </c>
      <c r="J690" s="167" t="str">
        <f>IF(Settings!$M$4=Settings!$Y$3,IF($AA690=2,"P",""),IF($AA690=5,"P",""))</f>
        <v/>
      </c>
      <c r="K690" s="167" t="str">
        <f>IF(Settings!$M$4=Settings!$Y$3,IF($AA690=2,"P",""),IF($AA690=6,"P",""))</f>
        <v/>
      </c>
      <c r="L690" s="167" t="str">
        <f>IF(Settings!$M$4=Settings!$Y$3,IF($AA690=2,"P",""),IF($AA690=7,"P",""))</f>
        <v/>
      </c>
      <c r="M690" s="167" t="str">
        <f>IF(Settings!$M$4=Settings!$Y$3,IF($AA690=2,"P",""),IF($AA690=8,"P",""))</f>
        <v/>
      </c>
      <c r="N690" s="167" t="str">
        <f>IF(Settings!$M$4=Settings!$Y$3,IF($AA690=3,"P",""),IF($AA690=9,"P",""))</f>
        <v/>
      </c>
      <c r="O690" s="168" t="str">
        <f>IF(Settings!$M$4=Settings!$Y$3,IF($AA690=3,"P",""),IF($AA690=10,"P",""))</f>
        <v/>
      </c>
      <c r="P690" s="22"/>
      <c r="Q690" s="22"/>
      <c r="R690" s="365" t="e">
        <f>IF(INDEX(TblDatabase[Comment20],MATCH(1,INDEX(($L$4=ListEmployeeNamesInDatabase)*(C663=TblDatabase[Year]),0,1),0))="","",INDEX(TblDatabase[Comment20],MATCH(1,INDEX(($L$4=ListEmployeeNamesInDatabase)*(C663=TblDatabase[Year]),0,1),0)))</f>
        <v>#N/A</v>
      </c>
      <c r="S690" s="365"/>
      <c r="T690" s="365"/>
      <c r="U690" s="365"/>
      <c r="V690" s="365"/>
      <c r="W690" s="365"/>
      <c r="X690" s="365"/>
      <c r="Y690" s="366"/>
      <c r="Z690" s="149"/>
      <c r="AA690" s="151">
        <f>SUMIFS(TblDatabase[Competency20],ListEmployeeNamesInDatabase,$L$4,TblDatabase[Year],C663)</f>
        <v>0</v>
      </c>
      <c r="AB690" s="149"/>
      <c r="AC690" s="149"/>
      <c r="AD690" s="149"/>
      <c r="AE690" s="149"/>
      <c r="AF690" s="149"/>
    </row>
    <row r="691" spans="1:32" s="148" customFormat="1" hidden="1">
      <c r="B691" s="414" t="s">
        <v>26</v>
      </c>
      <c r="C691" s="415"/>
      <c r="D691" s="415"/>
      <c r="E691" s="371">
        <f ca="1">SUM(OFFSET(AA671,0,0,NumberOfCompetencies))</f>
        <v>0</v>
      </c>
      <c r="F691" s="372"/>
      <c r="G691" s="152"/>
      <c r="H691" s="152"/>
      <c r="I691" s="152"/>
      <c r="J691" s="152"/>
      <c r="K691" s="152"/>
      <c r="L691" s="152"/>
      <c r="M691" s="152"/>
      <c r="N691" s="152"/>
      <c r="O691" s="152"/>
      <c r="P691" s="152"/>
      <c r="Q691" s="152"/>
      <c r="R691" s="152"/>
      <c r="S691" s="152"/>
      <c r="T691" s="152"/>
      <c r="U691" s="152"/>
      <c r="V691" s="152"/>
      <c r="W691" s="152"/>
      <c r="X691" s="152"/>
      <c r="Y691" s="152"/>
      <c r="Z691" s="149"/>
      <c r="AA691" s="149"/>
      <c r="AB691" s="149"/>
      <c r="AC691" s="149"/>
      <c r="AD691" s="149"/>
      <c r="AE691" s="149"/>
      <c r="AF691" s="149"/>
    </row>
    <row r="692" spans="1:32" s="148" customFormat="1" hidden="1">
      <c r="B692" s="369" t="s">
        <v>27</v>
      </c>
      <c r="C692" s="370"/>
      <c r="D692" s="370"/>
      <c r="E692" s="358">
        <f ca="1">E691/NumberOfCompetencies</f>
        <v>0</v>
      </c>
      <c r="F692" s="359"/>
      <c r="G692" s="153"/>
      <c r="H692" s="153"/>
      <c r="I692" s="153"/>
      <c r="J692" s="153"/>
      <c r="K692" s="153"/>
      <c r="L692" s="153"/>
      <c r="M692" s="153"/>
      <c r="N692" s="153"/>
      <c r="O692" s="153"/>
      <c r="P692" s="153"/>
      <c r="Q692" s="153"/>
      <c r="R692" s="153"/>
      <c r="S692" s="153"/>
      <c r="T692" s="153"/>
      <c r="U692" s="153"/>
      <c r="V692" s="153"/>
      <c r="W692" s="153"/>
      <c r="X692" s="153"/>
      <c r="Y692" s="153"/>
      <c r="Z692" s="149"/>
      <c r="AA692" s="149"/>
      <c r="AB692" s="149"/>
      <c r="AC692" s="149"/>
      <c r="AD692" s="149"/>
      <c r="AE692" s="149"/>
      <c r="AF692" s="149"/>
    </row>
    <row r="693" spans="1:32" s="148" customFormat="1" hidden="1">
      <c r="B693" s="154"/>
      <c r="C693" s="154"/>
      <c r="D693" s="154"/>
      <c r="E693" s="154"/>
      <c r="F693" s="154"/>
      <c r="G693" s="154"/>
      <c r="H693" s="154"/>
      <c r="I693" s="154"/>
      <c r="J693" s="154"/>
      <c r="K693" s="154"/>
      <c r="L693" s="154"/>
      <c r="M693" s="154"/>
      <c r="N693" s="154"/>
      <c r="O693" s="154"/>
      <c r="P693" s="154"/>
      <c r="Q693" s="154"/>
      <c r="R693" s="154"/>
      <c r="S693" s="154"/>
      <c r="T693" s="154"/>
      <c r="U693" s="154"/>
      <c r="V693" s="154"/>
      <c r="W693" s="154"/>
      <c r="X693" s="154"/>
      <c r="Y693" s="154"/>
      <c r="Z693" s="149"/>
      <c r="AA693" s="149"/>
      <c r="AB693" s="149"/>
      <c r="AC693" s="149"/>
      <c r="AD693" s="149"/>
      <c r="AE693" s="149"/>
      <c r="AF693" s="149"/>
    </row>
    <row r="694" spans="1:32" s="148" customFormat="1" hidden="1">
      <c r="B694" s="338" t="str">
        <f>Settings!$N$15</f>
        <v>Previously agreed actions</v>
      </c>
      <c r="C694" s="339"/>
      <c r="D694" s="339"/>
      <c r="E694" s="339"/>
      <c r="F694" s="339"/>
      <c r="G694" s="339"/>
      <c r="H694" s="339"/>
      <c r="I694" s="339"/>
      <c r="J694" s="339"/>
      <c r="K694" s="339"/>
      <c r="L694" s="339"/>
      <c r="M694" s="339"/>
      <c r="N694" s="339"/>
      <c r="O694" s="339"/>
      <c r="P694" s="339"/>
      <c r="Q694" s="339"/>
      <c r="R694" s="339"/>
      <c r="S694" s="339"/>
      <c r="T694" s="339"/>
      <c r="U694" s="339"/>
      <c r="V694" s="339"/>
      <c r="W694" s="339"/>
      <c r="X694" s="339"/>
      <c r="Y694" s="340"/>
      <c r="Z694" s="149"/>
      <c r="AA694" s="149"/>
      <c r="AB694" s="149"/>
      <c r="AC694" s="149"/>
      <c r="AD694" s="149"/>
      <c r="AE694" s="149"/>
      <c r="AF694" s="149"/>
    </row>
    <row r="695" spans="1:32" s="148" customFormat="1" hidden="1">
      <c r="B695" s="341" t="e">
        <f>IF(INDEX(TblDatabase[Feedback Does Well],MATCH(1,INDEX(($L$4=ListEmployeeNamesInDatabase)*(C663=TblDatabase[Year]),0,1),0))="","",INDEX(TblDatabase[Feedback Does Well],MATCH(1,INDEX(($L$4=ListEmployeeNamesInDatabase)*(C663=TblDatabase[Year]),0,1),0)))</f>
        <v>#N/A</v>
      </c>
      <c r="C695" s="342"/>
      <c r="D695" s="342"/>
      <c r="E695" s="342"/>
      <c r="F695" s="342"/>
      <c r="G695" s="342"/>
      <c r="H695" s="342"/>
      <c r="I695" s="342"/>
      <c r="J695" s="342"/>
      <c r="K695" s="342"/>
      <c r="L695" s="342"/>
      <c r="M695" s="342"/>
      <c r="N695" s="342"/>
      <c r="O695" s="342"/>
      <c r="P695" s="342"/>
      <c r="Q695" s="342"/>
      <c r="R695" s="342"/>
      <c r="S695" s="342"/>
      <c r="T695" s="342"/>
      <c r="U695" s="342"/>
      <c r="V695" s="342"/>
      <c r="W695" s="342"/>
      <c r="X695" s="342"/>
      <c r="Y695" s="343"/>
      <c r="Z695" s="149"/>
      <c r="AA695" s="149"/>
      <c r="AB695" s="149"/>
      <c r="AC695" s="149"/>
      <c r="AD695" s="149"/>
      <c r="AE695" s="149"/>
      <c r="AF695" s="149"/>
    </row>
    <row r="696" spans="1:32" s="148" customFormat="1" hidden="1">
      <c r="B696" s="344"/>
      <c r="C696" s="345"/>
      <c r="D696" s="345"/>
      <c r="E696" s="345"/>
      <c r="F696" s="345"/>
      <c r="G696" s="345"/>
      <c r="H696" s="345"/>
      <c r="I696" s="345"/>
      <c r="J696" s="345"/>
      <c r="K696" s="345"/>
      <c r="L696" s="345"/>
      <c r="M696" s="345"/>
      <c r="N696" s="345"/>
      <c r="O696" s="345"/>
      <c r="P696" s="345"/>
      <c r="Q696" s="345"/>
      <c r="R696" s="345"/>
      <c r="S696" s="345"/>
      <c r="T696" s="345"/>
      <c r="U696" s="345"/>
      <c r="V696" s="345"/>
      <c r="W696" s="345"/>
      <c r="X696" s="345"/>
      <c r="Y696" s="346"/>
      <c r="Z696" s="149"/>
      <c r="AA696" s="149"/>
      <c r="AB696" s="149"/>
      <c r="AC696" s="149"/>
      <c r="AD696" s="149"/>
      <c r="AE696" s="149"/>
      <c r="AF696" s="149"/>
    </row>
    <row r="697" spans="1:32" s="148" customFormat="1" hidden="1">
      <c r="B697" s="347"/>
      <c r="C697" s="348"/>
      <c r="D697" s="348"/>
      <c r="E697" s="348"/>
      <c r="F697" s="348"/>
      <c r="G697" s="348"/>
      <c r="H697" s="348"/>
      <c r="I697" s="348"/>
      <c r="J697" s="348"/>
      <c r="K697" s="348"/>
      <c r="L697" s="348"/>
      <c r="M697" s="348"/>
      <c r="N697" s="348"/>
      <c r="O697" s="348"/>
      <c r="P697" s="348"/>
      <c r="Q697" s="348"/>
      <c r="R697" s="348"/>
      <c r="S697" s="348"/>
      <c r="T697" s="348"/>
      <c r="U697" s="348"/>
      <c r="V697" s="348"/>
      <c r="W697" s="348"/>
      <c r="X697" s="348"/>
      <c r="Y697" s="349"/>
      <c r="Z697" s="149"/>
      <c r="AA697" s="149"/>
      <c r="AB697" s="149"/>
      <c r="AC697" s="149"/>
      <c r="AD697" s="149"/>
      <c r="AE697" s="149"/>
      <c r="AF697" s="149"/>
    </row>
    <row r="698" spans="1:32" s="148" customFormat="1" hidden="1">
      <c r="B698" s="155"/>
      <c r="C698" s="155"/>
      <c r="D698" s="155"/>
      <c r="E698" s="155"/>
      <c r="F698" s="155"/>
      <c r="G698" s="155"/>
      <c r="H698" s="155"/>
      <c r="I698" s="155"/>
      <c r="J698" s="155"/>
      <c r="K698" s="155"/>
      <c r="L698" s="155"/>
      <c r="M698" s="155"/>
      <c r="N698" s="155"/>
      <c r="O698" s="155"/>
      <c r="P698" s="155"/>
      <c r="Q698" s="155"/>
      <c r="R698" s="155"/>
      <c r="S698" s="155"/>
      <c r="T698" s="155"/>
      <c r="U698" s="155"/>
      <c r="V698" s="155"/>
      <c r="W698" s="155"/>
      <c r="X698" s="155"/>
      <c r="Y698" s="155"/>
      <c r="Z698" s="149"/>
      <c r="AA698" s="149"/>
      <c r="AB698" s="149"/>
      <c r="AC698" s="149"/>
      <c r="AD698" s="149"/>
      <c r="AE698" s="149"/>
      <c r="AF698" s="149"/>
    </row>
    <row r="699" spans="1:32" s="148" customFormat="1" hidden="1">
      <c r="B699" s="338" t="str">
        <f>Settings!$N$16</f>
        <v>Actions agreed during this review</v>
      </c>
      <c r="C699" s="339"/>
      <c r="D699" s="339"/>
      <c r="E699" s="339"/>
      <c r="F699" s="339"/>
      <c r="G699" s="339"/>
      <c r="H699" s="339"/>
      <c r="I699" s="339"/>
      <c r="J699" s="339"/>
      <c r="K699" s="339"/>
      <c r="L699" s="339"/>
      <c r="M699" s="339"/>
      <c r="N699" s="339"/>
      <c r="O699" s="339"/>
      <c r="P699" s="339"/>
      <c r="Q699" s="339"/>
      <c r="R699" s="339"/>
      <c r="S699" s="339"/>
      <c r="T699" s="339"/>
      <c r="U699" s="339"/>
      <c r="V699" s="339"/>
      <c r="W699" s="339"/>
      <c r="X699" s="339"/>
      <c r="Y699" s="340"/>
      <c r="Z699" s="149"/>
      <c r="AA699" s="149"/>
      <c r="AB699" s="149"/>
      <c r="AC699" s="149"/>
      <c r="AD699" s="149"/>
      <c r="AE699" s="149"/>
      <c r="AF699" s="149"/>
    </row>
    <row r="700" spans="1:32" s="148" customFormat="1" hidden="1">
      <c r="B700" s="341" t="e">
        <f>IF(INDEX(TblDatabase[Feedback To Improve],MATCH(1,INDEX(($L$4=ListEmployeeNamesInDatabase)*(C663=TblDatabase[Year]),0,1),0))="","",INDEX(TblDatabase[Feedback To Improve],MATCH(1,INDEX(($L$4=ListEmployeeNamesInDatabase)*(C663=TblDatabase[Year]),0,1),0)))</f>
        <v>#N/A</v>
      </c>
      <c r="C700" s="342"/>
      <c r="D700" s="342"/>
      <c r="E700" s="342"/>
      <c r="F700" s="342"/>
      <c r="G700" s="342"/>
      <c r="H700" s="342"/>
      <c r="I700" s="342"/>
      <c r="J700" s="342"/>
      <c r="K700" s="342"/>
      <c r="L700" s="342"/>
      <c r="M700" s="342"/>
      <c r="N700" s="342"/>
      <c r="O700" s="342"/>
      <c r="P700" s="342"/>
      <c r="Q700" s="342"/>
      <c r="R700" s="342"/>
      <c r="S700" s="342"/>
      <c r="T700" s="342"/>
      <c r="U700" s="342"/>
      <c r="V700" s="342"/>
      <c r="W700" s="342"/>
      <c r="X700" s="342"/>
      <c r="Y700" s="343"/>
      <c r="Z700" s="149"/>
      <c r="AA700" s="149"/>
      <c r="AB700" s="149"/>
      <c r="AC700" s="149"/>
      <c r="AD700" s="149"/>
      <c r="AE700" s="149"/>
      <c r="AF700" s="149"/>
    </row>
    <row r="701" spans="1:32" s="148" customFormat="1" hidden="1">
      <c r="B701" s="344"/>
      <c r="C701" s="345"/>
      <c r="D701" s="345"/>
      <c r="E701" s="345"/>
      <c r="F701" s="345"/>
      <c r="G701" s="345"/>
      <c r="H701" s="345"/>
      <c r="I701" s="345"/>
      <c r="J701" s="345"/>
      <c r="K701" s="345"/>
      <c r="L701" s="345"/>
      <c r="M701" s="345"/>
      <c r="N701" s="345"/>
      <c r="O701" s="345"/>
      <c r="P701" s="345"/>
      <c r="Q701" s="345"/>
      <c r="R701" s="345"/>
      <c r="S701" s="345"/>
      <c r="T701" s="345"/>
      <c r="U701" s="345"/>
      <c r="V701" s="345"/>
      <c r="W701" s="345"/>
      <c r="X701" s="345"/>
      <c r="Y701" s="346"/>
      <c r="Z701" s="149"/>
      <c r="AA701" s="149"/>
      <c r="AB701" s="149"/>
      <c r="AC701" s="149"/>
      <c r="AD701" s="149"/>
      <c r="AE701" s="149"/>
      <c r="AF701" s="149"/>
    </row>
    <row r="702" spans="1:32" s="148" customFormat="1" hidden="1">
      <c r="B702" s="347"/>
      <c r="C702" s="348"/>
      <c r="D702" s="348"/>
      <c r="E702" s="348"/>
      <c r="F702" s="348"/>
      <c r="G702" s="348"/>
      <c r="H702" s="348"/>
      <c r="I702" s="348"/>
      <c r="J702" s="348"/>
      <c r="K702" s="348"/>
      <c r="L702" s="348"/>
      <c r="M702" s="348"/>
      <c r="N702" s="348"/>
      <c r="O702" s="348"/>
      <c r="P702" s="348"/>
      <c r="Q702" s="348"/>
      <c r="R702" s="348"/>
      <c r="S702" s="348"/>
      <c r="T702" s="348"/>
      <c r="U702" s="348"/>
      <c r="V702" s="348"/>
      <c r="W702" s="348"/>
      <c r="X702" s="348"/>
      <c r="Y702" s="349"/>
      <c r="Z702" s="149"/>
      <c r="AA702" s="149"/>
      <c r="AB702" s="149"/>
      <c r="AC702" s="149"/>
      <c r="AD702" s="149"/>
      <c r="AE702" s="149"/>
      <c r="AF702" s="149"/>
    </row>
    <row r="703" spans="1:32" s="148" customFormat="1" hidden="1">
      <c r="B703" s="156"/>
      <c r="C703" s="156"/>
      <c r="D703" s="156"/>
      <c r="E703" s="155"/>
      <c r="F703" s="155"/>
      <c r="G703" s="155"/>
      <c r="H703" s="155"/>
      <c r="I703" s="155"/>
      <c r="J703" s="155"/>
      <c r="K703" s="155"/>
      <c r="L703" s="155"/>
      <c r="M703" s="155"/>
      <c r="N703" s="155"/>
      <c r="O703" s="155"/>
      <c r="P703" s="155"/>
      <c r="Q703" s="155"/>
      <c r="R703" s="155"/>
      <c r="S703" s="155"/>
      <c r="T703" s="155"/>
      <c r="U703" s="155"/>
      <c r="V703" s="155"/>
      <c r="W703" s="155"/>
      <c r="X703" s="155"/>
      <c r="Y703" s="155"/>
      <c r="Z703" s="149"/>
      <c r="AA703" s="149"/>
      <c r="AB703" s="149"/>
      <c r="AC703" s="149"/>
      <c r="AD703" s="149"/>
      <c r="AE703" s="149"/>
      <c r="AF703" s="149"/>
    </row>
    <row r="704" spans="1:32" s="148" customFormat="1" hidden="1">
      <c r="A704" s="150">
        <f>A663+1</f>
        <v>17</v>
      </c>
      <c r="B704" s="27" t="s">
        <v>14</v>
      </c>
      <c r="C704" s="333">
        <f>C663-1</f>
        <v>2004</v>
      </c>
      <c r="D704" s="334"/>
      <c r="Y704" s="149"/>
      <c r="Z704" s="149"/>
      <c r="AA704" s="149"/>
      <c r="AB704" s="149"/>
      <c r="AC704" s="149"/>
      <c r="AD704" s="149"/>
      <c r="AE704" s="149"/>
      <c r="AF704" s="149"/>
    </row>
    <row r="705" spans="2:32" s="148" customFormat="1" hidden="1">
      <c r="Y705" s="149"/>
      <c r="Z705" s="149"/>
      <c r="AA705" s="149"/>
      <c r="AB705" s="149"/>
      <c r="AC705" s="149"/>
      <c r="AD705" s="149"/>
      <c r="AE705" s="149"/>
      <c r="AF705" s="149"/>
    </row>
    <row r="706" spans="2:32" s="148" customFormat="1" hidden="1">
      <c r="B706" s="338" t="str">
        <f>Settings!$N$14</f>
        <v>Employee's comments</v>
      </c>
      <c r="C706" s="339"/>
      <c r="D706" s="339"/>
      <c r="E706" s="339"/>
      <c r="F706" s="339"/>
      <c r="G706" s="339"/>
      <c r="H706" s="339"/>
      <c r="I706" s="339"/>
      <c r="J706" s="339"/>
      <c r="K706" s="339"/>
      <c r="L706" s="339"/>
      <c r="M706" s="339"/>
      <c r="N706" s="339"/>
      <c r="O706" s="339"/>
      <c r="P706" s="339"/>
      <c r="Q706" s="339"/>
      <c r="R706" s="339"/>
      <c r="S706" s="339"/>
      <c r="T706" s="339"/>
      <c r="U706" s="339"/>
      <c r="V706" s="339"/>
      <c r="W706" s="339"/>
      <c r="X706" s="339"/>
      <c r="Y706" s="340"/>
      <c r="Z706" s="149"/>
      <c r="AA706" s="149"/>
      <c r="AB706" s="149"/>
      <c r="AC706" s="149"/>
      <c r="AD706" s="149"/>
      <c r="AE706" s="149"/>
      <c r="AF706" s="149"/>
    </row>
    <row r="707" spans="2:32" s="148" customFormat="1" hidden="1">
      <c r="B707" s="341" t="e">
        <f>IF(INDEX(TblDatabase[Feedback Warnings],MATCH(1,INDEX(($L$4=ListEmployeeNamesInDatabase)*(C704=TblDatabase[Year]),0,1),0))="","",INDEX(TblDatabase[Feedback Warnings],MATCH(1,INDEX(($L$4=ListEmployeeNamesInDatabase)*(C704=TblDatabase[Year]),0,1),0)))</f>
        <v>#N/A</v>
      </c>
      <c r="C707" s="342"/>
      <c r="D707" s="342"/>
      <c r="E707" s="342"/>
      <c r="F707" s="342"/>
      <c r="G707" s="342"/>
      <c r="H707" s="342"/>
      <c r="I707" s="342"/>
      <c r="J707" s="342"/>
      <c r="K707" s="342"/>
      <c r="L707" s="342"/>
      <c r="M707" s="342"/>
      <c r="N707" s="342"/>
      <c r="O707" s="342"/>
      <c r="P707" s="342"/>
      <c r="Q707" s="342"/>
      <c r="R707" s="342"/>
      <c r="S707" s="342"/>
      <c r="T707" s="342"/>
      <c r="U707" s="342"/>
      <c r="V707" s="342"/>
      <c r="W707" s="342"/>
      <c r="X707" s="342"/>
      <c r="Y707" s="343"/>
      <c r="Z707" s="149"/>
      <c r="AA707" s="149"/>
      <c r="AB707" s="149"/>
      <c r="AC707" s="149"/>
      <c r="AD707" s="149"/>
      <c r="AE707" s="149"/>
      <c r="AF707" s="149"/>
    </row>
    <row r="708" spans="2:32" s="148" customFormat="1" hidden="1">
      <c r="B708" s="344"/>
      <c r="C708" s="345"/>
      <c r="D708" s="345"/>
      <c r="E708" s="345"/>
      <c r="F708" s="345"/>
      <c r="G708" s="345"/>
      <c r="H708" s="345"/>
      <c r="I708" s="345"/>
      <c r="J708" s="345"/>
      <c r="K708" s="345"/>
      <c r="L708" s="345"/>
      <c r="M708" s="345"/>
      <c r="N708" s="345"/>
      <c r="O708" s="345"/>
      <c r="P708" s="345"/>
      <c r="Q708" s="345"/>
      <c r="R708" s="345"/>
      <c r="S708" s="345"/>
      <c r="T708" s="345"/>
      <c r="U708" s="345"/>
      <c r="V708" s="345"/>
      <c r="W708" s="345"/>
      <c r="X708" s="345"/>
      <c r="Y708" s="346"/>
      <c r="Z708" s="149"/>
      <c r="AA708" s="149"/>
      <c r="AB708" s="149"/>
      <c r="AC708" s="149"/>
      <c r="AD708" s="149"/>
      <c r="AE708" s="149"/>
      <c r="AF708" s="149"/>
    </row>
    <row r="709" spans="2:32" s="148" customFormat="1" hidden="1">
      <c r="B709" s="347"/>
      <c r="C709" s="348"/>
      <c r="D709" s="348"/>
      <c r="E709" s="348"/>
      <c r="F709" s="348"/>
      <c r="G709" s="348"/>
      <c r="H709" s="348"/>
      <c r="I709" s="348"/>
      <c r="J709" s="348"/>
      <c r="K709" s="348"/>
      <c r="L709" s="348"/>
      <c r="M709" s="348"/>
      <c r="N709" s="348"/>
      <c r="O709" s="348"/>
      <c r="P709" s="348"/>
      <c r="Q709" s="348"/>
      <c r="R709" s="348"/>
      <c r="S709" s="348"/>
      <c r="T709" s="348"/>
      <c r="U709" s="348"/>
      <c r="V709" s="348"/>
      <c r="W709" s="348"/>
      <c r="X709" s="348"/>
      <c r="Y709" s="349"/>
      <c r="Z709" s="149"/>
      <c r="AA709" s="149"/>
      <c r="AB709" s="149"/>
      <c r="AC709" s="149"/>
      <c r="AD709" s="149"/>
      <c r="AE709" s="149"/>
      <c r="AF709" s="149"/>
    </row>
    <row r="710" spans="2:32" s="148" customFormat="1" hidden="1">
      <c r="Y710" s="149"/>
      <c r="Z710" s="149"/>
      <c r="AA710" s="149"/>
      <c r="AB710" s="149"/>
      <c r="AC710" s="149"/>
      <c r="AD710" s="149"/>
      <c r="AE710" s="149"/>
      <c r="AF710" s="149"/>
    </row>
    <row r="711" spans="2:32" s="148" customFormat="1" ht="15" hidden="1" customHeight="1">
      <c r="B711" s="320" t="s">
        <v>8</v>
      </c>
      <c r="C711" s="321"/>
      <c r="D711" s="321"/>
      <c r="E711" s="321"/>
      <c r="F711" s="233">
        <f>IF(Settings!$M$4=Settings!$Y$3,Settings!$O$19,1)</f>
        <v>1</v>
      </c>
      <c r="G711" s="234">
        <f>IF(Settings!$M$4=Settings!$Y$3,Settings!$O$19,2)</f>
        <v>2</v>
      </c>
      <c r="H711" s="234">
        <f>IF(Settings!$M$4=Settings!$Y$3,Settings!$O$19,3)</f>
        <v>3</v>
      </c>
      <c r="I711" s="234">
        <f>IF(Settings!$M$4=Settings!$Y$3,Settings!$O$19,4)</f>
        <v>4</v>
      </c>
      <c r="J711" s="234">
        <f>IF(Settings!$M$4=Settings!$Y$3,Settings!$O$20,5)</f>
        <v>5</v>
      </c>
      <c r="K711" s="234">
        <f>IF(Settings!$M$4=Settings!$Y$3,Settings!$O$20,6)</f>
        <v>6</v>
      </c>
      <c r="L711" s="234">
        <f>IF(Settings!$M$4=Settings!$Y$3,Settings!$O$20,7)</f>
        <v>7</v>
      </c>
      <c r="M711" s="234">
        <f>IF(Settings!$M$4=Settings!$Y$3,Settings!$O$20,8)</f>
        <v>8</v>
      </c>
      <c r="N711" s="234">
        <f>IF(Settings!$M$4=Settings!$Y$3,Settings!$O$21,9)</f>
        <v>9</v>
      </c>
      <c r="O711" s="235">
        <f>IF(Settings!$M$4=Settings!$Y$3,Settings!$O$21,10)</f>
        <v>10</v>
      </c>
      <c r="P711" s="22"/>
      <c r="Q711" s="22"/>
      <c r="R711" s="333" t="s">
        <v>24</v>
      </c>
      <c r="S711" s="333"/>
      <c r="T711" s="333"/>
      <c r="U711" s="333"/>
      <c r="V711" s="333"/>
      <c r="W711" s="333"/>
      <c r="X711" s="333"/>
      <c r="Y711" s="334"/>
      <c r="Z711" s="149"/>
      <c r="AA711" s="149"/>
      <c r="AB711" s="149"/>
      <c r="AC711" s="149"/>
      <c r="AD711" s="149"/>
      <c r="AE711" s="149"/>
      <c r="AF711" s="149"/>
    </row>
    <row r="712" spans="2:32" s="148" customFormat="1" ht="15" hidden="1" customHeight="1">
      <c r="B712" s="335" t="str">
        <f t="shared" ref="B712:B731" si="16">B671</f>
        <v>Quality of Work</v>
      </c>
      <c r="C712" s="336"/>
      <c r="D712" s="336"/>
      <c r="E712" s="337"/>
      <c r="F712" s="162" t="str">
        <f>IF(Settings!$M$4=Settings!$Y$3,IF($AA712=1,"P",""),IF($AA712=1,"P",""))</f>
        <v/>
      </c>
      <c r="G712" s="160" t="str">
        <f>IF(Settings!$M$4=Settings!$Y$3,IF($AA712=1,"P",""),IF($AA712=2,"P",""))</f>
        <v/>
      </c>
      <c r="H712" s="160" t="str">
        <f>IF(Settings!$M$4=Settings!$Y$3,IF($AA712=1,"P",""),IF($AA712=3,"P",""))</f>
        <v/>
      </c>
      <c r="I712" s="160" t="str">
        <f>IF(Settings!$M$4=Settings!$Y$3,IF($AA712=1,"P",""),IF($AA712=4,"P",""))</f>
        <v/>
      </c>
      <c r="J712" s="160" t="str">
        <f>IF(Settings!$M$4=Settings!$Y$3,IF($AA712=2,"P",""),IF($AA712=5,"P",""))</f>
        <v/>
      </c>
      <c r="K712" s="160" t="str">
        <f>IF(Settings!$M$4=Settings!$Y$3,IF($AA712=2,"P",""),IF($AA712=6,"P",""))</f>
        <v/>
      </c>
      <c r="L712" s="160" t="str">
        <f>IF(Settings!$M$4=Settings!$Y$3,IF($AA712=2,"P",""),IF($AA712=7,"P",""))</f>
        <v/>
      </c>
      <c r="M712" s="160" t="str">
        <f>IF(Settings!$M$4=Settings!$Y$3,IF($AA712=2,"P",""),IF($AA712=8,"P",""))</f>
        <v/>
      </c>
      <c r="N712" s="160" t="str">
        <f>IF(Settings!$M$4=Settings!$Y$3,IF($AA712=3,"P",""),IF($AA712=9,"P",""))</f>
        <v/>
      </c>
      <c r="O712" s="161" t="str">
        <f>IF(Settings!$M$4=Settings!$Y$3,IF($AA712=3,"P",""),IF($AA712=10,"P",""))</f>
        <v/>
      </c>
      <c r="P712" s="22"/>
      <c r="Q712" s="22"/>
      <c r="R712" s="367" t="e">
        <f>IF(INDEX(TblDatabase[Comment1],MATCH(1,INDEX(($L$4=ListEmployeeNamesInDatabase)*(C704=TblDatabase[Year]),0,1),0))="","",INDEX(TblDatabase[Comment1],MATCH(1,INDEX(($L$4=ListEmployeeNamesInDatabase)*(C704=TblDatabase[Year]),0,1),0)))</f>
        <v>#N/A</v>
      </c>
      <c r="S712" s="367"/>
      <c r="T712" s="367"/>
      <c r="U712" s="367"/>
      <c r="V712" s="367"/>
      <c r="W712" s="367"/>
      <c r="X712" s="367"/>
      <c r="Y712" s="368"/>
      <c r="Z712" s="149"/>
      <c r="AA712" s="151">
        <f>SUMIFS(TblDatabase[Competency1],ListEmployeeNamesInDatabase,$L$4,TblDatabase[Year],C704)</f>
        <v>0</v>
      </c>
      <c r="AB712" s="149"/>
      <c r="AC712" s="149"/>
      <c r="AD712" s="149"/>
      <c r="AE712" s="149"/>
      <c r="AF712" s="149"/>
    </row>
    <row r="713" spans="2:32" s="148" customFormat="1" ht="15" hidden="1" customHeight="1">
      <c r="B713" s="355" t="str">
        <f t="shared" si="16"/>
        <v>CaLL flow</v>
      </c>
      <c r="C713" s="356"/>
      <c r="D713" s="356"/>
      <c r="E713" s="357"/>
      <c r="F713" s="163" t="str">
        <f>IF(Settings!$M$4=Settings!$Y$3,IF($AA713=1,"P",""),IF($AA713=1,"P",""))</f>
        <v/>
      </c>
      <c r="G713" s="164" t="str">
        <f>IF(Settings!$M$4=Settings!$Y$3,IF($AA713=1,"P",""),IF($AA713=2,"P",""))</f>
        <v/>
      </c>
      <c r="H713" s="164" t="str">
        <f>IF(Settings!$M$4=Settings!$Y$3,IF($AA713=1,"P",""),IF($AA713=3,"P",""))</f>
        <v/>
      </c>
      <c r="I713" s="164" t="str">
        <f>IF(Settings!$M$4=Settings!$Y$3,IF($AA713=1,"P",""),IF($AA713=4,"P",""))</f>
        <v/>
      </c>
      <c r="J713" s="164" t="str">
        <f>IF(Settings!$M$4=Settings!$Y$3,IF($AA713=2,"P",""),IF($AA713=5,"P",""))</f>
        <v/>
      </c>
      <c r="K713" s="164" t="str">
        <f>IF(Settings!$M$4=Settings!$Y$3,IF($AA713=2,"P",""),IF($AA713=6,"P",""))</f>
        <v/>
      </c>
      <c r="L713" s="164" t="str">
        <f>IF(Settings!$M$4=Settings!$Y$3,IF($AA713=2,"P",""),IF($AA713=7,"P",""))</f>
        <v/>
      </c>
      <c r="M713" s="164" t="str">
        <f>IF(Settings!$M$4=Settings!$Y$3,IF($AA713=2,"P",""),IF($AA713=8,"P",""))</f>
        <v/>
      </c>
      <c r="N713" s="164" t="str">
        <f>IF(Settings!$M$4=Settings!$Y$3,IF($AA713=3,"P",""),IF($AA713=9,"P",""))</f>
        <v/>
      </c>
      <c r="O713" s="165" t="str">
        <f>IF(Settings!$M$4=Settings!$Y$3,IF($AA713=3,"P",""),IF($AA713=10,"P",""))</f>
        <v/>
      </c>
      <c r="P713" s="22"/>
      <c r="Q713" s="22"/>
      <c r="R713" s="360" t="e">
        <f>IF(INDEX(TblDatabase[Comment2],MATCH(1,INDEX(($L$4=ListEmployeeNamesInDatabase)*(C704=TblDatabase[Year]),0,1),0))="","",INDEX(TblDatabase[Comment2],MATCH(1,INDEX(($L$4=ListEmployeeNamesInDatabase)*(C704=TblDatabase[Year]),0,1),0)))</f>
        <v>#N/A</v>
      </c>
      <c r="S713" s="360"/>
      <c r="T713" s="360"/>
      <c r="U713" s="360"/>
      <c r="V713" s="360"/>
      <c r="W713" s="360"/>
      <c r="X713" s="360"/>
      <c r="Y713" s="361"/>
      <c r="Z713" s="149"/>
      <c r="AA713" s="151">
        <f>SUMIFS(TblDatabase[Competency2],ListEmployeeNamesInDatabase,$L$4,TblDatabase[Year],C704)</f>
        <v>0</v>
      </c>
      <c r="AB713" s="149"/>
      <c r="AC713" s="149"/>
      <c r="AD713" s="149"/>
      <c r="AE713" s="149"/>
      <c r="AF713" s="149"/>
    </row>
    <row r="714" spans="2:32" s="148" customFormat="1" ht="15" hidden="1" customHeight="1">
      <c r="B714" s="350" t="str">
        <f t="shared" si="16"/>
        <v>Job Knowledge</v>
      </c>
      <c r="C714" s="351"/>
      <c r="D714" s="351"/>
      <c r="E714" s="352"/>
      <c r="F714" s="157" t="str">
        <f>IF(Settings!$M$4=Settings!$Y$3,IF($AA714=1,"P",""),IF($AA714=1,"P",""))</f>
        <v/>
      </c>
      <c r="G714" s="158" t="str">
        <f>IF(Settings!$M$4=Settings!$Y$3,IF($AA714=1,"P",""),IF($AA714=2,"P",""))</f>
        <v/>
      </c>
      <c r="H714" s="158" t="str">
        <f>IF(Settings!$M$4=Settings!$Y$3,IF($AA714=1,"P",""),IF($AA714=3,"P",""))</f>
        <v/>
      </c>
      <c r="I714" s="158" t="str">
        <f>IF(Settings!$M$4=Settings!$Y$3,IF($AA714=1,"P",""),IF($AA714=4,"P",""))</f>
        <v/>
      </c>
      <c r="J714" s="158" t="str">
        <f>IF(Settings!$M$4=Settings!$Y$3,IF($AA714=2,"P",""),IF($AA714=5,"P",""))</f>
        <v/>
      </c>
      <c r="K714" s="158" t="str">
        <f>IF(Settings!$M$4=Settings!$Y$3,IF($AA714=2,"P",""),IF($AA714=6,"P",""))</f>
        <v/>
      </c>
      <c r="L714" s="158" t="str">
        <f>IF(Settings!$M$4=Settings!$Y$3,IF($AA714=2,"P",""),IF($AA714=7,"P",""))</f>
        <v/>
      </c>
      <c r="M714" s="158" t="str">
        <f>IF(Settings!$M$4=Settings!$Y$3,IF($AA714=2,"P",""),IF($AA714=8,"P",""))</f>
        <v/>
      </c>
      <c r="N714" s="158" t="str">
        <f>IF(Settings!$M$4=Settings!$Y$3,IF($AA714=3,"P",""),IF($AA714=9,"P",""))</f>
        <v/>
      </c>
      <c r="O714" s="159" t="str">
        <f>IF(Settings!$M$4=Settings!$Y$3,IF($AA714=3,"P",""),IF($AA714=10,"P",""))</f>
        <v/>
      </c>
      <c r="P714" s="22"/>
      <c r="Q714" s="22"/>
      <c r="R714" s="353" t="e">
        <f>IF(INDEX(TblDatabase[Comment3],MATCH(1,INDEX(($L$4=ListEmployeeNamesInDatabase)*(C704=TblDatabase[Year]),0,1),0))="","",INDEX(TblDatabase[Comment3],MATCH(1,INDEX(($L$4=ListEmployeeNamesInDatabase)*(C704=TblDatabase[Year]),0,1),0)))</f>
        <v>#N/A</v>
      </c>
      <c r="S714" s="353"/>
      <c r="T714" s="353"/>
      <c r="U714" s="353"/>
      <c r="V714" s="353"/>
      <c r="W714" s="353"/>
      <c r="X714" s="353"/>
      <c r="Y714" s="354"/>
      <c r="Z714" s="149"/>
      <c r="AA714" s="151">
        <f>SUMIFS(TblDatabase[Competency3],ListEmployeeNamesInDatabase,$L$4,TblDatabase[Year],C704)</f>
        <v>0</v>
      </c>
      <c r="AB714" s="149"/>
      <c r="AC714" s="149"/>
      <c r="AD714" s="149"/>
      <c r="AE714" s="149"/>
      <c r="AF714" s="149"/>
    </row>
    <row r="715" spans="2:32" s="148" customFormat="1" ht="15" hidden="1" customHeight="1">
      <c r="B715" s="355" t="str">
        <f t="shared" si="16"/>
        <v>Client Service</v>
      </c>
      <c r="C715" s="356"/>
      <c r="D715" s="356"/>
      <c r="E715" s="357"/>
      <c r="F715" s="163" t="str">
        <f>IF(Settings!$M$4=Settings!$Y$3,IF($AA715=1,"P",""),IF($AA715=1,"P",""))</f>
        <v/>
      </c>
      <c r="G715" s="164" t="str">
        <f>IF(Settings!$M$4=Settings!$Y$3,IF($AA715=1,"P",""),IF($AA715=2,"P",""))</f>
        <v/>
      </c>
      <c r="H715" s="164" t="str">
        <f>IF(Settings!$M$4=Settings!$Y$3,IF($AA715=1,"P",""),IF($AA715=3,"P",""))</f>
        <v/>
      </c>
      <c r="I715" s="164" t="str">
        <f>IF(Settings!$M$4=Settings!$Y$3,IF($AA715=1,"P",""),IF($AA715=4,"P",""))</f>
        <v/>
      </c>
      <c r="J715" s="164" t="str">
        <f>IF(Settings!$M$4=Settings!$Y$3,IF($AA715=2,"P",""),IF($AA715=5,"P",""))</f>
        <v/>
      </c>
      <c r="K715" s="164" t="str">
        <f>IF(Settings!$M$4=Settings!$Y$3,IF($AA715=2,"P",""),IF($AA715=6,"P",""))</f>
        <v/>
      </c>
      <c r="L715" s="164" t="str">
        <f>IF(Settings!$M$4=Settings!$Y$3,IF($AA715=2,"P",""),IF($AA715=7,"P",""))</f>
        <v/>
      </c>
      <c r="M715" s="164" t="str">
        <f>IF(Settings!$M$4=Settings!$Y$3,IF($AA715=2,"P",""),IF($AA715=8,"P",""))</f>
        <v/>
      </c>
      <c r="N715" s="164" t="str">
        <f>IF(Settings!$M$4=Settings!$Y$3,IF($AA715=3,"P",""),IF($AA715=9,"P",""))</f>
        <v/>
      </c>
      <c r="O715" s="165" t="str">
        <f>IF(Settings!$M$4=Settings!$Y$3,IF($AA715=3,"P",""),IF($AA715=10,"P",""))</f>
        <v/>
      </c>
      <c r="P715" s="22"/>
      <c r="Q715" s="22"/>
      <c r="R715" s="360" t="e">
        <f>IF(INDEX(TblDatabase[Comment4],MATCH(1,INDEX(($L$4=ListEmployeeNamesInDatabase)*(C704=TblDatabase[Year]),0,1),0))="","",INDEX(TblDatabase[Comment4],MATCH(1,INDEX(($L$4=ListEmployeeNamesInDatabase)*(C704=TblDatabase[Year]),0,1),0)))</f>
        <v>#N/A</v>
      </c>
      <c r="S715" s="360"/>
      <c r="T715" s="360"/>
      <c r="U715" s="360"/>
      <c r="V715" s="360"/>
      <c r="W715" s="360"/>
      <c r="X715" s="360"/>
      <c r="Y715" s="361"/>
      <c r="Z715" s="149"/>
      <c r="AA715" s="151">
        <f>SUMIFS(TblDatabase[Competency4],ListEmployeeNamesInDatabase,$L$4,TblDatabase[Year],C704)</f>
        <v>0</v>
      </c>
      <c r="AB715" s="149"/>
      <c r="AC715" s="149"/>
      <c r="AD715" s="149"/>
      <c r="AE715" s="149"/>
      <c r="AF715" s="149"/>
    </row>
    <row r="716" spans="2:32" s="148" customFormat="1" ht="15" hidden="1" customHeight="1">
      <c r="B716" s="350" t="str">
        <f t="shared" si="16"/>
        <v>Teamwork</v>
      </c>
      <c r="C716" s="351"/>
      <c r="D716" s="351"/>
      <c r="E716" s="352"/>
      <c r="F716" s="157" t="str">
        <f>IF(Settings!$M$4=Settings!$Y$3,IF($AA716=1,"P",""),IF($AA716=1,"P",""))</f>
        <v/>
      </c>
      <c r="G716" s="158" t="str">
        <f>IF(Settings!$M$4=Settings!$Y$3,IF($AA716=1,"P",""),IF($AA716=2,"P",""))</f>
        <v/>
      </c>
      <c r="H716" s="158" t="str">
        <f>IF(Settings!$M$4=Settings!$Y$3,IF($AA716=1,"P",""),IF($AA716=3,"P",""))</f>
        <v/>
      </c>
      <c r="I716" s="158" t="str">
        <f>IF(Settings!$M$4=Settings!$Y$3,IF($AA716=1,"P",""),IF($AA716=4,"P",""))</f>
        <v/>
      </c>
      <c r="J716" s="158" t="str">
        <f>IF(Settings!$M$4=Settings!$Y$3,IF($AA716=2,"P",""),IF($AA716=5,"P",""))</f>
        <v/>
      </c>
      <c r="K716" s="158" t="str">
        <f>IF(Settings!$M$4=Settings!$Y$3,IF($AA716=2,"P",""),IF($AA716=6,"P",""))</f>
        <v/>
      </c>
      <c r="L716" s="158" t="str">
        <f>IF(Settings!$M$4=Settings!$Y$3,IF($AA716=2,"P",""),IF($AA716=7,"P",""))</f>
        <v/>
      </c>
      <c r="M716" s="158" t="str">
        <f>IF(Settings!$M$4=Settings!$Y$3,IF($AA716=2,"P",""),IF($AA716=8,"P",""))</f>
        <v/>
      </c>
      <c r="N716" s="158" t="str">
        <f>IF(Settings!$M$4=Settings!$Y$3,IF($AA716=3,"P",""),IF($AA716=9,"P",""))</f>
        <v/>
      </c>
      <c r="O716" s="159" t="str">
        <f>IF(Settings!$M$4=Settings!$Y$3,IF($AA716=3,"P",""),IF($AA716=10,"P",""))</f>
        <v/>
      </c>
      <c r="P716" s="22"/>
      <c r="Q716" s="22"/>
      <c r="R716" s="353" t="e">
        <f>IF(INDEX(TblDatabase[Comment5],MATCH(1,INDEX(($L$4=ListEmployeeNamesInDatabase)*(C704=TblDatabase[Year]),0,1),0))="","",INDEX(TblDatabase[Comment5],MATCH(1,INDEX(($L$4=ListEmployeeNamesInDatabase)*(C704=TblDatabase[Year]),0,1),0)))</f>
        <v>#N/A</v>
      </c>
      <c r="S716" s="353"/>
      <c r="T716" s="353"/>
      <c r="U716" s="353"/>
      <c r="V716" s="353"/>
      <c r="W716" s="353"/>
      <c r="X716" s="353"/>
      <c r="Y716" s="354"/>
      <c r="Z716" s="149"/>
      <c r="AA716" s="151">
        <f>SUMIFS(TblDatabase[Competency5],ListEmployeeNamesInDatabase,$L$4,TblDatabase[Year],C704)</f>
        <v>0</v>
      </c>
      <c r="AB716" s="149"/>
      <c r="AC716" s="149"/>
      <c r="AD716" s="149"/>
      <c r="AE716" s="149"/>
      <c r="AF716" s="149"/>
    </row>
    <row r="717" spans="2:32" s="148" customFormat="1" ht="15" hidden="1" customHeight="1">
      <c r="B717" s="355" t="str">
        <f t="shared" si="16"/>
        <v>Safety</v>
      </c>
      <c r="C717" s="356"/>
      <c r="D717" s="356"/>
      <c r="E717" s="357"/>
      <c r="F717" s="163" t="str">
        <f>IF(Settings!$M$4=Settings!$Y$3,IF($AA717=1,"P",""),IF($AA717=1,"P",""))</f>
        <v/>
      </c>
      <c r="G717" s="164" t="str">
        <f>IF(Settings!$M$4=Settings!$Y$3,IF($AA717=1,"P",""),IF($AA717=2,"P",""))</f>
        <v/>
      </c>
      <c r="H717" s="164" t="str">
        <f>IF(Settings!$M$4=Settings!$Y$3,IF($AA717=1,"P",""),IF($AA717=3,"P",""))</f>
        <v/>
      </c>
      <c r="I717" s="164" t="str">
        <f>IF(Settings!$M$4=Settings!$Y$3,IF($AA717=1,"P",""),IF($AA717=4,"P",""))</f>
        <v/>
      </c>
      <c r="J717" s="164" t="str">
        <f>IF(Settings!$M$4=Settings!$Y$3,IF($AA717=2,"P",""),IF($AA717=5,"P",""))</f>
        <v/>
      </c>
      <c r="K717" s="164" t="str">
        <f>IF(Settings!$M$4=Settings!$Y$3,IF($AA717=2,"P",""),IF($AA717=6,"P",""))</f>
        <v/>
      </c>
      <c r="L717" s="164" t="str">
        <f>IF(Settings!$M$4=Settings!$Y$3,IF($AA717=2,"P",""),IF($AA717=7,"P",""))</f>
        <v/>
      </c>
      <c r="M717" s="164" t="str">
        <f>IF(Settings!$M$4=Settings!$Y$3,IF($AA717=2,"P",""),IF($AA717=8,"P",""))</f>
        <v/>
      </c>
      <c r="N717" s="164" t="str">
        <f>IF(Settings!$M$4=Settings!$Y$3,IF($AA717=3,"P",""),IF($AA717=9,"P",""))</f>
        <v/>
      </c>
      <c r="O717" s="165" t="str">
        <f>IF(Settings!$M$4=Settings!$Y$3,IF($AA717=3,"P",""),IF($AA717=10,"P",""))</f>
        <v/>
      </c>
      <c r="P717" s="22"/>
      <c r="Q717" s="22"/>
      <c r="R717" s="360" t="e">
        <f>IF(INDEX(TblDatabase[Comment6],MATCH(1,INDEX(($L$4=ListEmployeeNamesInDatabase)*(C704=TblDatabase[Year]),0,1),0))="","",INDEX(TblDatabase[Comment6],MATCH(1,INDEX(($L$4=ListEmployeeNamesInDatabase)*(C704=TblDatabase[Year]),0,1),0)))</f>
        <v>#N/A</v>
      </c>
      <c r="S717" s="360"/>
      <c r="T717" s="360"/>
      <c r="U717" s="360"/>
      <c r="V717" s="360"/>
      <c r="W717" s="360"/>
      <c r="X717" s="360"/>
      <c r="Y717" s="361"/>
      <c r="Z717" s="149"/>
      <c r="AA717" s="151">
        <f>SUMIFS(TblDatabase[Competency6],ListEmployeeNamesInDatabase,$L$4,TblDatabase[Year],C704)</f>
        <v>0</v>
      </c>
      <c r="AB717" s="149"/>
      <c r="AC717" s="149"/>
      <c r="AD717" s="149"/>
      <c r="AE717" s="149"/>
      <c r="AF717" s="149"/>
    </row>
    <row r="718" spans="2:32" s="148" customFormat="1" ht="15" hidden="1" customHeight="1">
      <c r="B718" s="350" t="str">
        <f t="shared" si="16"/>
        <v>Reliability</v>
      </c>
      <c r="C718" s="351"/>
      <c r="D718" s="351"/>
      <c r="E718" s="352"/>
      <c r="F718" s="157" t="str">
        <f>IF(Settings!$M$4=Settings!$Y$3,IF($AA718=1,"P",""),IF($AA718=1,"P",""))</f>
        <v/>
      </c>
      <c r="G718" s="158" t="str">
        <f>IF(Settings!$M$4=Settings!$Y$3,IF($AA718=1,"P",""),IF($AA718=2,"P",""))</f>
        <v/>
      </c>
      <c r="H718" s="158" t="str">
        <f>IF(Settings!$M$4=Settings!$Y$3,IF($AA718=1,"P",""),IF($AA718=3,"P",""))</f>
        <v/>
      </c>
      <c r="I718" s="158" t="str">
        <f>IF(Settings!$M$4=Settings!$Y$3,IF($AA718=1,"P",""),IF($AA718=4,"P",""))</f>
        <v/>
      </c>
      <c r="J718" s="158" t="str">
        <f>IF(Settings!$M$4=Settings!$Y$3,IF($AA718=2,"P",""),IF($AA718=5,"P",""))</f>
        <v/>
      </c>
      <c r="K718" s="158" t="str">
        <f>IF(Settings!$M$4=Settings!$Y$3,IF($AA718=2,"P",""),IF($AA718=6,"P",""))</f>
        <v/>
      </c>
      <c r="L718" s="158" t="str">
        <f>IF(Settings!$M$4=Settings!$Y$3,IF($AA718=2,"P",""),IF($AA718=7,"P",""))</f>
        <v/>
      </c>
      <c r="M718" s="158" t="str">
        <f>IF(Settings!$M$4=Settings!$Y$3,IF($AA718=2,"P",""),IF($AA718=8,"P",""))</f>
        <v/>
      </c>
      <c r="N718" s="158" t="str">
        <f>IF(Settings!$M$4=Settings!$Y$3,IF($AA718=3,"P",""),IF($AA718=9,"P",""))</f>
        <v/>
      </c>
      <c r="O718" s="159" t="str">
        <f>IF(Settings!$M$4=Settings!$Y$3,IF($AA718=3,"P",""),IF($AA718=10,"P",""))</f>
        <v/>
      </c>
      <c r="P718" s="22"/>
      <c r="Q718" s="22"/>
      <c r="R718" s="353" t="e">
        <f>IF(INDEX(TblDatabase[Comment7],MATCH(1,INDEX(($L$4=ListEmployeeNamesInDatabase)*(C704=TblDatabase[Year]),0,1),0))="","",INDEX(TblDatabase[Comment7],MATCH(1,INDEX(($L$4=ListEmployeeNamesInDatabase)*(C704=TblDatabase[Year]),0,1),0)))</f>
        <v>#N/A</v>
      </c>
      <c r="S718" s="353"/>
      <c r="T718" s="353"/>
      <c r="U718" s="353"/>
      <c r="V718" s="353"/>
      <c r="W718" s="353"/>
      <c r="X718" s="353"/>
      <c r="Y718" s="354"/>
      <c r="Z718" s="149"/>
      <c r="AA718" s="151">
        <f>SUMIFS(TblDatabase[Competency7],ListEmployeeNamesInDatabase,$L$4,TblDatabase[Year],C704)</f>
        <v>0</v>
      </c>
      <c r="AB718" s="149"/>
      <c r="AC718" s="149"/>
      <c r="AD718" s="149"/>
      <c r="AE718" s="149"/>
      <c r="AF718" s="149"/>
    </row>
    <row r="719" spans="2:32" s="148" customFormat="1" ht="15" hidden="1" customHeight="1">
      <c r="B719" s="355" t="str">
        <f t="shared" si="16"/>
        <v>Initiative/Adaptability</v>
      </c>
      <c r="C719" s="356"/>
      <c r="D719" s="356"/>
      <c r="E719" s="357"/>
      <c r="F719" s="163" t="str">
        <f>IF(Settings!$M$4=Settings!$Y$3,IF($AA719=1,"P",""),IF($AA719=1,"P",""))</f>
        <v/>
      </c>
      <c r="G719" s="164" t="str">
        <f>IF(Settings!$M$4=Settings!$Y$3,IF($AA719=1,"P",""),IF($AA719=2,"P",""))</f>
        <v/>
      </c>
      <c r="H719" s="164" t="str">
        <f>IF(Settings!$M$4=Settings!$Y$3,IF($AA719=1,"P",""),IF($AA719=3,"P",""))</f>
        <v/>
      </c>
      <c r="I719" s="164" t="str">
        <f>IF(Settings!$M$4=Settings!$Y$3,IF($AA719=1,"P",""),IF($AA719=4,"P",""))</f>
        <v/>
      </c>
      <c r="J719" s="164" t="str">
        <f>IF(Settings!$M$4=Settings!$Y$3,IF($AA719=2,"P",""),IF($AA719=5,"P",""))</f>
        <v/>
      </c>
      <c r="K719" s="164" t="str">
        <f>IF(Settings!$M$4=Settings!$Y$3,IF($AA719=2,"P",""),IF($AA719=6,"P",""))</f>
        <v/>
      </c>
      <c r="L719" s="164" t="str">
        <f>IF(Settings!$M$4=Settings!$Y$3,IF($AA719=2,"P",""),IF($AA719=7,"P",""))</f>
        <v/>
      </c>
      <c r="M719" s="164" t="str">
        <f>IF(Settings!$M$4=Settings!$Y$3,IF($AA719=2,"P",""),IF($AA719=8,"P",""))</f>
        <v/>
      </c>
      <c r="N719" s="164" t="str">
        <f>IF(Settings!$M$4=Settings!$Y$3,IF($AA719=3,"P",""),IF($AA719=9,"P",""))</f>
        <v/>
      </c>
      <c r="O719" s="165" t="str">
        <f>IF(Settings!$M$4=Settings!$Y$3,IF($AA719=3,"P",""),IF($AA719=10,"P",""))</f>
        <v/>
      </c>
      <c r="P719" s="22"/>
      <c r="Q719" s="22"/>
      <c r="R719" s="360" t="e">
        <f>IF(INDEX(TblDatabase[Comment8],MATCH(1,INDEX(($L$4=ListEmployeeNamesInDatabase)*(C704=TblDatabase[Year]),0,1),0))="","",INDEX(TblDatabase[Comment8],MATCH(1,INDEX(($L$4=ListEmployeeNamesInDatabase)*(C704=TblDatabase[Year]),0,1),0)))</f>
        <v>#N/A</v>
      </c>
      <c r="S719" s="360"/>
      <c r="T719" s="360"/>
      <c r="U719" s="360"/>
      <c r="V719" s="360"/>
      <c r="W719" s="360"/>
      <c r="X719" s="360"/>
      <c r="Y719" s="361"/>
      <c r="Z719" s="149"/>
      <c r="AA719" s="151">
        <f>SUMIFS(TblDatabase[Competency8],ListEmployeeNamesInDatabase,$L$4,TblDatabase[Year],C704)</f>
        <v>0</v>
      </c>
      <c r="AB719" s="149"/>
      <c r="AC719" s="149"/>
      <c r="AD719" s="149"/>
      <c r="AE719" s="149"/>
      <c r="AF719" s="149"/>
    </row>
    <row r="720" spans="2:32" s="148" customFormat="1" ht="15" hidden="1" customHeight="1">
      <c r="B720" s="350" t="str">
        <f t="shared" si="16"/>
        <v/>
      </c>
      <c r="C720" s="351"/>
      <c r="D720" s="351"/>
      <c r="E720" s="352"/>
      <c r="F720" s="157" t="str">
        <f>IF(Settings!$M$4=Settings!$Y$3,IF($AA720=1,"P",""),IF($AA720=1,"P",""))</f>
        <v/>
      </c>
      <c r="G720" s="158" t="str">
        <f>IF(Settings!$M$4=Settings!$Y$3,IF($AA720=1,"P",""),IF($AA720=2,"P",""))</f>
        <v/>
      </c>
      <c r="H720" s="158" t="str">
        <f>IF(Settings!$M$4=Settings!$Y$3,IF($AA720=1,"P",""),IF($AA720=3,"P",""))</f>
        <v/>
      </c>
      <c r="I720" s="158" t="str">
        <f>IF(Settings!$M$4=Settings!$Y$3,IF($AA720=1,"P",""),IF($AA720=4,"P",""))</f>
        <v/>
      </c>
      <c r="J720" s="158" t="str">
        <f>IF(Settings!$M$4=Settings!$Y$3,IF($AA720=2,"P",""),IF($AA720=5,"P",""))</f>
        <v/>
      </c>
      <c r="K720" s="158" t="str">
        <f>IF(Settings!$M$4=Settings!$Y$3,IF($AA720=2,"P",""),IF($AA720=6,"P",""))</f>
        <v/>
      </c>
      <c r="L720" s="158" t="str">
        <f>IF(Settings!$M$4=Settings!$Y$3,IF($AA720=2,"P",""),IF($AA720=7,"P",""))</f>
        <v/>
      </c>
      <c r="M720" s="158" t="str">
        <f>IF(Settings!$M$4=Settings!$Y$3,IF($AA720=2,"P",""),IF($AA720=8,"P",""))</f>
        <v/>
      </c>
      <c r="N720" s="158" t="str">
        <f>IF(Settings!$M$4=Settings!$Y$3,IF($AA720=3,"P",""),IF($AA720=9,"P",""))</f>
        <v/>
      </c>
      <c r="O720" s="159" t="str">
        <f>IF(Settings!$M$4=Settings!$Y$3,IF($AA720=3,"P",""),IF($AA720=10,"P",""))</f>
        <v/>
      </c>
      <c r="P720" s="22"/>
      <c r="Q720" s="22"/>
      <c r="R720" s="353" t="e">
        <f>IF(INDEX(TblDatabase[Comment9],MATCH(1,INDEX(($L$4=ListEmployeeNamesInDatabase)*(C704=TblDatabase[Year]),0,1),0))="","",INDEX(TblDatabase[Comment9],MATCH(1,INDEX(($L$4=ListEmployeeNamesInDatabase)*(C704=TblDatabase[Year]),0,1),0)))</f>
        <v>#N/A</v>
      </c>
      <c r="S720" s="353"/>
      <c r="T720" s="353"/>
      <c r="U720" s="353"/>
      <c r="V720" s="353"/>
      <c r="W720" s="353"/>
      <c r="X720" s="353"/>
      <c r="Y720" s="354"/>
      <c r="Z720" s="149"/>
      <c r="AA720" s="151">
        <f>SUMIFS(TblDatabase[Competency9],ListEmployeeNamesInDatabase,$L$4,TblDatabase[Year],C704)</f>
        <v>0</v>
      </c>
      <c r="AB720" s="149"/>
      <c r="AC720" s="149"/>
      <c r="AD720" s="149"/>
      <c r="AE720" s="149"/>
      <c r="AF720" s="149"/>
    </row>
    <row r="721" spans="2:32" s="148" customFormat="1" ht="15" hidden="1" customHeight="1">
      <c r="B721" s="355" t="str">
        <f t="shared" si="16"/>
        <v/>
      </c>
      <c r="C721" s="356"/>
      <c r="D721" s="356"/>
      <c r="E721" s="357"/>
      <c r="F721" s="163" t="str">
        <f>IF(Settings!$M$4=Settings!$Y$3,IF($AA721=1,"P",""),IF($AA721=1,"P",""))</f>
        <v/>
      </c>
      <c r="G721" s="164" t="str">
        <f>IF(Settings!$M$4=Settings!$Y$3,IF($AA721=1,"P",""),IF($AA721=2,"P",""))</f>
        <v/>
      </c>
      <c r="H721" s="164" t="str">
        <f>IF(Settings!$M$4=Settings!$Y$3,IF($AA721=1,"P",""),IF($AA721=3,"P",""))</f>
        <v/>
      </c>
      <c r="I721" s="164" t="str">
        <f>IF(Settings!$M$4=Settings!$Y$3,IF($AA721=1,"P",""),IF($AA721=4,"P",""))</f>
        <v/>
      </c>
      <c r="J721" s="164" t="str">
        <f>IF(Settings!$M$4=Settings!$Y$3,IF($AA721=2,"P",""),IF($AA721=5,"P",""))</f>
        <v/>
      </c>
      <c r="K721" s="164" t="str">
        <f>IF(Settings!$M$4=Settings!$Y$3,IF($AA721=2,"P",""),IF($AA721=6,"P",""))</f>
        <v/>
      </c>
      <c r="L721" s="164" t="str">
        <f>IF(Settings!$M$4=Settings!$Y$3,IF($AA721=2,"P",""),IF($AA721=7,"P",""))</f>
        <v/>
      </c>
      <c r="M721" s="164" t="str">
        <f>IF(Settings!$M$4=Settings!$Y$3,IF($AA721=2,"P",""),IF($AA721=8,"P",""))</f>
        <v/>
      </c>
      <c r="N721" s="164" t="str">
        <f>IF(Settings!$M$4=Settings!$Y$3,IF($AA721=3,"P",""),IF($AA721=9,"P",""))</f>
        <v/>
      </c>
      <c r="O721" s="165" t="str">
        <f>IF(Settings!$M$4=Settings!$Y$3,IF($AA721=3,"P",""),IF($AA721=10,"P",""))</f>
        <v/>
      </c>
      <c r="P721" s="22"/>
      <c r="Q721" s="22"/>
      <c r="R721" s="360" t="e">
        <f>IF(INDEX(TblDatabase[Comment10],MATCH(1,INDEX(($L$4=ListEmployeeNamesInDatabase)*(C704=TblDatabase[Year]),0,1),0))="","",INDEX(TblDatabase[Comment10],MATCH(1,INDEX(($L$4=ListEmployeeNamesInDatabase)*(C704=TblDatabase[Year]),0,1),0)))</f>
        <v>#N/A</v>
      </c>
      <c r="S721" s="360"/>
      <c r="T721" s="360"/>
      <c r="U721" s="360"/>
      <c r="V721" s="360"/>
      <c r="W721" s="360"/>
      <c r="X721" s="360"/>
      <c r="Y721" s="361"/>
      <c r="Z721" s="149"/>
      <c r="AA721" s="151">
        <f>SUMIFS(TblDatabase[Competency10],ListEmployeeNamesInDatabase,$L$4,TblDatabase[Year],C704)</f>
        <v>0</v>
      </c>
      <c r="AB721" s="149"/>
      <c r="AC721" s="149"/>
      <c r="AD721" s="149"/>
      <c r="AE721" s="149"/>
      <c r="AF721" s="149"/>
    </row>
    <row r="722" spans="2:32" s="148" customFormat="1" ht="15" hidden="1" customHeight="1">
      <c r="B722" s="350" t="str">
        <f t="shared" si="16"/>
        <v/>
      </c>
      <c r="C722" s="351"/>
      <c r="D722" s="351"/>
      <c r="E722" s="352"/>
      <c r="F722" s="157" t="str">
        <f>IF(Settings!$M$4=Settings!$Y$3,IF($AA722=1,"P",""),IF($AA722=1,"P",""))</f>
        <v/>
      </c>
      <c r="G722" s="158" t="str">
        <f>IF(Settings!$M$4=Settings!$Y$3,IF($AA722=1,"P",""),IF($AA722=2,"P",""))</f>
        <v/>
      </c>
      <c r="H722" s="158" t="str">
        <f>IF(Settings!$M$4=Settings!$Y$3,IF($AA722=1,"P",""),IF($AA722=3,"P",""))</f>
        <v/>
      </c>
      <c r="I722" s="158" t="str">
        <f>IF(Settings!$M$4=Settings!$Y$3,IF($AA722=1,"P",""),IF($AA722=4,"P",""))</f>
        <v/>
      </c>
      <c r="J722" s="158" t="str">
        <f>IF(Settings!$M$4=Settings!$Y$3,IF($AA722=2,"P",""),IF($AA722=5,"P",""))</f>
        <v/>
      </c>
      <c r="K722" s="158" t="str">
        <f>IF(Settings!$M$4=Settings!$Y$3,IF($AA722=2,"P",""),IF($AA722=6,"P",""))</f>
        <v/>
      </c>
      <c r="L722" s="158" t="str">
        <f>IF(Settings!$M$4=Settings!$Y$3,IF($AA722=2,"P",""),IF($AA722=7,"P",""))</f>
        <v/>
      </c>
      <c r="M722" s="158" t="str">
        <f>IF(Settings!$M$4=Settings!$Y$3,IF($AA722=2,"P",""),IF($AA722=8,"P",""))</f>
        <v/>
      </c>
      <c r="N722" s="158" t="str">
        <f>IF(Settings!$M$4=Settings!$Y$3,IF($AA722=3,"P",""),IF($AA722=9,"P",""))</f>
        <v/>
      </c>
      <c r="O722" s="159" t="str">
        <f>IF(Settings!$M$4=Settings!$Y$3,IF($AA722=3,"P",""),IF($AA722=10,"P",""))</f>
        <v/>
      </c>
      <c r="P722" s="22"/>
      <c r="Q722" s="22"/>
      <c r="R722" s="353" t="e">
        <f>IF(INDEX(TblDatabase[Comment11],MATCH(1,INDEX(($L$4=ListEmployeeNamesInDatabase)*(C704=TblDatabase[Year]),0,1),0))="","",INDEX(TblDatabase[Comment11],MATCH(1,INDEX(($L$4=ListEmployeeNamesInDatabase)*(C704=TblDatabase[Year]),0,1),0)))</f>
        <v>#N/A</v>
      </c>
      <c r="S722" s="353"/>
      <c r="T722" s="353"/>
      <c r="U722" s="353"/>
      <c r="V722" s="353"/>
      <c r="W722" s="353"/>
      <c r="X722" s="353"/>
      <c r="Y722" s="354"/>
      <c r="Z722" s="149"/>
      <c r="AA722" s="151">
        <f>SUMIFS(TblDatabase[Competency11],ListEmployeeNamesInDatabase,$L$4,TblDatabase[Year],C704)</f>
        <v>0</v>
      </c>
      <c r="AB722" s="149"/>
      <c r="AC722" s="149"/>
      <c r="AD722" s="149"/>
      <c r="AE722" s="149"/>
      <c r="AF722" s="149"/>
    </row>
    <row r="723" spans="2:32" s="148" customFormat="1" ht="15" hidden="1" customHeight="1">
      <c r="B723" s="355" t="str">
        <f t="shared" si="16"/>
        <v/>
      </c>
      <c r="C723" s="356"/>
      <c r="D723" s="356"/>
      <c r="E723" s="357"/>
      <c r="F723" s="163" t="str">
        <f>IF(Settings!$M$4=Settings!$Y$3,IF($AA723=1,"P",""),IF($AA723=1,"P",""))</f>
        <v/>
      </c>
      <c r="G723" s="164" t="str">
        <f>IF(Settings!$M$4=Settings!$Y$3,IF($AA723=1,"P",""),IF($AA723=2,"P",""))</f>
        <v/>
      </c>
      <c r="H723" s="164" t="str">
        <f>IF(Settings!$M$4=Settings!$Y$3,IF($AA723=1,"P",""),IF($AA723=3,"P",""))</f>
        <v/>
      </c>
      <c r="I723" s="164" t="str">
        <f>IF(Settings!$M$4=Settings!$Y$3,IF($AA723=1,"P",""),IF($AA723=4,"P",""))</f>
        <v/>
      </c>
      <c r="J723" s="164" t="str">
        <f>IF(Settings!$M$4=Settings!$Y$3,IF($AA723=2,"P",""),IF($AA723=5,"P",""))</f>
        <v/>
      </c>
      <c r="K723" s="164" t="str">
        <f>IF(Settings!$M$4=Settings!$Y$3,IF($AA723=2,"P",""),IF($AA723=6,"P",""))</f>
        <v/>
      </c>
      <c r="L723" s="164" t="str">
        <f>IF(Settings!$M$4=Settings!$Y$3,IF($AA723=2,"P",""),IF($AA723=7,"P",""))</f>
        <v/>
      </c>
      <c r="M723" s="164" t="str">
        <f>IF(Settings!$M$4=Settings!$Y$3,IF($AA723=2,"P",""),IF($AA723=8,"P",""))</f>
        <v/>
      </c>
      <c r="N723" s="164" t="str">
        <f>IF(Settings!$M$4=Settings!$Y$3,IF($AA723=3,"P",""),IF($AA723=9,"P",""))</f>
        <v/>
      </c>
      <c r="O723" s="165" t="str">
        <f>IF(Settings!$M$4=Settings!$Y$3,IF($AA723=3,"P",""),IF($AA723=10,"P",""))</f>
        <v/>
      </c>
      <c r="P723" s="22"/>
      <c r="Q723" s="22"/>
      <c r="R723" s="360" t="e">
        <f>IF(INDEX(TblDatabase[Comment12],MATCH(1,INDEX(($L$4=ListEmployeeNamesInDatabase)*(C704=TblDatabase[Year]),0,1),0))="","",INDEX(TblDatabase[Comment12],MATCH(1,INDEX(($L$4=ListEmployeeNamesInDatabase)*(C704=TblDatabase[Year]),0,1),0)))</f>
        <v>#N/A</v>
      </c>
      <c r="S723" s="360"/>
      <c r="T723" s="360"/>
      <c r="U723" s="360"/>
      <c r="V723" s="360"/>
      <c r="W723" s="360"/>
      <c r="X723" s="360"/>
      <c r="Y723" s="361"/>
      <c r="Z723" s="149"/>
      <c r="AA723" s="151">
        <f>SUMIFS(TblDatabase[Competency12],ListEmployeeNamesInDatabase,$L$4,TblDatabase[Year],C704)</f>
        <v>0</v>
      </c>
      <c r="AB723" s="149"/>
      <c r="AC723" s="149"/>
      <c r="AD723" s="149"/>
      <c r="AE723" s="149"/>
      <c r="AF723" s="149"/>
    </row>
    <row r="724" spans="2:32" s="148" customFormat="1" ht="15" hidden="1" customHeight="1">
      <c r="B724" s="350" t="str">
        <f t="shared" si="16"/>
        <v/>
      </c>
      <c r="C724" s="351"/>
      <c r="D724" s="351"/>
      <c r="E724" s="352"/>
      <c r="F724" s="157" t="str">
        <f>IF(Settings!$M$4=Settings!$Y$3,IF($AA724=1,"P",""),IF($AA724=1,"P",""))</f>
        <v/>
      </c>
      <c r="G724" s="158" t="str">
        <f>IF(Settings!$M$4=Settings!$Y$3,IF($AA724=1,"P",""),IF($AA724=2,"P",""))</f>
        <v/>
      </c>
      <c r="H724" s="158" t="str">
        <f>IF(Settings!$M$4=Settings!$Y$3,IF($AA724=1,"P",""),IF($AA724=3,"P",""))</f>
        <v/>
      </c>
      <c r="I724" s="158" t="str">
        <f>IF(Settings!$M$4=Settings!$Y$3,IF($AA724=1,"P",""),IF($AA724=4,"P",""))</f>
        <v/>
      </c>
      <c r="J724" s="158" t="str">
        <f>IF(Settings!$M$4=Settings!$Y$3,IF($AA724=2,"P",""),IF($AA724=5,"P",""))</f>
        <v/>
      </c>
      <c r="K724" s="158" t="str">
        <f>IF(Settings!$M$4=Settings!$Y$3,IF($AA724=2,"P",""),IF($AA724=6,"P",""))</f>
        <v/>
      </c>
      <c r="L724" s="158" t="str">
        <f>IF(Settings!$M$4=Settings!$Y$3,IF($AA724=2,"P",""),IF($AA724=7,"P",""))</f>
        <v/>
      </c>
      <c r="M724" s="158" t="str">
        <f>IF(Settings!$M$4=Settings!$Y$3,IF($AA724=2,"P",""),IF($AA724=8,"P",""))</f>
        <v/>
      </c>
      <c r="N724" s="158" t="str">
        <f>IF(Settings!$M$4=Settings!$Y$3,IF($AA724=3,"P",""),IF($AA724=9,"P",""))</f>
        <v/>
      </c>
      <c r="O724" s="159" t="str">
        <f>IF(Settings!$M$4=Settings!$Y$3,IF($AA724=3,"P",""),IF($AA724=10,"P",""))</f>
        <v/>
      </c>
      <c r="P724" s="22"/>
      <c r="Q724" s="22"/>
      <c r="R724" s="353" t="e">
        <f>IF(INDEX(TblDatabase[Comment13],MATCH(1,INDEX(($L$4=ListEmployeeNamesInDatabase)*(C704=TblDatabase[Year]),0,1),0))="","",INDEX(TblDatabase[Comment13],MATCH(1,INDEX(($L$4=ListEmployeeNamesInDatabase)*(C704=TblDatabase[Year]),0,1),0)))</f>
        <v>#N/A</v>
      </c>
      <c r="S724" s="353"/>
      <c r="T724" s="353"/>
      <c r="U724" s="353"/>
      <c r="V724" s="353"/>
      <c r="W724" s="353"/>
      <c r="X724" s="353"/>
      <c r="Y724" s="354"/>
      <c r="Z724" s="149"/>
      <c r="AA724" s="151">
        <f>SUMIFS(TblDatabase[Competency13],ListEmployeeNamesInDatabase,$L$4,TblDatabase[Year],C704)</f>
        <v>0</v>
      </c>
      <c r="AB724" s="149"/>
      <c r="AC724" s="149"/>
      <c r="AD724" s="149"/>
      <c r="AE724" s="149"/>
      <c r="AF724" s="149"/>
    </row>
    <row r="725" spans="2:32" s="148" customFormat="1" ht="15" hidden="1" customHeight="1">
      <c r="B725" s="355" t="str">
        <f t="shared" si="16"/>
        <v/>
      </c>
      <c r="C725" s="356"/>
      <c r="D725" s="356"/>
      <c r="E725" s="357"/>
      <c r="F725" s="163" t="str">
        <f>IF(Settings!$M$4=Settings!$Y$3,IF($AA725=1,"P",""),IF($AA725=1,"P",""))</f>
        <v/>
      </c>
      <c r="G725" s="164" t="str">
        <f>IF(Settings!$M$4=Settings!$Y$3,IF($AA725=1,"P",""),IF($AA725=2,"P",""))</f>
        <v/>
      </c>
      <c r="H725" s="164" t="str">
        <f>IF(Settings!$M$4=Settings!$Y$3,IF($AA725=1,"P",""),IF($AA725=3,"P",""))</f>
        <v/>
      </c>
      <c r="I725" s="164" t="str">
        <f>IF(Settings!$M$4=Settings!$Y$3,IF($AA725=1,"P",""),IF($AA725=4,"P",""))</f>
        <v/>
      </c>
      <c r="J725" s="164" t="str">
        <f>IF(Settings!$M$4=Settings!$Y$3,IF($AA725=2,"P",""),IF($AA725=5,"P",""))</f>
        <v/>
      </c>
      <c r="K725" s="164" t="str">
        <f>IF(Settings!$M$4=Settings!$Y$3,IF($AA725=2,"P",""),IF($AA725=6,"P",""))</f>
        <v/>
      </c>
      <c r="L725" s="164" t="str">
        <f>IF(Settings!$M$4=Settings!$Y$3,IF($AA725=2,"P",""),IF($AA725=7,"P",""))</f>
        <v/>
      </c>
      <c r="M725" s="164" t="str">
        <f>IF(Settings!$M$4=Settings!$Y$3,IF($AA725=2,"P",""),IF($AA725=8,"P",""))</f>
        <v/>
      </c>
      <c r="N725" s="164" t="str">
        <f>IF(Settings!$M$4=Settings!$Y$3,IF($AA725=3,"P",""),IF($AA725=9,"P",""))</f>
        <v/>
      </c>
      <c r="O725" s="165" t="str">
        <f>IF(Settings!$M$4=Settings!$Y$3,IF($AA725=3,"P",""),IF($AA725=10,"P",""))</f>
        <v/>
      </c>
      <c r="P725" s="22"/>
      <c r="Q725" s="22"/>
      <c r="R725" s="360" t="e">
        <f>IF(INDEX(TblDatabase[Comment14],MATCH(1,INDEX(($L$4=ListEmployeeNamesInDatabase)*(C704=TblDatabase[Year]),0,1),0))="","",INDEX(TblDatabase[Comment14],MATCH(1,INDEX(($L$4=ListEmployeeNamesInDatabase)*(C704=TblDatabase[Year]),0,1),0)))</f>
        <v>#N/A</v>
      </c>
      <c r="S725" s="360"/>
      <c r="T725" s="360"/>
      <c r="U725" s="360"/>
      <c r="V725" s="360"/>
      <c r="W725" s="360"/>
      <c r="X725" s="360"/>
      <c r="Y725" s="361"/>
      <c r="Z725" s="149"/>
      <c r="AA725" s="151">
        <f>SUMIFS(TblDatabase[Competency14],ListEmployeeNamesInDatabase,$L$4,TblDatabase[Year],C704)</f>
        <v>0</v>
      </c>
      <c r="AB725" s="149"/>
      <c r="AC725" s="149"/>
      <c r="AD725" s="149"/>
      <c r="AE725" s="149"/>
      <c r="AF725" s="149"/>
    </row>
    <row r="726" spans="2:32" s="148" customFormat="1" ht="15" hidden="1" customHeight="1">
      <c r="B726" s="350" t="str">
        <f t="shared" si="16"/>
        <v/>
      </c>
      <c r="C726" s="351"/>
      <c r="D726" s="351"/>
      <c r="E726" s="352"/>
      <c r="F726" s="157" t="str">
        <f>IF(Settings!$M$4=Settings!$Y$3,IF($AA726=1,"P",""),IF($AA726=1,"P",""))</f>
        <v/>
      </c>
      <c r="G726" s="158" t="str">
        <f>IF(Settings!$M$4=Settings!$Y$3,IF($AA726=1,"P",""),IF($AA726=2,"P",""))</f>
        <v/>
      </c>
      <c r="H726" s="158" t="str">
        <f>IF(Settings!$M$4=Settings!$Y$3,IF($AA726=1,"P",""),IF($AA726=3,"P",""))</f>
        <v/>
      </c>
      <c r="I726" s="158" t="str">
        <f>IF(Settings!$M$4=Settings!$Y$3,IF($AA726=1,"P",""),IF($AA726=4,"P",""))</f>
        <v/>
      </c>
      <c r="J726" s="158" t="str">
        <f>IF(Settings!$M$4=Settings!$Y$3,IF($AA726=2,"P",""),IF($AA726=5,"P",""))</f>
        <v/>
      </c>
      <c r="K726" s="158" t="str">
        <f>IF(Settings!$M$4=Settings!$Y$3,IF($AA726=2,"P",""),IF($AA726=6,"P",""))</f>
        <v/>
      </c>
      <c r="L726" s="158" t="str">
        <f>IF(Settings!$M$4=Settings!$Y$3,IF($AA726=2,"P",""),IF($AA726=7,"P",""))</f>
        <v/>
      </c>
      <c r="M726" s="158" t="str">
        <f>IF(Settings!$M$4=Settings!$Y$3,IF($AA726=2,"P",""),IF($AA726=8,"P",""))</f>
        <v/>
      </c>
      <c r="N726" s="158" t="str">
        <f>IF(Settings!$M$4=Settings!$Y$3,IF($AA726=3,"P",""),IF($AA726=9,"P",""))</f>
        <v/>
      </c>
      <c r="O726" s="159" t="str">
        <f>IF(Settings!$M$4=Settings!$Y$3,IF($AA726=3,"P",""),IF($AA726=10,"P",""))</f>
        <v/>
      </c>
      <c r="P726" s="22"/>
      <c r="Q726" s="22"/>
      <c r="R726" s="353" t="e">
        <f>IF(INDEX(TblDatabase[Comment15],MATCH(1,INDEX(($L$4=ListEmployeeNamesInDatabase)*(C704=TblDatabase[Year]),0,1),0))="","",INDEX(TblDatabase[Comment15],MATCH(1,INDEX(($L$4=ListEmployeeNamesInDatabase)*(C704=TblDatabase[Year]),0,1),0)))</f>
        <v>#N/A</v>
      </c>
      <c r="S726" s="353"/>
      <c r="T726" s="353"/>
      <c r="U726" s="353"/>
      <c r="V726" s="353"/>
      <c r="W726" s="353"/>
      <c r="X726" s="353"/>
      <c r="Y726" s="354"/>
      <c r="Z726" s="149"/>
      <c r="AA726" s="151">
        <f>SUMIFS(TblDatabase[Competency15],ListEmployeeNamesInDatabase,$L$4,TblDatabase[Year],C704)</f>
        <v>0</v>
      </c>
      <c r="AB726" s="149"/>
      <c r="AC726" s="149"/>
      <c r="AD726" s="149"/>
      <c r="AE726" s="149"/>
      <c r="AF726" s="149"/>
    </row>
    <row r="727" spans="2:32" s="148" customFormat="1" ht="15" hidden="1" customHeight="1">
      <c r="B727" s="355" t="str">
        <f t="shared" si="16"/>
        <v/>
      </c>
      <c r="C727" s="356"/>
      <c r="D727" s="356"/>
      <c r="E727" s="357"/>
      <c r="F727" s="163" t="str">
        <f>IF(Settings!$M$4=Settings!$Y$3,IF($AA727=1,"P",""),IF($AA727=1,"P",""))</f>
        <v/>
      </c>
      <c r="G727" s="164" t="str">
        <f>IF(Settings!$M$4=Settings!$Y$3,IF($AA727=1,"P",""),IF($AA727=2,"P",""))</f>
        <v/>
      </c>
      <c r="H727" s="164" t="str">
        <f>IF(Settings!$M$4=Settings!$Y$3,IF($AA727=1,"P",""),IF($AA727=3,"P",""))</f>
        <v/>
      </c>
      <c r="I727" s="164" t="str">
        <f>IF(Settings!$M$4=Settings!$Y$3,IF($AA727=1,"P",""),IF($AA727=4,"P",""))</f>
        <v/>
      </c>
      <c r="J727" s="164" t="str">
        <f>IF(Settings!$M$4=Settings!$Y$3,IF($AA727=2,"P",""),IF($AA727=5,"P",""))</f>
        <v/>
      </c>
      <c r="K727" s="164" t="str">
        <f>IF(Settings!$M$4=Settings!$Y$3,IF($AA727=2,"P",""),IF($AA727=6,"P",""))</f>
        <v/>
      </c>
      <c r="L727" s="164" t="str">
        <f>IF(Settings!$M$4=Settings!$Y$3,IF($AA727=2,"P",""),IF($AA727=7,"P",""))</f>
        <v/>
      </c>
      <c r="M727" s="164" t="str">
        <f>IF(Settings!$M$4=Settings!$Y$3,IF($AA727=2,"P",""),IF($AA727=8,"P",""))</f>
        <v/>
      </c>
      <c r="N727" s="164" t="str">
        <f>IF(Settings!$M$4=Settings!$Y$3,IF($AA727=3,"P",""),IF($AA727=9,"P",""))</f>
        <v/>
      </c>
      <c r="O727" s="165" t="str">
        <f>IF(Settings!$M$4=Settings!$Y$3,IF($AA727=3,"P",""),IF($AA727=10,"P",""))</f>
        <v/>
      </c>
      <c r="P727" s="22"/>
      <c r="Q727" s="22"/>
      <c r="R727" s="360" t="e">
        <f>IF(INDEX(TblDatabase[Comment16],MATCH(1,INDEX(($L$4=ListEmployeeNamesInDatabase)*(C704=TblDatabase[Year]),0,1),0))="","",INDEX(TblDatabase[Comment16],MATCH(1,INDEX(($L$4=ListEmployeeNamesInDatabase)*(C704=TblDatabase[Year]),0,1),0)))</f>
        <v>#N/A</v>
      </c>
      <c r="S727" s="360"/>
      <c r="T727" s="360"/>
      <c r="U727" s="360"/>
      <c r="V727" s="360"/>
      <c r="W727" s="360"/>
      <c r="X727" s="360"/>
      <c r="Y727" s="361"/>
      <c r="Z727" s="149"/>
      <c r="AA727" s="151">
        <f>SUMIFS(TblDatabase[Competency16],ListEmployeeNamesInDatabase,$L$4,TblDatabase[Year],C704)</f>
        <v>0</v>
      </c>
      <c r="AB727" s="149"/>
      <c r="AC727" s="149"/>
      <c r="AD727" s="149"/>
      <c r="AE727" s="149"/>
      <c r="AF727" s="149"/>
    </row>
    <row r="728" spans="2:32" s="148" customFormat="1" ht="15" hidden="1" customHeight="1">
      <c r="B728" s="350" t="str">
        <f t="shared" si="16"/>
        <v/>
      </c>
      <c r="C728" s="351"/>
      <c r="D728" s="351"/>
      <c r="E728" s="352"/>
      <c r="F728" s="157" t="str">
        <f>IF(Settings!$M$4=Settings!$Y$3,IF($AA728=1,"P",""),IF($AA728=1,"P",""))</f>
        <v/>
      </c>
      <c r="G728" s="158" t="str">
        <f>IF(Settings!$M$4=Settings!$Y$3,IF($AA728=1,"P",""),IF($AA728=2,"P",""))</f>
        <v/>
      </c>
      <c r="H728" s="158" t="str">
        <f>IF(Settings!$M$4=Settings!$Y$3,IF($AA728=1,"P",""),IF($AA728=3,"P",""))</f>
        <v/>
      </c>
      <c r="I728" s="158" t="str">
        <f>IF(Settings!$M$4=Settings!$Y$3,IF($AA728=1,"P",""),IF($AA728=4,"P",""))</f>
        <v/>
      </c>
      <c r="J728" s="158" t="str">
        <f>IF(Settings!$M$4=Settings!$Y$3,IF($AA728=2,"P",""),IF($AA728=5,"P",""))</f>
        <v/>
      </c>
      <c r="K728" s="158" t="str">
        <f>IF(Settings!$M$4=Settings!$Y$3,IF($AA728=2,"P",""),IF($AA728=6,"P",""))</f>
        <v/>
      </c>
      <c r="L728" s="158" t="str">
        <f>IF(Settings!$M$4=Settings!$Y$3,IF($AA728=2,"P",""),IF($AA728=7,"P",""))</f>
        <v/>
      </c>
      <c r="M728" s="158" t="str">
        <f>IF(Settings!$M$4=Settings!$Y$3,IF($AA728=2,"P",""),IF($AA728=8,"P",""))</f>
        <v/>
      </c>
      <c r="N728" s="158" t="str">
        <f>IF(Settings!$M$4=Settings!$Y$3,IF($AA728=3,"P",""),IF($AA728=9,"P",""))</f>
        <v/>
      </c>
      <c r="O728" s="159" t="str">
        <f>IF(Settings!$M$4=Settings!$Y$3,IF($AA728=3,"P",""),IF($AA728=10,"P",""))</f>
        <v/>
      </c>
      <c r="P728" s="22"/>
      <c r="Q728" s="22"/>
      <c r="R728" s="353" t="e">
        <f>IF(INDEX(TblDatabase[Comment17],MATCH(1,INDEX(($L$4=ListEmployeeNamesInDatabase)*(C704=TblDatabase[Year]),0,1),0))="","",INDEX(TblDatabase[Comment17],MATCH(1,INDEX(($L$4=ListEmployeeNamesInDatabase)*(C704=TblDatabase[Year]),0,1),0)))</f>
        <v>#N/A</v>
      </c>
      <c r="S728" s="353"/>
      <c r="T728" s="353"/>
      <c r="U728" s="353"/>
      <c r="V728" s="353"/>
      <c r="W728" s="353"/>
      <c r="X728" s="353"/>
      <c r="Y728" s="354"/>
      <c r="Z728" s="149"/>
      <c r="AA728" s="151">
        <f>SUMIFS(TblDatabase[Competency17],ListEmployeeNamesInDatabase,$L$4,TblDatabase[Year],C704)</f>
        <v>0</v>
      </c>
      <c r="AB728" s="149"/>
      <c r="AC728" s="149"/>
      <c r="AD728" s="149"/>
      <c r="AE728" s="149"/>
      <c r="AF728" s="149"/>
    </row>
    <row r="729" spans="2:32" s="148" customFormat="1" ht="15" hidden="1" customHeight="1">
      <c r="B729" s="355" t="str">
        <f t="shared" si="16"/>
        <v/>
      </c>
      <c r="C729" s="356"/>
      <c r="D729" s="356"/>
      <c r="E729" s="357"/>
      <c r="F729" s="163" t="str">
        <f>IF(Settings!$M$4=Settings!$Y$3,IF($AA729=1,"P",""),IF($AA729=1,"P",""))</f>
        <v/>
      </c>
      <c r="G729" s="164" t="str">
        <f>IF(Settings!$M$4=Settings!$Y$3,IF($AA729=1,"P",""),IF($AA729=2,"P",""))</f>
        <v/>
      </c>
      <c r="H729" s="164" t="str">
        <f>IF(Settings!$M$4=Settings!$Y$3,IF($AA729=1,"P",""),IF($AA729=3,"P",""))</f>
        <v/>
      </c>
      <c r="I729" s="164" t="str">
        <f>IF(Settings!$M$4=Settings!$Y$3,IF($AA729=1,"P",""),IF($AA729=4,"P",""))</f>
        <v/>
      </c>
      <c r="J729" s="164" t="str">
        <f>IF(Settings!$M$4=Settings!$Y$3,IF($AA729=2,"P",""),IF($AA729=5,"P",""))</f>
        <v/>
      </c>
      <c r="K729" s="164" t="str">
        <f>IF(Settings!$M$4=Settings!$Y$3,IF($AA729=2,"P",""),IF($AA729=6,"P",""))</f>
        <v/>
      </c>
      <c r="L729" s="164" t="str">
        <f>IF(Settings!$M$4=Settings!$Y$3,IF($AA729=2,"P",""),IF($AA729=7,"P",""))</f>
        <v/>
      </c>
      <c r="M729" s="164" t="str">
        <f>IF(Settings!$M$4=Settings!$Y$3,IF($AA729=2,"P",""),IF($AA729=8,"P",""))</f>
        <v/>
      </c>
      <c r="N729" s="164" t="str">
        <f>IF(Settings!$M$4=Settings!$Y$3,IF($AA729=3,"P",""),IF($AA729=9,"P",""))</f>
        <v/>
      </c>
      <c r="O729" s="165" t="str">
        <f>IF(Settings!$M$4=Settings!$Y$3,IF($AA729=3,"P",""),IF($AA729=10,"P",""))</f>
        <v/>
      </c>
      <c r="P729" s="22"/>
      <c r="Q729" s="22"/>
      <c r="R729" s="360" t="e">
        <f>IF(INDEX(TblDatabase[Comment18],MATCH(1,INDEX(($L$4=ListEmployeeNamesInDatabase)*(C704=TblDatabase[Year]),0,1),0))="","",INDEX(TblDatabase[Comment18],MATCH(1,INDEX(($L$4=ListEmployeeNamesInDatabase)*(C704=TblDatabase[Year]),0,1),0)))</f>
        <v>#N/A</v>
      </c>
      <c r="S729" s="360"/>
      <c r="T729" s="360"/>
      <c r="U729" s="360"/>
      <c r="V729" s="360"/>
      <c r="W729" s="360"/>
      <c r="X729" s="360"/>
      <c r="Y729" s="361"/>
      <c r="Z729" s="149"/>
      <c r="AA729" s="151">
        <f>SUMIFS(TblDatabase[Competency18],ListEmployeeNamesInDatabase,$L$4,TblDatabase[Year],C704)</f>
        <v>0</v>
      </c>
      <c r="AB729" s="149"/>
      <c r="AC729" s="149"/>
      <c r="AD729" s="149"/>
      <c r="AE729" s="149"/>
      <c r="AF729" s="149"/>
    </row>
    <row r="730" spans="2:32" s="148" customFormat="1" ht="15" hidden="1" customHeight="1">
      <c r="B730" s="350" t="str">
        <f t="shared" si="16"/>
        <v/>
      </c>
      <c r="C730" s="351"/>
      <c r="D730" s="351"/>
      <c r="E730" s="352"/>
      <c r="F730" s="157" t="str">
        <f>IF(Settings!$M$4=Settings!$Y$3,IF($AA730=1,"P",""),IF($AA730=1,"P",""))</f>
        <v/>
      </c>
      <c r="G730" s="158" t="str">
        <f>IF(Settings!$M$4=Settings!$Y$3,IF($AA730=1,"P",""),IF($AA730=2,"P",""))</f>
        <v/>
      </c>
      <c r="H730" s="158" t="str">
        <f>IF(Settings!$M$4=Settings!$Y$3,IF($AA730=1,"P",""),IF($AA730=3,"P",""))</f>
        <v/>
      </c>
      <c r="I730" s="158" t="str">
        <f>IF(Settings!$M$4=Settings!$Y$3,IF($AA730=1,"P",""),IF($AA730=4,"P",""))</f>
        <v/>
      </c>
      <c r="J730" s="158" t="str">
        <f>IF(Settings!$M$4=Settings!$Y$3,IF($AA730=2,"P",""),IF($AA730=5,"P",""))</f>
        <v/>
      </c>
      <c r="K730" s="158" t="str">
        <f>IF(Settings!$M$4=Settings!$Y$3,IF($AA730=2,"P",""),IF($AA730=6,"P",""))</f>
        <v/>
      </c>
      <c r="L730" s="158" t="str">
        <f>IF(Settings!$M$4=Settings!$Y$3,IF($AA730=2,"P",""),IF($AA730=7,"P",""))</f>
        <v/>
      </c>
      <c r="M730" s="158" t="str">
        <f>IF(Settings!$M$4=Settings!$Y$3,IF($AA730=2,"P",""),IF($AA730=8,"P",""))</f>
        <v/>
      </c>
      <c r="N730" s="158" t="str">
        <f>IF(Settings!$M$4=Settings!$Y$3,IF($AA730=3,"P",""),IF($AA730=9,"P",""))</f>
        <v/>
      </c>
      <c r="O730" s="159" t="str">
        <f>IF(Settings!$M$4=Settings!$Y$3,IF($AA730=3,"P",""),IF($AA730=10,"P",""))</f>
        <v/>
      </c>
      <c r="P730" s="22"/>
      <c r="Q730" s="22"/>
      <c r="R730" s="353" t="e">
        <f>IF(INDEX(TblDatabase[Comment19],MATCH(1,INDEX(($L$4=ListEmployeeNamesInDatabase)*(C704=TblDatabase[Year]),0,1),0))="","",INDEX(TblDatabase[Comment19],MATCH(1,INDEX(($L$4=ListEmployeeNamesInDatabase)*(C704=TblDatabase[Year]),0,1),0)))</f>
        <v>#N/A</v>
      </c>
      <c r="S730" s="353"/>
      <c r="T730" s="353"/>
      <c r="U730" s="353"/>
      <c r="V730" s="353"/>
      <c r="W730" s="353"/>
      <c r="X730" s="353"/>
      <c r="Y730" s="354"/>
      <c r="Z730" s="149"/>
      <c r="AA730" s="151">
        <f>SUMIFS(TblDatabase[Competency19],ListEmployeeNamesInDatabase,$L$4,TblDatabase[Year],C704)</f>
        <v>0</v>
      </c>
      <c r="AB730" s="149"/>
      <c r="AC730" s="149"/>
      <c r="AD730" s="149"/>
      <c r="AE730" s="149"/>
      <c r="AF730" s="149"/>
    </row>
    <row r="731" spans="2:32" s="148" customFormat="1" ht="15" hidden="1" customHeight="1">
      <c r="B731" s="362" t="str">
        <f t="shared" si="16"/>
        <v/>
      </c>
      <c r="C731" s="363"/>
      <c r="D731" s="363"/>
      <c r="E731" s="364"/>
      <c r="F731" s="166" t="str">
        <f>IF(Settings!$M$4=Settings!$Y$3,IF($AA731=1,"P",""),IF($AA731=1,"P",""))</f>
        <v/>
      </c>
      <c r="G731" s="167" t="str">
        <f>IF(Settings!$M$4=Settings!$Y$3,IF($AA731=1,"P",""),IF($AA731=2,"P",""))</f>
        <v/>
      </c>
      <c r="H731" s="167" t="str">
        <f>IF(Settings!$M$4=Settings!$Y$3,IF($AA731=1,"P",""),IF($AA731=3,"P",""))</f>
        <v/>
      </c>
      <c r="I731" s="167" t="str">
        <f>IF(Settings!$M$4=Settings!$Y$3,IF($AA731=1,"P",""),IF($AA731=4,"P",""))</f>
        <v/>
      </c>
      <c r="J731" s="167" t="str">
        <f>IF(Settings!$M$4=Settings!$Y$3,IF($AA731=2,"P",""),IF($AA731=5,"P",""))</f>
        <v/>
      </c>
      <c r="K731" s="167" t="str">
        <f>IF(Settings!$M$4=Settings!$Y$3,IF($AA731=2,"P",""),IF($AA731=6,"P",""))</f>
        <v/>
      </c>
      <c r="L731" s="167" t="str">
        <f>IF(Settings!$M$4=Settings!$Y$3,IF($AA731=2,"P",""),IF($AA731=7,"P",""))</f>
        <v/>
      </c>
      <c r="M731" s="167" t="str">
        <f>IF(Settings!$M$4=Settings!$Y$3,IF($AA731=2,"P",""),IF($AA731=8,"P",""))</f>
        <v/>
      </c>
      <c r="N731" s="167" t="str">
        <f>IF(Settings!$M$4=Settings!$Y$3,IF($AA731=3,"P",""),IF($AA731=9,"P",""))</f>
        <v/>
      </c>
      <c r="O731" s="168" t="str">
        <f>IF(Settings!$M$4=Settings!$Y$3,IF($AA731=3,"P",""),IF($AA731=10,"P",""))</f>
        <v/>
      </c>
      <c r="P731" s="22"/>
      <c r="Q731" s="22"/>
      <c r="R731" s="365" t="e">
        <f>IF(INDEX(TblDatabase[Comment20],MATCH(1,INDEX(($L$4=ListEmployeeNamesInDatabase)*(C704=TblDatabase[Year]),0,1),0))="","",INDEX(TblDatabase[Comment20],MATCH(1,INDEX(($L$4=ListEmployeeNamesInDatabase)*(C704=TblDatabase[Year]),0,1),0)))</f>
        <v>#N/A</v>
      </c>
      <c r="S731" s="365"/>
      <c r="T731" s="365"/>
      <c r="U731" s="365"/>
      <c r="V731" s="365"/>
      <c r="W731" s="365"/>
      <c r="X731" s="365"/>
      <c r="Y731" s="366"/>
      <c r="Z731" s="149"/>
      <c r="AA731" s="151">
        <f>SUMIFS(TblDatabase[Competency20],ListEmployeeNamesInDatabase,$L$4,TblDatabase[Year],C704)</f>
        <v>0</v>
      </c>
      <c r="AB731" s="149"/>
      <c r="AC731" s="149"/>
      <c r="AD731" s="149"/>
      <c r="AE731" s="149"/>
      <c r="AF731" s="149"/>
    </row>
    <row r="732" spans="2:32" s="148" customFormat="1" hidden="1">
      <c r="B732" s="414" t="s">
        <v>26</v>
      </c>
      <c r="C732" s="415"/>
      <c r="D732" s="415"/>
      <c r="E732" s="371">
        <f ca="1">SUM(OFFSET(AA712,0,0,NumberOfCompetencies))</f>
        <v>0</v>
      </c>
      <c r="F732" s="372"/>
      <c r="G732" s="152"/>
      <c r="H732" s="152"/>
      <c r="I732" s="152"/>
      <c r="J732" s="152"/>
      <c r="K732" s="152"/>
      <c r="L732" s="152"/>
      <c r="M732" s="152"/>
      <c r="N732" s="152"/>
      <c r="O732" s="152"/>
      <c r="P732" s="152"/>
      <c r="Q732" s="152"/>
      <c r="R732" s="152"/>
      <c r="S732" s="152"/>
      <c r="T732" s="152"/>
      <c r="U732" s="152"/>
      <c r="V732" s="152"/>
      <c r="W732" s="152"/>
      <c r="X732" s="152"/>
      <c r="Y732" s="152"/>
      <c r="Z732" s="149"/>
      <c r="AA732" s="149"/>
      <c r="AB732" s="149"/>
      <c r="AC732" s="149"/>
      <c r="AD732" s="149"/>
      <c r="AE732" s="149"/>
      <c r="AF732" s="149"/>
    </row>
    <row r="733" spans="2:32" s="148" customFormat="1" hidden="1">
      <c r="B733" s="369" t="s">
        <v>27</v>
      </c>
      <c r="C733" s="370"/>
      <c r="D733" s="370"/>
      <c r="E733" s="358">
        <f ca="1">E732/NumberOfCompetencies</f>
        <v>0</v>
      </c>
      <c r="F733" s="359"/>
      <c r="G733" s="153"/>
      <c r="H733" s="153"/>
      <c r="I733" s="153"/>
      <c r="J733" s="153"/>
      <c r="K733" s="153"/>
      <c r="L733" s="153"/>
      <c r="M733" s="153"/>
      <c r="N733" s="153"/>
      <c r="O733" s="153"/>
      <c r="P733" s="153"/>
      <c r="Q733" s="153"/>
      <c r="R733" s="153"/>
      <c r="S733" s="153"/>
      <c r="T733" s="153"/>
      <c r="U733" s="153"/>
      <c r="V733" s="153"/>
      <c r="W733" s="153"/>
      <c r="X733" s="153"/>
      <c r="Y733" s="153"/>
      <c r="Z733" s="149"/>
      <c r="AA733" s="149"/>
      <c r="AB733" s="149"/>
      <c r="AC733" s="149"/>
      <c r="AD733" s="149"/>
      <c r="AE733" s="149"/>
      <c r="AF733" s="149"/>
    </row>
    <row r="734" spans="2:32" s="148" customFormat="1" hidden="1">
      <c r="B734" s="154"/>
      <c r="C734" s="154"/>
      <c r="D734" s="154"/>
      <c r="E734" s="154"/>
      <c r="F734" s="154"/>
      <c r="G734" s="154"/>
      <c r="H734" s="154"/>
      <c r="I734" s="154"/>
      <c r="J734" s="154"/>
      <c r="K734" s="154"/>
      <c r="L734" s="154"/>
      <c r="M734" s="154"/>
      <c r="N734" s="154"/>
      <c r="O734" s="154"/>
      <c r="P734" s="154"/>
      <c r="Q734" s="154"/>
      <c r="R734" s="154"/>
      <c r="S734" s="154"/>
      <c r="T734" s="154"/>
      <c r="U734" s="154"/>
      <c r="V734" s="154"/>
      <c r="W734" s="154"/>
      <c r="X734" s="154"/>
      <c r="Y734" s="154"/>
      <c r="Z734" s="149"/>
      <c r="AA734" s="149"/>
      <c r="AB734" s="149"/>
      <c r="AC734" s="149"/>
      <c r="AD734" s="149"/>
      <c r="AE734" s="149"/>
      <c r="AF734" s="149"/>
    </row>
    <row r="735" spans="2:32" s="148" customFormat="1" hidden="1">
      <c r="B735" s="338" t="str">
        <f>Settings!$N$15</f>
        <v>Previously agreed actions</v>
      </c>
      <c r="C735" s="339"/>
      <c r="D735" s="339"/>
      <c r="E735" s="339"/>
      <c r="F735" s="339"/>
      <c r="G735" s="339"/>
      <c r="H735" s="339"/>
      <c r="I735" s="339"/>
      <c r="J735" s="339"/>
      <c r="K735" s="339"/>
      <c r="L735" s="339"/>
      <c r="M735" s="339"/>
      <c r="N735" s="339"/>
      <c r="O735" s="339"/>
      <c r="P735" s="339"/>
      <c r="Q735" s="339"/>
      <c r="R735" s="339"/>
      <c r="S735" s="339"/>
      <c r="T735" s="339"/>
      <c r="U735" s="339"/>
      <c r="V735" s="339"/>
      <c r="W735" s="339"/>
      <c r="X735" s="339"/>
      <c r="Y735" s="340"/>
      <c r="Z735" s="149"/>
      <c r="AA735" s="149"/>
      <c r="AB735" s="149"/>
      <c r="AC735" s="149"/>
      <c r="AD735" s="149"/>
      <c r="AE735" s="149"/>
      <c r="AF735" s="149"/>
    </row>
    <row r="736" spans="2:32" s="148" customFormat="1" hidden="1">
      <c r="B736" s="341" t="e">
        <f>IF(INDEX(TblDatabase[Feedback Does Well],MATCH(1,INDEX(($L$4=ListEmployeeNamesInDatabase)*(C704=TblDatabase[Year]),0,1),0))="","",INDEX(TblDatabase[Feedback Does Well],MATCH(1,INDEX(($L$4=ListEmployeeNamesInDatabase)*(C704=TblDatabase[Year]),0,1),0)))</f>
        <v>#N/A</v>
      </c>
      <c r="C736" s="342"/>
      <c r="D736" s="342"/>
      <c r="E736" s="342"/>
      <c r="F736" s="342"/>
      <c r="G736" s="342"/>
      <c r="H736" s="342"/>
      <c r="I736" s="342"/>
      <c r="J736" s="342"/>
      <c r="K736" s="342"/>
      <c r="L736" s="342"/>
      <c r="M736" s="342"/>
      <c r="N736" s="342"/>
      <c r="O736" s="342"/>
      <c r="P736" s="342"/>
      <c r="Q736" s="342"/>
      <c r="R736" s="342"/>
      <c r="S736" s="342"/>
      <c r="T736" s="342"/>
      <c r="U736" s="342"/>
      <c r="V736" s="342"/>
      <c r="W736" s="342"/>
      <c r="X736" s="342"/>
      <c r="Y736" s="343"/>
      <c r="Z736" s="149"/>
      <c r="AA736" s="149"/>
      <c r="AB736" s="149"/>
      <c r="AC736" s="149"/>
      <c r="AD736" s="149"/>
      <c r="AE736" s="149"/>
      <c r="AF736" s="149"/>
    </row>
    <row r="737" spans="1:32" s="148" customFormat="1" hidden="1">
      <c r="B737" s="344"/>
      <c r="C737" s="345"/>
      <c r="D737" s="345"/>
      <c r="E737" s="345"/>
      <c r="F737" s="345"/>
      <c r="G737" s="345"/>
      <c r="H737" s="345"/>
      <c r="I737" s="345"/>
      <c r="J737" s="345"/>
      <c r="K737" s="345"/>
      <c r="L737" s="345"/>
      <c r="M737" s="345"/>
      <c r="N737" s="345"/>
      <c r="O737" s="345"/>
      <c r="P737" s="345"/>
      <c r="Q737" s="345"/>
      <c r="R737" s="345"/>
      <c r="S737" s="345"/>
      <c r="T737" s="345"/>
      <c r="U737" s="345"/>
      <c r="V737" s="345"/>
      <c r="W737" s="345"/>
      <c r="X737" s="345"/>
      <c r="Y737" s="346"/>
      <c r="Z737" s="149"/>
      <c r="AA737" s="149"/>
      <c r="AB737" s="149"/>
      <c r="AC737" s="149"/>
      <c r="AD737" s="149"/>
      <c r="AE737" s="149"/>
      <c r="AF737" s="149"/>
    </row>
    <row r="738" spans="1:32" s="148" customFormat="1" hidden="1">
      <c r="B738" s="347"/>
      <c r="C738" s="348"/>
      <c r="D738" s="348"/>
      <c r="E738" s="348"/>
      <c r="F738" s="348"/>
      <c r="G738" s="348"/>
      <c r="H738" s="348"/>
      <c r="I738" s="348"/>
      <c r="J738" s="348"/>
      <c r="K738" s="348"/>
      <c r="L738" s="348"/>
      <c r="M738" s="348"/>
      <c r="N738" s="348"/>
      <c r="O738" s="348"/>
      <c r="P738" s="348"/>
      <c r="Q738" s="348"/>
      <c r="R738" s="348"/>
      <c r="S738" s="348"/>
      <c r="T738" s="348"/>
      <c r="U738" s="348"/>
      <c r="V738" s="348"/>
      <c r="W738" s="348"/>
      <c r="X738" s="348"/>
      <c r="Y738" s="349"/>
      <c r="Z738" s="149"/>
      <c r="AA738" s="149"/>
      <c r="AB738" s="149"/>
      <c r="AC738" s="149"/>
      <c r="AD738" s="149"/>
      <c r="AE738" s="149"/>
      <c r="AF738" s="149"/>
    </row>
    <row r="739" spans="1:32" s="148" customFormat="1" hidden="1">
      <c r="B739" s="155"/>
      <c r="C739" s="155"/>
      <c r="D739" s="155"/>
      <c r="E739" s="155"/>
      <c r="F739" s="155"/>
      <c r="G739" s="155"/>
      <c r="H739" s="155"/>
      <c r="I739" s="155"/>
      <c r="J739" s="155"/>
      <c r="K739" s="155"/>
      <c r="L739" s="155"/>
      <c r="M739" s="155"/>
      <c r="N739" s="155"/>
      <c r="O739" s="155"/>
      <c r="P739" s="155"/>
      <c r="Q739" s="155"/>
      <c r="R739" s="155"/>
      <c r="S739" s="155"/>
      <c r="T739" s="155"/>
      <c r="U739" s="155"/>
      <c r="V739" s="155"/>
      <c r="W739" s="155"/>
      <c r="X739" s="155"/>
      <c r="Y739" s="155"/>
      <c r="Z739" s="149"/>
      <c r="AA739" s="149"/>
      <c r="AB739" s="149"/>
      <c r="AC739" s="149"/>
      <c r="AD739" s="149"/>
      <c r="AE739" s="149"/>
      <c r="AF739" s="149"/>
    </row>
    <row r="740" spans="1:32" s="148" customFormat="1" hidden="1">
      <c r="B740" s="338" t="str">
        <f>Settings!$N$16</f>
        <v>Actions agreed during this review</v>
      </c>
      <c r="C740" s="339"/>
      <c r="D740" s="339"/>
      <c r="E740" s="339"/>
      <c r="F740" s="339"/>
      <c r="G740" s="339"/>
      <c r="H740" s="339"/>
      <c r="I740" s="339"/>
      <c r="J740" s="339"/>
      <c r="K740" s="339"/>
      <c r="L740" s="339"/>
      <c r="M740" s="339"/>
      <c r="N740" s="339"/>
      <c r="O740" s="339"/>
      <c r="P740" s="339"/>
      <c r="Q740" s="339"/>
      <c r="R740" s="339"/>
      <c r="S740" s="339"/>
      <c r="T740" s="339"/>
      <c r="U740" s="339"/>
      <c r="V740" s="339"/>
      <c r="W740" s="339"/>
      <c r="X740" s="339"/>
      <c r="Y740" s="340"/>
      <c r="Z740" s="149"/>
      <c r="AA740" s="149"/>
      <c r="AB740" s="149"/>
      <c r="AC740" s="149"/>
      <c r="AD740" s="149"/>
      <c r="AE740" s="149"/>
      <c r="AF740" s="149"/>
    </row>
    <row r="741" spans="1:32" s="148" customFormat="1" hidden="1">
      <c r="B741" s="341" t="e">
        <f>IF(INDEX(TblDatabase[Feedback To Improve],MATCH(1,INDEX(($L$4=ListEmployeeNamesInDatabase)*(C704=TblDatabase[Year]),0,1),0))="","",INDEX(TblDatabase[Feedback To Improve],MATCH(1,INDEX(($L$4=ListEmployeeNamesInDatabase)*(C704=TblDatabase[Year]),0,1),0)))</f>
        <v>#N/A</v>
      </c>
      <c r="C741" s="342"/>
      <c r="D741" s="342"/>
      <c r="E741" s="342"/>
      <c r="F741" s="342"/>
      <c r="G741" s="342"/>
      <c r="H741" s="342"/>
      <c r="I741" s="342"/>
      <c r="J741" s="342"/>
      <c r="K741" s="342"/>
      <c r="L741" s="342"/>
      <c r="M741" s="342"/>
      <c r="N741" s="342"/>
      <c r="O741" s="342"/>
      <c r="P741" s="342"/>
      <c r="Q741" s="342"/>
      <c r="R741" s="342"/>
      <c r="S741" s="342"/>
      <c r="T741" s="342"/>
      <c r="U741" s="342"/>
      <c r="V741" s="342"/>
      <c r="W741" s="342"/>
      <c r="X741" s="342"/>
      <c r="Y741" s="343"/>
      <c r="Z741" s="149"/>
      <c r="AA741" s="149"/>
      <c r="AB741" s="149"/>
      <c r="AC741" s="149"/>
      <c r="AD741" s="149"/>
      <c r="AE741" s="149"/>
      <c r="AF741" s="149"/>
    </row>
    <row r="742" spans="1:32" s="148" customFormat="1" hidden="1">
      <c r="B742" s="344"/>
      <c r="C742" s="345"/>
      <c r="D742" s="345"/>
      <c r="E742" s="345"/>
      <c r="F742" s="345"/>
      <c r="G742" s="345"/>
      <c r="H742" s="345"/>
      <c r="I742" s="345"/>
      <c r="J742" s="345"/>
      <c r="K742" s="345"/>
      <c r="L742" s="345"/>
      <c r="M742" s="345"/>
      <c r="N742" s="345"/>
      <c r="O742" s="345"/>
      <c r="P742" s="345"/>
      <c r="Q742" s="345"/>
      <c r="R742" s="345"/>
      <c r="S742" s="345"/>
      <c r="T742" s="345"/>
      <c r="U742" s="345"/>
      <c r="V742" s="345"/>
      <c r="W742" s="345"/>
      <c r="X742" s="345"/>
      <c r="Y742" s="346"/>
      <c r="Z742" s="149"/>
      <c r="AA742" s="149"/>
      <c r="AB742" s="149"/>
      <c r="AC742" s="149"/>
      <c r="AD742" s="149"/>
      <c r="AE742" s="149"/>
      <c r="AF742" s="149"/>
    </row>
    <row r="743" spans="1:32" s="148" customFormat="1" hidden="1">
      <c r="B743" s="347"/>
      <c r="C743" s="348"/>
      <c r="D743" s="348"/>
      <c r="E743" s="348"/>
      <c r="F743" s="348"/>
      <c r="G743" s="348"/>
      <c r="H743" s="348"/>
      <c r="I743" s="348"/>
      <c r="J743" s="348"/>
      <c r="K743" s="348"/>
      <c r="L743" s="348"/>
      <c r="M743" s="348"/>
      <c r="N743" s="348"/>
      <c r="O743" s="348"/>
      <c r="P743" s="348"/>
      <c r="Q743" s="348"/>
      <c r="R743" s="348"/>
      <c r="S743" s="348"/>
      <c r="T743" s="348"/>
      <c r="U743" s="348"/>
      <c r="V743" s="348"/>
      <c r="W743" s="348"/>
      <c r="X743" s="348"/>
      <c r="Y743" s="349"/>
      <c r="Z743" s="149"/>
      <c r="AA743" s="149"/>
      <c r="AB743" s="149"/>
      <c r="AC743" s="149"/>
      <c r="AD743" s="149"/>
      <c r="AE743" s="149"/>
      <c r="AF743" s="149"/>
    </row>
    <row r="744" spans="1:32" s="148" customFormat="1" hidden="1">
      <c r="B744" s="156"/>
      <c r="C744" s="156"/>
      <c r="D744" s="156"/>
      <c r="E744" s="155"/>
      <c r="F744" s="155"/>
      <c r="G744" s="155"/>
      <c r="H744" s="155"/>
      <c r="I744" s="155"/>
      <c r="J744" s="155"/>
      <c r="K744" s="155"/>
      <c r="L744" s="155"/>
      <c r="M744" s="155"/>
      <c r="N744" s="155"/>
      <c r="O744" s="155"/>
      <c r="P744" s="155"/>
      <c r="Q744" s="155"/>
      <c r="R744" s="155"/>
      <c r="S744" s="155"/>
      <c r="T744" s="155"/>
      <c r="U744" s="155"/>
      <c r="V744" s="155"/>
      <c r="W744" s="155"/>
      <c r="X744" s="155"/>
      <c r="Y744" s="155"/>
      <c r="Z744" s="149"/>
      <c r="AA744" s="149"/>
      <c r="AB744" s="149"/>
      <c r="AC744" s="149"/>
      <c r="AD744" s="149"/>
      <c r="AE744" s="149"/>
      <c r="AF744" s="149"/>
    </row>
    <row r="745" spans="1:32" s="148" customFormat="1" hidden="1">
      <c r="A745" s="150">
        <f>A704+1</f>
        <v>18</v>
      </c>
      <c r="B745" s="27" t="s">
        <v>14</v>
      </c>
      <c r="C745" s="333">
        <f>C704-1</f>
        <v>2003</v>
      </c>
      <c r="D745" s="334"/>
      <c r="Y745" s="149"/>
      <c r="Z745" s="149"/>
      <c r="AA745" s="149"/>
      <c r="AB745" s="149"/>
      <c r="AC745" s="149"/>
      <c r="AD745" s="149"/>
      <c r="AE745" s="149"/>
      <c r="AF745" s="149"/>
    </row>
    <row r="746" spans="1:32" s="148" customFormat="1" hidden="1">
      <c r="Y746" s="149"/>
      <c r="Z746" s="149"/>
      <c r="AA746" s="149"/>
      <c r="AB746" s="149"/>
      <c r="AC746" s="149"/>
      <c r="AD746" s="149"/>
      <c r="AE746" s="149"/>
      <c r="AF746" s="149"/>
    </row>
    <row r="747" spans="1:32" s="148" customFormat="1" hidden="1">
      <c r="B747" s="338" t="str">
        <f>Settings!$N$14</f>
        <v>Employee's comments</v>
      </c>
      <c r="C747" s="339"/>
      <c r="D747" s="339"/>
      <c r="E747" s="339"/>
      <c r="F747" s="339"/>
      <c r="G747" s="339"/>
      <c r="H747" s="339"/>
      <c r="I747" s="339"/>
      <c r="J747" s="339"/>
      <c r="K747" s="339"/>
      <c r="L747" s="339"/>
      <c r="M747" s="339"/>
      <c r="N747" s="339"/>
      <c r="O747" s="339"/>
      <c r="P747" s="339"/>
      <c r="Q747" s="339"/>
      <c r="R747" s="339"/>
      <c r="S747" s="339"/>
      <c r="T747" s="339"/>
      <c r="U747" s="339"/>
      <c r="V747" s="339"/>
      <c r="W747" s="339"/>
      <c r="X747" s="339"/>
      <c r="Y747" s="340"/>
      <c r="Z747" s="149"/>
      <c r="AA747" s="149"/>
      <c r="AB747" s="149"/>
      <c r="AC747" s="149"/>
      <c r="AD747" s="149"/>
      <c r="AE747" s="149"/>
      <c r="AF747" s="149"/>
    </row>
    <row r="748" spans="1:32" s="148" customFormat="1" hidden="1">
      <c r="B748" s="341" t="e">
        <f>IF(INDEX(TblDatabase[Feedback Warnings],MATCH(1,INDEX(($L$4=ListEmployeeNamesInDatabase)*(C745=TblDatabase[Year]),0,1),0))="","",INDEX(TblDatabase[Feedback Warnings],MATCH(1,INDEX(($L$4=ListEmployeeNamesInDatabase)*(C745=TblDatabase[Year]),0,1),0)))</f>
        <v>#N/A</v>
      </c>
      <c r="C748" s="342"/>
      <c r="D748" s="342"/>
      <c r="E748" s="342"/>
      <c r="F748" s="342"/>
      <c r="G748" s="342"/>
      <c r="H748" s="342"/>
      <c r="I748" s="342"/>
      <c r="J748" s="342"/>
      <c r="K748" s="342"/>
      <c r="L748" s="342"/>
      <c r="M748" s="342"/>
      <c r="N748" s="342"/>
      <c r="O748" s="342"/>
      <c r="P748" s="342"/>
      <c r="Q748" s="342"/>
      <c r="R748" s="342"/>
      <c r="S748" s="342"/>
      <c r="T748" s="342"/>
      <c r="U748" s="342"/>
      <c r="V748" s="342"/>
      <c r="W748" s="342"/>
      <c r="X748" s="342"/>
      <c r="Y748" s="343"/>
      <c r="Z748" s="149"/>
      <c r="AA748" s="149"/>
      <c r="AB748" s="149"/>
      <c r="AC748" s="149"/>
      <c r="AD748" s="149"/>
      <c r="AE748" s="149"/>
      <c r="AF748" s="149"/>
    </row>
    <row r="749" spans="1:32" s="148" customFormat="1" hidden="1">
      <c r="B749" s="344"/>
      <c r="C749" s="345"/>
      <c r="D749" s="345"/>
      <c r="E749" s="345"/>
      <c r="F749" s="345"/>
      <c r="G749" s="345"/>
      <c r="H749" s="345"/>
      <c r="I749" s="345"/>
      <c r="J749" s="345"/>
      <c r="K749" s="345"/>
      <c r="L749" s="345"/>
      <c r="M749" s="345"/>
      <c r="N749" s="345"/>
      <c r="O749" s="345"/>
      <c r="P749" s="345"/>
      <c r="Q749" s="345"/>
      <c r="R749" s="345"/>
      <c r="S749" s="345"/>
      <c r="T749" s="345"/>
      <c r="U749" s="345"/>
      <c r="V749" s="345"/>
      <c r="W749" s="345"/>
      <c r="X749" s="345"/>
      <c r="Y749" s="346"/>
      <c r="Z749" s="149"/>
      <c r="AA749" s="149"/>
      <c r="AB749" s="149"/>
      <c r="AC749" s="149"/>
      <c r="AD749" s="149"/>
      <c r="AE749" s="149"/>
      <c r="AF749" s="149"/>
    </row>
    <row r="750" spans="1:32" s="148" customFormat="1" hidden="1">
      <c r="B750" s="347"/>
      <c r="C750" s="348"/>
      <c r="D750" s="348"/>
      <c r="E750" s="348"/>
      <c r="F750" s="348"/>
      <c r="G750" s="348"/>
      <c r="H750" s="348"/>
      <c r="I750" s="348"/>
      <c r="J750" s="348"/>
      <c r="K750" s="348"/>
      <c r="L750" s="348"/>
      <c r="M750" s="348"/>
      <c r="N750" s="348"/>
      <c r="O750" s="348"/>
      <c r="P750" s="348"/>
      <c r="Q750" s="348"/>
      <c r="R750" s="348"/>
      <c r="S750" s="348"/>
      <c r="T750" s="348"/>
      <c r="U750" s="348"/>
      <c r="V750" s="348"/>
      <c r="W750" s="348"/>
      <c r="X750" s="348"/>
      <c r="Y750" s="349"/>
      <c r="Z750" s="149"/>
      <c r="AA750" s="149"/>
      <c r="AB750" s="149"/>
      <c r="AC750" s="149"/>
      <c r="AD750" s="149"/>
      <c r="AE750" s="149"/>
      <c r="AF750" s="149"/>
    </row>
    <row r="751" spans="1:32" s="148" customFormat="1" hidden="1">
      <c r="Y751" s="149"/>
      <c r="Z751" s="149"/>
      <c r="AA751" s="149"/>
      <c r="AB751" s="149"/>
      <c r="AC751" s="149"/>
      <c r="AD751" s="149"/>
      <c r="AE751" s="149"/>
      <c r="AF751" s="149"/>
    </row>
    <row r="752" spans="1:32" s="148" customFormat="1" ht="15" hidden="1" customHeight="1">
      <c r="B752" s="320" t="s">
        <v>8</v>
      </c>
      <c r="C752" s="321"/>
      <c r="D752" s="321"/>
      <c r="E752" s="322"/>
      <c r="F752" s="233">
        <f>IF(Settings!$M$4=Settings!$Y$3,Settings!$O$19,1)</f>
        <v>1</v>
      </c>
      <c r="G752" s="234">
        <f>IF(Settings!$M$4=Settings!$Y$3,Settings!$O$19,2)</f>
        <v>2</v>
      </c>
      <c r="H752" s="234">
        <f>IF(Settings!$M$4=Settings!$Y$3,Settings!$O$19,3)</f>
        <v>3</v>
      </c>
      <c r="I752" s="234">
        <f>IF(Settings!$M$4=Settings!$Y$3,Settings!$O$19,4)</f>
        <v>4</v>
      </c>
      <c r="J752" s="234">
        <f>IF(Settings!$M$4=Settings!$Y$3,Settings!$O$20,5)</f>
        <v>5</v>
      </c>
      <c r="K752" s="234">
        <f>IF(Settings!$M$4=Settings!$Y$3,Settings!$O$20,6)</f>
        <v>6</v>
      </c>
      <c r="L752" s="234">
        <f>IF(Settings!$M$4=Settings!$Y$3,Settings!$O$20,7)</f>
        <v>7</v>
      </c>
      <c r="M752" s="234">
        <f>IF(Settings!$M$4=Settings!$Y$3,Settings!$O$20,8)</f>
        <v>8</v>
      </c>
      <c r="N752" s="234">
        <f>IF(Settings!$M$4=Settings!$Y$3,Settings!$O$21,9)</f>
        <v>9</v>
      </c>
      <c r="O752" s="235">
        <f>IF(Settings!$M$4=Settings!$Y$3,Settings!$O$21,10)</f>
        <v>10</v>
      </c>
      <c r="P752" s="22"/>
      <c r="Q752" s="22"/>
      <c r="R752" s="413" t="s">
        <v>24</v>
      </c>
      <c r="S752" s="333"/>
      <c r="T752" s="333"/>
      <c r="U752" s="333"/>
      <c r="V752" s="333"/>
      <c r="W752" s="333"/>
      <c r="X752" s="333"/>
      <c r="Y752" s="334"/>
      <c r="Z752" s="149"/>
      <c r="AA752" s="149"/>
      <c r="AB752" s="149"/>
      <c r="AC752" s="149"/>
      <c r="AD752" s="149"/>
      <c r="AE752" s="149"/>
      <c r="AF752" s="149"/>
    </row>
    <row r="753" spans="2:32" s="148" customFormat="1" ht="15" hidden="1" customHeight="1">
      <c r="B753" s="375" t="str">
        <f t="shared" ref="B753:B772" si="17">B712</f>
        <v>Quality of Work</v>
      </c>
      <c r="C753" s="367"/>
      <c r="D753" s="367"/>
      <c r="E753" s="368"/>
      <c r="F753" s="162" t="str">
        <f>IF(Settings!$M$4=Settings!$Y$3,IF($AA753=1,"P",""),IF($AA753=1,"P",""))</f>
        <v/>
      </c>
      <c r="G753" s="160" t="str">
        <f>IF(Settings!$M$4=Settings!$Y$3,IF($AA753=1,"P",""),IF($AA753=2,"P",""))</f>
        <v/>
      </c>
      <c r="H753" s="160" t="str">
        <f>IF(Settings!$M$4=Settings!$Y$3,IF($AA753=1,"P",""),IF($AA753=3,"P",""))</f>
        <v/>
      </c>
      <c r="I753" s="160" t="str">
        <f>IF(Settings!$M$4=Settings!$Y$3,IF($AA753=1,"P",""),IF($AA753=4,"P",""))</f>
        <v/>
      </c>
      <c r="J753" s="160" t="str">
        <f>IF(Settings!$M$4=Settings!$Y$3,IF($AA753=2,"P",""),IF($AA753=5,"P",""))</f>
        <v/>
      </c>
      <c r="K753" s="160" t="str">
        <f>IF(Settings!$M$4=Settings!$Y$3,IF($AA753=2,"P",""),IF($AA753=6,"P",""))</f>
        <v/>
      </c>
      <c r="L753" s="160" t="str">
        <f>IF(Settings!$M$4=Settings!$Y$3,IF($AA753=2,"P",""),IF($AA753=7,"P",""))</f>
        <v/>
      </c>
      <c r="M753" s="160" t="str">
        <f>IF(Settings!$M$4=Settings!$Y$3,IF($AA753=2,"P",""),IF($AA753=8,"P",""))</f>
        <v/>
      </c>
      <c r="N753" s="160" t="str">
        <f>IF(Settings!$M$4=Settings!$Y$3,IF($AA753=3,"P",""),IF($AA753=9,"P",""))</f>
        <v/>
      </c>
      <c r="O753" s="161" t="str">
        <f>IF(Settings!$M$4=Settings!$Y$3,IF($AA753=3,"P",""),IF($AA753=10,"P",""))</f>
        <v/>
      </c>
      <c r="P753" s="22"/>
      <c r="Q753" s="22"/>
      <c r="R753" s="375" t="e">
        <f>IF(INDEX(TblDatabase[Comment1],MATCH(1,INDEX(($L$4=ListEmployeeNamesInDatabase)*(C745=TblDatabase[Year]),0,1),0))="","",INDEX(TblDatabase[Comment1],MATCH(1,INDEX(($L$4=ListEmployeeNamesInDatabase)*(C745=TblDatabase[Year]),0,1),0)))</f>
        <v>#N/A</v>
      </c>
      <c r="S753" s="367"/>
      <c r="T753" s="367"/>
      <c r="U753" s="367"/>
      <c r="V753" s="367"/>
      <c r="W753" s="367"/>
      <c r="X753" s="367"/>
      <c r="Y753" s="368"/>
      <c r="Z753" s="149"/>
      <c r="AA753" s="151">
        <f>SUMIFS(TblDatabase[Competency1],ListEmployeeNamesInDatabase,$L$4,TblDatabase[Year],C745)</f>
        <v>0</v>
      </c>
      <c r="AB753" s="149"/>
      <c r="AC753" s="149"/>
      <c r="AD753" s="149"/>
      <c r="AE753" s="149"/>
      <c r="AF753" s="149"/>
    </row>
    <row r="754" spans="2:32" s="148" customFormat="1" ht="15" hidden="1" customHeight="1">
      <c r="B754" s="373" t="str">
        <f t="shared" si="17"/>
        <v>CaLL flow</v>
      </c>
      <c r="C754" s="360"/>
      <c r="D754" s="360"/>
      <c r="E754" s="361"/>
      <c r="F754" s="163" t="str">
        <f>IF(Settings!$M$4=Settings!$Y$3,IF($AA754=1,"P",""),IF($AA754=1,"P",""))</f>
        <v/>
      </c>
      <c r="G754" s="164" t="str">
        <f>IF(Settings!$M$4=Settings!$Y$3,IF($AA754=1,"P",""),IF($AA754=2,"P",""))</f>
        <v/>
      </c>
      <c r="H754" s="164" t="str">
        <f>IF(Settings!$M$4=Settings!$Y$3,IF($AA754=1,"P",""),IF($AA754=3,"P",""))</f>
        <v/>
      </c>
      <c r="I754" s="164" t="str">
        <f>IF(Settings!$M$4=Settings!$Y$3,IF($AA754=1,"P",""),IF($AA754=4,"P",""))</f>
        <v/>
      </c>
      <c r="J754" s="164" t="str">
        <f>IF(Settings!$M$4=Settings!$Y$3,IF($AA754=2,"P",""),IF($AA754=5,"P",""))</f>
        <v/>
      </c>
      <c r="K754" s="164" t="str">
        <f>IF(Settings!$M$4=Settings!$Y$3,IF($AA754=2,"P",""),IF($AA754=6,"P",""))</f>
        <v/>
      </c>
      <c r="L754" s="164" t="str">
        <f>IF(Settings!$M$4=Settings!$Y$3,IF($AA754=2,"P",""),IF($AA754=7,"P",""))</f>
        <v/>
      </c>
      <c r="M754" s="164" t="str">
        <f>IF(Settings!$M$4=Settings!$Y$3,IF($AA754=2,"P",""),IF($AA754=8,"P",""))</f>
        <v/>
      </c>
      <c r="N754" s="164" t="str">
        <f>IF(Settings!$M$4=Settings!$Y$3,IF($AA754=3,"P",""),IF($AA754=9,"P",""))</f>
        <v/>
      </c>
      <c r="O754" s="165" t="str">
        <f>IF(Settings!$M$4=Settings!$Y$3,IF($AA754=3,"P",""),IF($AA754=10,"P",""))</f>
        <v/>
      </c>
      <c r="P754" s="22"/>
      <c r="Q754" s="22"/>
      <c r="R754" s="373" t="e">
        <f>IF(INDEX(TblDatabase[Comment2],MATCH(1,INDEX(($L$4=ListEmployeeNamesInDatabase)*(C745=TblDatabase[Year]),0,1),0))="","",INDEX(TblDatabase[Comment2],MATCH(1,INDEX(($L$4=ListEmployeeNamesInDatabase)*(C745=TblDatabase[Year]),0,1),0)))</f>
        <v>#N/A</v>
      </c>
      <c r="S754" s="360"/>
      <c r="T754" s="360"/>
      <c r="U754" s="360"/>
      <c r="V754" s="360"/>
      <c r="W754" s="360"/>
      <c r="X754" s="360"/>
      <c r="Y754" s="361"/>
      <c r="Z754" s="149"/>
      <c r="AA754" s="151">
        <f>SUMIFS(TblDatabase[Competency2],ListEmployeeNamesInDatabase,$L$4,TblDatabase[Year],C745)</f>
        <v>0</v>
      </c>
      <c r="AB754" s="149"/>
      <c r="AC754" s="149"/>
      <c r="AD754" s="149"/>
      <c r="AE754" s="149"/>
      <c r="AF754" s="149"/>
    </row>
    <row r="755" spans="2:32" s="148" customFormat="1" ht="15" hidden="1" customHeight="1">
      <c r="B755" s="374" t="str">
        <f t="shared" si="17"/>
        <v>Job Knowledge</v>
      </c>
      <c r="C755" s="353"/>
      <c r="D755" s="353"/>
      <c r="E755" s="354"/>
      <c r="F755" s="157" t="str">
        <f>IF(Settings!$M$4=Settings!$Y$3,IF($AA755=1,"P",""),IF($AA755=1,"P",""))</f>
        <v/>
      </c>
      <c r="G755" s="158" t="str">
        <f>IF(Settings!$M$4=Settings!$Y$3,IF($AA755=1,"P",""),IF($AA755=2,"P",""))</f>
        <v/>
      </c>
      <c r="H755" s="158" t="str">
        <f>IF(Settings!$M$4=Settings!$Y$3,IF($AA755=1,"P",""),IF($AA755=3,"P",""))</f>
        <v/>
      </c>
      <c r="I755" s="158" t="str">
        <f>IF(Settings!$M$4=Settings!$Y$3,IF($AA755=1,"P",""),IF($AA755=4,"P",""))</f>
        <v/>
      </c>
      <c r="J755" s="158" t="str">
        <f>IF(Settings!$M$4=Settings!$Y$3,IF($AA755=2,"P",""),IF($AA755=5,"P",""))</f>
        <v/>
      </c>
      <c r="K755" s="158" t="str">
        <f>IF(Settings!$M$4=Settings!$Y$3,IF($AA755=2,"P",""),IF($AA755=6,"P",""))</f>
        <v/>
      </c>
      <c r="L755" s="158" t="str">
        <f>IF(Settings!$M$4=Settings!$Y$3,IF($AA755=2,"P",""),IF($AA755=7,"P",""))</f>
        <v/>
      </c>
      <c r="M755" s="158" t="str">
        <f>IF(Settings!$M$4=Settings!$Y$3,IF($AA755=2,"P",""),IF($AA755=8,"P",""))</f>
        <v/>
      </c>
      <c r="N755" s="158" t="str">
        <f>IF(Settings!$M$4=Settings!$Y$3,IF($AA755=3,"P",""),IF($AA755=9,"P",""))</f>
        <v/>
      </c>
      <c r="O755" s="159" t="str">
        <f>IF(Settings!$M$4=Settings!$Y$3,IF($AA755=3,"P",""),IF($AA755=10,"P",""))</f>
        <v/>
      </c>
      <c r="P755" s="22"/>
      <c r="Q755" s="22"/>
      <c r="R755" s="374" t="e">
        <f>IF(INDEX(TblDatabase[Comment3],MATCH(1,INDEX(($L$4=ListEmployeeNamesInDatabase)*(C745=TblDatabase[Year]),0,1),0))="","",INDEX(TblDatabase[Comment3],MATCH(1,INDEX(($L$4=ListEmployeeNamesInDatabase)*(C745=TblDatabase[Year]),0,1),0)))</f>
        <v>#N/A</v>
      </c>
      <c r="S755" s="353"/>
      <c r="T755" s="353"/>
      <c r="U755" s="353"/>
      <c r="V755" s="353"/>
      <c r="W755" s="353"/>
      <c r="X755" s="353"/>
      <c r="Y755" s="354"/>
      <c r="Z755" s="149"/>
      <c r="AA755" s="151">
        <f>SUMIFS(TblDatabase[Competency3],ListEmployeeNamesInDatabase,$L$4,TblDatabase[Year],C745)</f>
        <v>0</v>
      </c>
      <c r="AB755" s="149"/>
      <c r="AC755" s="149"/>
      <c r="AD755" s="149"/>
      <c r="AE755" s="149"/>
      <c r="AF755" s="149"/>
    </row>
    <row r="756" spans="2:32" s="148" customFormat="1" ht="15" hidden="1" customHeight="1">
      <c r="B756" s="373" t="str">
        <f t="shared" si="17"/>
        <v>Client Service</v>
      </c>
      <c r="C756" s="360"/>
      <c r="D756" s="360"/>
      <c r="E756" s="361"/>
      <c r="F756" s="163" t="str">
        <f>IF(Settings!$M$4=Settings!$Y$3,IF($AA756=1,"P",""),IF($AA756=1,"P",""))</f>
        <v/>
      </c>
      <c r="G756" s="164" t="str">
        <f>IF(Settings!$M$4=Settings!$Y$3,IF($AA756=1,"P",""),IF($AA756=2,"P",""))</f>
        <v/>
      </c>
      <c r="H756" s="164" t="str">
        <f>IF(Settings!$M$4=Settings!$Y$3,IF($AA756=1,"P",""),IF($AA756=3,"P",""))</f>
        <v/>
      </c>
      <c r="I756" s="164" t="str">
        <f>IF(Settings!$M$4=Settings!$Y$3,IF($AA756=1,"P",""),IF($AA756=4,"P",""))</f>
        <v/>
      </c>
      <c r="J756" s="164" t="str">
        <f>IF(Settings!$M$4=Settings!$Y$3,IF($AA756=2,"P",""),IF($AA756=5,"P",""))</f>
        <v/>
      </c>
      <c r="K756" s="164" t="str">
        <f>IF(Settings!$M$4=Settings!$Y$3,IF($AA756=2,"P",""),IF($AA756=6,"P",""))</f>
        <v/>
      </c>
      <c r="L756" s="164" t="str">
        <f>IF(Settings!$M$4=Settings!$Y$3,IF($AA756=2,"P",""),IF($AA756=7,"P",""))</f>
        <v/>
      </c>
      <c r="M756" s="164" t="str">
        <f>IF(Settings!$M$4=Settings!$Y$3,IF($AA756=2,"P",""),IF($AA756=8,"P",""))</f>
        <v/>
      </c>
      <c r="N756" s="164" t="str">
        <f>IF(Settings!$M$4=Settings!$Y$3,IF($AA756=3,"P",""),IF($AA756=9,"P",""))</f>
        <v/>
      </c>
      <c r="O756" s="165" t="str">
        <f>IF(Settings!$M$4=Settings!$Y$3,IF($AA756=3,"P",""),IF($AA756=10,"P",""))</f>
        <v/>
      </c>
      <c r="P756" s="22"/>
      <c r="Q756" s="22"/>
      <c r="R756" s="373" t="e">
        <f>IF(INDEX(TblDatabase[Comment4],MATCH(1,INDEX(($L$4=ListEmployeeNamesInDatabase)*(C745=TblDatabase[Year]),0,1),0))="","",INDEX(TblDatabase[Comment4],MATCH(1,INDEX(($L$4=ListEmployeeNamesInDatabase)*(C745=TblDatabase[Year]),0,1),0)))</f>
        <v>#N/A</v>
      </c>
      <c r="S756" s="360"/>
      <c r="T756" s="360"/>
      <c r="U756" s="360"/>
      <c r="V756" s="360"/>
      <c r="W756" s="360"/>
      <c r="X756" s="360"/>
      <c r="Y756" s="361"/>
      <c r="Z756" s="149"/>
      <c r="AA756" s="151">
        <f>SUMIFS(TblDatabase[Competency4],ListEmployeeNamesInDatabase,$L$4,TblDatabase[Year],C745)</f>
        <v>0</v>
      </c>
      <c r="AB756" s="149"/>
      <c r="AC756" s="149"/>
      <c r="AD756" s="149"/>
      <c r="AE756" s="149"/>
      <c r="AF756" s="149"/>
    </row>
    <row r="757" spans="2:32" s="148" customFormat="1" ht="15" hidden="1" customHeight="1">
      <c r="B757" s="374" t="str">
        <f t="shared" si="17"/>
        <v>Teamwork</v>
      </c>
      <c r="C757" s="353"/>
      <c r="D757" s="353"/>
      <c r="E757" s="354"/>
      <c r="F757" s="157" t="str">
        <f>IF(Settings!$M$4=Settings!$Y$3,IF($AA757=1,"P",""),IF($AA757=1,"P",""))</f>
        <v/>
      </c>
      <c r="G757" s="158" t="str">
        <f>IF(Settings!$M$4=Settings!$Y$3,IF($AA757=1,"P",""),IF($AA757=2,"P",""))</f>
        <v/>
      </c>
      <c r="H757" s="158" t="str">
        <f>IF(Settings!$M$4=Settings!$Y$3,IF($AA757=1,"P",""),IF($AA757=3,"P",""))</f>
        <v/>
      </c>
      <c r="I757" s="158" t="str">
        <f>IF(Settings!$M$4=Settings!$Y$3,IF($AA757=1,"P",""),IF($AA757=4,"P",""))</f>
        <v/>
      </c>
      <c r="J757" s="158" t="str">
        <f>IF(Settings!$M$4=Settings!$Y$3,IF($AA757=2,"P",""),IF($AA757=5,"P",""))</f>
        <v/>
      </c>
      <c r="K757" s="158" t="str">
        <f>IF(Settings!$M$4=Settings!$Y$3,IF($AA757=2,"P",""),IF($AA757=6,"P",""))</f>
        <v/>
      </c>
      <c r="L757" s="158" t="str">
        <f>IF(Settings!$M$4=Settings!$Y$3,IF($AA757=2,"P",""),IF($AA757=7,"P",""))</f>
        <v/>
      </c>
      <c r="M757" s="158" t="str">
        <f>IF(Settings!$M$4=Settings!$Y$3,IF($AA757=2,"P",""),IF($AA757=8,"P",""))</f>
        <v/>
      </c>
      <c r="N757" s="158" t="str">
        <f>IF(Settings!$M$4=Settings!$Y$3,IF($AA757=3,"P",""),IF($AA757=9,"P",""))</f>
        <v/>
      </c>
      <c r="O757" s="159" t="str">
        <f>IF(Settings!$M$4=Settings!$Y$3,IF($AA757=3,"P",""),IF($AA757=10,"P",""))</f>
        <v/>
      </c>
      <c r="P757" s="22"/>
      <c r="Q757" s="22"/>
      <c r="R757" s="374" t="e">
        <f>IF(INDEX(TblDatabase[Comment5],MATCH(1,INDEX(($L$4=ListEmployeeNamesInDatabase)*(C745=TblDatabase[Year]),0,1),0))="","",INDEX(TblDatabase[Comment5],MATCH(1,INDEX(($L$4=ListEmployeeNamesInDatabase)*(C745=TblDatabase[Year]),0,1),0)))</f>
        <v>#N/A</v>
      </c>
      <c r="S757" s="353"/>
      <c r="T757" s="353"/>
      <c r="U757" s="353"/>
      <c r="V757" s="353"/>
      <c r="W757" s="353"/>
      <c r="X757" s="353"/>
      <c r="Y757" s="354"/>
      <c r="Z757" s="149"/>
      <c r="AA757" s="151">
        <f>SUMIFS(TblDatabase[Competency5],ListEmployeeNamesInDatabase,$L$4,TblDatabase[Year],C745)</f>
        <v>0</v>
      </c>
      <c r="AB757" s="149"/>
      <c r="AC757" s="149"/>
      <c r="AD757" s="149"/>
      <c r="AE757" s="149"/>
      <c r="AF757" s="149"/>
    </row>
    <row r="758" spans="2:32" s="148" customFormat="1" ht="15" hidden="1" customHeight="1">
      <c r="B758" s="373" t="str">
        <f t="shared" si="17"/>
        <v>Safety</v>
      </c>
      <c r="C758" s="360"/>
      <c r="D758" s="360"/>
      <c r="E758" s="361"/>
      <c r="F758" s="163" t="str">
        <f>IF(Settings!$M$4=Settings!$Y$3,IF($AA758=1,"P",""),IF($AA758=1,"P",""))</f>
        <v/>
      </c>
      <c r="G758" s="164" t="str">
        <f>IF(Settings!$M$4=Settings!$Y$3,IF($AA758=1,"P",""),IF($AA758=2,"P",""))</f>
        <v/>
      </c>
      <c r="H758" s="164" t="str">
        <f>IF(Settings!$M$4=Settings!$Y$3,IF($AA758=1,"P",""),IF($AA758=3,"P",""))</f>
        <v/>
      </c>
      <c r="I758" s="164" t="str">
        <f>IF(Settings!$M$4=Settings!$Y$3,IF($AA758=1,"P",""),IF($AA758=4,"P",""))</f>
        <v/>
      </c>
      <c r="J758" s="164" t="str">
        <f>IF(Settings!$M$4=Settings!$Y$3,IF($AA758=2,"P",""),IF($AA758=5,"P",""))</f>
        <v/>
      </c>
      <c r="K758" s="164" t="str">
        <f>IF(Settings!$M$4=Settings!$Y$3,IF($AA758=2,"P",""),IF($AA758=6,"P",""))</f>
        <v/>
      </c>
      <c r="L758" s="164" t="str">
        <f>IF(Settings!$M$4=Settings!$Y$3,IF($AA758=2,"P",""),IF($AA758=7,"P",""))</f>
        <v/>
      </c>
      <c r="M758" s="164" t="str">
        <f>IF(Settings!$M$4=Settings!$Y$3,IF($AA758=2,"P",""),IF($AA758=8,"P",""))</f>
        <v/>
      </c>
      <c r="N758" s="164" t="str">
        <f>IF(Settings!$M$4=Settings!$Y$3,IF($AA758=3,"P",""),IF($AA758=9,"P",""))</f>
        <v/>
      </c>
      <c r="O758" s="165" t="str">
        <f>IF(Settings!$M$4=Settings!$Y$3,IF($AA758=3,"P",""),IF($AA758=10,"P",""))</f>
        <v/>
      </c>
      <c r="P758" s="22"/>
      <c r="Q758" s="22"/>
      <c r="R758" s="373" t="e">
        <f>IF(INDEX(TblDatabase[Comment6],MATCH(1,INDEX(($L$4=ListEmployeeNamesInDatabase)*(C745=TblDatabase[Year]),0,1),0))="","",INDEX(TblDatabase[Comment6],MATCH(1,INDEX(($L$4=ListEmployeeNamesInDatabase)*(C745=TblDatabase[Year]),0,1),0)))</f>
        <v>#N/A</v>
      </c>
      <c r="S758" s="360"/>
      <c r="T758" s="360"/>
      <c r="U758" s="360"/>
      <c r="V758" s="360"/>
      <c r="W758" s="360"/>
      <c r="X758" s="360"/>
      <c r="Y758" s="361"/>
      <c r="Z758" s="149"/>
      <c r="AA758" s="151">
        <f>SUMIFS(TblDatabase[Competency6],ListEmployeeNamesInDatabase,$L$4,TblDatabase[Year],C745)</f>
        <v>0</v>
      </c>
      <c r="AB758" s="149"/>
      <c r="AC758" s="149"/>
      <c r="AD758" s="149"/>
      <c r="AE758" s="149"/>
      <c r="AF758" s="149"/>
    </row>
    <row r="759" spans="2:32" s="148" customFormat="1" ht="15" hidden="1" customHeight="1">
      <c r="B759" s="374" t="str">
        <f t="shared" si="17"/>
        <v>Reliability</v>
      </c>
      <c r="C759" s="353"/>
      <c r="D759" s="353"/>
      <c r="E759" s="354"/>
      <c r="F759" s="157" t="str">
        <f>IF(Settings!$M$4=Settings!$Y$3,IF($AA759=1,"P",""),IF($AA759=1,"P",""))</f>
        <v/>
      </c>
      <c r="G759" s="158" t="str">
        <f>IF(Settings!$M$4=Settings!$Y$3,IF($AA759=1,"P",""),IF($AA759=2,"P",""))</f>
        <v/>
      </c>
      <c r="H759" s="158" t="str">
        <f>IF(Settings!$M$4=Settings!$Y$3,IF($AA759=1,"P",""),IF($AA759=3,"P",""))</f>
        <v/>
      </c>
      <c r="I759" s="158" t="str">
        <f>IF(Settings!$M$4=Settings!$Y$3,IF($AA759=1,"P",""),IF($AA759=4,"P",""))</f>
        <v/>
      </c>
      <c r="J759" s="158" t="str">
        <f>IF(Settings!$M$4=Settings!$Y$3,IF($AA759=2,"P",""),IF($AA759=5,"P",""))</f>
        <v/>
      </c>
      <c r="K759" s="158" t="str">
        <f>IF(Settings!$M$4=Settings!$Y$3,IF($AA759=2,"P",""),IF($AA759=6,"P",""))</f>
        <v/>
      </c>
      <c r="L759" s="158" t="str">
        <f>IF(Settings!$M$4=Settings!$Y$3,IF($AA759=2,"P",""),IF($AA759=7,"P",""))</f>
        <v/>
      </c>
      <c r="M759" s="158" t="str">
        <f>IF(Settings!$M$4=Settings!$Y$3,IF($AA759=2,"P",""),IF($AA759=8,"P",""))</f>
        <v/>
      </c>
      <c r="N759" s="158" t="str">
        <f>IF(Settings!$M$4=Settings!$Y$3,IF($AA759=3,"P",""),IF($AA759=9,"P",""))</f>
        <v/>
      </c>
      <c r="O759" s="159" t="str">
        <f>IF(Settings!$M$4=Settings!$Y$3,IF($AA759=3,"P",""),IF($AA759=10,"P",""))</f>
        <v/>
      </c>
      <c r="P759" s="22"/>
      <c r="Q759" s="22"/>
      <c r="R759" s="374" t="e">
        <f>IF(INDEX(TblDatabase[Comment7],MATCH(1,INDEX(($L$4=ListEmployeeNamesInDatabase)*(C745=TblDatabase[Year]),0,1),0))="","",INDEX(TblDatabase[Comment7],MATCH(1,INDEX(($L$4=ListEmployeeNamesInDatabase)*(C745=TblDatabase[Year]),0,1),0)))</f>
        <v>#N/A</v>
      </c>
      <c r="S759" s="353"/>
      <c r="T759" s="353"/>
      <c r="U759" s="353"/>
      <c r="V759" s="353"/>
      <c r="W759" s="353"/>
      <c r="X759" s="353"/>
      <c r="Y759" s="354"/>
      <c r="Z759" s="149"/>
      <c r="AA759" s="151">
        <f>SUMIFS(TblDatabase[Competency7],ListEmployeeNamesInDatabase,$L$4,TblDatabase[Year],C745)</f>
        <v>0</v>
      </c>
      <c r="AB759" s="149"/>
      <c r="AC759" s="149"/>
      <c r="AD759" s="149"/>
      <c r="AE759" s="149"/>
      <c r="AF759" s="149"/>
    </row>
    <row r="760" spans="2:32" s="148" customFormat="1" ht="15" hidden="1" customHeight="1">
      <c r="B760" s="373" t="str">
        <f t="shared" si="17"/>
        <v>Initiative/Adaptability</v>
      </c>
      <c r="C760" s="360"/>
      <c r="D760" s="360"/>
      <c r="E760" s="361"/>
      <c r="F760" s="163" t="str">
        <f>IF(Settings!$M$4=Settings!$Y$3,IF($AA760=1,"P",""),IF($AA760=1,"P",""))</f>
        <v/>
      </c>
      <c r="G760" s="164" t="str">
        <f>IF(Settings!$M$4=Settings!$Y$3,IF($AA760=1,"P",""),IF($AA760=2,"P",""))</f>
        <v/>
      </c>
      <c r="H760" s="164" t="str">
        <f>IF(Settings!$M$4=Settings!$Y$3,IF($AA760=1,"P",""),IF($AA760=3,"P",""))</f>
        <v/>
      </c>
      <c r="I760" s="164" t="str">
        <f>IF(Settings!$M$4=Settings!$Y$3,IF($AA760=1,"P",""),IF($AA760=4,"P",""))</f>
        <v/>
      </c>
      <c r="J760" s="164" t="str">
        <f>IF(Settings!$M$4=Settings!$Y$3,IF($AA760=2,"P",""),IF($AA760=5,"P",""))</f>
        <v/>
      </c>
      <c r="K760" s="164" t="str">
        <f>IF(Settings!$M$4=Settings!$Y$3,IF($AA760=2,"P",""),IF($AA760=6,"P",""))</f>
        <v/>
      </c>
      <c r="L760" s="164" t="str">
        <f>IF(Settings!$M$4=Settings!$Y$3,IF($AA760=2,"P",""),IF($AA760=7,"P",""))</f>
        <v/>
      </c>
      <c r="M760" s="164" t="str">
        <f>IF(Settings!$M$4=Settings!$Y$3,IF($AA760=2,"P",""),IF($AA760=8,"P",""))</f>
        <v/>
      </c>
      <c r="N760" s="164" t="str">
        <f>IF(Settings!$M$4=Settings!$Y$3,IF($AA760=3,"P",""),IF($AA760=9,"P",""))</f>
        <v/>
      </c>
      <c r="O760" s="165" t="str">
        <f>IF(Settings!$M$4=Settings!$Y$3,IF($AA760=3,"P",""),IF($AA760=10,"P",""))</f>
        <v/>
      </c>
      <c r="P760" s="22"/>
      <c r="Q760" s="22"/>
      <c r="R760" s="373" t="e">
        <f>IF(INDEX(TblDatabase[Comment8],MATCH(1,INDEX(($L$4=ListEmployeeNamesInDatabase)*(C745=TblDatabase[Year]),0,1),0))="","",INDEX(TblDatabase[Comment8],MATCH(1,INDEX(($L$4=ListEmployeeNamesInDatabase)*(C745=TblDatabase[Year]),0,1),0)))</f>
        <v>#N/A</v>
      </c>
      <c r="S760" s="360"/>
      <c r="T760" s="360"/>
      <c r="U760" s="360"/>
      <c r="V760" s="360"/>
      <c r="W760" s="360"/>
      <c r="X760" s="360"/>
      <c r="Y760" s="361"/>
      <c r="Z760" s="149"/>
      <c r="AA760" s="151">
        <f>SUMIFS(TblDatabase[Competency8],ListEmployeeNamesInDatabase,$L$4,TblDatabase[Year],C745)</f>
        <v>0</v>
      </c>
      <c r="AB760" s="149"/>
      <c r="AC760" s="149"/>
      <c r="AD760" s="149"/>
      <c r="AE760" s="149"/>
      <c r="AF760" s="149"/>
    </row>
    <row r="761" spans="2:32" s="148" customFormat="1" ht="15" hidden="1" customHeight="1">
      <c r="B761" s="374" t="str">
        <f t="shared" si="17"/>
        <v/>
      </c>
      <c r="C761" s="353"/>
      <c r="D761" s="353"/>
      <c r="E761" s="354"/>
      <c r="F761" s="157" t="str">
        <f>IF(Settings!$M$4=Settings!$Y$3,IF($AA761=1,"P",""),IF($AA761=1,"P",""))</f>
        <v/>
      </c>
      <c r="G761" s="158" t="str">
        <f>IF(Settings!$M$4=Settings!$Y$3,IF($AA761=1,"P",""),IF($AA761=2,"P",""))</f>
        <v/>
      </c>
      <c r="H761" s="158" t="str">
        <f>IF(Settings!$M$4=Settings!$Y$3,IF($AA761=1,"P",""),IF($AA761=3,"P",""))</f>
        <v/>
      </c>
      <c r="I761" s="158" t="str">
        <f>IF(Settings!$M$4=Settings!$Y$3,IF($AA761=1,"P",""),IF($AA761=4,"P",""))</f>
        <v/>
      </c>
      <c r="J761" s="158" t="str">
        <f>IF(Settings!$M$4=Settings!$Y$3,IF($AA761=2,"P",""),IF($AA761=5,"P",""))</f>
        <v/>
      </c>
      <c r="K761" s="158" t="str">
        <f>IF(Settings!$M$4=Settings!$Y$3,IF($AA761=2,"P",""),IF($AA761=6,"P",""))</f>
        <v/>
      </c>
      <c r="L761" s="158" t="str">
        <f>IF(Settings!$M$4=Settings!$Y$3,IF($AA761=2,"P",""),IF($AA761=7,"P",""))</f>
        <v/>
      </c>
      <c r="M761" s="158" t="str">
        <f>IF(Settings!$M$4=Settings!$Y$3,IF($AA761=2,"P",""),IF($AA761=8,"P",""))</f>
        <v/>
      </c>
      <c r="N761" s="158" t="str">
        <f>IF(Settings!$M$4=Settings!$Y$3,IF($AA761=3,"P",""),IF($AA761=9,"P",""))</f>
        <v/>
      </c>
      <c r="O761" s="159" t="str">
        <f>IF(Settings!$M$4=Settings!$Y$3,IF($AA761=3,"P",""),IF($AA761=10,"P",""))</f>
        <v/>
      </c>
      <c r="P761" s="22"/>
      <c r="Q761" s="22"/>
      <c r="R761" s="374" t="e">
        <f>IF(INDEX(TblDatabase[Comment9],MATCH(1,INDEX(($L$4=ListEmployeeNamesInDatabase)*(C745=TblDatabase[Year]),0,1),0))="","",INDEX(TblDatabase[Comment9],MATCH(1,INDEX(($L$4=ListEmployeeNamesInDatabase)*(C745=TblDatabase[Year]),0,1),0)))</f>
        <v>#N/A</v>
      </c>
      <c r="S761" s="353"/>
      <c r="T761" s="353"/>
      <c r="U761" s="353"/>
      <c r="V761" s="353"/>
      <c r="W761" s="353"/>
      <c r="X761" s="353"/>
      <c r="Y761" s="354"/>
      <c r="Z761" s="149"/>
      <c r="AA761" s="151">
        <f>SUMIFS(TblDatabase[Competency9],ListEmployeeNamesInDatabase,$L$4,TblDatabase[Year],C745)</f>
        <v>0</v>
      </c>
      <c r="AB761" s="149"/>
      <c r="AC761" s="149"/>
      <c r="AD761" s="149"/>
      <c r="AE761" s="149"/>
      <c r="AF761" s="149"/>
    </row>
    <row r="762" spans="2:32" s="148" customFormat="1" ht="15" hidden="1" customHeight="1">
      <c r="B762" s="373" t="str">
        <f t="shared" si="17"/>
        <v/>
      </c>
      <c r="C762" s="360"/>
      <c r="D762" s="360"/>
      <c r="E762" s="361"/>
      <c r="F762" s="163" t="str">
        <f>IF(Settings!$M$4=Settings!$Y$3,IF($AA762=1,"P",""),IF($AA762=1,"P",""))</f>
        <v/>
      </c>
      <c r="G762" s="164" t="str">
        <f>IF(Settings!$M$4=Settings!$Y$3,IF($AA762=1,"P",""),IF($AA762=2,"P",""))</f>
        <v/>
      </c>
      <c r="H762" s="164" t="str">
        <f>IF(Settings!$M$4=Settings!$Y$3,IF($AA762=1,"P",""),IF($AA762=3,"P",""))</f>
        <v/>
      </c>
      <c r="I762" s="164" t="str">
        <f>IF(Settings!$M$4=Settings!$Y$3,IF($AA762=1,"P",""),IF($AA762=4,"P",""))</f>
        <v/>
      </c>
      <c r="J762" s="164" t="str">
        <f>IF(Settings!$M$4=Settings!$Y$3,IF($AA762=2,"P",""),IF($AA762=5,"P",""))</f>
        <v/>
      </c>
      <c r="K762" s="164" t="str">
        <f>IF(Settings!$M$4=Settings!$Y$3,IF($AA762=2,"P",""),IF($AA762=6,"P",""))</f>
        <v/>
      </c>
      <c r="L762" s="164" t="str">
        <f>IF(Settings!$M$4=Settings!$Y$3,IF($AA762=2,"P",""),IF($AA762=7,"P",""))</f>
        <v/>
      </c>
      <c r="M762" s="164" t="str">
        <f>IF(Settings!$M$4=Settings!$Y$3,IF($AA762=2,"P",""),IF($AA762=8,"P",""))</f>
        <v/>
      </c>
      <c r="N762" s="164" t="str">
        <f>IF(Settings!$M$4=Settings!$Y$3,IF($AA762=3,"P",""),IF($AA762=9,"P",""))</f>
        <v/>
      </c>
      <c r="O762" s="165" t="str">
        <f>IF(Settings!$M$4=Settings!$Y$3,IF($AA762=3,"P",""),IF($AA762=10,"P",""))</f>
        <v/>
      </c>
      <c r="P762" s="22"/>
      <c r="Q762" s="22"/>
      <c r="R762" s="373" t="e">
        <f>IF(INDEX(TblDatabase[Comment10],MATCH(1,INDEX(($L$4=ListEmployeeNamesInDatabase)*(C745=TblDatabase[Year]),0,1),0))="","",INDEX(TblDatabase[Comment10],MATCH(1,INDEX(($L$4=ListEmployeeNamesInDatabase)*(C745=TblDatabase[Year]),0,1),0)))</f>
        <v>#N/A</v>
      </c>
      <c r="S762" s="360"/>
      <c r="T762" s="360"/>
      <c r="U762" s="360"/>
      <c r="V762" s="360"/>
      <c r="W762" s="360"/>
      <c r="X762" s="360"/>
      <c r="Y762" s="361"/>
      <c r="Z762" s="149"/>
      <c r="AA762" s="151">
        <f>SUMIFS(TblDatabase[Competency10],ListEmployeeNamesInDatabase,$L$4,TblDatabase[Year],C745)</f>
        <v>0</v>
      </c>
      <c r="AB762" s="149"/>
      <c r="AC762" s="149"/>
      <c r="AD762" s="149"/>
      <c r="AE762" s="149"/>
      <c r="AF762" s="149"/>
    </row>
    <row r="763" spans="2:32" s="148" customFormat="1" ht="15" hidden="1" customHeight="1">
      <c r="B763" s="374" t="str">
        <f t="shared" si="17"/>
        <v/>
      </c>
      <c r="C763" s="353"/>
      <c r="D763" s="353"/>
      <c r="E763" s="354"/>
      <c r="F763" s="157" t="str">
        <f>IF(Settings!$M$4=Settings!$Y$3,IF($AA763=1,"P",""),IF($AA763=1,"P",""))</f>
        <v/>
      </c>
      <c r="G763" s="158" t="str">
        <f>IF(Settings!$M$4=Settings!$Y$3,IF($AA763=1,"P",""),IF($AA763=2,"P",""))</f>
        <v/>
      </c>
      <c r="H763" s="158" t="str">
        <f>IF(Settings!$M$4=Settings!$Y$3,IF($AA763=1,"P",""),IF($AA763=3,"P",""))</f>
        <v/>
      </c>
      <c r="I763" s="158" t="str">
        <f>IF(Settings!$M$4=Settings!$Y$3,IF($AA763=1,"P",""),IF($AA763=4,"P",""))</f>
        <v/>
      </c>
      <c r="J763" s="158" t="str">
        <f>IF(Settings!$M$4=Settings!$Y$3,IF($AA763=2,"P",""),IF($AA763=5,"P",""))</f>
        <v/>
      </c>
      <c r="K763" s="158" t="str">
        <f>IF(Settings!$M$4=Settings!$Y$3,IF($AA763=2,"P",""),IF($AA763=6,"P",""))</f>
        <v/>
      </c>
      <c r="L763" s="158" t="str">
        <f>IF(Settings!$M$4=Settings!$Y$3,IF($AA763=2,"P",""),IF($AA763=7,"P",""))</f>
        <v/>
      </c>
      <c r="M763" s="158" t="str">
        <f>IF(Settings!$M$4=Settings!$Y$3,IF($AA763=2,"P",""),IF($AA763=8,"P",""))</f>
        <v/>
      </c>
      <c r="N763" s="158" t="str">
        <f>IF(Settings!$M$4=Settings!$Y$3,IF($AA763=3,"P",""),IF($AA763=9,"P",""))</f>
        <v/>
      </c>
      <c r="O763" s="159" t="str">
        <f>IF(Settings!$M$4=Settings!$Y$3,IF($AA763=3,"P",""),IF($AA763=10,"P",""))</f>
        <v/>
      </c>
      <c r="P763" s="22"/>
      <c r="Q763" s="22"/>
      <c r="R763" s="374" t="e">
        <f>IF(INDEX(TblDatabase[Comment11],MATCH(1,INDEX(($L$4=ListEmployeeNamesInDatabase)*(C745=TblDatabase[Year]),0,1),0))="","",INDEX(TblDatabase[Comment11],MATCH(1,INDEX(($L$4=ListEmployeeNamesInDatabase)*(C745=TblDatabase[Year]),0,1),0)))</f>
        <v>#N/A</v>
      </c>
      <c r="S763" s="353"/>
      <c r="T763" s="353"/>
      <c r="U763" s="353"/>
      <c r="V763" s="353"/>
      <c r="W763" s="353"/>
      <c r="X763" s="353"/>
      <c r="Y763" s="354"/>
      <c r="Z763" s="149"/>
      <c r="AA763" s="151">
        <f>SUMIFS(TblDatabase[Competency11],ListEmployeeNamesInDatabase,$L$4,TblDatabase[Year],C745)</f>
        <v>0</v>
      </c>
      <c r="AB763" s="149"/>
      <c r="AC763" s="149"/>
      <c r="AD763" s="149"/>
      <c r="AE763" s="149"/>
      <c r="AF763" s="149"/>
    </row>
    <row r="764" spans="2:32" s="148" customFormat="1" ht="15" hidden="1" customHeight="1">
      <c r="B764" s="373" t="str">
        <f t="shared" si="17"/>
        <v/>
      </c>
      <c r="C764" s="360"/>
      <c r="D764" s="360"/>
      <c r="E764" s="361"/>
      <c r="F764" s="163" t="str">
        <f>IF(Settings!$M$4=Settings!$Y$3,IF($AA764=1,"P",""),IF($AA764=1,"P",""))</f>
        <v/>
      </c>
      <c r="G764" s="164" t="str">
        <f>IF(Settings!$M$4=Settings!$Y$3,IF($AA764=1,"P",""),IF($AA764=2,"P",""))</f>
        <v/>
      </c>
      <c r="H764" s="164" t="str">
        <f>IF(Settings!$M$4=Settings!$Y$3,IF($AA764=1,"P",""),IF($AA764=3,"P",""))</f>
        <v/>
      </c>
      <c r="I764" s="164" t="str">
        <f>IF(Settings!$M$4=Settings!$Y$3,IF($AA764=1,"P",""),IF($AA764=4,"P",""))</f>
        <v/>
      </c>
      <c r="J764" s="164" t="str">
        <f>IF(Settings!$M$4=Settings!$Y$3,IF($AA764=2,"P",""),IF($AA764=5,"P",""))</f>
        <v/>
      </c>
      <c r="K764" s="164" t="str">
        <f>IF(Settings!$M$4=Settings!$Y$3,IF($AA764=2,"P",""),IF($AA764=6,"P",""))</f>
        <v/>
      </c>
      <c r="L764" s="164" t="str">
        <f>IF(Settings!$M$4=Settings!$Y$3,IF($AA764=2,"P",""),IF($AA764=7,"P",""))</f>
        <v/>
      </c>
      <c r="M764" s="164" t="str">
        <f>IF(Settings!$M$4=Settings!$Y$3,IF($AA764=2,"P",""),IF($AA764=8,"P",""))</f>
        <v/>
      </c>
      <c r="N764" s="164" t="str">
        <f>IF(Settings!$M$4=Settings!$Y$3,IF($AA764=3,"P",""),IF($AA764=9,"P",""))</f>
        <v/>
      </c>
      <c r="O764" s="165" t="str">
        <f>IF(Settings!$M$4=Settings!$Y$3,IF($AA764=3,"P",""),IF($AA764=10,"P",""))</f>
        <v/>
      </c>
      <c r="P764" s="22"/>
      <c r="Q764" s="22"/>
      <c r="R764" s="373" t="e">
        <f>IF(INDEX(TblDatabase[Comment12],MATCH(1,INDEX(($L$4=ListEmployeeNamesInDatabase)*(C745=TblDatabase[Year]),0,1),0))="","",INDEX(TblDatabase[Comment12],MATCH(1,INDEX(($L$4=ListEmployeeNamesInDatabase)*(C745=TblDatabase[Year]),0,1),0)))</f>
        <v>#N/A</v>
      </c>
      <c r="S764" s="360"/>
      <c r="T764" s="360"/>
      <c r="U764" s="360"/>
      <c r="V764" s="360"/>
      <c r="W764" s="360"/>
      <c r="X764" s="360"/>
      <c r="Y764" s="361"/>
      <c r="Z764" s="149"/>
      <c r="AA764" s="151">
        <f>SUMIFS(TblDatabase[Competency12],ListEmployeeNamesInDatabase,$L$4,TblDatabase[Year],C745)</f>
        <v>0</v>
      </c>
      <c r="AB764" s="149"/>
      <c r="AC764" s="149"/>
      <c r="AD764" s="149"/>
      <c r="AE764" s="149"/>
      <c r="AF764" s="149"/>
    </row>
    <row r="765" spans="2:32" s="148" customFormat="1" ht="15" hidden="1" customHeight="1">
      <c r="B765" s="374" t="str">
        <f t="shared" si="17"/>
        <v/>
      </c>
      <c r="C765" s="353"/>
      <c r="D765" s="353"/>
      <c r="E765" s="354"/>
      <c r="F765" s="157" t="str">
        <f>IF(Settings!$M$4=Settings!$Y$3,IF($AA765=1,"P",""),IF($AA765=1,"P",""))</f>
        <v/>
      </c>
      <c r="G765" s="158" t="str">
        <f>IF(Settings!$M$4=Settings!$Y$3,IF($AA765=1,"P",""),IF($AA765=2,"P",""))</f>
        <v/>
      </c>
      <c r="H765" s="158" t="str">
        <f>IF(Settings!$M$4=Settings!$Y$3,IF($AA765=1,"P",""),IF($AA765=3,"P",""))</f>
        <v/>
      </c>
      <c r="I765" s="158" t="str">
        <f>IF(Settings!$M$4=Settings!$Y$3,IF($AA765=1,"P",""),IF($AA765=4,"P",""))</f>
        <v/>
      </c>
      <c r="J765" s="158" t="str">
        <f>IF(Settings!$M$4=Settings!$Y$3,IF($AA765=2,"P",""),IF($AA765=5,"P",""))</f>
        <v/>
      </c>
      <c r="K765" s="158" t="str">
        <f>IF(Settings!$M$4=Settings!$Y$3,IF($AA765=2,"P",""),IF($AA765=6,"P",""))</f>
        <v/>
      </c>
      <c r="L765" s="158" t="str">
        <f>IF(Settings!$M$4=Settings!$Y$3,IF($AA765=2,"P",""),IF($AA765=7,"P",""))</f>
        <v/>
      </c>
      <c r="M765" s="158" t="str">
        <f>IF(Settings!$M$4=Settings!$Y$3,IF($AA765=2,"P",""),IF($AA765=8,"P",""))</f>
        <v/>
      </c>
      <c r="N765" s="158" t="str">
        <f>IF(Settings!$M$4=Settings!$Y$3,IF($AA765=3,"P",""),IF($AA765=9,"P",""))</f>
        <v/>
      </c>
      <c r="O765" s="159" t="str">
        <f>IF(Settings!$M$4=Settings!$Y$3,IF($AA765=3,"P",""),IF($AA765=10,"P",""))</f>
        <v/>
      </c>
      <c r="P765" s="22"/>
      <c r="Q765" s="22"/>
      <c r="R765" s="374" t="e">
        <f>IF(INDEX(TblDatabase[Comment13],MATCH(1,INDEX(($L$4=ListEmployeeNamesInDatabase)*(C745=TblDatabase[Year]),0,1),0))="","",INDEX(TblDatabase[Comment13],MATCH(1,INDEX(($L$4=ListEmployeeNamesInDatabase)*(C745=TblDatabase[Year]),0,1),0)))</f>
        <v>#N/A</v>
      </c>
      <c r="S765" s="353"/>
      <c r="T765" s="353"/>
      <c r="U765" s="353"/>
      <c r="V765" s="353"/>
      <c r="W765" s="353"/>
      <c r="X765" s="353"/>
      <c r="Y765" s="354"/>
      <c r="Z765" s="149"/>
      <c r="AA765" s="151">
        <f>SUMIFS(TblDatabase[Competency13],ListEmployeeNamesInDatabase,$L$4,TblDatabase[Year],C745)</f>
        <v>0</v>
      </c>
      <c r="AB765" s="149"/>
      <c r="AC765" s="149"/>
      <c r="AD765" s="149"/>
      <c r="AE765" s="149"/>
      <c r="AF765" s="149"/>
    </row>
    <row r="766" spans="2:32" s="148" customFormat="1" ht="15" hidden="1" customHeight="1">
      <c r="B766" s="373" t="str">
        <f t="shared" si="17"/>
        <v/>
      </c>
      <c r="C766" s="360"/>
      <c r="D766" s="360"/>
      <c r="E766" s="361"/>
      <c r="F766" s="163" t="str">
        <f>IF(Settings!$M$4=Settings!$Y$3,IF($AA766=1,"P",""),IF($AA766=1,"P",""))</f>
        <v/>
      </c>
      <c r="G766" s="164" t="str">
        <f>IF(Settings!$M$4=Settings!$Y$3,IF($AA766=1,"P",""),IF($AA766=2,"P",""))</f>
        <v/>
      </c>
      <c r="H766" s="164" t="str">
        <f>IF(Settings!$M$4=Settings!$Y$3,IF($AA766=1,"P",""),IF($AA766=3,"P",""))</f>
        <v/>
      </c>
      <c r="I766" s="164" t="str">
        <f>IF(Settings!$M$4=Settings!$Y$3,IF($AA766=1,"P",""),IF($AA766=4,"P",""))</f>
        <v/>
      </c>
      <c r="J766" s="164" t="str">
        <f>IF(Settings!$M$4=Settings!$Y$3,IF($AA766=2,"P",""),IF($AA766=5,"P",""))</f>
        <v/>
      </c>
      <c r="K766" s="164" t="str">
        <f>IF(Settings!$M$4=Settings!$Y$3,IF($AA766=2,"P",""),IF($AA766=6,"P",""))</f>
        <v/>
      </c>
      <c r="L766" s="164" t="str">
        <f>IF(Settings!$M$4=Settings!$Y$3,IF($AA766=2,"P",""),IF($AA766=7,"P",""))</f>
        <v/>
      </c>
      <c r="M766" s="164" t="str">
        <f>IF(Settings!$M$4=Settings!$Y$3,IF($AA766=2,"P",""),IF($AA766=8,"P",""))</f>
        <v/>
      </c>
      <c r="N766" s="164" t="str">
        <f>IF(Settings!$M$4=Settings!$Y$3,IF($AA766=3,"P",""),IF($AA766=9,"P",""))</f>
        <v/>
      </c>
      <c r="O766" s="165" t="str">
        <f>IF(Settings!$M$4=Settings!$Y$3,IF($AA766=3,"P",""),IF($AA766=10,"P",""))</f>
        <v/>
      </c>
      <c r="P766" s="22"/>
      <c r="Q766" s="22"/>
      <c r="R766" s="373" t="e">
        <f>IF(INDEX(TblDatabase[Comment14],MATCH(1,INDEX(($L$4=ListEmployeeNamesInDatabase)*(C745=TblDatabase[Year]),0,1),0))="","",INDEX(TblDatabase[Comment14],MATCH(1,INDEX(($L$4=ListEmployeeNamesInDatabase)*(C745=TblDatabase[Year]),0,1),0)))</f>
        <v>#N/A</v>
      </c>
      <c r="S766" s="360"/>
      <c r="T766" s="360"/>
      <c r="U766" s="360"/>
      <c r="V766" s="360"/>
      <c r="W766" s="360"/>
      <c r="X766" s="360"/>
      <c r="Y766" s="361"/>
      <c r="Z766" s="149"/>
      <c r="AA766" s="151">
        <f>SUMIFS(TblDatabase[Competency14],ListEmployeeNamesInDatabase,$L$4,TblDatabase[Year],C745)</f>
        <v>0</v>
      </c>
      <c r="AB766" s="149"/>
      <c r="AC766" s="149"/>
      <c r="AD766" s="149"/>
      <c r="AE766" s="149"/>
      <c r="AF766" s="149"/>
    </row>
    <row r="767" spans="2:32" s="148" customFormat="1" ht="15" hidden="1" customHeight="1">
      <c r="B767" s="374" t="str">
        <f t="shared" si="17"/>
        <v/>
      </c>
      <c r="C767" s="353"/>
      <c r="D767" s="353"/>
      <c r="E767" s="354"/>
      <c r="F767" s="157" t="str">
        <f>IF(Settings!$M$4=Settings!$Y$3,IF($AA767=1,"P",""),IF($AA767=1,"P",""))</f>
        <v/>
      </c>
      <c r="G767" s="158" t="str">
        <f>IF(Settings!$M$4=Settings!$Y$3,IF($AA767=1,"P",""),IF($AA767=2,"P",""))</f>
        <v/>
      </c>
      <c r="H767" s="158" t="str">
        <f>IF(Settings!$M$4=Settings!$Y$3,IF($AA767=1,"P",""),IF($AA767=3,"P",""))</f>
        <v/>
      </c>
      <c r="I767" s="158" t="str">
        <f>IF(Settings!$M$4=Settings!$Y$3,IF($AA767=1,"P",""),IF($AA767=4,"P",""))</f>
        <v/>
      </c>
      <c r="J767" s="158" t="str">
        <f>IF(Settings!$M$4=Settings!$Y$3,IF($AA767=2,"P",""),IF($AA767=5,"P",""))</f>
        <v/>
      </c>
      <c r="K767" s="158" t="str">
        <f>IF(Settings!$M$4=Settings!$Y$3,IF($AA767=2,"P",""),IF($AA767=6,"P",""))</f>
        <v/>
      </c>
      <c r="L767" s="158" t="str">
        <f>IF(Settings!$M$4=Settings!$Y$3,IF($AA767=2,"P",""),IF($AA767=7,"P",""))</f>
        <v/>
      </c>
      <c r="M767" s="158" t="str">
        <f>IF(Settings!$M$4=Settings!$Y$3,IF($AA767=2,"P",""),IF($AA767=8,"P",""))</f>
        <v/>
      </c>
      <c r="N767" s="158" t="str">
        <f>IF(Settings!$M$4=Settings!$Y$3,IF($AA767=3,"P",""),IF($AA767=9,"P",""))</f>
        <v/>
      </c>
      <c r="O767" s="159" t="str">
        <f>IF(Settings!$M$4=Settings!$Y$3,IF($AA767=3,"P",""),IF($AA767=10,"P",""))</f>
        <v/>
      </c>
      <c r="P767" s="22"/>
      <c r="Q767" s="22"/>
      <c r="R767" s="374" t="e">
        <f>IF(INDEX(TblDatabase[Comment15],MATCH(1,INDEX(($L$4=ListEmployeeNamesInDatabase)*(C745=TblDatabase[Year]),0,1),0))="","",INDEX(TblDatabase[Comment15],MATCH(1,INDEX(($L$4=ListEmployeeNamesInDatabase)*(C745=TblDatabase[Year]),0,1),0)))</f>
        <v>#N/A</v>
      </c>
      <c r="S767" s="353"/>
      <c r="T767" s="353"/>
      <c r="U767" s="353"/>
      <c r="V767" s="353"/>
      <c r="W767" s="353"/>
      <c r="X767" s="353"/>
      <c r="Y767" s="354"/>
      <c r="Z767" s="149"/>
      <c r="AA767" s="151">
        <f>SUMIFS(TblDatabase[Competency15],ListEmployeeNamesInDatabase,$L$4,TblDatabase[Year],C745)</f>
        <v>0</v>
      </c>
      <c r="AB767" s="149"/>
      <c r="AC767" s="149"/>
      <c r="AD767" s="149"/>
      <c r="AE767" s="149"/>
      <c r="AF767" s="149"/>
    </row>
    <row r="768" spans="2:32" s="148" customFormat="1" ht="15" hidden="1" customHeight="1">
      <c r="B768" s="373" t="str">
        <f t="shared" si="17"/>
        <v/>
      </c>
      <c r="C768" s="360"/>
      <c r="D768" s="360"/>
      <c r="E768" s="361"/>
      <c r="F768" s="163" t="str">
        <f>IF(Settings!$M$4=Settings!$Y$3,IF($AA768=1,"P",""),IF($AA768=1,"P",""))</f>
        <v/>
      </c>
      <c r="G768" s="164" t="str">
        <f>IF(Settings!$M$4=Settings!$Y$3,IF($AA768=1,"P",""),IF($AA768=2,"P",""))</f>
        <v/>
      </c>
      <c r="H768" s="164" t="str">
        <f>IF(Settings!$M$4=Settings!$Y$3,IF($AA768=1,"P",""),IF($AA768=3,"P",""))</f>
        <v/>
      </c>
      <c r="I768" s="164" t="str">
        <f>IF(Settings!$M$4=Settings!$Y$3,IF($AA768=1,"P",""),IF($AA768=4,"P",""))</f>
        <v/>
      </c>
      <c r="J768" s="164" t="str">
        <f>IF(Settings!$M$4=Settings!$Y$3,IF($AA768=2,"P",""),IF($AA768=5,"P",""))</f>
        <v/>
      </c>
      <c r="K768" s="164" t="str">
        <f>IF(Settings!$M$4=Settings!$Y$3,IF($AA768=2,"P",""),IF($AA768=6,"P",""))</f>
        <v/>
      </c>
      <c r="L768" s="164" t="str">
        <f>IF(Settings!$M$4=Settings!$Y$3,IF($AA768=2,"P",""),IF($AA768=7,"P",""))</f>
        <v/>
      </c>
      <c r="M768" s="164" t="str">
        <f>IF(Settings!$M$4=Settings!$Y$3,IF($AA768=2,"P",""),IF($AA768=8,"P",""))</f>
        <v/>
      </c>
      <c r="N768" s="164" t="str">
        <f>IF(Settings!$M$4=Settings!$Y$3,IF($AA768=3,"P",""),IF($AA768=9,"P",""))</f>
        <v/>
      </c>
      <c r="O768" s="165" t="str">
        <f>IF(Settings!$M$4=Settings!$Y$3,IF($AA768=3,"P",""),IF($AA768=10,"P",""))</f>
        <v/>
      </c>
      <c r="P768" s="22"/>
      <c r="Q768" s="22"/>
      <c r="R768" s="373" t="e">
        <f>IF(INDEX(TblDatabase[Comment16],MATCH(1,INDEX(($L$4=ListEmployeeNamesInDatabase)*(C745=TblDatabase[Year]),0,1),0))="","",INDEX(TblDatabase[Comment16],MATCH(1,INDEX(($L$4=ListEmployeeNamesInDatabase)*(C745=TblDatabase[Year]),0,1),0)))</f>
        <v>#N/A</v>
      </c>
      <c r="S768" s="360"/>
      <c r="T768" s="360"/>
      <c r="U768" s="360"/>
      <c r="V768" s="360"/>
      <c r="W768" s="360"/>
      <c r="X768" s="360"/>
      <c r="Y768" s="361"/>
      <c r="Z768" s="149"/>
      <c r="AA768" s="151">
        <f>SUMIFS(TblDatabase[Competency16],ListEmployeeNamesInDatabase,$L$4,TblDatabase[Year],C745)</f>
        <v>0</v>
      </c>
      <c r="AB768" s="149"/>
      <c r="AC768" s="149"/>
      <c r="AD768" s="149"/>
      <c r="AE768" s="149"/>
      <c r="AF768" s="149"/>
    </row>
    <row r="769" spans="2:32" s="148" customFormat="1" ht="15" hidden="1" customHeight="1">
      <c r="B769" s="374" t="str">
        <f t="shared" si="17"/>
        <v/>
      </c>
      <c r="C769" s="353"/>
      <c r="D769" s="353"/>
      <c r="E769" s="354"/>
      <c r="F769" s="157" t="str">
        <f>IF(Settings!$M$4=Settings!$Y$3,IF($AA769=1,"P",""),IF($AA769=1,"P",""))</f>
        <v/>
      </c>
      <c r="G769" s="158" t="str">
        <f>IF(Settings!$M$4=Settings!$Y$3,IF($AA769=1,"P",""),IF($AA769=2,"P",""))</f>
        <v/>
      </c>
      <c r="H769" s="158" t="str">
        <f>IF(Settings!$M$4=Settings!$Y$3,IF($AA769=1,"P",""),IF($AA769=3,"P",""))</f>
        <v/>
      </c>
      <c r="I769" s="158" t="str">
        <f>IF(Settings!$M$4=Settings!$Y$3,IF($AA769=1,"P",""),IF($AA769=4,"P",""))</f>
        <v/>
      </c>
      <c r="J769" s="158" t="str">
        <f>IF(Settings!$M$4=Settings!$Y$3,IF($AA769=2,"P",""),IF($AA769=5,"P",""))</f>
        <v/>
      </c>
      <c r="K769" s="158" t="str">
        <f>IF(Settings!$M$4=Settings!$Y$3,IF($AA769=2,"P",""),IF($AA769=6,"P",""))</f>
        <v/>
      </c>
      <c r="L769" s="158" t="str">
        <f>IF(Settings!$M$4=Settings!$Y$3,IF($AA769=2,"P",""),IF($AA769=7,"P",""))</f>
        <v/>
      </c>
      <c r="M769" s="158" t="str">
        <f>IF(Settings!$M$4=Settings!$Y$3,IF($AA769=2,"P",""),IF($AA769=8,"P",""))</f>
        <v/>
      </c>
      <c r="N769" s="158" t="str">
        <f>IF(Settings!$M$4=Settings!$Y$3,IF($AA769=3,"P",""),IF($AA769=9,"P",""))</f>
        <v/>
      </c>
      <c r="O769" s="159" t="str">
        <f>IF(Settings!$M$4=Settings!$Y$3,IF($AA769=3,"P",""),IF($AA769=10,"P",""))</f>
        <v/>
      </c>
      <c r="P769" s="22"/>
      <c r="Q769" s="22"/>
      <c r="R769" s="374" t="e">
        <f>IF(INDEX(TblDatabase[Comment17],MATCH(1,INDEX(($L$4=ListEmployeeNamesInDatabase)*(C745=TblDatabase[Year]),0,1),0))="","",INDEX(TblDatabase[Comment17],MATCH(1,INDEX(($L$4=ListEmployeeNamesInDatabase)*(C745=TblDatabase[Year]),0,1),0)))</f>
        <v>#N/A</v>
      </c>
      <c r="S769" s="353"/>
      <c r="T769" s="353"/>
      <c r="U769" s="353"/>
      <c r="V769" s="353"/>
      <c r="W769" s="353"/>
      <c r="X769" s="353"/>
      <c r="Y769" s="354"/>
      <c r="Z769" s="149"/>
      <c r="AA769" s="151">
        <f>SUMIFS(TblDatabase[Competency17],ListEmployeeNamesInDatabase,$L$4,TblDatabase[Year],C745)</f>
        <v>0</v>
      </c>
      <c r="AB769" s="149"/>
      <c r="AC769" s="149"/>
      <c r="AD769" s="149"/>
      <c r="AE769" s="149"/>
      <c r="AF769" s="149"/>
    </row>
    <row r="770" spans="2:32" s="148" customFormat="1" ht="15" hidden="1" customHeight="1">
      <c r="B770" s="373" t="str">
        <f t="shared" si="17"/>
        <v/>
      </c>
      <c r="C770" s="360"/>
      <c r="D770" s="360"/>
      <c r="E770" s="361"/>
      <c r="F770" s="163" t="str">
        <f>IF(Settings!$M$4=Settings!$Y$3,IF($AA770=1,"P",""),IF($AA770=1,"P",""))</f>
        <v/>
      </c>
      <c r="G770" s="164" t="str">
        <f>IF(Settings!$M$4=Settings!$Y$3,IF($AA770=1,"P",""),IF($AA770=2,"P",""))</f>
        <v/>
      </c>
      <c r="H770" s="164" t="str">
        <f>IF(Settings!$M$4=Settings!$Y$3,IF($AA770=1,"P",""),IF($AA770=3,"P",""))</f>
        <v/>
      </c>
      <c r="I770" s="164" t="str">
        <f>IF(Settings!$M$4=Settings!$Y$3,IF($AA770=1,"P",""),IF($AA770=4,"P",""))</f>
        <v/>
      </c>
      <c r="J770" s="164" t="str">
        <f>IF(Settings!$M$4=Settings!$Y$3,IF($AA770=2,"P",""),IF($AA770=5,"P",""))</f>
        <v/>
      </c>
      <c r="K770" s="164" t="str">
        <f>IF(Settings!$M$4=Settings!$Y$3,IF($AA770=2,"P",""),IF($AA770=6,"P",""))</f>
        <v/>
      </c>
      <c r="L770" s="164" t="str">
        <f>IF(Settings!$M$4=Settings!$Y$3,IF($AA770=2,"P",""),IF($AA770=7,"P",""))</f>
        <v/>
      </c>
      <c r="M770" s="164" t="str">
        <f>IF(Settings!$M$4=Settings!$Y$3,IF($AA770=2,"P",""),IF($AA770=8,"P",""))</f>
        <v/>
      </c>
      <c r="N770" s="164" t="str">
        <f>IF(Settings!$M$4=Settings!$Y$3,IF($AA770=3,"P",""),IF($AA770=9,"P",""))</f>
        <v/>
      </c>
      <c r="O770" s="165" t="str">
        <f>IF(Settings!$M$4=Settings!$Y$3,IF($AA770=3,"P",""),IF($AA770=10,"P",""))</f>
        <v/>
      </c>
      <c r="P770" s="22"/>
      <c r="Q770" s="22"/>
      <c r="R770" s="373" t="e">
        <f>IF(INDEX(TblDatabase[Comment18],MATCH(1,INDEX(($L$4=ListEmployeeNamesInDatabase)*(C745=TblDatabase[Year]),0,1),0))="","",INDEX(TblDatabase[Comment18],MATCH(1,INDEX(($L$4=ListEmployeeNamesInDatabase)*(C745=TblDatabase[Year]),0,1),0)))</f>
        <v>#N/A</v>
      </c>
      <c r="S770" s="360"/>
      <c r="T770" s="360"/>
      <c r="U770" s="360"/>
      <c r="V770" s="360"/>
      <c r="W770" s="360"/>
      <c r="X770" s="360"/>
      <c r="Y770" s="361"/>
      <c r="Z770" s="149"/>
      <c r="AA770" s="151">
        <f>SUMIFS(TblDatabase[Competency18],ListEmployeeNamesInDatabase,$L$4,TblDatabase[Year],C745)</f>
        <v>0</v>
      </c>
      <c r="AB770" s="149"/>
      <c r="AC770" s="149"/>
      <c r="AD770" s="149"/>
      <c r="AE770" s="149"/>
      <c r="AF770" s="149"/>
    </row>
    <row r="771" spans="2:32" s="148" customFormat="1" ht="15" hidden="1" customHeight="1">
      <c r="B771" s="374" t="str">
        <f t="shared" si="17"/>
        <v/>
      </c>
      <c r="C771" s="353"/>
      <c r="D771" s="353"/>
      <c r="E771" s="354"/>
      <c r="F771" s="157" t="str">
        <f>IF(Settings!$M$4=Settings!$Y$3,IF($AA771=1,"P",""),IF($AA771=1,"P",""))</f>
        <v/>
      </c>
      <c r="G771" s="158" t="str">
        <f>IF(Settings!$M$4=Settings!$Y$3,IF($AA771=1,"P",""),IF($AA771=2,"P",""))</f>
        <v/>
      </c>
      <c r="H771" s="158" t="str">
        <f>IF(Settings!$M$4=Settings!$Y$3,IF($AA771=1,"P",""),IF($AA771=3,"P",""))</f>
        <v/>
      </c>
      <c r="I771" s="158" t="str">
        <f>IF(Settings!$M$4=Settings!$Y$3,IF($AA771=1,"P",""),IF($AA771=4,"P",""))</f>
        <v/>
      </c>
      <c r="J771" s="158" t="str">
        <f>IF(Settings!$M$4=Settings!$Y$3,IF($AA771=2,"P",""),IF($AA771=5,"P",""))</f>
        <v/>
      </c>
      <c r="K771" s="158" t="str">
        <f>IF(Settings!$M$4=Settings!$Y$3,IF($AA771=2,"P",""),IF($AA771=6,"P",""))</f>
        <v/>
      </c>
      <c r="L771" s="158" t="str">
        <f>IF(Settings!$M$4=Settings!$Y$3,IF($AA771=2,"P",""),IF($AA771=7,"P",""))</f>
        <v/>
      </c>
      <c r="M771" s="158" t="str">
        <f>IF(Settings!$M$4=Settings!$Y$3,IF($AA771=2,"P",""),IF($AA771=8,"P",""))</f>
        <v/>
      </c>
      <c r="N771" s="158" t="str">
        <f>IF(Settings!$M$4=Settings!$Y$3,IF($AA771=3,"P",""),IF($AA771=9,"P",""))</f>
        <v/>
      </c>
      <c r="O771" s="159" t="str">
        <f>IF(Settings!$M$4=Settings!$Y$3,IF($AA771=3,"P",""),IF($AA771=10,"P",""))</f>
        <v/>
      </c>
      <c r="P771" s="22"/>
      <c r="Q771" s="22"/>
      <c r="R771" s="374" t="e">
        <f>IF(INDEX(TblDatabase[Comment19],MATCH(1,INDEX(($L$4=ListEmployeeNamesInDatabase)*(C745=TblDatabase[Year]),0,1),0))="","",INDEX(TblDatabase[Comment19],MATCH(1,INDEX(($L$4=ListEmployeeNamesInDatabase)*(C745=TblDatabase[Year]),0,1),0)))</f>
        <v>#N/A</v>
      </c>
      <c r="S771" s="353"/>
      <c r="T771" s="353"/>
      <c r="U771" s="353"/>
      <c r="V771" s="353"/>
      <c r="W771" s="353"/>
      <c r="X771" s="353"/>
      <c r="Y771" s="354"/>
      <c r="Z771" s="149"/>
      <c r="AA771" s="151">
        <f>SUMIFS(TblDatabase[Competency19],ListEmployeeNamesInDatabase,$L$4,TblDatabase[Year],C745)</f>
        <v>0</v>
      </c>
      <c r="AB771" s="149"/>
      <c r="AC771" s="149"/>
      <c r="AD771" s="149"/>
      <c r="AE771" s="149"/>
      <c r="AF771" s="149"/>
    </row>
    <row r="772" spans="2:32" s="148" customFormat="1" ht="15" hidden="1" customHeight="1">
      <c r="B772" s="416" t="str">
        <f t="shared" si="17"/>
        <v/>
      </c>
      <c r="C772" s="365"/>
      <c r="D772" s="365"/>
      <c r="E772" s="366"/>
      <c r="F772" s="166" t="str">
        <f>IF(Settings!$M$4=Settings!$Y$3,IF($AA772=1,"P",""),IF($AA772=1,"P",""))</f>
        <v/>
      </c>
      <c r="G772" s="167" t="str">
        <f>IF(Settings!$M$4=Settings!$Y$3,IF($AA772=1,"P",""),IF($AA772=2,"P",""))</f>
        <v/>
      </c>
      <c r="H772" s="167" t="str">
        <f>IF(Settings!$M$4=Settings!$Y$3,IF($AA772=1,"P",""),IF($AA772=3,"P",""))</f>
        <v/>
      </c>
      <c r="I772" s="167" t="str">
        <f>IF(Settings!$M$4=Settings!$Y$3,IF($AA772=1,"P",""),IF($AA772=4,"P",""))</f>
        <v/>
      </c>
      <c r="J772" s="167" t="str">
        <f>IF(Settings!$M$4=Settings!$Y$3,IF($AA772=2,"P",""),IF($AA772=5,"P",""))</f>
        <v/>
      </c>
      <c r="K772" s="167" t="str">
        <f>IF(Settings!$M$4=Settings!$Y$3,IF($AA772=2,"P",""),IF($AA772=6,"P",""))</f>
        <v/>
      </c>
      <c r="L772" s="167" t="str">
        <f>IF(Settings!$M$4=Settings!$Y$3,IF($AA772=2,"P",""),IF($AA772=7,"P",""))</f>
        <v/>
      </c>
      <c r="M772" s="167" t="str">
        <f>IF(Settings!$M$4=Settings!$Y$3,IF($AA772=2,"P",""),IF($AA772=8,"P",""))</f>
        <v/>
      </c>
      <c r="N772" s="167" t="str">
        <f>IF(Settings!$M$4=Settings!$Y$3,IF($AA772=3,"P",""),IF($AA772=9,"P",""))</f>
        <v/>
      </c>
      <c r="O772" s="168" t="str">
        <f>IF(Settings!$M$4=Settings!$Y$3,IF($AA772=3,"P",""),IF($AA772=10,"P",""))</f>
        <v/>
      </c>
      <c r="P772" s="22"/>
      <c r="Q772" s="22"/>
      <c r="R772" s="416" t="e">
        <f>IF(INDEX(TblDatabase[Comment20],MATCH(1,INDEX(($L$4=ListEmployeeNamesInDatabase)*(C745=TblDatabase[Year]),0,1),0))="","",INDEX(TblDatabase[Comment20],MATCH(1,INDEX(($L$4=ListEmployeeNamesInDatabase)*(C745=TblDatabase[Year]),0,1),0)))</f>
        <v>#N/A</v>
      </c>
      <c r="S772" s="365"/>
      <c r="T772" s="365"/>
      <c r="U772" s="365"/>
      <c r="V772" s="365"/>
      <c r="W772" s="365"/>
      <c r="X772" s="365"/>
      <c r="Y772" s="366"/>
      <c r="Z772" s="149"/>
      <c r="AA772" s="151">
        <f>SUMIFS(TblDatabase[Competency20],ListEmployeeNamesInDatabase,$L$4,TblDatabase[Year],C745)</f>
        <v>0</v>
      </c>
      <c r="AB772" s="149"/>
      <c r="AC772" s="149"/>
      <c r="AD772" s="149"/>
      <c r="AE772" s="149"/>
      <c r="AF772" s="149"/>
    </row>
    <row r="773" spans="2:32" s="148" customFormat="1" hidden="1">
      <c r="B773" s="414" t="s">
        <v>26</v>
      </c>
      <c r="C773" s="415"/>
      <c r="D773" s="415"/>
      <c r="E773" s="371">
        <f ca="1">SUM(OFFSET(AA753,0,0,NumberOfCompetencies))</f>
        <v>0</v>
      </c>
      <c r="F773" s="372"/>
      <c r="G773" s="152"/>
      <c r="H773" s="152"/>
      <c r="I773" s="152"/>
      <c r="J773" s="152"/>
      <c r="K773" s="152"/>
      <c r="L773" s="152"/>
      <c r="M773" s="152"/>
      <c r="N773" s="152"/>
      <c r="O773" s="152"/>
      <c r="P773" s="152"/>
      <c r="Q773" s="152"/>
      <c r="R773" s="152"/>
      <c r="S773" s="152"/>
      <c r="T773" s="152"/>
      <c r="U773" s="152"/>
      <c r="V773" s="152"/>
      <c r="W773" s="152"/>
      <c r="X773" s="152"/>
      <c r="Y773" s="152"/>
      <c r="Z773" s="149"/>
      <c r="AA773" s="149"/>
      <c r="AB773" s="149"/>
      <c r="AC773" s="149"/>
      <c r="AD773" s="149"/>
      <c r="AE773" s="149"/>
      <c r="AF773" s="149"/>
    </row>
    <row r="774" spans="2:32" s="148" customFormat="1" hidden="1">
      <c r="B774" s="369" t="s">
        <v>27</v>
      </c>
      <c r="C774" s="370"/>
      <c r="D774" s="370"/>
      <c r="E774" s="358">
        <f ca="1">E773/NumberOfCompetencies</f>
        <v>0</v>
      </c>
      <c r="F774" s="359"/>
      <c r="G774" s="153"/>
      <c r="H774" s="153"/>
      <c r="I774" s="153"/>
      <c r="J774" s="153"/>
      <c r="K774" s="153"/>
      <c r="L774" s="153"/>
      <c r="M774" s="153"/>
      <c r="N774" s="153"/>
      <c r="O774" s="153"/>
      <c r="P774" s="153"/>
      <c r="Q774" s="153"/>
      <c r="R774" s="153"/>
      <c r="S774" s="153"/>
      <c r="T774" s="153"/>
      <c r="U774" s="153"/>
      <c r="V774" s="153"/>
      <c r="W774" s="153"/>
      <c r="X774" s="153"/>
      <c r="Y774" s="153"/>
      <c r="Z774" s="149"/>
      <c r="AA774" s="149"/>
      <c r="AB774" s="149"/>
      <c r="AC774" s="149"/>
      <c r="AD774" s="149"/>
      <c r="AE774" s="149"/>
      <c r="AF774" s="149"/>
    </row>
    <row r="775" spans="2:32" s="148" customFormat="1" hidden="1">
      <c r="B775" s="154"/>
      <c r="C775" s="154"/>
      <c r="D775" s="154"/>
      <c r="E775" s="154"/>
      <c r="F775" s="154"/>
      <c r="G775" s="154"/>
      <c r="H775" s="154"/>
      <c r="I775" s="154"/>
      <c r="J775" s="154"/>
      <c r="K775" s="154"/>
      <c r="L775" s="154"/>
      <c r="M775" s="154"/>
      <c r="N775" s="154"/>
      <c r="O775" s="154"/>
      <c r="P775" s="154"/>
      <c r="Q775" s="154"/>
      <c r="R775" s="154"/>
      <c r="S775" s="154"/>
      <c r="T775" s="154"/>
      <c r="U775" s="154"/>
      <c r="V775" s="154"/>
      <c r="W775" s="154"/>
      <c r="X775" s="154"/>
      <c r="Y775" s="154"/>
      <c r="Z775" s="149"/>
      <c r="AA775" s="149"/>
      <c r="AB775" s="149"/>
      <c r="AC775" s="149"/>
      <c r="AD775" s="149"/>
      <c r="AE775" s="149"/>
      <c r="AF775" s="149"/>
    </row>
    <row r="776" spans="2:32" s="148" customFormat="1" hidden="1">
      <c r="B776" s="338" t="str">
        <f>Settings!$N$15</f>
        <v>Previously agreed actions</v>
      </c>
      <c r="C776" s="339"/>
      <c r="D776" s="339"/>
      <c r="E776" s="339"/>
      <c r="F776" s="339"/>
      <c r="G776" s="339"/>
      <c r="H776" s="339"/>
      <c r="I776" s="339"/>
      <c r="J776" s="339"/>
      <c r="K776" s="339"/>
      <c r="L776" s="339"/>
      <c r="M776" s="339"/>
      <c r="N776" s="339"/>
      <c r="O776" s="339"/>
      <c r="P776" s="339"/>
      <c r="Q776" s="339"/>
      <c r="R776" s="339"/>
      <c r="S776" s="339"/>
      <c r="T776" s="339"/>
      <c r="U776" s="339"/>
      <c r="V776" s="339"/>
      <c r="W776" s="339"/>
      <c r="X776" s="339"/>
      <c r="Y776" s="340"/>
      <c r="Z776" s="149"/>
      <c r="AA776" s="149"/>
      <c r="AB776" s="149"/>
      <c r="AC776" s="149"/>
      <c r="AD776" s="149"/>
      <c r="AE776" s="149"/>
      <c r="AF776" s="149"/>
    </row>
    <row r="777" spans="2:32" s="148" customFormat="1" hidden="1">
      <c r="B777" s="341" t="e">
        <f>IF(INDEX(TblDatabase[Feedback Does Well],MATCH(1,INDEX(($L$4=ListEmployeeNamesInDatabase)*(C745=TblDatabase[Year]),0,1),0))="","",INDEX(TblDatabase[Feedback Does Well],MATCH(1,INDEX(($L$4=ListEmployeeNamesInDatabase)*(C745=TblDatabase[Year]),0,1),0)))</f>
        <v>#N/A</v>
      </c>
      <c r="C777" s="342"/>
      <c r="D777" s="342"/>
      <c r="E777" s="342"/>
      <c r="F777" s="342"/>
      <c r="G777" s="342"/>
      <c r="H777" s="342"/>
      <c r="I777" s="342"/>
      <c r="J777" s="342"/>
      <c r="K777" s="342"/>
      <c r="L777" s="342"/>
      <c r="M777" s="342"/>
      <c r="N777" s="342"/>
      <c r="O777" s="342"/>
      <c r="P777" s="342"/>
      <c r="Q777" s="342"/>
      <c r="R777" s="342"/>
      <c r="S777" s="342"/>
      <c r="T777" s="342"/>
      <c r="U777" s="342"/>
      <c r="V777" s="342"/>
      <c r="W777" s="342"/>
      <c r="X777" s="342"/>
      <c r="Y777" s="343"/>
      <c r="Z777" s="149"/>
      <c r="AA777" s="149"/>
      <c r="AB777" s="149"/>
      <c r="AC777" s="149"/>
      <c r="AD777" s="149"/>
      <c r="AE777" s="149"/>
      <c r="AF777" s="149"/>
    </row>
    <row r="778" spans="2:32" s="148" customFormat="1" hidden="1">
      <c r="B778" s="344"/>
      <c r="C778" s="345"/>
      <c r="D778" s="345"/>
      <c r="E778" s="345"/>
      <c r="F778" s="345"/>
      <c r="G778" s="345"/>
      <c r="H778" s="345"/>
      <c r="I778" s="345"/>
      <c r="J778" s="345"/>
      <c r="K778" s="345"/>
      <c r="L778" s="345"/>
      <c r="M778" s="345"/>
      <c r="N778" s="345"/>
      <c r="O778" s="345"/>
      <c r="P778" s="345"/>
      <c r="Q778" s="345"/>
      <c r="R778" s="345"/>
      <c r="S778" s="345"/>
      <c r="T778" s="345"/>
      <c r="U778" s="345"/>
      <c r="V778" s="345"/>
      <c r="W778" s="345"/>
      <c r="X778" s="345"/>
      <c r="Y778" s="346"/>
      <c r="Z778" s="149"/>
      <c r="AA778" s="149"/>
      <c r="AB778" s="149"/>
      <c r="AC778" s="149"/>
      <c r="AD778" s="149"/>
      <c r="AE778" s="149"/>
      <c r="AF778" s="149"/>
    </row>
    <row r="779" spans="2:32" s="148" customFormat="1" hidden="1">
      <c r="B779" s="347"/>
      <c r="C779" s="348"/>
      <c r="D779" s="348"/>
      <c r="E779" s="348"/>
      <c r="F779" s="348"/>
      <c r="G779" s="348"/>
      <c r="H779" s="348"/>
      <c r="I779" s="348"/>
      <c r="J779" s="348"/>
      <c r="K779" s="348"/>
      <c r="L779" s="348"/>
      <c r="M779" s="348"/>
      <c r="N779" s="348"/>
      <c r="O779" s="348"/>
      <c r="P779" s="348"/>
      <c r="Q779" s="348"/>
      <c r="R779" s="348"/>
      <c r="S779" s="348"/>
      <c r="T779" s="348"/>
      <c r="U779" s="348"/>
      <c r="V779" s="348"/>
      <c r="W779" s="348"/>
      <c r="X779" s="348"/>
      <c r="Y779" s="349"/>
      <c r="Z779" s="149"/>
      <c r="AA779" s="149"/>
      <c r="AB779" s="149"/>
      <c r="AC779" s="149"/>
      <c r="AD779" s="149"/>
      <c r="AE779" s="149"/>
      <c r="AF779" s="149"/>
    </row>
    <row r="780" spans="2:32" s="148" customFormat="1" hidden="1">
      <c r="B780" s="155"/>
      <c r="C780" s="155"/>
      <c r="D780" s="155"/>
      <c r="E780" s="155"/>
      <c r="F780" s="155"/>
      <c r="G780" s="155"/>
      <c r="H780" s="155"/>
      <c r="I780" s="155"/>
      <c r="J780" s="155"/>
      <c r="K780" s="155"/>
      <c r="L780" s="155"/>
      <c r="M780" s="155"/>
      <c r="N780" s="155"/>
      <c r="O780" s="155"/>
      <c r="P780" s="155"/>
      <c r="Q780" s="155"/>
      <c r="R780" s="155"/>
      <c r="S780" s="155"/>
      <c r="T780" s="155"/>
      <c r="U780" s="155"/>
      <c r="V780" s="155"/>
      <c r="W780" s="155"/>
      <c r="X780" s="155"/>
      <c r="Y780" s="155"/>
      <c r="Z780" s="149"/>
      <c r="AA780" s="149"/>
      <c r="AB780" s="149"/>
      <c r="AC780" s="149"/>
      <c r="AD780" s="149"/>
      <c r="AE780" s="149"/>
      <c r="AF780" s="149"/>
    </row>
    <row r="781" spans="2:32" s="148" customFormat="1" hidden="1">
      <c r="B781" s="338" t="str">
        <f>Settings!$N$16</f>
        <v>Actions agreed during this review</v>
      </c>
      <c r="C781" s="339"/>
      <c r="D781" s="339"/>
      <c r="E781" s="339"/>
      <c r="F781" s="339"/>
      <c r="G781" s="339"/>
      <c r="H781" s="339"/>
      <c r="I781" s="339"/>
      <c r="J781" s="339"/>
      <c r="K781" s="339"/>
      <c r="L781" s="339"/>
      <c r="M781" s="339"/>
      <c r="N781" s="339"/>
      <c r="O781" s="339"/>
      <c r="P781" s="339"/>
      <c r="Q781" s="339"/>
      <c r="R781" s="339"/>
      <c r="S781" s="339"/>
      <c r="T781" s="339"/>
      <c r="U781" s="339"/>
      <c r="V781" s="339"/>
      <c r="W781" s="339"/>
      <c r="X781" s="339"/>
      <c r="Y781" s="340"/>
      <c r="Z781" s="149"/>
      <c r="AA781" s="149"/>
      <c r="AB781" s="149"/>
      <c r="AC781" s="149"/>
      <c r="AD781" s="149"/>
      <c r="AE781" s="149"/>
      <c r="AF781" s="149"/>
    </row>
    <row r="782" spans="2:32" s="148" customFormat="1" hidden="1">
      <c r="B782" s="341" t="e">
        <f>IF(INDEX(TblDatabase[Feedback To Improve],MATCH(1,INDEX(($L$4=ListEmployeeNamesInDatabase)*(C745=TblDatabase[Year]),0,1),0))="","",INDEX(TblDatabase[Feedback To Improve],MATCH(1,INDEX(($L$4=ListEmployeeNamesInDatabase)*(C745=TblDatabase[Year]),0,1),0)))</f>
        <v>#N/A</v>
      </c>
      <c r="C782" s="342"/>
      <c r="D782" s="342"/>
      <c r="E782" s="342"/>
      <c r="F782" s="342"/>
      <c r="G782" s="342"/>
      <c r="H782" s="342"/>
      <c r="I782" s="342"/>
      <c r="J782" s="342"/>
      <c r="K782" s="342"/>
      <c r="L782" s="342"/>
      <c r="M782" s="342"/>
      <c r="N782" s="342"/>
      <c r="O782" s="342"/>
      <c r="P782" s="342"/>
      <c r="Q782" s="342"/>
      <c r="R782" s="342"/>
      <c r="S782" s="342"/>
      <c r="T782" s="342"/>
      <c r="U782" s="342"/>
      <c r="V782" s="342"/>
      <c r="W782" s="342"/>
      <c r="X782" s="342"/>
      <c r="Y782" s="343"/>
      <c r="Z782" s="149"/>
      <c r="AA782" s="149"/>
      <c r="AB782" s="149"/>
      <c r="AC782" s="149"/>
      <c r="AD782" s="149"/>
      <c r="AE782" s="149"/>
      <c r="AF782" s="149"/>
    </row>
    <row r="783" spans="2:32" s="148" customFormat="1" hidden="1">
      <c r="B783" s="344"/>
      <c r="C783" s="345"/>
      <c r="D783" s="345"/>
      <c r="E783" s="345"/>
      <c r="F783" s="345"/>
      <c r="G783" s="345"/>
      <c r="H783" s="345"/>
      <c r="I783" s="345"/>
      <c r="J783" s="345"/>
      <c r="K783" s="345"/>
      <c r="L783" s="345"/>
      <c r="M783" s="345"/>
      <c r="N783" s="345"/>
      <c r="O783" s="345"/>
      <c r="P783" s="345"/>
      <c r="Q783" s="345"/>
      <c r="R783" s="345"/>
      <c r="S783" s="345"/>
      <c r="T783" s="345"/>
      <c r="U783" s="345"/>
      <c r="V783" s="345"/>
      <c r="W783" s="345"/>
      <c r="X783" s="345"/>
      <c r="Y783" s="346"/>
      <c r="Z783" s="149"/>
      <c r="AA783" s="149"/>
      <c r="AB783" s="149"/>
      <c r="AC783" s="149"/>
      <c r="AD783" s="149"/>
      <c r="AE783" s="149"/>
      <c r="AF783" s="149"/>
    </row>
    <row r="784" spans="2:32" s="148" customFormat="1" hidden="1">
      <c r="B784" s="347"/>
      <c r="C784" s="348"/>
      <c r="D784" s="348"/>
      <c r="E784" s="348"/>
      <c r="F784" s="348"/>
      <c r="G784" s="348"/>
      <c r="H784" s="348"/>
      <c r="I784" s="348"/>
      <c r="J784" s="348"/>
      <c r="K784" s="348"/>
      <c r="L784" s="348"/>
      <c r="M784" s="348"/>
      <c r="N784" s="348"/>
      <c r="O784" s="348"/>
      <c r="P784" s="348"/>
      <c r="Q784" s="348"/>
      <c r="R784" s="348"/>
      <c r="S784" s="348"/>
      <c r="T784" s="348"/>
      <c r="U784" s="348"/>
      <c r="V784" s="348"/>
      <c r="W784" s="348"/>
      <c r="X784" s="348"/>
      <c r="Y784" s="349"/>
      <c r="Z784" s="149"/>
      <c r="AA784" s="149"/>
      <c r="AB784" s="149"/>
      <c r="AC784" s="149"/>
      <c r="AD784" s="149"/>
      <c r="AE784" s="149"/>
      <c r="AF784" s="149"/>
    </row>
    <row r="785" spans="1:32" s="148" customFormat="1" hidden="1">
      <c r="B785" s="156"/>
      <c r="C785" s="156"/>
      <c r="D785" s="156"/>
      <c r="E785" s="155"/>
      <c r="F785" s="155"/>
      <c r="G785" s="155"/>
      <c r="H785" s="155"/>
      <c r="I785" s="155"/>
      <c r="J785" s="155"/>
      <c r="K785" s="155"/>
      <c r="L785" s="155"/>
      <c r="M785" s="155"/>
      <c r="N785" s="155"/>
      <c r="O785" s="155"/>
      <c r="P785" s="155"/>
      <c r="Q785" s="155"/>
      <c r="R785" s="155"/>
      <c r="S785" s="155"/>
      <c r="T785" s="155"/>
      <c r="U785" s="155"/>
      <c r="V785" s="155"/>
      <c r="W785" s="155"/>
      <c r="X785" s="155"/>
      <c r="Y785" s="155"/>
      <c r="Z785" s="149"/>
      <c r="AA785" s="149"/>
      <c r="AB785" s="149"/>
      <c r="AC785" s="149"/>
      <c r="AD785" s="149"/>
      <c r="AE785" s="149"/>
      <c r="AF785" s="149"/>
    </row>
    <row r="786" spans="1:32" s="148" customFormat="1" hidden="1">
      <c r="A786" s="150">
        <f>A745+1</f>
        <v>19</v>
      </c>
      <c r="B786" s="27" t="s">
        <v>14</v>
      </c>
      <c r="C786" s="333">
        <f>C745-1</f>
        <v>2002</v>
      </c>
      <c r="D786" s="334"/>
      <c r="Y786" s="149"/>
      <c r="Z786" s="149"/>
      <c r="AA786" s="149"/>
      <c r="AB786" s="149"/>
      <c r="AC786" s="149"/>
      <c r="AD786" s="149"/>
      <c r="AE786" s="149"/>
      <c r="AF786" s="149"/>
    </row>
    <row r="787" spans="1:32" s="148" customFormat="1" hidden="1">
      <c r="Y787" s="149"/>
      <c r="Z787" s="149"/>
      <c r="AA787" s="149"/>
      <c r="AB787" s="149"/>
      <c r="AC787" s="149"/>
      <c r="AD787" s="149"/>
      <c r="AE787" s="149"/>
      <c r="AF787" s="149"/>
    </row>
    <row r="788" spans="1:32" s="148" customFormat="1" hidden="1">
      <c r="B788" s="338" t="str">
        <f>Settings!$N$14</f>
        <v>Employee's comments</v>
      </c>
      <c r="C788" s="339"/>
      <c r="D788" s="339"/>
      <c r="E788" s="339"/>
      <c r="F788" s="339"/>
      <c r="G788" s="339"/>
      <c r="H788" s="339"/>
      <c r="I788" s="339"/>
      <c r="J788" s="339"/>
      <c r="K788" s="339"/>
      <c r="L788" s="339"/>
      <c r="M788" s="339"/>
      <c r="N788" s="339"/>
      <c r="O788" s="339"/>
      <c r="P788" s="339"/>
      <c r="Q788" s="339"/>
      <c r="R788" s="339"/>
      <c r="S788" s="339"/>
      <c r="T788" s="339"/>
      <c r="U788" s="339"/>
      <c r="V788" s="339"/>
      <c r="W788" s="339"/>
      <c r="X788" s="339"/>
      <c r="Y788" s="340"/>
      <c r="Z788" s="149"/>
      <c r="AA788" s="149"/>
      <c r="AB788" s="149"/>
      <c r="AC788" s="149"/>
      <c r="AD788" s="149"/>
      <c r="AE788" s="149"/>
      <c r="AF788" s="149"/>
    </row>
    <row r="789" spans="1:32" s="148" customFormat="1" hidden="1">
      <c r="B789" s="341" t="e">
        <f>IF(INDEX(TblDatabase[Feedback Warnings],MATCH(1,INDEX(($L$4=ListEmployeeNamesInDatabase)*(C786=TblDatabase[Year]),0,1),0))="","",INDEX(TblDatabase[Feedback Warnings],MATCH(1,INDEX(($L$4=ListEmployeeNamesInDatabase)*(C786=TblDatabase[Year]),0,1),0)))</f>
        <v>#N/A</v>
      </c>
      <c r="C789" s="342"/>
      <c r="D789" s="342"/>
      <c r="E789" s="342"/>
      <c r="F789" s="342"/>
      <c r="G789" s="342"/>
      <c r="H789" s="342"/>
      <c r="I789" s="342"/>
      <c r="J789" s="342"/>
      <c r="K789" s="342"/>
      <c r="L789" s="342"/>
      <c r="M789" s="342"/>
      <c r="N789" s="342"/>
      <c r="O789" s="342"/>
      <c r="P789" s="342"/>
      <c r="Q789" s="342"/>
      <c r="R789" s="342"/>
      <c r="S789" s="342"/>
      <c r="T789" s="342"/>
      <c r="U789" s="342"/>
      <c r="V789" s="342"/>
      <c r="W789" s="342"/>
      <c r="X789" s="342"/>
      <c r="Y789" s="343"/>
      <c r="Z789" s="149"/>
      <c r="AA789" s="149"/>
      <c r="AB789" s="149"/>
      <c r="AC789" s="149"/>
      <c r="AD789" s="149"/>
      <c r="AE789" s="149"/>
      <c r="AF789" s="149"/>
    </row>
    <row r="790" spans="1:32" s="148" customFormat="1" hidden="1">
      <c r="B790" s="344"/>
      <c r="C790" s="345"/>
      <c r="D790" s="345"/>
      <c r="E790" s="345"/>
      <c r="F790" s="345"/>
      <c r="G790" s="345"/>
      <c r="H790" s="345"/>
      <c r="I790" s="345"/>
      <c r="J790" s="345"/>
      <c r="K790" s="345"/>
      <c r="L790" s="345"/>
      <c r="M790" s="345"/>
      <c r="N790" s="345"/>
      <c r="O790" s="345"/>
      <c r="P790" s="345"/>
      <c r="Q790" s="345"/>
      <c r="R790" s="345"/>
      <c r="S790" s="345"/>
      <c r="T790" s="345"/>
      <c r="U790" s="345"/>
      <c r="V790" s="345"/>
      <c r="W790" s="345"/>
      <c r="X790" s="345"/>
      <c r="Y790" s="346"/>
      <c r="Z790" s="149"/>
      <c r="AA790" s="149"/>
      <c r="AB790" s="149"/>
      <c r="AC790" s="149"/>
      <c r="AD790" s="149"/>
      <c r="AE790" s="149"/>
      <c r="AF790" s="149"/>
    </row>
    <row r="791" spans="1:32" s="148" customFormat="1" hidden="1">
      <c r="B791" s="347"/>
      <c r="C791" s="348"/>
      <c r="D791" s="348"/>
      <c r="E791" s="348"/>
      <c r="F791" s="348"/>
      <c r="G791" s="348"/>
      <c r="H791" s="348"/>
      <c r="I791" s="348"/>
      <c r="J791" s="348"/>
      <c r="K791" s="348"/>
      <c r="L791" s="348"/>
      <c r="M791" s="348"/>
      <c r="N791" s="348"/>
      <c r="O791" s="348"/>
      <c r="P791" s="348"/>
      <c r="Q791" s="348"/>
      <c r="R791" s="348"/>
      <c r="S791" s="348"/>
      <c r="T791" s="348"/>
      <c r="U791" s="348"/>
      <c r="V791" s="348"/>
      <c r="W791" s="348"/>
      <c r="X791" s="348"/>
      <c r="Y791" s="349"/>
      <c r="Z791" s="149"/>
      <c r="AA791" s="149"/>
      <c r="AB791" s="149"/>
      <c r="AC791" s="149"/>
      <c r="AD791" s="149"/>
      <c r="AE791" s="149"/>
      <c r="AF791" s="149"/>
    </row>
    <row r="792" spans="1:32" s="148" customFormat="1" hidden="1">
      <c r="Y792" s="149"/>
      <c r="Z792" s="149"/>
      <c r="AA792" s="149"/>
      <c r="AB792" s="149"/>
      <c r="AC792" s="149"/>
      <c r="AD792" s="149"/>
      <c r="AE792" s="149"/>
      <c r="AF792" s="149"/>
    </row>
    <row r="793" spans="1:32" s="148" customFormat="1" ht="15" hidden="1" customHeight="1">
      <c r="B793" s="320" t="s">
        <v>8</v>
      </c>
      <c r="C793" s="321"/>
      <c r="D793" s="321"/>
      <c r="E793" s="321"/>
      <c r="F793" s="233">
        <f>IF(Settings!$M$4=Settings!$Y$3,Settings!$O$19,1)</f>
        <v>1</v>
      </c>
      <c r="G793" s="234">
        <f>IF(Settings!$M$4=Settings!$Y$3,Settings!$O$19,2)</f>
        <v>2</v>
      </c>
      <c r="H793" s="234">
        <f>IF(Settings!$M$4=Settings!$Y$3,Settings!$O$19,3)</f>
        <v>3</v>
      </c>
      <c r="I793" s="234">
        <f>IF(Settings!$M$4=Settings!$Y$3,Settings!$O$19,4)</f>
        <v>4</v>
      </c>
      <c r="J793" s="234">
        <f>IF(Settings!$M$4=Settings!$Y$3,Settings!$O$20,5)</f>
        <v>5</v>
      </c>
      <c r="K793" s="234">
        <f>IF(Settings!$M$4=Settings!$Y$3,Settings!$O$20,6)</f>
        <v>6</v>
      </c>
      <c r="L793" s="234">
        <f>IF(Settings!$M$4=Settings!$Y$3,Settings!$O$20,7)</f>
        <v>7</v>
      </c>
      <c r="M793" s="234">
        <f>IF(Settings!$M$4=Settings!$Y$3,Settings!$O$20,8)</f>
        <v>8</v>
      </c>
      <c r="N793" s="234">
        <f>IF(Settings!$M$4=Settings!$Y$3,Settings!$O$21,9)</f>
        <v>9</v>
      </c>
      <c r="O793" s="235">
        <f>IF(Settings!$M$4=Settings!$Y$3,Settings!$O$21,10)</f>
        <v>10</v>
      </c>
      <c r="P793" s="22"/>
      <c r="Q793" s="22"/>
      <c r="R793" s="333" t="s">
        <v>24</v>
      </c>
      <c r="S793" s="333"/>
      <c r="T793" s="333"/>
      <c r="U793" s="333"/>
      <c r="V793" s="333"/>
      <c r="W793" s="333"/>
      <c r="X793" s="333"/>
      <c r="Y793" s="334"/>
      <c r="Z793" s="149"/>
      <c r="AA793" s="149"/>
      <c r="AB793" s="149"/>
      <c r="AC793" s="149"/>
      <c r="AD793" s="149"/>
      <c r="AE793" s="149"/>
      <c r="AF793" s="149"/>
    </row>
    <row r="794" spans="1:32" s="148" customFormat="1" ht="15" hidden="1" customHeight="1">
      <c r="B794" s="335" t="str">
        <f t="shared" ref="B794:B813" si="18">B753</f>
        <v>Quality of Work</v>
      </c>
      <c r="C794" s="336"/>
      <c r="D794" s="336"/>
      <c r="E794" s="337"/>
      <c r="F794" s="162" t="str">
        <f>IF(Settings!$M$4=Settings!$Y$3,IF($AA794=1,"P",""),IF($AA794=1,"P",""))</f>
        <v/>
      </c>
      <c r="G794" s="160" t="str">
        <f>IF(Settings!$M$4=Settings!$Y$3,IF($AA794=1,"P",""),IF($AA794=2,"P",""))</f>
        <v/>
      </c>
      <c r="H794" s="160" t="str">
        <f>IF(Settings!$M$4=Settings!$Y$3,IF($AA794=1,"P",""),IF($AA794=3,"P",""))</f>
        <v/>
      </c>
      <c r="I794" s="160" t="str">
        <f>IF(Settings!$M$4=Settings!$Y$3,IF($AA794=1,"P",""),IF($AA794=4,"P",""))</f>
        <v/>
      </c>
      <c r="J794" s="160" t="str">
        <f>IF(Settings!$M$4=Settings!$Y$3,IF($AA794=2,"P",""),IF($AA794=5,"P",""))</f>
        <v/>
      </c>
      <c r="K794" s="160" t="str">
        <f>IF(Settings!$M$4=Settings!$Y$3,IF($AA794=2,"P",""),IF($AA794=6,"P",""))</f>
        <v/>
      </c>
      <c r="L794" s="160" t="str">
        <f>IF(Settings!$M$4=Settings!$Y$3,IF($AA794=2,"P",""),IF($AA794=7,"P",""))</f>
        <v/>
      </c>
      <c r="M794" s="160" t="str">
        <f>IF(Settings!$M$4=Settings!$Y$3,IF($AA794=2,"P",""),IF($AA794=8,"P",""))</f>
        <v/>
      </c>
      <c r="N794" s="160" t="str">
        <f>IF(Settings!$M$4=Settings!$Y$3,IF($AA794=3,"P",""),IF($AA794=9,"P",""))</f>
        <v/>
      </c>
      <c r="O794" s="161" t="str">
        <f>IF(Settings!$M$4=Settings!$Y$3,IF($AA794=3,"P",""),IF($AA794=10,"P",""))</f>
        <v/>
      </c>
      <c r="P794" s="22"/>
      <c r="Q794" s="22"/>
      <c r="R794" s="367" t="e">
        <f>IF(INDEX(TblDatabase[Comment1],MATCH(1,INDEX(($L$4=ListEmployeeNamesInDatabase)*(C786=TblDatabase[Year]),0,1),0))="","",INDEX(TblDatabase[Comment1],MATCH(1,INDEX(($L$4=ListEmployeeNamesInDatabase)*(C786=TblDatabase[Year]),0,1),0)))</f>
        <v>#N/A</v>
      </c>
      <c r="S794" s="367"/>
      <c r="T794" s="367"/>
      <c r="U794" s="367"/>
      <c r="V794" s="367"/>
      <c r="W794" s="367"/>
      <c r="X794" s="367"/>
      <c r="Y794" s="368"/>
      <c r="Z794" s="149"/>
      <c r="AA794" s="151">
        <f>SUMIFS(TblDatabase[Competency1],ListEmployeeNamesInDatabase,$L$4,TblDatabase[Year],C786)</f>
        <v>0</v>
      </c>
      <c r="AB794" s="149"/>
      <c r="AC794" s="149"/>
      <c r="AD794" s="149"/>
      <c r="AE794" s="149"/>
      <c r="AF794" s="149"/>
    </row>
    <row r="795" spans="1:32" s="148" customFormat="1" ht="15" hidden="1" customHeight="1">
      <c r="B795" s="355" t="str">
        <f t="shared" si="18"/>
        <v>CaLL flow</v>
      </c>
      <c r="C795" s="356"/>
      <c r="D795" s="356"/>
      <c r="E795" s="357"/>
      <c r="F795" s="163" t="str">
        <f>IF(Settings!$M$4=Settings!$Y$3,IF($AA795=1,"P",""),IF($AA795=1,"P",""))</f>
        <v/>
      </c>
      <c r="G795" s="164" t="str">
        <f>IF(Settings!$M$4=Settings!$Y$3,IF($AA795=1,"P",""),IF($AA795=2,"P",""))</f>
        <v/>
      </c>
      <c r="H795" s="164" t="str">
        <f>IF(Settings!$M$4=Settings!$Y$3,IF($AA795=1,"P",""),IF($AA795=3,"P",""))</f>
        <v/>
      </c>
      <c r="I795" s="164" t="str">
        <f>IF(Settings!$M$4=Settings!$Y$3,IF($AA795=1,"P",""),IF($AA795=4,"P",""))</f>
        <v/>
      </c>
      <c r="J795" s="164" t="str">
        <f>IF(Settings!$M$4=Settings!$Y$3,IF($AA795=2,"P",""),IF($AA795=5,"P",""))</f>
        <v/>
      </c>
      <c r="K795" s="164" t="str">
        <f>IF(Settings!$M$4=Settings!$Y$3,IF($AA795=2,"P",""),IF($AA795=6,"P",""))</f>
        <v/>
      </c>
      <c r="L795" s="164" t="str">
        <f>IF(Settings!$M$4=Settings!$Y$3,IF($AA795=2,"P",""),IF($AA795=7,"P",""))</f>
        <v/>
      </c>
      <c r="M795" s="164" t="str">
        <f>IF(Settings!$M$4=Settings!$Y$3,IF($AA795=2,"P",""),IF($AA795=8,"P",""))</f>
        <v/>
      </c>
      <c r="N795" s="164" t="str">
        <f>IF(Settings!$M$4=Settings!$Y$3,IF($AA795=3,"P",""),IF($AA795=9,"P",""))</f>
        <v/>
      </c>
      <c r="O795" s="165" t="str">
        <f>IF(Settings!$M$4=Settings!$Y$3,IF($AA795=3,"P",""),IF($AA795=10,"P",""))</f>
        <v/>
      </c>
      <c r="P795" s="22"/>
      <c r="Q795" s="22"/>
      <c r="R795" s="360" t="e">
        <f>IF(INDEX(TblDatabase[Comment2],MATCH(1,INDEX(($L$4=ListEmployeeNamesInDatabase)*(C786=TblDatabase[Year]),0,1),0))="","",INDEX(TblDatabase[Comment2],MATCH(1,INDEX(($L$4=ListEmployeeNamesInDatabase)*(C786=TblDatabase[Year]),0,1),0)))</f>
        <v>#N/A</v>
      </c>
      <c r="S795" s="360"/>
      <c r="T795" s="360"/>
      <c r="U795" s="360"/>
      <c r="V795" s="360"/>
      <c r="W795" s="360"/>
      <c r="X795" s="360"/>
      <c r="Y795" s="361"/>
      <c r="Z795" s="149"/>
      <c r="AA795" s="151">
        <f>SUMIFS(TblDatabase[Competency2],ListEmployeeNamesInDatabase,$L$4,TblDatabase[Year],C786)</f>
        <v>0</v>
      </c>
      <c r="AB795" s="149"/>
      <c r="AC795" s="149"/>
      <c r="AD795" s="149"/>
      <c r="AE795" s="149"/>
      <c r="AF795" s="149"/>
    </row>
    <row r="796" spans="1:32" s="148" customFormat="1" ht="15" hidden="1" customHeight="1">
      <c r="B796" s="350" t="str">
        <f t="shared" si="18"/>
        <v>Job Knowledge</v>
      </c>
      <c r="C796" s="351"/>
      <c r="D796" s="351"/>
      <c r="E796" s="352"/>
      <c r="F796" s="157" t="str">
        <f>IF(Settings!$M$4=Settings!$Y$3,IF($AA796=1,"P",""),IF($AA796=1,"P",""))</f>
        <v/>
      </c>
      <c r="G796" s="158" t="str">
        <f>IF(Settings!$M$4=Settings!$Y$3,IF($AA796=1,"P",""),IF($AA796=2,"P",""))</f>
        <v/>
      </c>
      <c r="H796" s="158" t="str">
        <f>IF(Settings!$M$4=Settings!$Y$3,IF($AA796=1,"P",""),IF($AA796=3,"P",""))</f>
        <v/>
      </c>
      <c r="I796" s="158" t="str">
        <f>IF(Settings!$M$4=Settings!$Y$3,IF($AA796=1,"P",""),IF($AA796=4,"P",""))</f>
        <v/>
      </c>
      <c r="J796" s="158" t="str">
        <f>IF(Settings!$M$4=Settings!$Y$3,IF($AA796=2,"P",""),IF($AA796=5,"P",""))</f>
        <v/>
      </c>
      <c r="K796" s="158" t="str">
        <f>IF(Settings!$M$4=Settings!$Y$3,IF($AA796=2,"P",""),IF($AA796=6,"P",""))</f>
        <v/>
      </c>
      <c r="L796" s="158" t="str">
        <f>IF(Settings!$M$4=Settings!$Y$3,IF($AA796=2,"P",""),IF($AA796=7,"P",""))</f>
        <v/>
      </c>
      <c r="M796" s="158" t="str">
        <f>IF(Settings!$M$4=Settings!$Y$3,IF($AA796=2,"P",""),IF($AA796=8,"P",""))</f>
        <v/>
      </c>
      <c r="N796" s="158" t="str">
        <f>IF(Settings!$M$4=Settings!$Y$3,IF($AA796=3,"P",""),IF($AA796=9,"P",""))</f>
        <v/>
      </c>
      <c r="O796" s="159" t="str">
        <f>IF(Settings!$M$4=Settings!$Y$3,IF($AA796=3,"P",""),IF($AA796=10,"P",""))</f>
        <v/>
      </c>
      <c r="P796" s="22"/>
      <c r="Q796" s="22"/>
      <c r="R796" s="353" t="e">
        <f>IF(INDEX(TblDatabase[Comment3],MATCH(1,INDEX(($L$4=ListEmployeeNamesInDatabase)*(C786=TblDatabase[Year]),0,1),0))="","",INDEX(TblDatabase[Comment3],MATCH(1,INDEX(($L$4=ListEmployeeNamesInDatabase)*(C786=TblDatabase[Year]),0,1),0)))</f>
        <v>#N/A</v>
      </c>
      <c r="S796" s="353"/>
      <c r="T796" s="353"/>
      <c r="U796" s="353"/>
      <c r="V796" s="353"/>
      <c r="W796" s="353"/>
      <c r="X796" s="353"/>
      <c r="Y796" s="354"/>
      <c r="Z796" s="149"/>
      <c r="AA796" s="151">
        <f>SUMIFS(TblDatabase[Competency3],ListEmployeeNamesInDatabase,$L$4,TblDatabase[Year],C786)</f>
        <v>0</v>
      </c>
      <c r="AB796" s="149"/>
      <c r="AC796" s="149"/>
      <c r="AD796" s="149"/>
      <c r="AE796" s="149"/>
      <c r="AF796" s="149"/>
    </row>
    <row r="797" spans="1:32" s="148" customFormat="1" ht="15" hidden="1" customHeight="1">
      <c r="B797" s="355" t="str">
        <f t="shared" si="18"/>
        <v>Client Service</v>
      </c>
      <c r="C797" s="356"/>
      <c r="D797" s="356"/>
      <c r="E797" s="357"/>
      <c r="F797" s="163" t="str">
        <f>IF(Settings!$M$4=Settings!$Y$3,IF($AA797=1,"P",""),IF($AA797=1,"P",""))</f>
        <v/>
      </c>
      <c r="G797" s="164" t="str">
        <f>IF(Settings!$M$4=Settings!$Y$3,IF($AA797=1,"P",""),IF($AA797=2,"P",""))</f>
        <v/>
      </c>
      <c r="H797" s="164" t="str">
        <f>IF(Settings!$M$4=Settings!$Y$3,IF($AA797=1,"P",""),IF($AA797=3,"P",""))</f>
        <v/>
      </c>
      <c r="I797" s="164" t="str">
        <f>IF(Settings!$M$4=Settings!$Y$3,IF($AA797=1,"P",""),IF($AA797=4,"P",""))</f>
        <v/>
      </c>
      <c r="J797" s="164" t="str">
        <f>IF(Settings!$M$4=Settings!$Y$3,IF($AA797=2,"P",""),IF($AA797=5,"P",""))</f>
        <v/>
      </c>
      <c r="K797" s="164" t="str">
        <f>IF(Settings!$M$4=Settings!$Y$3,IF($AA797=2,"P",""),IF($AA797=6,"P",""))</f>
        <v/>
      </c>
      <c r="L797" s="164" t="str">
        <f>IF(Settings!$M$4=Settings!$Y$3,IF($AA797=2,"P",""),IF($AA797=7,"P",""))</f>
        <v/>
      </c>
      <c r="M797" s="164" t="str">
        <f>IF(Settings!$M$4=Settings!$Y$3,IF($AA797=2,"P",""),IF($AA797=8,"P",""))</f>
        <v/>
      </c>
      <c r="N797" s="164" t="str">
        <f>IF(Settings!$M$4=Settings!$Y$3,IF($AA797=3,"P",""),IF($AA797=9,"P",""))</f>
        <v/>
      </c>
      <c r="O797" s="165" t="str">
        <f>IF(Settings!$M$4=Settings!$Y$3,IF($AA797=3,"P",""),IF($AA797=10,"P",""))</f>
        <v/>
      </c>
      <c r="P797" s="22"/>
      <c r="Q797" s="22"/>
      <c r="R797" s="360" t="e">
        <f>IF(INDEX(TblDatabase[Comment4],MATCH(1,INDEX(($L$4=ListEmployeeNamesInDatabase)*(C786=TblDatabase[Year]),0,1),0))="","",INDEX(TblDatabase[Comment4],MATCH(1,INDEX(($L$4=ListEmployeeNamesInDatabase)*(C786=TblDatabase[Year]),0,1),0)))</f>
        <v>#N/A</v>
      </c>
      <c r="S797" s="360"/>
      <c r="T797" s="360"/>
      <c r="U797" s="360"/>
      <c r="V797" s="360"/>
      <c r="W797" s="360"/>
      <c r="X797" s="360"/>
      <c r="Y797" s="361"/>
      <c r="Z797" s="149"/>
      <c r="AA797" s="151">
        <f>SUMIFS(TblDatabase[Competency4],ListEmployeeNamesInDatabase,$L$4,TblDatabase[Year],C786)</f>
        <v>0</v>
      </c>
      <c r="AB797" s="149"/>
      <c r="AC797" s="149"/>
      <c r="AD797" s="149"/>
      <c r="AE797" s="149"/>
      <c r="AF797" s="149"/>
    </row>
    <row r="798" spans="1:32" s="148" customFormat="1" ht="15" hidden="1" customHeight="1">
      <c r="B798" s="350" t="str">
        <f t="shared" si="18"/>
        <v>Teamwork</v>
      </c>
      <c r="C798" s="351"/>
      <c r="D798" s="351"/>
      <c r="E798" s="352"/>
      <c r="F798" s="157" t="str">
        <f>IF(Settings!$M$4=Settings!$Y$3,IF($AA798=1,"P",""),IF($AA798=1,"P",""))</f>
        <v/>
      </c>
      <c r="G798" s="158" t="str">
        <f>IF(Settings!$M$4=Settings!$Y$3,IF($AA798=1,"P",""),IF($AA798=2,"P",""))</f>
        <v/>
      </c>
      <c r="H798" s="158" t="str">
        <f>IF(Settings!$M$4=Settings!$Y$3,IF($AA798=1,"P",""),IF($AA798=3,"P",""))</f>
        <v/>
      </c>
      <c r="I798" s="158" t="str">
        <f>IF(Settings!$M$4=Settings!$Y$3,IF($AA798=1,"P",""),IF($AA798=4,"P",""))</f>
        <v/>
      </c>
      <c r="J798" s="158" t="str">
        <f>IF(Settings!$M$4=Settings!$Y$3,IF($AA798=2,"P",""),IF($AA798=5,"P",""))</f>
        <v/>
      </c>
      <c r="K798" s="158" t="str">
        <f>IF(Settings!$M$4=Settings!$Y$3,IF($AA798=2,"P",""),IF($AA798=6,"P",""))</f>
        <v/>
      </c>
      <c r="L798" s="158" t="str">
        <f>IF(Settings!$M$4=Settings!$Y$3,IF($AA798=2,"P",""),IF($AA798=7,"P",""))</f>
        <v/>
      </c>
      <c r="M798" s="158" t="str">
        <f>IF(Settings!$M$4=Settings!$Y$3,IF($AA798=2,"P",""),IF($AA798=8,"P",""))</f>
        <v/>
      </c>
      <c r="N798" s="158" t="str">
        <f>IF(Settings!$M$4=Settings!$Y$3,IF($AA798=3,"P",""),IF($AA798=9,"P",""))</f>
        <v/>
      </c>
      <c r="O798" s="159" t="str">
        <f>IF(Settings!$M$4=Settings!$Y$3,IF($AA798=3,"P",""),IF($AA798=10,"P",""))</f>
        <v/>
      </c>
      <c r="P798" s="22"/>
      <c r="Q798" s="22"/>
      <c r="R798" s="353" t="e">
        <f>IF(INDEX(TblDatabase[Comment5],MATCH(1,INDEX(($L$4=ListEmployeeNamesInDatabase)*(C786=TblDatabase[Year]),0,1),0))="","",INDEX(TblDatabase[Comment5],MATCH(1,INDEX(($L$4=ListEmployeeNamesInDatabase)*(C786=TblDatabase[Year]),0,1),0)))</f>
        <v>#N/A</v>
      </c>
      <c r="S798" s="353"/>
      <c r="T798" s="353"/>
      <c r="U798" s="353"/>
      <c r="V798" s="353"/>
      <c r="W798" s="353"/>
      <c r="X798" s="353"/>
      <c r="Y798" s="354"/>
      <c r="Z798" s="149"/>
      <c r="AA798" s="151">
        <f>SUMIFS(TblDatabase[Competency5],ListEmployeeNamesInDatabase,$L$4,TblDatabase[Year],C786)</f>
        <v>0</v>
      </c>
      <c r="AB798" s="149"/>
      <c r="AC798" s="149"/>
      <c r="AD798" s="149"/>
      <c r="AE798" s="149"/>
      <c r="AF798" s="149"/>
    </row>
    <row r="799" spans="1:32" s="148" customFormat="1" ht="15" hidden="1" customHeight="1">
      <c r="B799" s="355" t="str">
        <f t="shared" si="18"/>
        <v>Safety</v>
      </c>
      <c r="C799" s="356"/>
      <c r="D799" s="356"/>
      <c r="E799" s="357"/>
      <c r="F799" s="163" t="str">
        <f>IF(Settings!$M$4=Settings!$Y$3,IF($AA799=1,"P",""),IF($AA799=1,"P",""))</f>
        <v/>
      </c>
      <c r="G799" s="164" t="str">
        <f>IF(Settings!$M$4=Settings!$Y$3,IF($AA799=1,"P",""),IF($AA799=2,"P",""))</f>
        <v/>
      </c>
      <c r="H799" s="164" t="str">
        <f>IF(Settings!$M$4=Settings!$Y$3,IF($AA799=1,"P",""),IF($AA799=3,"P",""))</f>
        <v/>
      </c>
      <c r="I799" s="164" t="str">
        <f>IF(Settings!$M$4=Settings!$Y$3,IF($AA799=1,"P",""),IF($AA799=4,"P",""))</f>
        <v/>
      </c>
      <c r="J799" s="164" t="str">
        <f>IF(Settings!$M$4=Settings!$Y$3,IF($AA799=2,"P",""),IF($AA799=5,"P",""))</f>
        <v/>
      </c>
      <c r="K799" s="164" t="str">
        <f>IF(Settings!$M$4=Settings!$Y$3,IF($AA799=2,"P",""),IF($AA799=6,"P",""))</f>
        <v/>
      </c>
      <c r="L799" s="164" t="str">
        <f>IF(Settings!$M$4=Settings!$Y$3,IF($AA799=2,"P",""),IF($AA799=7,"P",""))</f>
        <v/>
      </c>
      <c r="M799" s="164" t="str">
        <f>IF(Settings!$M$4=Settings!$Y$3,IF($AA799=2,"P",""),IF($AA799=8,"P",""))</f>
        <v/>
      </c>
      <c r="N799" s="164" t="str">
        <f>IF(Settings!$M$4=Settings!$Y$3,IF($AA799=3,"P",""),IF($AA799=9,"P",""))</f>
        <v/>
      </c>
      <c r="O799" s="165" t="str">
        <f>IF(Settings!$M$4=Settings!$Y$3,IF($AA799=3,"P",""),IF($AA799=10,"P",""))</f>
        <v/>
      </c>
      <c r="P799" s="22"/>
      <c r="Q799" s="22"/>
      <c r="R799" s="360" t="e">
        <f>IF(INDEX(TblDatabase[Comment6],MATCH(1,INDEX(($L$4=ListEmployeeNamesInDatabase)*(C786=TblDatabase[Year]),0,1),0))="","",INDEX(TblDatabase[Comment6],MATCH(1,INDEX(($L$4=ListEmployeeNamesInDatabase)*(C786=TblDatabase[Year]),0,1),0)))</f>
        <v>#N/A</v>
      </c>
      <c r="S799" s="360"/>
      <c r="T799" s="360"/>
      <c r="U799" s="360"/>
      <c r="V799" s="360"/>
      <c r="W799" s="360"/>
      <c r="X799" s="360"/>
      <c r="Y799" s="361"/>
      <c r="Z799" s="149"/>
      <c r="AA799" s="151">
        <f>SUMIFS(TblDatabase[Competency6],ListEmployeeNamesInDatabase,$L$4,TblDatabase[Year],C786)</f>
        <v>0</v>
      </c>
      <c r="AB799" s="149"/>
      <c r="AC799" s="149"/>
      <c r="AD799" s="149"/>
      <c r="AE799" s="149"/>
      <c r="AF799" s="149"/>
    </row>
    <row r="800" spans="1:32" s="148" customFormat="1" ht="15" hidden="1" customHeight="1">
      <c r="B800" s="350" t="str">
        <f t="shared" si="18"/>
        <v>Reliability</v>
      </c>
      <c r="C800" s="351"/>
      <c r="D800" s="351"/>
      <c r="E800" s="352"/>
      <c r="F800" s="157" t="str">
        <f>IF(Settings!$M$4=Settings!$Y$3,IF($AA800=1,"P",""),IF($AA800=1,"P",""))</f>
        <v/>
      </c>
      <c r="G800" s="158" t="str">
        <f>IF(Settings!$M$4=Settings!$Y$3,IF($AA800=1,"P",""),IF($AA800=2,"P",""))</f>
        <v/>
      </c>
      <c r="H800" s="158" t="str">
        <f>IF(Settings!$M$4=Settings!$Y$3,IF($AA800=1,"P",""),IF($AA800=3,"P",""))</f>
        <v/>
      </c>
      <c r="I800" s="158" t="str">
        <f>IF(Settings!$M$4=Settings!$Y$3,IF($AA800=1,"P",""),IF($AA800=4,"P",""))</f>
        <v/>
      </c>
      <c r="J800" s="158" t="str">
        <f>IF(Settings!$M$4=Settings!$Y$3,IF($AA800=2,"P",""),IF($AA800=5,"P",""))</f>
        <v/>
      </c>
      <c r="K800" s="158" t="str">
        <f>IF(Settings!$M$4=Settings!$Y$3,IF($AA800=2,"P",""),IF($AA800=6,"P",""))</f>
        <v/>
      </c>
      <c r="L800" s="158" t="str">
        <f>IF(Settings!$M$4=Settings!$Y$3,IF($AA800=2,"P",""),IF($AA800=7,"P",""))</f>
        <v/>
      </c>
      <c r="M800" s="158" t="str">
        <f>IF(Settings!$M$4=Settings!$Y$3,IF($AA800=2,"P",""),IF($AA800=8,"P",""))</f>
        <v/>
      </c>
      <c r="N800" s="158" t="str">
        <f>IF(Settings!$M$4=Settings!$Y$3,IF($AA800=3,"P",""),IF($AA800=9,"P",""))</f>
        <v/>
      </c>
      <c r="O800" s="159" t="str">
        <f>IF(Settings!$M$4=Settings!$Y$3,IF($AA800=3,"P",""),IF($AA800=10,"P",""))</f>
        <v/>
      </c>
      <c r="P800" s="22"/>
      <c r="Q800" s="22"/>
      <c r="R800" s="353" t="e">
        <f>IF(INDEX(TblDatabase[Comment7],MATCH(1,INDEX(($L$4=ListEmployeeNamesInDatabase)*(C786=TblDatabase[Year]),0,1),0))="","",INDEX(TblDatabase[Comment7],MATCH(1,INDEX(($L$4=ListEmployeeNamesInDatabase)*(C786=TblDatabase[Year]),0,1),0)))</f>
        <v>#N/A</v>
      </c>
      <c r="S800" s="353"/>
      <c r="T800" s="353"/>
      <c r="U800" s="353"/>
      <c r="V800" s="353"/>
      <c r="W800" s="353"/>
      <c r="X800" s="353"/>
      <c r="Y800" s="354"/>
      <c r="Z800" s="149"/>
      <c r="AA800" s="151">
        <f>SUMIFS(TblDatabase[Competency7],ListEmployeeNamesInDatabase,$L$4,TblDatabase[Year],C786)</f>
        <v>0</v>
      </c>
      <c r="AB800" s="149"/>
      <c r="AC800" s="149"/>
      <c r="AD800" s="149"/>
      <c r="AE800" s="149"/>
      <c r="AF800" s="149"/>
    </row>
    <row r="801" spans="2:32" s="148" customFormat="1" ht="15" hidden="1" customHeight="1">
      <c r="B801" s="355" t="str">
        <f t="shared" si="18"/>
        <v>Initiative/Adaptability</v>
      </c>
      <c r="C801" s="356"/>
      <c r="D801" s="356"/>
      <c r="E801" s="357"/>
      <c r="F801" s="163" t="str">
        <f>IF(Settings!$M$4=Settings!$Y$3,IF($AA801=1,"P",""),IF($AA801=1,"P",""))</f>
        <v/>
      </c>
      <c r="G801" s="164" t="str">
        <f>IF(Settings!$M$4=Settings!$Y$3,IF($AA801=1,"P",""),IF($AA801=2,"P",""))</f>
        <v/>
      </c>
      <c r="H801" s="164" t="str">
        <f>IF(Settings!$M$4=Settings!$Y$3,IF($AA801=1,"P",""),IF($AA801=3,"P",""))</f>
        <v/>
      </c>
      <c r="I801" s="164" t="str">
        <f>IF(Settings!$M$4=Settings!$Y$3,IF($AA801=1,"P",""),IF($AA801=4,"P",""))</f>
        <v/>
      </c>
      <c r="J801" s="164" t="str">
        <f>IF(Settings!$M$4=Settings!$Y$3,IF($AA801=2,"P",""),IF($AA801=5,"P",""))</f>
        <v/>
      </c>
      <c r="K801" s="164" t="str">
        <f>IF(Settings!$M$4=Settings!$Y$3,IF($AA801=2,"P",""),IF($AA801=6,"P",""))</f>
        <v/>
      </c>
      <c r="L801" s="164" t="str">
        <f>IF(Settings!$M$4=Settings!$Y$3,IF($AA801=2,"P",""),IF($AA801=7,"P",""))</f>
        <v/>
      </c>
      <c r="M801" s="164" t="str">
        <f>IF(Settings!$M$4=Settings!$Y$3,IF($AA801=2,"P",""),IF($AA801=8,"P",""))</f>
        <v/>
      </c>
      <c r="N801" s="164" t="str">
        <f>IF(Settings!$M$4=Settings!$Y$3,IF($AA801=3,"P",""),IF($AA801=9,"P",""))</f>
        <v/>
      </c>
      <c r="O801" s="165" t="str">
        <f>IF(Settings!$M$4=Settings!$Y$3,IF($AA801=3,"P",""),IF($AA801=10,"P",""))</f>
        <v/>
      </c>
      <c r="P801" s="22"/>
      <c r="Q801" s="22"/>
      <c r="R801" s="360" t="e">
        <f>IF(INDEX(TblDatabase[Comment8],MATCH(1,INDEX(($L$4=ListEmployeeNamesInDatabase)*(C786=TblDatabase[Year]),0,1),0))="","",INDEX(TblDatabase[Comment8],MATCH(1,INDEX(($L$4=ListEmployeeNamesInDatabase)*(C786=TblDatabase[Year]),0,1),0)))</f>
        <v>#N/A</v>
      </c>
      <c r="S801" s="360"/>
      <c r="T801" s="360"/>
      <c r="U801" s="360"/>
      <c r="V801" s="360"/>
      <c r="W801" s="360"/>
      <c r="X801" s="360"/>
      <c r="Y801" s="361"/>
      <c r="Z801" s="149"/>
      <c r="AA801" s="151">
        <f>SUMIFS(TblDatabase[Competency8],ListEmployeeNamesInDatabase,$L$4,TblDatabase[Year],C786)</f>
        <v>0</v>
      </c>
      <c r="AB801" s="149"/>
      <c r="AC801" s="149"/>
      <c r="AD801" s="149"/>
      <c r="AE801" s="149"/>
      <c r="AF801" s="149"/>
    </row>
    <row r="802" spans="2:32" s="148" customFormat="1" ht="15" hidden="1" customHeight="1">
      <c r="B802" s="350" t="str">
        <f t="shared" si="18"/>
        <v/>
      </c>
      <c r="C802" s="351"/>
      <c r="D802" s="351"/>
      <c r="E802" s="352"/>
      <c r="F802" s="157" t="str">
        <f>IF(Settings!$M$4=Settings!$Y$3,IF($AA802=1,"P",""),IF($AA802=1,"P",""))</f>
        <v/>
      </c>
      <c r="G802" s="158" t="str">
        <f>IF(Settings!$M$4=Settings!$Y$3,IF($AA802=1,"P",""),IF($AA802=2,"P",""))</f>
        <v/>
      </c>
      <c r="H802" s="158" t="str">
        <f>IF(Settings!$M$4=Settings!$Y$3,IF($AA802=1,"P",""),IF($AA802=3,"P",""))</f>
        <v/>
      </c>
      <c r="I802" s="158" t="str">
        <f>IF(Settings!$M$4=Settings!$Y$3,IF($AA802=1,"P",""),IF($AA802=4,"P",""))</f>
        <v/>
      </c>
      <c r="J802" s="158" t="str">
        <f>IF(Settings!$M$4=Settings!$Y$3,IF($AA802=2,"P",""),IF($AA802=5,"P",""))</f>
        <v/>
      </c>
      <c r="K802" s="158" t="str">
        <f>IF(Settings!$M$4=Settings!$Y$3,IF($AA802=2,"P",""),IF($AA802=6,"P",""))</f>
        <v/>
      </c>
      <c r="L802" s="158" t="str">
        <f>IF(Settings!$M$4=Settings!$Y$3,IF($AA802=2,"P",""),IF($AA802=7,"P",""))</f>
        <v/>
      </c>
      <c r="M802" s="158" t="str">
        <f>IF(Settings!$M$4=Settings!$Y$3,IF($AA802=2,"P",""),IF($AA802=8,"P",""))</f>
        <v/>
      </c>
      <c r="N802" s="158" t="str">
        <f>IF(Settings!$M$4=Settings!$Y$3,IF($AA802=3,"P",""),IF($AA802=9,"P",""))</f>
        <v/>
      </c>
      <c r="O802" s="159" t="str">
        <f>IF(Settings!$M$4=Settings!$Y$3,IF($AA802=3,"P",""),IF($AA802=10,"P",""))</f>
        <v/>
      </c>
      <c r="P802" s="22"/>
      <c r="Q802" s="22"/>
      <c r="R802" s="353" t="e">
        <f>IF(INDEX(TblDatabase[Comment9],MATCH(1,INDEX(($L$4=ListEmployeeNamesInDatabase)*(C786=TblDatabase[Year]),0,1),0))="","",INDEX(TblDatabase[Comment9],MATCH(1,INDEX(($L$4=ListEmployeeNamesInDatabase)*(C786=TblDatabase[Year]),0,1),0)))</f>
        <v>#N/A</v>
      </c>
      <c r="S802" s="353"/>
      <c r="T802" s="353"/>
      <c r="U802" s="353"/>
      <c r="V802" s="353"/>
      <c r="W802" s="353"/>
      <c r="X802" s="353"/>
      <c r="Y802" s="354"/>
      <c r="Z802" s="149"/>
      <c r="AA802" s="151">
        <f>SUMIFS(TblDatabase[Competency9],ListEmployeeNamesInDatabase,$L$4,TblDatabase[Year],C786)</f>
        <v>0</v>
      </c>
      <c r="AB802" s="149"/>
      <c r="AC802" s="149"/>
      <c r="AD802" s="149"/>
      <c r="AE802" s="149"/>
      <c r="AF802" s="149"/>
    </row>
    <row r="803" spans="2:32" s="148" customFormat="1" ht="15" hidden="1" customHeight="1">
      <c r="B803" s="355" t="str">
        <f t="shared" si="18"/>
        <v/>
      </c>
      <c r="C803" s="356"/>
      <c r="D803" s="356"/>
      <c r="E803" s="357"/>
      <c r="F803" s="163" t="str">
        <f>IF(Settings!$M$4=Settings!$Y$3,IF($AA803=1,"P",""),IF($AA803=1,"P",""))</f>
        <v/>
      </c>
      <c r="G803" s="164" t="str">
        <f>IF(Settings!$M$4=Settings!$Y$3,IF($AA803=1,"P",""),IF($AA803=2,"P",""))</f>
        <v/>
      </c>
      <c r="H803" s="164" t="str">
        <f>IF(Settings!$M$4=Settings!$Y$3,IF($AA803=1,"P",""),IF($AA803=3,"P",""))</f>
        <v/>
      </c>
      <c r="I803" s="164" t="str">
        <f>IF(Settings!$M$4=Settings!$Y$3,IF($AA803=1,"P",""),IF($AA803=4,"P",""))</f>
        <v/>
      </c>
      <c r="J803" s="164" t="str">
        <f>IF(Settings!$M$4=Settings!$Y$3,IF($AA803=2,"P",""),IF($AA803=5,"P",""))</f>
        <v/>
      </c>
      <c r="K803" s="164" t="str">
        <f>IF(Settings!$M$4=Settings!$Y$3,IF($AA803=2,"P",""),IF($AA803=6,"P",""))</f>
        <v/>
      </c>
      <c r="L803" s="164" t="str">
        <f>IF(Settings!$M$4=Settings!$Y$3,IF($AA803=2,"P",""),IF($AA803=7,"P",""))</f>
        <v/>
      </c>
      <c r="M803" s="164" t="str">
        <f>IF(Settings!$M$4=Settings!$Y$3,IF($AA803=2,"P",""),IF($AA803=8,"P",""))</f>
        <v/>
      </c>
      <c r="N803" s="164" t="str">
        <f>IF(Settings!$M$4=Settings!$Y$3,IF($AA803=3,"P",""),IF($AA803=9,"P",""))</f>
        <v/>
      </c>
      <c r="O803" s="165" t="str">
        <f>IF(Settings!$M$4=Settings!$Y$3,IF($AA803=3,"P",""),IF($AA803=10,"P",""))</f>
        <v/>
      </c>
      <c r="P803" s="22"/>
      <c r="Q803" s="22"/>
      <c r="R803" s="360" t="e">
        <f>IF(INDEX(TblDatabase[Comment10],MATCH(1,INDEX(($L$4=ListEmployeeNamesInDatabase)*(C786=TblDatabase[Year]),0,1),0))="","",INDEX(TblDatabase[Comment10],MATCH(1,INDEX(($L$4=ListEmployeeNamesInDatabase)*(C786=TblDatabase[Year]),0,1),0)))</f>
        <v>#N/A</v>
      </c>
      <c r="S803" s="360"/>
      <c r="T803" s="360"/>
      <c r="U803" s="360"/>
      <c r="V803" s="360"/>
      <c r="W803" s="360"/>
      <c r="X803" s="360"/>
      <c r="Y803" s="361"/>
      <c r="Z803" s="149"/>
      <c r="AA803" s="151">
        <f>SUMIFS(TblDatabase[Competency10],ListEmployeeNamesInDatabase,$L$4,TblDatabase[Year],C786)</f>
        <v>0</v>
      </c>
      <c r="AB803" s="149"/>
      <c r="AC803" s="149"/>
      <c r="AD803" s="149"/>
      <c r="AE803" s="149"/>
      <c r="AF803" s="149"/>
    </row>
    <row r="804" spans="2:32" s="148" customFormat="1" ht="15" hidden="1" customHeight="1">
      <c r="B804" s="350" t="str">
        <f t="shared" si="18"/>
        <v/>
      </c>
      <c r="C804" s="351"/>
      <c r="D804" s="351"/>
      <c r="E804" s="352"/>
      <c r="F804" s="157" t="str">
        <f>IF(Settings!$M$4=Settings!$Y$3,IF($AA804=1,"P",""),IF($AA804=1,"P",""))</f>
        <v/>
      </c>
      <c r="G804" s="158" t="str">
        <f>IF(Settings!$M$4=Settings!$Y$3,IF($AA804=1,"P",""),IF($AA804=2,"P",""))</f>
        <v/>
      </c>
      <c r="H804" s="158" t="str">
        <f>IF(Settings!$M$4=Settings!$Y$3,IF($AA804=1,"P",""),IF($AA804=3,"P",""))</f>
        <v/>
      </c>
      <c r="I804" s="158" t="str">
        <f>IF(Settings!$M$4=Settings!$Y$3,IF($AA804=1,"P",""),IF($AA804=4,"P",""))</f>
        <v/>
      </c>
      <c r="J804" s="158" t="str">
        <f>IF(Settings!$M$4=Settings!$Y$3,IF($AA804=2,"P",""),IF($AA804=5,"P",""))</f>
        <v/>
      </c>
      <c r="K804" s="158" t="str">
        <f>IF(Settings!$M$4=Settings!$Y$3,IF($AA804=2,"P",""),IF($AA804=6,"P",""))</f>
        <v/>
      </c>
      <c r="L804" s="158" t="str">
        <f>IF(Settings!$M$4=Settings!$Y$3,IF($AA804=2,"P",""),IF($AA804=7,"P",""))</f>
        <v/>
      </c>
      <c r="M804" s="158" t="str">
        <f>IF(Settings!$M$4=Settings!$Y$3,IF($AA804=2,"P",""),IF($AA804=8,"P",""))</f>
        <v/>
      </c>
      <c r="N804" s="158" t="str">
        <f>IF(Settings!$M$4=Settings!$Y$3,IF($AA804=3,"P",""),IF($AA804=9,"P",""))</f>
        <v/>
      </c>
      <c r="O804" s="159" t="str">
        <f>IF(Settings!$M$4=Settings!$Y$3,IF($AA804=3,"P",""),IF($AA804=10,"P",""))</f>
        <v/>
      </c>
      <c r="P804" s="22"/>
      <c r="Q804" s="22"/>
      <c r="R804" s="353" t="e">
        <f>IF(INDEX(TblDatabase[Comment11],MATCH(1,INDEX(($L$4=ListEmployeeNamesInDatabase)*(C786=TblDatabase[Year]),0,1),0))="","",INDEX(TblDatabase[Comment11],MATCH(1,INDEX(($L$4=ListEmployeeNamesInDatabase)*(C786=TblDatabase[Year]),0,1),0)))</f>
        <v>#N/A</v>
      </c>
      <c r="S804" s="353"/>
      <c r="T804" s="353"/>
      <c r="U804" s="353"/>
      <c r="V804" s="353"/>
      <c r="W804" s="353"/>
      <c r="X804" s="353"/>
      <c r="Y804" s="354"/>
      <c r="Z804" s="149"/>
      <c r="AA804" s="151">
        <f>SUMIFS(TblDatabase[Competency11],ListEmployeeNamesInDatabase,$L$4,TblDatabase[Year],C786)</f>
        <v>0</v>
      </c>
      <c r="AB804" s="149"/>
      <c r="AC804" s="149"/>
      <c r="AD804" s="149"/>
      <c r="AE804" s="149"/>
      <c r="AF804" s="149"/>
    </row>
    <row r="805" spans="2:32" s="148" customFormat="1" ht="15" hidden="1" customHeight="1">
      <c r="B805" s="355" t="str">
        <f t="shared" si="18"/>
        <v/>
      </c>
      <c r="C805" s="356"/>
      <c r="D805" s="356"/>
      <c r="E805" s="357"/>
      <c r="F805" s="163" t="str">
        <f>IF(Settings!$M$4=Settings!$Y$3,IF($AA805=1,"P",""),IF($AA805=1,"P",""))</f>
        <v/>
      </c>
      <c r="G805" s="164" t="str">
        <f>IF(Settings!$M$4=Settings!$Y$3,IF($AA805=1,"P",""),IF($AA805=2,"P",""))</f>
        <v/>
      </c>
      <c r="H805" s="164" t="str">
        <f>IF(Settings!$M$4=Settings!$Y$3,IF($AA805=1,"P",""),IF($AA805=3,"P",""))</f>
        <v/>
      </c>
      <c r="I805" s="164" t="str">
        <f>IF(Settings!$M$4=Settings!$Y$3,IF($AA805=1,"P",""),IF($AA805=4,"P",""))</f>
        <v/>
      </c>
      <c r="J805" s="164" t="str">
        <f>IF(Settings!$M$4=Settings!$Y$3,IF($AA805=2,"P",""),IF($AA805=5,"P",""))</f>
        <v/>
      </c>
      <c r="K805" s="164" t="str">
        <f>IF(Settings!$M$4=Settings!$Y$3,IF($AA805=2,"P",""),IF($AA805=6,"P",""))</f>
        <v/>
      </c>
      <c r="L805" s="164" t="str">
        <f>IF(Settings!$M$4=Settings!$Y$3,IF($AA805=2,"P",""),IF($AA805=7,"P",""))</f>
        <v/>
      </c>
      <c r="M805" s="164" t="str">
        <f>IF(Settings!$M$4=Settings!$Y$3,IF($AA805=2,"P",""),IF($AA805=8,"P",""))</f>
        <v/>
      </c>
      <c r="N805" s="164" t="str">
        <f>IF(Settings!$M$4=Settings!$Y$3,IF($AA805=3,"P",""),IF($AA805=9,"P",""))</f>
        <v/>
      </c>
      <c r="O805" s="165" t="str">
        <f>IF(Settings!$M$4=Settings!$Y$3,IF($AA805=3,"P",""),IF($AA805=10,"P",""))</f>
        <v/>
      </c>
      <c r="P805" s="22"/>
      <c r="Q805" s="22"/>
      <c r="R805" s="360" t="e">
        <f>IF(INDEX(TblDatabase[Comment12],MATCH(1,INDEX(($L$4=ListEmployeeNamesInDatabase)*(C786=TblDatabase[Year]),0,1),0))="","",INDEX(TblDatabase[Comment12],MATCH(1,INDEX(($L$4=ListEmployeeNamesInDatabase)*(C786=TblDatabase[Year]),0,1),0)))</f>
        <v>#N/A</v>
      </c>
      <c r="S805" s="360"/>
      <c r="T805" s="360"/>
      <c r="U805" s="360"/>
      <c r="V805" s="360"/>
      <c r="W805" s="360"/>
      <c r="X805" s="360"/>
      <c r="Y805" s="361"/>
      <c r="Z805" s="149"/>
      <c r="AA805" s="151">
        <f>SUMIFS(TblDatabase[Competency12],ListEmployeeNamesInDatabase,$L$4,TblDatabase[Year],C786)</f>
        <v>0</v>
      </c>
      <c r="AB805" s="149"/>
      <c r="AC805" s="149"/>
      <c r="AD805" s="149"/>
      <c r="AE805" s="149"/>
      <c r="AF805" s="149"/>
    </row>
    <row r="806" spans="2:32" s="148" customFormat="1" ht="15" hidden="1" customHeight="1">
      <c r="B806" s="350" t="str">
        <f t="shared" si="18"/>
        <v/>
      </c>
      <c r="C806" s="351"/>
      <c r="D806" s="351"/>
      <c r="E806" s="352"/>
      <c r="F806" s="157" t="str">
        <f>IF(Settings!$M$4=Settings!$Y$3,IF($AA806=1,"P",""),IF($AA806=1,"P",""))</f>
        <v/>
      </c>
      <c r="G806" s="158" t="str">
        <f>IF(Settings!$M$4=Settings!$Y$3,IF($AA806=1,"P",""),IF($AA806=2,"P",""))</f>
        <v/>
      </c>
      <c r="H806" s="158" t="str">
        <f>IF(Settings!$M$4=Settings!$Y$3,IF($AA806=1,"P",""),IF($AA806=3,"P",""))</f>
        <v/>
      </c>
      <c r="I806" s="158" t="str">
        <f>IF(Settings!$M$4=Settings!$Y$3,IF($AA806=1,"P",""),IF($AA806=4,"P",""))</f>
        <v/>
      </c>
      <c r="J806" s="158" t="str">
        <f>IF(Settings!$M$4=Settings!$Y$3,IF($AA806=2,"P",""),IF($AA806=5,"P",""))</f>
        <v/>
      </c>
      <c r="K806" s="158" t="str">
        <f>IF(Settings!$M$4=Settings!$Y$3,IF($AA806=2,"P",""),IF($AA806=6,"P",""))</f>
        <v/>
      </c>
      <c r="L806" s="158" t="str">
        <f>IF(Settings!$M$4=Settings!$Y$3,IF($AA806=2,"P",""),IF($AA806=7,"P",""))</f>
        <v/>
      </c>
      <c r="M806" s="158" t="str">
        <f>IF(Settings!$M$4=Settings!$Y$3,IF($AA806=2,"P",""),IF($AA806=8,"P",""))</f>
        <v/>
      </c>
      <c r="N806" s="158" t="str">
        <f>IF(Settings!$M$4=Settings!$Y$3,IF($AA806=3,"P",""),IF($AA806=9,"P",""))</f>
        <v/>
      </c>
      <c r="O806" s="159" t="str">
        <f>IF(Settings!$M$4=Settings!$Y$3,IF($AA806=3,"P",""),IF($AA806=10,"P",""))</f>
        <v/>
      </c>
      <c r="P806" s="22"/>
      <c r="Q806" s="22"/>
      <c r="R806" s="353" t="e">
        <f>IF(INDEX(TblDatabase[Comment13],MATCH(1,INDEX(($L$4=ListEmployeeNamesInDatabase)*(C786=TblDatabase[Year]),0,1),0))="","",INDEX(TblDatabase[Comment13],MATCH(1,INDEX(($L$4=ListEmployeeNamesInDatabase)*(C786=TblDatabase[Year]),0,1),0)))</f>
        <v>#N/A</v>
      </c>
      <c r="S806" s="353"/>
      <c r="T806" s="353"/>
      <c r="U806" s="353"/>
      <c r="V806" s="353"/>
      <c r="W806" s="353"/>
      <c r="X806" s="353"/>
      <c r="Y806" s="354"/>
      <c r="Z806" s="149"/>
      <c r="AA806" s="151">
        <f>SUMIFS(TblDatabase[Competency13],ListEmployeeNamesInDatabase,$L$4,TblDatabase[Year],C786)</f>
        <v>0</v>
      </c>
      <c r="AB806" s="149"/>
      <c r="AC806" s="149"/>
      <c r="AD806" s="149"/>
      <c r="AE806" s="149"/>
      <c r="AF806" s="149"/>
    </row>
    <row r="807" spans="2:32" s="148" customFormat="1" ht="15" hidden="1" customHeight="1">
      <c r="B807" s="355" t="str">
        <f t="shared" si="18"/>
        <v/>
      </c>
      <c r="C807" s="356"/>
      <c r="D807" s="356"/>
      <c r="E807" s="357"/>
      <c r="F807" s="163" t="str">
        <f>IF(Settings!$M$4=Settings!$Y$3,IF($AA807=1,"P",""),IF($AA807=1,"P",""))</f>
        <v/>
      </c>
      <c r="G807" s="164" t="str">
        <f>IF(Settings!$M$4=Settings!$Y$3,IF($AA807=1,"P",""),IF($AA807=2,"P",""))</f>
        <v/>
      </c>
      <c r="H807" s="164" t="str">
        <f>IF(Settings!$M$4=Settings!$Y$3,IF($AA807=1,"P",""),IF($AA807=3,"P",""))</f>
        <v/>
      </c>
      <c r="I807" s="164" t="str">
        <f>IF(Settings!$M$4=Settings!$Y$3,IF($AA807=1,"P",""),IF($AA807=4,"P",""))</f>
        <v/>
      </c>
      <c r="J807" s="164" t="str">
        <f>IF(Settings!$M$4=Settings!$Y$3,IF($AA807=2,"P",""),IF($AA807=5,"P",""))</f>
        <v/>
      </c>
      <c r="K807" s="164" t="str">
        <f>IF(Settings!$M$4=Settings!$Y$3,IF($AA807=2,"P",""),IF($AA807=6,"P",""))</f>
        <v/>
      </c>
      <c r="L807" s="164" t="str">
        <f>IF(Settings!$M$4=Settings!$Y$3,IF($AA807=2,"P",""),IF($AA807=7,"P",""))</f>
        <v/>
      </c>
      <c r="M807" s="164" t="str">
        <f>IF(Settings!$M$4=Settings!$Y$3,IF($AA807=2,"P",""),IF($AA807=8,"P",""))</f>
        <v/>
      </c>
      <c r="N807" s="164" t="str">
        <f>IF(Settings!$M$4=Settings!$Y$3,IF($AA807=3,"P",""),IF($AA807=9,"P",""))</f>
        <v/>
      </c>
      <c r="O807" s="165" t="str">
        <f>IF(Settings!$M$4=Settings!$Y$3,IF($AA807=3,"P",""),IF($AA807=10,"P",""))</f>
        <v/>
      </c>
      <c r="P807" s="22"/>
      <c r="Q807" s="22"/>
      <c r="R807" s="360" t="e">
        <f>IF(INDEX(TblDatabase[Comment14],MATCH(1,INDEX(($L$4=ListEmployeeNamesInDatabase)*(C786=TblDatabase[Year]),0,1),0))="","",INDEX(TblDatabase[Comment14],MATCH(1,INDEX(($L$4=ListEmployeeNamesInDatabase)*(C786=TblDatabase[Year]),0,1),0)))</f>
        <v>#N/A</v>
      </c>
      <c r="S807" s="360"/>
      <c r="T807" s="360"/>
      <c r="U807" s="360"/>
      <c r="V807" s="360"/>
      <c r="W807" s="360"/>
      <c r="X807" s="360"/>
      <c r="Y807" s="361"/>
      <c r="Z807" s="149"/>
      <c r="AA807" s="151">
        <f>SUMIFS(TblDatabase[Competency14],ListEmployeeNamesInDatabase,$L$4,TblDatabase[Year],C786)</f>
        <v>0</v>
      </c>
      <c r="AB807" s="149"/>
      <c r="AC807" s="149"/>
      <c r="AD807" s="149"/>
      <c r="AE807" s="149"/>
      <c r="AF807" s="149"/>
    </row>
    <row r="808" spans="2:32" s="148" customFormat="1" ht="15" hidden="1" customHeight="1">
      <c r="B808" s="350" t="str">
        <f t="shared" si="18"/>
        <v/>
      </c>
      <c r="C808" s="351"/>
      <c r="D808" s="351"/>
      <c r="E808" s="352"/>
      <c r="F808" s="157" t="str">
        <f>IF(Settings!$M$4=Settings!$Y$3,IF($AA808=1,"P",""),IF($AA808=1,"P",""))</f>
        <v/>
      </c>
      <c r="G808" s="158" t="str">
        <f>IF(Settings!$M$4=Settings!$Y$3,IF($AA808=1,"P",""),IF($AA808=2,"P",""))</f>
        <v/>
      </c>
      <c r="H808" s="158" t="str">
        <f>IF(Settings!$M$4=Settings!$Y$3,IF($AA808=1,"P",""),IF($AA808=3,"P",""))</f>
        <v/>
      </c>
      <c r="I808" s="158" t="str">
        <f>IF(Settings!$M$4=Settings!$Y$3,IF($AA808=1,"P",""),IF($AA808=4,"P",""))</f>
        <v/>
      </c>
      <c r="J808" s="158" t="str">
        <f>IF(Settings!$M$4=Settings!$Y$3,IF($AA808=2,"P",""),IF($AA808=5,"P",""))</f>
        <v/>
      </c>
      <c r="K808" s="158" t="str">
        <f>IF(Settings!$M$4=Settings!$Y$3,IF($AA808=2,"P",""),IF($AA808=6,"P",""))</f>
        <v/>
      </c>
      <c r="L808" s="158" t="str">
        <f>IF(Settings!$M$4=Settings!$Y$3,IF($AA808=2,"P",""),IF($AA808=7,"P",""))</f>
        <v/>
      </c>
      <c r="M808" s="158" t="str">
        <f>IF(Settings!$M$4=Settings!$Y$3,IF($AA808=2,"P",""),IF($AA808=8,"P",""))</f>
        <v/>
      </c>
      <c r="N808" s="158" t="str">
        <f>IF(Settings!$M$4=Settings!$Y$3,IF($AA808=3,"P",""),IF($AA808=9,"P",""))</f>
        <v/>
      </c>
      <c r="O808" s="159" t="str">
        <f>IF(Settings!$M$4=Settings!$Y$3,IF($AA808=3,"P",""),IF($AA808=10,"P",""))</f>
        <v/>
      </c>
      <c r="P808" s="22"/>
      <c r="Q808" s="22"/>
      <c r="R808" s="353" t="e">
        <f>IF(INDEX(TblDatabase[Comment15],MATCH(1,INDEX(($L$4=ListEmployeeNamesInDatabase)*(C786=TblDatabase[Year]),0,1),0))="","",INDEX(TblDatabase[Comment15],MATCH(1,INDEX(($L$4=ListEmployeeNamesInDatabase)*(C786=TblDatabase[Year]),0,1),0)))</f>
        <v>#N/A</v>
      </c>
      <c r="S808" s="353"/>
      <c r="T808" s="353"/>
      <c r="U808" s="353"/>
      <c r="V808" s="353"/>
      <c r="W808" s="353"/>
      <c r="X808" s="353"/>
      <c r="Y808" s="354"/>
      <c r="Z808" s="149"/>
      <c r="AA808" s="151">
        <f>SUMIFS(TblDatabase[Competency15],ListEmployeeNamesInDatabase,$L$4,TblDatabase[Year],C786)</f>
        <v>0</v>
      </c>
      <c r="AB808" s="149"/>
      <c r="AC808" s="149"/>
      <c r="AD808" s="149"/>
      <c r="AE808" s="149"/>
      <c r="AF808" s="149"/>
    </row>
    <row r="809" spans="2:32" s="148" customFormat="1" ht="15" hidden="1" customHeight="1">
      <c r="B809" s="355" t="str">
        <f t="shared" si="18"/>
        <v/>
      </c>
      <c r="C809" s="356"/>
      <c r="D809" s="356"/>
      <c r="E809" s="357"/>
      <c r="F809" s="163" t="str">
        <f>IF(Settings!$M$4=Settings!$Y$3,IF($AA809=1,"P",""),IF($AA809=1,"P",""))</f>
        <v/>
      </c>
      <c r="G809" s="164" t="str">
        <f>IF(Settings!$M$4=Settings!$Y$3,IF($AA809=1,"P",""),IF($AA809=2,"P",""))</f>
        <v/>
      </c>
      <c r="H809" s="164" t="str">
        <f>IF(Settings!$M$4=Settings!$Y$3,IF($AA809=1,"P",""),IF($AA809=3,"P",""))</f>
        <v/>
      </c>
      <c r="I809" s="164" t="str">
        <f>IF(Settings!$M$4=Settings!$Y$3,IF($AA809=1,"P",""),IF($AA809=4,"P",""))</f>
        <v/>
      </c>
      <c r="J809" s="164" t="str">
        <f>IF(Settings!$M$4=Settings!$Y$3,IF($AA809=2,"P",""),IF($AA809=5,"P",""))</f>
        <v/>
      </c>
      <c r="K809" s="164" t="str">
        <f>IF(Settings!$M$4=Settings!$Y$3,IF($AA809=2,"P",""),IF($AA809=6,"P",""))</f>
        <v/>
      </c>
      <c r="L809" s="164" t="str">
        <f>IF(Settings!$M$4=Settings!$Y$3,IF($AA809=2,"P",""),IF($AA809=7,"P",""))</f>
        <v/>
      </c>
      <c r="M809" s="164" t="str">
        <f>IF(Settings!$M$4=Settings!$Y$3,IF($AA809=2,"P",""),IF($AA809=8,"P",""))</f>
        <v/>
      </c>
      <c r="N809" s="164" t="str">
        <f>IF(Settings!$M$4=Settings!$Y$3,IF($AA809=3,"P",""),IF($AA809=9,"P",""))</f>
        <v/>
      </c>
      <c r="O809" s="165" t="str">
        <f>IF(Settings!$M$4=Settings!$Y$3,IF($AA809=3,"P",""),IF($AA809=10,"P",""))</f>
        <v/>
      </c>
      <c r="P809" s="22"/>
      <c r="Q809" s="22"/>
      <c r="R809" s="360" t="e">
        <f>IF(INDEX(TblDatabase[Comment16],MATCH(1,INDEX(($L$4=ListEmployeeNamesInDatabase)*(C786=TblDatabase[Year]),0,1),0))="","",INDEX(TblDatabase[Comment16],MATCH(1,INDEX(($L$4=ListEmployeeNamesInDatabase)*(C786=TblDatabase[Year]),0,1),0)))</f>
        <v>#N/A</v>
      </c>
      <c r="S809" s="360"/>
      <c r="T809" s="360"/>
      <c r="U809" s="360"/>
      <c r="V809" s="360"/>
      <c r="W809" s="360"/>
      <c r="X809" s="360"/>
      <c r="Y809" s="361"/>
      <c r="Z809" s="149"/>
      <c r="AA809" s="151">
        <f>SUMIFS(TblDatabase[Competency16],ListEmployeeNamesInDatabase,$L$4,TblDatabase[Year],C786)</f>
        <v>0</v>
      </c>
      <c r="AB809" s="149"/>
      <c r="AC809" s="149"/>
      <c r="AD809" s="149"/>
      <c r="AE809" s="149"/>
      <c r="AF809" s="149"/>
    </row>
    <row r="810" spans="2:32" s="148" customFormat="1" ht="15" hidden="1" customHeight="1">
      <c r="B810" s="350" t="str">
        <f t="shared" si="18"/>
        <v/>
      </c>
      <c r="C810" s="351"/>
      <c r="D810" s="351"/>
      <c r="E810" s="352"/>
      <c r="F810" s="157" t="str">
        <f>IF(Settings!$M$4=Settings!$Y$3,IF($AA810=1,"P",""),IF($AA810=1,"P",""))</f>
        <v/>
      </c>
      <c r="G810" s="158" t="str">
        <f>IF(Settings!$M$4=Settings!$Y$3,IF($AA810=1,"P",""),IF($AA810=2,"P",""))</f>
        <v/>
      </c>
      <c r="H810" s="158" t="str">
        <f>IF(Settings!$M$4=Settings!$Y$3,IF($AA810=1,"P",""),IF($AA810=3,"P",""))</f>
        <v/>
      </c>
      <c r="I810" s="158" t="str">
        <f>IF(Settings!$M$4=Settings!$Y$3,IF($AA810=1,"P",""),IF($AA810=4,"P",""))</f>
        <v/>
      </c>
      <c r="J810" s="158" t="str">
        <f>IF(Settings!$M$4=Settings!$Y$3,IF($AA810=2,"P",""),IF($AA810=5,"P",""))</f>
        <v/>
      </c>
      <c r="K810" s="158" t="str">
        <f>IF(Settings!$M$4=Settings!$Y$3,IF($AA810=2,"P",""),IF($AA810=6,"P",""))</f>
        <v/>
      </c>
      <c r="L810" s="158" t="str">
        <f>IF(Settings!$M$4=Settings!$Y$3,IF($AA810=2,"P",""),IF($AA810=7,"P",""))</f>
        <v/>
      </c>
      <c r="M810" s="158" t="str">
        <f>IF(Settings!$M$4=Settings!$Y$3,IF($AA810=2,"P",""),IF($AA810=8,"P",""))</f>
        <v/>
      </c>
      <c r="N810" s="158" t="str">
        <f>IF(Settings!$M$4=Settings!$Y$3,IF($AA810=3,"P",""),IF($AA810=9,"P",""))</f>
        <v/>
      </c>
      <c r="O810" s="159" t="str">
        <f>IF(Settings!$M$4=Settings!$Y$3,IF($AA810=3,"P",""),IF($AA810=10,"P",""))</f>
        <v/>
      </c>
      <c r="P810" s="22"/>
      <c r="Q810" s="22"/>
      <c r="R810" s="353" t="e">
        <f>IF(INDEX(TblDatabase[Comment17],MATCH(1,INDEX(($L$4=ListEmployeeNamesInDatabase)*(C786=TblDatabase[Year]),0,1),0))="","",INDEX(TblDatabase[Comment17],MATCH(1,INDEX(($L$4=ListEmployeeNamesInDatabase)*(C786=TblDatabase[Year]),0,1),0)))</f>
        <v>#N/A</v>
      </c>
      <c r="S810" s="353"/>
      <c r="T810" s="353"/>
      <c r="U810" s="353"/>
      <c r="V810" s="353"/>
      <c r="W810" s="353"/>
      <c r="X810" s="353"/>
      <c r="Y810" s="354"/>
      <c r="Z810" s="149"/>
      <c r="AA810" s="151">
        <f>SUMIFS(TblDatabase[Competency17],ListEmployeeNamesInDatabase,$L$4,TblDatabase[Year],C786)</f>
        <v>0</v>
      </c>
      <c r="AB810" s="149"/>
      <c r="AC810" s="149"/>
      <c r="AD810" s="149"/>
      <c r="AE810" s="149"/>
      <c r="AF810" s="149"/>
    </row>
    <row r="811" spans="2:32" s="148" customFormat="1" ht="15" hidden="1" customHeight="1">
      <c r="B811" s="355" t="str">
        <f t="shared" si="18"/>
        <v/>
      </c>
      <c r="C811" s="356"/>
      <c r="D811" s="356"/>
      <c r="E811" s="357"/>
      <c r="F811" s="163" t="str">
        <f>IF(Settings!$M$4=Settings!$Y$3,IF($AA811=1,"P",""),IF($AA811=1,"P",""))</f>
        <v/>
      </c>
      <c r="G811" s="164" t="str">
        <f>IF(Settings!$M$4=Settings!$Y$3,IF($AA811=1,"P",""),IF($AA811=2,"P",""))</f>
        <v/>
      </c>
      <c r="H811" s="164" t="str">
        <f>IF(Settings!$M$4=Settings!$Y$3,IF($AA811=1,"P",""),IF($AA811=3,"P",""))</f>
        <v/>
      </c>
      <c r="I811" s="164" t="str">
        <f>IF(Settings!$M$4=Settings!$Y$3,IF($AA811=1,"P",""),IF($AA811=4,"P",""))</f>
        <v/>
      </c>
      <c r="J811" s="164" t="str">
        <f>IF(Settings!$M$4=Settings!$Y$3,IF($AA811=2,"P",""),IF($AA811=5,"P",""))</f>
        <v/>
      </c>
      <c r="K811" s="164" t="str">
        <f>IF(Settings!$M$4=Settings!$Y$3,IF($AA811=2,"P",""),IF($AA811=6,"P",""))</f>
        <v/>
      </c>
      <c r="L811" s="164" t="str">
        <f>IF(Settings!$M$4=Settings!$Y$3,IF($AA811=2,"P",""),IF($AA811=7,"P",""))</f>
        <v/>
      </c>
      <c r="M811" s="164" t="str">
        <f>IF(Settings!$M$4=Settings!$Y$3,IF($AA811=2,"P",""),IF($AA811=8,"P",""))</f>
        <v/>
      </c>
      <c r="N811" s="164" t="str">
        <f>IF(Settings!$M$4=Settings!$Y$3,IF($AA811=3,"P",""),IF($AA811=9,"P",""))</f>
        <v/>
      </c>
      <c r="O811" s="165" t="str">
        <f>IF(Settings!$M$4=Settings!$Y$3,IF($AA811=3,"P",""),IF($AA811=10,"P",""))</f>
        <v/>
      </c>
      <c r="P811" s="22"/>
      <c r="Q811" s="22"/>
      <c r="R811" s="360" t="e">
        <f>IF(INDEX(TblDatabase[Comment18],MATCH(1,INDEX(($L$4=ListEmployeeNamesInDatabase)*(C786=TblDatabase[Year]),0,1),0))="","",INDEX(TblDatabase[Comment18],MATCH(1,INDEX(($L$4=ListEmployeeNamesInDatabase)*(C786=TblDatabase[Year]),0,1),0)))</f>
        <v>#N/A</v>
      </c>
      <c r="S811" s="360"/>
      <c r="T811" s="360"/>
      <c r="U811" s="360"/>
      <c r="V811" s="360"/>
      <c r="W811" s="360"/>
      <c r="X811" s="360"/>
      <c r="Y811" s="361"/>
      <c r="Z811" s="149"/>
      <c r="AA811" s="151">
        <f>SUMIFS(TblDatabase[Competency18],ListEmployeeNamesInDatabase,$L$4,TblDatabase[Year],C786)</f>
        <v>0</v>
      </c>
      <c r="AB811" s="149"/>
      <c r="AC811" s="149"/>
      <c r="AD811" s="149"/>
      <c r="AE811" s="149"/>
      <c r="AF811" s="149"/>
    </row>
    <row r="812" spans="2:32" s="148" customFormat="1" ht="15" hidden="1" customHeight="1">
      <c r="B812" s="350" t="str">
        <f t="shared" si="18"/>
        <v/>
      </c>
      <c r="C812" s="351"/>
      <c r="D812" s="351"/>
      <c r="E812" s="352"/>
      <c r="F812" s="157" t="str">
        <f>IF(Settings!$M$4=Settings!$Y$3,IF($AA812=1,"P",""),IF($AA812=1,"P",""))</f>
        <v/>
      </c>
      <c r="G812" s="158" t="str">
        <f>IF(Settings!$M$4=Settings!$Y$3,IF($AA812=1,"P",""),IF($AA812=2,"P",""))</f>
        <v/>
      </c>
      <c r="H812" s="158" t="str">
        <f>IF(Settings!$M$4=Settings!$Y$3,IF($AA812=1,"P",""),IF($AA812=3,"P",""))</f>
        <v/>
      </c>
      <c r="I812" s="158" t="str">
        <f>IF(Settings!$M$4=Settings!$Y$3,IF($AA812=1,"P",""),IF($AA812=4,"P",""))</f>
        <v/>
      </c>
      <c r="J812" s="158" t="str">
        <f>IF(Settings!$M$4=Settings!$Y$3,IF($AA812=2,"P",""),IF($AA812=5,"P",""))</f>
        <v/>
      </c>
      <c r="K812" s="158" t="str">
        <f>IF(Settings!$M$4=Settings!$Y$3,IF($AA812=2,"P",""),IF($AA812=6,"P",""))</f>
        <v/>
      </c>
      <c r="L812" s="158" t="str">
        <f>IF(Settings!$M$4=Settings!$Y$3,IF($AA812=2,"P",""),IF($AA812=7,"P",""))</f>
        <v/>
      </c>
      <c r="M812" s="158" t="str">
        <f>IF(Settings!$M$4=Settings!$Y$3,IF($AA812=2,"P",""),IF($AA812=8,"P",""))</f>
        <v/>
      </c>
      <c r="N812" s="158" t="str">
        <f>IF(Settings!$M$4=Settings!$Y$3,IF($AA812=3,"P",""),IF($AA812=9,"P",""))</f>
        <v/>
      </c>
      <c r="O812" s="159" t="str">
        <f>IF(Settings!$M$4=Settings!$Y$3,IF($AA812=3,"P",""),IF($AA812=10,"P",""))</f>
        <v/>
      </c>
      <c r="P812" s="22"/>
      <c r="Q812" s="22"/>
      <c r="R812" s="353" t="e">
        <f>IF(INDEX(TblDatabase[Comment19],MATCH(1,INDEX(($L$4=ListEmployeeNamesInDatabase)*(C786=TblDatabase[Year]),0,1),0))="","",INDEX(TblDatabase[Comment19],MATCH(1,INDEX(($L$4=ListEmployeeNamesInDatabase)*(C786=TblDatabase[Year]),0,1),0)))</f>
        <v>#N/A</v>
      </c>
      <c r="S812" s="353"/>
      <c r="T812" s="353"/>
      <c r="U812" s="353"/>
      <c r="V812" s="353"/>
      <c r="W812" s="353"/>
      <c r="X812" s="353"/>
      <c r="Y812" s="354"/>
      <c r="Z812" s="149"/>
      <c r="AA812" s="151">
        <f>SUMIFS(TblDatabase[Competency19],ListEmployeeNamesInDatabase,$L$4,TblDatabase[Year],C786)</f>
        <v>0</v>
      </c>
      <c r="AB812" s="149"/>
      <c r="AC812" s="149"/>
      <c r="AD812" s="149"/>
      <c r="AE812" s="149"/>
      <c r="AF812" s="149"/>
    </row>
    <row r="813" spans="2:32" s="148" customFormat="1" ht="15" hidden="1" customHeight="1">
      <c r="B813" s="362" t="str">
        <f t="shared" si="18"/>
        <v/>
      </c>
      <c r="C813" s="363"/>
      <c r="D813" s="363"/>
      <c r="E813" s="364"/>
      <c r="F813" s="166" t="str">
        <f>IF(Settings!$M$4=Settings!$Y$3,IF($AA813=1,"P",""),IF($AA813=1,"P",""))</f>
        <v/>
      </c>
      <c r="G813" s="167" t="str">
        <f>IF(Settings!$M$4=Settings!$Y$3,IF($AA813=1,"P",""),IF($AA813=2,"P",""))</f>
        <v/>
      </c>
      <c r="H813" s="167" t="str">
        <f>IF(Settings!$M$4=Settings!$Y$3,IF($AA813=1,"P",""),IF($AA813=3,"P",""))</f>
        <v/>
      </c>
      <c r="I813" s="167" t="str">
        <f>IF(Settings!$M$4=Settings!$Y$3,IF($AA813=1,"P",""),IF($AA813=4,"P",""))</f>
        <v/>
      </c>
      <c r="J813" s="167" t="str">
        <f>IF(Settings!$M$4=Settings!$Y$3,IF($AA813=2,"P",""),IF($AA813=5,"P",""))</f>
        <v/>
      </c>
      <c r="K813" s="167" t="str">
        <f>IF(Settings!$M$4=Settings!$Y$3,IF($AA813=2,"P",""),IF($AA813=6,"P",""))</f>
        <v/>
      </c>
      <c r="L813" s="167" t="str">
        <f>IF(Settings!$M$4=Settings!$Y$3,IF($AA813=2,"P",""),IF($AA813=7,"P",""))</f>
        <v/>
      </c>
      <c r="M813" s="167" t="str">
        <f>IF(Settings!$M$4=Settings!$Y$3,IF($AA813=2,"P",""),IF($AA813=8,"P",""))</f>
        <v/>
      </c>
      <c r="N813" s="167" t="str">
        <f>IF(Settings!$M$4=Settings!$Y$3,IF($AA813=3,"P",""),IF($AA813=9,"P",""))</f>
        <v/>
      </c>
      <c r="O813" s="168" t="str">
        <f>IF(Settings!$M$4=Settings!$Y$3,IF($AA813=3,"P",""),IF($AA813=10,"P",""))</f>
        <v/>
      </c>
      <c r="P813" s="22"/>
      <c r="Q813" s="22"/>
      <c r="R813" s="365" t="e">
        <f>IF(INDEX(TblDatabase[Comment20],MATCH(1,INDEX(($L$4=ListEmployeeNamesInDatabase)*(C786=TblDatabase[Year]),0,1),0))="","",INDEX(TblDatabase[Comment20],MATCH(1,INDEX(($L$4=ListEmployeeNamesInDatabase)*(C786=TblDatabase[Year]),0,1),0)))</f>
        <v>#N/A</v>
      </c>
      <c r="S813" s="365"/>
      <c r="T813" s="365"/>
      <c r="U813" s="365"/>
      <c r="V813" s="365"/>
      <c r="W813" s="365"/>
      <c r="X813" s="365"/>
      <c r="Y813" s="366"/>
      <c r="Z813" s="149"/>
      <c r="AA813" s="151">
        <f>SUMIFS(TblDatabase[Competency20],ListEmployeeNamesInDatabase,$L$4,TblDatabase[Year],C786)</f>
        <v>0</v>
      </c>
      <c r="AB813" s="149"/>
      <c r="AC813" s="149"/>
      <c r="AD813" s="149"/>
      <c r="AE813" s="149"/>
      <c r="AF813" s="149"/>
    </row>
    <row r="814" spans="2:32" s="148" customFormat="1" hidden="1">
      <c r="B814" s="414" t="s">
        <v>26</v>
      </c>
      <c r="C814" s="415"/>
      <c r="D814" s="415"/>
      <c r="E814" s="371">
        <f ca="1">SUM(OFFSET(AA794,0,0,NumberOfCompetencies))</f>
        <v>0</v>
      </c>
      <c r="F814" s="372"/>
      <c r="G814" s="152"/>
      <c r="H814" s="152"/>
      <c r="I814" s="152"/>
      <c r="J814" s="152"/>
      <c r="K814" s="152"/>
      <c r="L814" s="152"/>
      <c r="M814" s="152"/>
      <c r="N814" s="152"/>
      <c r="O814" s="152"/>
      <c r="P814" s="152"/>
      <c r="Q814" s="152"/>
      <c r="R814" s="152"/>
      <c r="S814" s="152"/>
      <c r="T814" s="152"/>
      <c r="U814" s="152"/>
      <c r="V814" s="152"/>
      <c r="W814" s="152"/>
      <c r="X814" s="152"/>
      <c r="Y814" s="152"/>
      <c r="Z814" s="149"/>
      <c r="AA814" s="149"/>
      <c r="AB814" s="149"/>
      <c r="AC814" s="149"/>
      <c r="AD814" s="149"/>
      <c r="AE814" s="149"/>
      <c r="AF814" s="149"/>
    </row>
    <row r="815" spans="2:32" s="148" customFormat="1" hidden="1">
      <c r="B815" s="369" t="s">
        <v>27</v>
      </c>
      <c r="C815" s="370"/>
      <c r="D815" s="370"/>
      <c r="E815" s="358">
        <f ca="1">E814/NumberOfCompetencies</f>
        <v>0</v>
      </c>
      <c r="F815" s="359"/>
      <c r="G815" s="153"/>
      <c r="H815" s="153"/>
      <c r="I815" s="153"/>
      <c r="J815" s="153"/>
      <c r="K815" s="153"/>
      <c r="L815" s="153"/>
      <c r="M815" s="153"/>
      <c r="N815" s="153"/>
      <c r="O815" s="153"/>
      <c r="P815" s="153"/>
      <c r="Q815" s="153"/>
      <c r="R815" s="153"/>
      <c r="S815" s="153"/>
      <c r="T815" s="153"/>
      <c r="U815" s="153"/>
      <c r="V815" s="153"/>
      <c r="W815" s="153"/>
      <c r="X815" s="153"/>
      <c r="Y815" s="153"/>
      <c r="Z815" s="149"/>
      <c r="AA815" s="149"/>
      <c r="AB815" s="149"/>
      <c r="AC815" s="149"/>
      <c r="AD815" s="149"/>
      <c r="AE815" s="149"/>
      <c r="AF815" s="149"/>
    </row>
    <row r="816" spans="2:32" s="148" customFormat="1" hidden="1">
      <c r="B816" s="154"/>
      <c r="C816" s="154"/>
      <c r="D816" s="154"/>
      <c r="E816" s="154"/>
      <c r="F816" s="154"/>
      <c r="G816" s="154"/>
      <c r="H816" s="154"/>
      <c r="I816" s="154"/>
      <c r="J816" s="154"/>
      <c r="K816" s="154"/>
      <c r="L816" s="154"/>
      <c r="M816" s="154"/>
      <c r="N816" s="154"/>
      <c r="O816" s="154"/>
      <c r="P816" s="154"/>
      <c r="Q816" s="154"/>
      <c r="R816" s="154"/>
      <c r="S816" s="154"/>
      <c r="T816" s="154"/>
      <c r="U816" s="154"/>
      <c r="V816" s="154"/>
      <c r="W816" s="154"/>
      <c r="X816" s="154"/>
      <c r="Y816" s="154"/>
      <c r="Z816" s="149"/>
      <c r="AA816" s="149"/>
      <c r="AB816" s="149"/>
      <c r="AC816" s="149"/>
      <c r="AD816" s="149"/>
      <c r="AE816" s="149"/>
      <c r="AF816" s="149"/>
    </row>
    <row r="817" spans="1:32" s="148" customFormat="1" hidden="1">
      <c r="B817" s="338" t="str">
        <f>Settings!$N$15</f>
        <v>Previously agreed actions</v>
      </c>
      <c r="C817" s="339"/>
      <c r="D817" s="339"/>
      <c r="E817" s="339"/>
      <c r="F817" s="339"/>
      <c r="G817" s="339"/>
      <c r="H817" s="339"/>
      <c r="I817" s="339"/>
      <c r="J817" s="339"/>
      <c r="K817" s="339"/>
      <c r="L817" s="339"/>
      <c r="M817" s="339"/>
      <c r="N817" s="339"/>
      <c r="O817" s="339"/>
      <c r="P817" s="339"/>
      <c r="Q817" s="339"/>
      <c r="R817" s="339"/>
      <c r="S817" s="339"/>
      <c r="T817" s="339"/>
      <c r="U817" s="339"/>
      <c r="V817" s="339"/>
      <c r="W817" s="339"/>
      <c r="X817" s="339"/>
      <c r="Y817" s="340"/>
      <c r="Z817" s="149"/>
      <c r="AA817" s="149"/>
      <c r="AB817" s="149"/>
      <c r="AC817" s="149"/>
      <c r="AD817" s="149"/>
      <c r="AE817" s="149"/>
      <c r="AF817" s="149"/>
    </row>
    <row r="818" spans="1:32" s="148" customFormat="1" hidden="1">
      <c r="B818" s="341" t="e">
        <f>IF(INDEX(TblDatabase[Feedback Does Well],MATCH(1,INDEX(($L$4=ListEmployeeNamesInDatabase)*(C786=TblDatabase[Year]),0,1),0))="","",INDEX(TblDatabase[Feedback Does Well],MATCH(1,INDEX(($L$4=ListEmployeeNamesInDatabase)*(C786=TblDatabase[Year]),0,1),0)))</f>
        <v>#N/A</v>
      </c>
      <c r="C818" s="342"/>
      <c r="D818" s="342"/>
      <c r="E818" s="342"/>
      <c r="F818" s="342"/>
      <c r="G818" s="342"/>
      <c r="H818" s="342"/>
      <c r="I818" s="342"/>
      <c r="J818" s="342"/>
      <c r="K818" s="342"/>
      <c r="L818" s="342"/>
      <c r="M818" s="342"/>
      <c r="N818" s="342"/>
      <c r="O818" s="342"/>
      <c r="P818" s="342"/>
      <c r="Q818" s="342"/>
      <c r="R818" s="342"/>
      <c r="S818" s="342"/>
      <c r="T818" s="342"/>
      <c r="U818" s="342"/>
      <c r="V818" s="342"/>
      <c r="W818" s="342"/>
      <c r="X818" s="342"/>
      <c r="Y818" s="343"/>
      <c r="Z818" s="149"/>
      <c r="AA818" s="149"/>
      <c r="AB818" s="149"/>
      <c r="AC818" s="149"/>
      <c r="AD818" s="149"/>
      <c r="AE818" s="149"/>
      <c r="AF818" s="149"/>
    </row>
    <row r="819" spans="1:32" s="148" customFormat="1" hidden="1">
      <c r="B819" s="344"/>
      <c r="C819" s="345"/>
      <c r="D819" s="345"/>
      <c r="E819" s="345"/>
      <c r="F819" s="345"/>
      <c r="G819" s="345"/>
      <c r="H819" s="345"/>
      <c r="I819" s="345"/>
      <c r="J819" s="345"/>
      <c r="K819" s="345"/>
      <c r="L819" s="345"/>
      <c r="M819" s="345"/>
      <c r="N819" s="345"/>
      <c r="O819" s="345"/>
      <c r="P819" s="345"/>
      <c r="Q819" s="345"/>
      <c r="R819" s="345"/>
      <c r="S819" s="345"/>
      <c r="T819" s="345"/>
      <c r="U819" s="345"/>
      <c r="V819" s="345"/>
      <c r="W819" s="345"/>
      <c r="X819" s="345"/>
      <c r="Y819" s="346"/>
      <c r="Z819" s="149"/>
      <c r="AA819" s="149"/>
      <c r="AB819" s="149"/>
      <c r="AC819" s="149"/>
      <c r="AD819" s="149"/>
      <c r="AE819" s="149"/>
      <c r="AF819" s="149"/>
    </row>
    <row r="820" spans="1:32" s="148" customFormat="1" hidden="1">
      <c r="B820" s="347"/>
      <c r="C820" s="348"/>
      <c r="D820" s="348"/>
      <c r="E820" s="348"/>
      <c r="F820" s="348"/>
      <c r="G820" s="348"/>
      <c r="H820" s="348"/>
      <c r="I820" s="348"/>
      <c r="J820" s="348"/>
      <c r="K820" s="348"/>
      <c r="L820" s="348"/>
      <c r="M820" s="348"/>
      <c r="N820" s="348"/>
      <c r="O820" s="348"/>
      <c r="P820" s="348"/>
      <c r="Q820" s="348"/>
      <c r="R820" s="348"/>
      <c r="S820" s="348"/>
      <c r="T820" s="348"/>
      <c r="U820" s="348"/>
      <c r="V820" s="348"/>
      <c r="W820" s="348"/>
      <c r="X820" s="348"/>
      <c r="Y820" s="349"/>
      <c r="Z820" s="149"/>
      <c r="AA820" s="149"/>
      <c r="AB820" s="149"/>
      <c r="AC820" s="149"/>
      <c r="AD820" s="149"/>
      <c r="AE820" s="149"/>
      <c r="AF820" s="149"/>
    </row>
    <row r="821" spans="1:32" s="148" customFormat="1" hidden="1">
      <c r="B821" s="155"/>
      <c r="C821" s="155"/>
      <c r="D821" s="155"/>
      <c r="E821" s="155"/>
      <c r="F821" s="155"/>
      <c r="G821" s="155"/>
      <c r="H821" s="155"/>
      <c r="I821" s="155"/>
      <c r="J821" s="155"/>
      <c r="K821" s="155"/>
      <c r="L821" s="155"/>
      <c r="M821" s="155"/>
      <c r="N821" s="155"/>
      <c r="O821" s="155"/>
      <c r="P821" s="155"/>
      <c r="Q821" s="155"/>
      <c r="R821" s="155"/>
      <c r="S821" s="155"/>
      <c r="T821" s="155"/>
      <c r="U821" s="155"/>
      <c r="V821" s="155"/>
      <c r="W821" s="155"/>
      <c r="X821" s="155"/>
      <c r="Y821" s="155"/>
      <c r="Z821" s="149"/>
      <c r="AA821" s="149"/>
      <c r="AB821" s="149"/>
      <c r="AC821" s="149"/>
      <c r="AD821" s="149"/>
      <c r="AE821" s="149"/>
      <c r="AF821" s="149"/>
    </row>
    <row r="822" spans="1:32" s="148" customFormat="1" hidden="1">
      <c r="B822" s="338" t="str">
        <f>Settings!$N$16</f>
        <v>Actions agreed during this review</v>
      </c>
      <c r="C822" s="339"/>
      <c r="D822" s="339"/>
      <c r="E822" s="339"/>
      <c r="F822" s="339"/>
      <c r="G822" s="339"/>
      <c r="H822" s="339"/>
      <c r="I822" s="339"/>
      <c r="J822" s="339"/>
      <c r="K822" s="339"/>
      <c r="L822" s="339"/>
      <c r="M822" s="339"/>
      <c r="N822" s="339"/>
      <c r="O822" s="339"/>
      <c r="P822" s="339"/>
      <c r="Q822" s="339"/>
      <c r="R822" s="339"/>
      <c r="S822" s="339"/>
      <c r="T822" s="339"/>
      <c r="U822" s="339"/>
      <c r="V822" s="339"/>
      <c r="W822" s="339"/>
      <c r="X822" s="339"/>
      <c r="Y822" s="340"/>
      <c r="Z822" s="149"/>
      <c r="AA822" s="149"/>
      <c r="AB822" s="149"/>
      <c r="AC822" s="149"/>
      <c r="AD822" s="149"/>
      <c r="AE822" s="149"/>
      <c r="AF822" s="149"/>
    </row>
    <row r="823" spans="1:32" s="148" customFormat="1" hidden="1">
      <c r="B823" s="341" t="e">
        <f>IF(INDEX(TblDatabase[Feedback To Improve],MATCH(1,INDEX(($L$4=ListEmployeeNamesInDatabase)*(C786=TblDatabase[Year]),0,1),0))="","",INDEX(TblDatabase[Feedback To Improve],MATCH(1,INDEX(($L$4=ListEmployeeNamesInDatabase)*(C786=TblDatabase[Year]),0,1),0)))</f>
        <v>#N/A</v>
      </c>
      <c r="C823" s="342"/>
      <c r="D823" s="342"/>
      <c r="E823" s="342"/>
      <c r="F823" s="342"/>
      <c r="G823" s="342"/>
      <c r="H823" s="342"/>
      <c r="I823" s="342"/>
      <c r="J823" s="342"/>
      <c r="K823" s="342"/>
      <c r="L823" s="342"/>
      <c r="M823" s="342"/>
      <c r="N823" s="342"/>
      <c r="O823" s="342"/>
      <c r="P823" s="342"/>
      <c r="Q823" s="342"/>
      <c r="R823" s="342"/>
      <c r="S823" s="342"/>
      <c r="T823" s="342"/>
      <c r="U823" s="342"/>
      <c r="V823" s="342"/>
      <c r="W823" s="342"/>
      <c r="X823" s="342"/>
      <c r="Y823" s="343"/>
      <c r="Z823" s="149"/>
      <c r="AA823" s="149"/>
      <c r="AB823" s="149"/>
      <c r="AC823" s="149"/>
      <c r="AD823" s="149"/>
      <c r="AE823" s="149"/>
      <c r="AF823" s="149"/>
    </row>
    <row r="824" spans="1:32" s="148" customFormat="1" hidden="1">
      <c r="B824" s="344"/>
      <c r="C824" s="345"/>
      <c r="D824" s="345"/>
      <c r="E824" s="345"/>
      <c r="F824" s="345"/>
      <c r="G824" s="345"/>
      <c r="H824" s="345"/>
      <c r="I824" s="345"/>
      <c r="J824" s="345"/>
      <c r="K824" s="345"/>
      <c r="L824" s="345"/>
      <c r="M824" s="345"/>
      <c r="N824" s="345"/>
      <c r="O824" s="345"/>
      <c r="P824" s="345"/>
      <c r="Q824" s="345"/>
      <c r="R824" s="345"/>
      <c r="S824" s="345"/>
      <c r="T824" s="345"/>
      <c r="U824" s="345"/>
      <c r="V824" s="345"/>
      <c r="W824" s="345"/>
      <c r="X824" s="345"/>
      <c r="Y824" s="346"/>
      <c r="Z824" s="149"/>
      <c r="AA824" s="149"/>
      <c r="AB824" s="149"/>
      <c r="AC824" s="149"/>
      <c r="AD824" s="149"/>
      <c r="AE824" s="149"/>
      <c r="AF824" s="149"/>
    </row>
    <row r="825" spans="1:32" s="148" customFormat="1" hidden="1">
      <c r="B825" s="347"/>
      <c r="C825" s="348"/>
      <c r="D825" s="348"/>
      <c r="E825" s="348"/>
      <c r="F825" s="348"/>
      <c r="G825" s="348"/>
      <c r="H825" s="348"/>
      <c r="I825" s="348"/>
      <c r="J825" s="348"/>
      <c r="K825" s="348"/>
      <c r="L825" s="348"/>
      <c r="M825" s="348"/>
      <c r="N825" s="348"/>
      <c r="O825" s="348"/>
      <c r="P825" s="348"/>
      <c r="Q825" s="348"/>
      <c r="R825" s="348"/>
      <c r="S825" s="348"/>
      <c r="T825" s="348"/>
      <c r="U825" s="348"/>
      <c r="V825" s="348"/>
      <c r="W825" s="348"/>
      <c r="X825" s="348"/>
      <c r="Y825" s="349"/>
      <c r="Z825" s="149"/>
      <c r="AA825" s="149"/>
      <c r="AB825" s="149"/>
      <c r="AC825" s="149"/>
      <c r="AD825" s="149"/>
      <c r="AE825" s="149"/>
      <c r="AF825" s="149"/>
    </row>
    <row r="826" spans="1:32" s="148" customFormat="1" hidden="1">
      <c r="B826" s="156"/>
      <c r="C826" s="156"/>
      <c r="D826" s="156"/>
      <c r="E826" s="155"/>
      <c r="F826" s="155"/>
      <c r="G826" s="155"/>
      <c r="H826" s="155"/>
      <c r="I826" s="155"/>
      <c r="J826" s="155"/>
      <c r="K826" s="155"/>
      <c r="L826" s="155"/>
      <c r="M826" s="155"/>
      <c r="N826" s="155"/>
      <c r="O826" s="155"/>
      <c r="P826" s="155"/>
      <c r="Q826" s="155"/>
      <c r="R826" s="155"/>
      <c r="S826" s="155"/>
      <c r="T826" s="155"/>
      <c r="U826" s="155"/>
      <c r="V826" s="155"/>
      <c r="W826" s="155"/>
      <c r="X826" s="155"/>
      <c r="Y826" s="155"/>
      <c r="Z826" s="149"/>
      <c r="AA826" s="149"/>
      <c r="AB826" s="149"/>
      <c r="AC826" s="149"/>
      <c r="AD826" s="149"/>
      <c r="AE826" s="149"/>
      <c r="AF826" s="149"/>
    </row>
    <row r="827" spans="1:32" s="148" customFormat="1" hidden="1">
      <c r="A827" s="150">
        <f>A786+1</f>
        <v>20</v>
      </c>
      <c r="B827" s="27" t="s">
        <v>14</v>
      </c>
      <c r="C827" s="333">
        <f>C786-1</f>
        <v>2001</v>
      </c>
      <c r="D827" s="334"/>
      <c r="Y827" s="149"/>
      <c r="Z827" s="149"/>
      <c r="AA827" s="149"/>
      <c r="AB827" s="149"/>
      <c r="AC827" s="149"/>
      <c r="AD827" s="149"/>
      <c r="AE827" s="149"/>
      <c r="AF827" s="149"/>
    </row>
    <row r="828" spans="1:32" s="148" customFormat="1" hidden="1">
      <c r="Y828" s="149"/>
      <c r="Z828" s="149"/>
      <c r="AA828" s="149"/>
      <c r="AB828" s="149"/>
      <c r="AC828" s="149"/>
      <c r="AD828" s="149"/>
      <c r="AE828" s="149"/>
      <c r="AF828" s="149"/>
    </row>
    <row r="829" spans="1:32" s="148" customFormat="1" hidden="1">
      <c r="B829" s="338" t="str">
        <f>Settings!$N$14</f>
        <v>Employee's comments</v>
      </c>
      <c r="C829" s="339"/>
      <c r="D829" s="339"/>
      <c r="E829" s="339"/>
      <c r="F829" s="339"/>
      <c r="G829" s="339"/>
      <c r="H829" s="339"/>
      <c r="I829" s="339"/>
      <c r="J829" s="339"/>
      <c r="K829" s="339"/>
      <c r="L829" s="339"/>
      <c r="M829" s="339"/>
      <c r="N829" s="339"/>
      <c r="O829" s="339"/>
      <c r="P829" s="339"/>
      <c r="Q829" s="339"/>
      <c r="R829" s="339"/>
      <c r="S829" s="339"/>
      <c r="T829" s="339"/>
      <c r="U829" s="339"/>
      <c r="V829" s="339"/>
      <c r="W829" s="339"/>
      <c r="X829" s="339"/>
      <c r="Y829" s="340"/>
      <c r="Z829" s="149"/>
      <c r="AA829" s="149"/>
      <c r="AB829" s="149"/>
      <c r="AC829" s="149"/>
      <c r="AD829" s="149"/>
      <c r="AE829" s="149"/>
      <c r="AF829" s="149"/>
    </row>
    <row r="830" spans="1:32" s="148" customFormat="1" hidden="1">
      <c r="B830" s="341" t="e">
        <f>IF(INDEX(TblDatabase[Feedback Warnings],MATCH(1,INDEX(($L$4=ListEmployeeNamesInDatabase)*(C827=TblDatabase[Year]),0,1),0))="","",INDEX(TblDatabase[Feedback Warnings],MATCH(1,INDEX(($L$4=ListEmployeeNamesInDatabase)*(C827=TblDatabase[Year]),0,1),0)))</f>
        <v>#N/A</v>
      </c>
      <c r="C830" s="342"/>
      <c r="D830" s="342"/>
      <c r="E830" s="342"/>
      <c r="F830" s="342"/>
      <c r="G830" s="342"/>
      <c r="H830" s="342"/>
      <c r="I830" s="342"/>
      <c r="J830" s="342"/>
      <c r="K830" s="342"/>
      <c r="L830" s="342"/>
      <c r="M830" s="342"/>
      <c r="N830" s="342"/>
      <c r="O830" s="342"/>
      <c r="P830" s="342"/>
      <c r="Q830" s="342"/>
      <c r="R830" s="342"/>
      <c r="S830" s="342"/>
      <c r="T830" s="342"/>
      <c r="U830" s="342"/>
      <c r="V830" s="342"/>
      <c r="W830" s="342"/>
      <c r="X830" s="342"/>
      <c r="Y830" s="343"/>
      <c r="Z830" s="149"/>
      <c r="AA830" s="149"/>
      <c r="AB830" s="149"/>
      <c r="AC830" s="149"/>
      <c r="AD830" s="149"/>
      <c r="AE830" s="149"/>
      <c r="AF830" s="149"/>
    </row>
    <row r="831" spans="1:32" s="148" customFormat="1" hidden="1">
      <c r="B831" s="344"/>
      <c r="C831" s="345"/>
      <c r="D831" s="345"/>
      <c r="E831" s="345"/>
      <c r="F831" s="345"/>
      <c r="G831" s="345"/>
      <c r="H831" s="345"/>
      <c r="I831" s="345"/>
      <c r="J831" s="345"/>
      <c r="K831" s="345"/>
      <c r="L831" s="345"/>
      <c r="M831" s="345"/>
      <c r="N831" s="345"/>
      <c r="O831" s="345"/>
      <c r="P831" s="345"/>
      <c r="Q831" s="345"/>
      <c r="R831" s="345"/>
      <c r="S831" s="345"/>
      <c r="T831" s="345"/>
      <c r="U831" s="345"/>
      <c r="V831" s="345"/>
      <c r="W831" s="345"/>
      <c r="X831" s="345"/>
      <c r="Y831" s="346"/>
      <c r="Z831" s="149"/>
      <c r="AA831" s="149"/>
      <c r="AB831" s="149"/>
      <c r="AC831" s="149"/>
      <c r="AD831" s="149"/>
      <c r="AE831" s="149"/>
      <c r="AF831" s="149"/>
    </row>
    <row r="832" spans="1:32" s="148" customFormat="1" hidden="1">
      <c r="B832" s="347"/>
      <c r="C832" s="348"/>
      <c r="D832" s="348"/>
      <c r="E832" s="348"/>
      <c r="F832" s="348"/>
      <c r="G832" s="348"/>
      <c r="H832" s="348"/>
      <c r="I832" s="348"/>
      <c r="J832" s="348"/>
      <c r="K832" s="348"/>
      <c r="L832" s="348"/>
      <c r="M832" s="348"/>
      <c r="N832" s="348"/>
      <c r="O832" s="348"/>
      <c r="P832" s="348"/>
      <c r="Q832" s="348"/>
      <c r="R832" s="348"/>
      <c r="S832" s="348"/>
      <c r="T832" s="348"/>
      <c r="U832" s="348"/>
      <c r="V832" s="348"/>
      <c r="W832" s="348"/>
      <c r="X832" s="348"/>
      <c r="Y832" s="349"/>
      <c r="Z832" s="149"/>
      <c r="AA832" s="149"/>
      <c r="AB832" s="149"/>
      <c r="AC832" s="149"/>
      <c r="AD832" s="149"/>
      <c r="AE832" s="149"/>
      <c r="AF832" s="149"/>
    </row>
    <row r="833" spans="2:32" s="148" customFormat="1" hidden="1">
      <c r="Y833" s="149"/>
      <c r="Z833" s="149"/>
      <c r="AA833" s="149"/>
      <c r="AB833" s="149"/>
      <c r="AC833" s="149"/>
      <c r="AD833" s="149"/>
      <c r="AE833" s="149"/>
      <c r="AF833" s="149"/>
    </row>
    <row r="834" spans="2:32" s="148" customFormat="1" ht="15" hidden="1" customHeight="1">
      <c r="B834" s="320" t="s">
        <v>8</v>
      </c>
      <c r="C834" s="321"/>
      <c r="D834" s="321"/>
      <c r="E834" s="321"/>
      <c r="F834" s="233">
        <f>IF(Settings!$M$4=Settings!$Y$3,Settings!$O$19,1)</f>
        <v>1</v>
      </c>
      <c r="G834" s="234">
        <f>IF(Settings!$M$4=Settings!$Y$3,Settings!$O$19,2)</f>
        <v>2</v>
      </c>
      <c r="H834" s="234">
        <f>IF(Settings!$M$4=Settings!$Y$3,Settings!$O$19,3)</f>
        <v>3</v>
      </c>
      <c r="I834" s="234">
        <f>IF(Settings!$M$4=Settings!$Y$3,Settings!$O$19,4)</f>
        <v>4</v>
      </c>
      <c r="J834" s="234">
        <f>IF(Settings!$M$4=Settings!$Y$3,Settings!$O$20,5)</f>
        <v>5</v>
      </c>
      <c r="K834" s="234">
        <f>IF(Settings!$M$4=Settings!$Y$3,Settings!$O$20,6)</f>
        <v>6</v>
      </c>
      <c r="L834" s="234">
        <f>IF(Settings!$M$4=Settings!$Y$3,Settings!$O$20,7)</f>
        <v>7</v>
      </c>
      <c r="M834" s="234">
        <f>IF(Settings!$M$4=Settings!$Y$3,Settings!$O$20,8)</f>
        <v>8</v>
      </c>
      <c r="N834" s="234">
        <f>IF(Settings!$M$4=Settings!$Y$3,Settings!$O$21,9)</f>
        <v>9</v>
      </c>
      <c r="O834" s="235">
        <f>IF(Settings!$M$4=Settings!$Y$3,Settings!$O$21,10)</f>
        <v>10</v>
      </c>
      <c r="P834" s="22"/>
      <c r="Q834" s="22"/>
      <c r="R834" s="333" t="s">
        <v>24</v>
      </c>
      <c r="S834" s="333"/>
      <c r="T834" s="333"/>
      <c r="U834" s="333"/>
      <c r="V834" s="333"/>
      <c r="W834" s="333"/>
      <c r="X834" s="333"/>
      <c r="Y834" s="334"/>
      <c r="Z834" s="149"/>
      <c r="AA834" s="149"/>
      <c r="AB834" s="149"/>
      <c r="AC834" s="149"/>
      <c r="AD834" s="149"/>
      <c r="AE834" s="149"/>
      <c r="AF834" s="149"/>
    </row>
    <row r="835" spans="2:32" s="148" customFormat="1" ht="15" hidden="1" customHeight="1">
      <c r="B835" s="335" t="str">
        <f t="shared" ref="B835:B854" si="19">B794</f>
        <v>Quality of Work</v>
      </c>
      <c r="C835" s="336"/>
      <c r="D835" s="336"/>
      <c r="E835" s="337"/>
      <c r="F835" s="162" t="str">
        <f>IF(Settings!$M$4=Settings!$Y$3,IF($AA835=1,"P",""),IF($AA835=1,"P",""))</f>
        <v/>
      </c>
      <c r="G835" s="160" t="str">
        <f>IF(Settings!$M$4=Settings!$Y$3,IF($AA835=1,"P",""),IF($AA835=2,"P",""))</f>
        <v/>
      </c>
      <c r="H835" s="160" t="str">
        <f>IF(Settings!$M$4=Settings!$Y$3,IF($AA835=1,"P",""),IF($AA835=3,"P",""))</f>
        <v/>
      </c>
      <c r="I835" s="160" t="str">
        <f>IF(Settings!$M$4=Settings!$Y$3,IF($AA835=1,"P",""),IF($AA835=4,"P",""))</f>
        <v/>
      </c>
      <c r="J835" s="160" t="str">
        <f>IF(Settings!$M$4=Settings!$Y$3,IF($AA835=2,"P",""),IF($AA835=5,"P",""))</f>
        <v/>
      </c>
      <c r="K835" s="160" t="str">
        <f>IF(Settings!$M$4=Settings!$Y$3,IF($AA835=2,"P",""),IF($AA835=6,"P",""))</f>
        <v/>
      </c>
      <c r="L835" s="160" t="str">
        <f>IF(Settings!$M$4=Settings!$Y$3,IF($AA835=2,"P",""),IF($AA835=7,"P",""))</f>
        <v/>
      </c>
      <c r="M835" s="160" t="str">
        <f>IF(Settings!$M$4=Settings!$Y$3,IF($AA835=2,"P",""),IF($AA835=8,"P",""))</f>
        <v/>
      </c>
      <c r="N835" s="160" t="str">
        <f>IF(Settings!$M$4=Settings!$Y$3,IF($AA835=3,"P",""),IF($AA835=9,"P",""))</f>
        <v/>
      </c>
      <c r="O835" s="161" t="str">
        <f>IF(Settings!$M$4=Settings!$Y$3,IF($AA835=3,"P",""),IF($AA835=10,"P",""))</f>
        <v/>
      </c>
      <c r="P835" s="22"/>
      <c r="Q835" s="22"/>
      <c r="R835" s="367" t="e">
        <f>IF(INDEX(TblDatabase[Comment1],MATCH(1,INDEX(($L$4=ListEmployeeNamesInDatabase)*(C827=TblDatabase[Year]),0,1),0))="","",INDEX(TblDatabase[Comment1],MATCH(1,INDEX(($L$4=ListEmployeeNamesInDatabase)*(C827=TblDatabase[Year]),0,1),0)))</f>
        <v>#N/A</v>
      </c>
      <c r="S835" s="367"/>
      <c r="T835" s="367"/>
      <c r="U835" s="367"/>
      <c r="V835" s="367"/>
      <c r="W835" s="367"/>
      <c r="X835" s="367"/>
      <c r="Y835" s="368"/>
      <c r="Z835" s="149"/>
      <c r="AA835" s="151">
        <f>SUMIFS(TblDatabase[Competency1],ListEmployeeNamesInDatabase,$L$4,TblDatabase[Year],C827)</f>
        <v>0</v>
      </c>
      <c r="AB835" s="149"/>
      <c r="AC835" s="149"/>
      <c r="AD835" s="149"/>
      <c r="AE835" s="149"/>
      <c r="AF835" s="149"/>
    </row>
    <row r="836" spans="2:32" s="148" customFormat="1" ht="15" hidden="1" customHeight="1">
      <c r="B836" s="355" t="str">
        <f t="shared" si="19"/>
        <v>CaLL flow</v>
      </c>
      <c r="C836" s="356"/>
      <c r="D836" s="356"/>
      <c r="E836" s="357"/>
      <c r="F836" s="163" t="str">
        <f>IF(Settings!$M$4=Settings!$Y$3,IF($AA836=1,"P",""),IF($AA836=1,"P",""))</f>
        <v/>
      </c>
      <c r="G836" s="164" t="str">
        <f>IF(Settings!$M$4=Settings!$Y$3,IF($AA836=1,"P",""),IF($AA836=2,"P",""))</f>
        <v/>
      </c>
      <c r="H836" s="164" t="str">
        <f>IF(Settings!$M$4=Settings!$Y$3,IF($AA836=1,"P",""),IF($AA836=3,"P",""))</f>
        <v/>
      </c>
      <c r="I836" s="164" t="str">
        <f>IF(Settings!$M$4=Settings!$Y$3,IF($AA836=1,"P",""),IF($AA836=4,"P",""))</f>
        <v/>
      </c>
      <c r="J836" s="164" t="str">
        <f>IF(Settings!$M$4=Settings!$Y$3,IF($AA836=2,"P",""),IF($AA836=5,"P",""))</f>
        <v/>
      </c>
      <c r="K836" s="164" t="str">
        <f>IF(Settings!$M$4=Settings!$Y$3,IF($AA836=2,"P",""),IF($AA836=6,"P",""))</f>
        <v/>
      </c>
      <c r="L836" s="164" t="str">
        <f>IF(Settings!$M$4=Settings!$Y$3,IF($AA836=2,"P",""),IF($AA836=7,"P",""))</f>
        <v/>
      </c>
      <c r="M836" s="164" t="str">
        <f>IF(Settings!$M$4=Settings!$Y$3,IF($AA836=2,"P",""),IF($AA836=8,"P",""))</f>
        <v/>
      </c>
      <c r="N836" s="164" t="str">
        <f>IF(Settings!$M$4=Settings!$Y$3,IF($AA836=3,"P",""),IF($AA836=9,"P",""))</f>
        <v/>
      </c>
      <c r="O836" s="165" t="str">
        <f>IF(Settings!$M$4=Settings!$Y$3,IF($AA836=3,"P",""),IF($AA836=10,"P",""))</f>
        <v/>
      </c>
      <c r="P836" s="22"/>
      <c r="Q836" s="22"/>
      <c r="R836" s="360" t="e">
        <f>IF(INDEX(TblDatabase[Comment2],MATCH(1,INDEX(($L$4=ListEmployeeNamesInDatabase)*(C827=TblDatabase[Year]),0,1),0))="","",INDEX(TblDatabase[Comment2],MATCH(1,INDEX(($L$4=ListEmployeeNamesInDatabase)*(C827=TblDatabase[Year]),0,1),0)))</f>
        <v>#N/A</v>
      </c>
      <c r="S836" s="360"/>
      <c r="T836" s="360"/>
      <c r="U836" s="360"/>
      <c r="V836" s="360"/>
      <c r="W836" s="360"/>
      <c r="X836" s="360"/>
      <c r="Y836" s="361"/>
      <c r="Z836" s="149"/>
      <c r="AA836" s="151">
        <f>SUMIFS(TblDatabase[Competency2],ListEmployeeNamesInDatabase,$L$4,TblDatabase[Year],C827)</f>
        <v>0</v>
      </c>
      <c r="AB836" s="149"/>
      <c r="AC836" s="149"/>
      <c r="AD836" s="149"/>
      <c r="AE836" s="149"/>
      <c r="AF836" s="149"/>
    </row>
    <row r="837" spans="2:32" s="148" customFormat="1" ht="15" hidden="1" customHeight="1">
      <c r="B837" s="350" t="str">
        <f t="shared" si="19"/>
        <v>Job Knowledge</v>
      </c>
      <c r="C837" s="351"/>
      <c r="D837" s="351"/>
      <c r="E837" s="352"/>
      <c r="F837" s="157" t="str">
        <f>IF(Settings!$M$4=Settings!$Y$3,IF($AA837=1,"P",""),IF($AA837=1,"P",""))</f>
        <v/>
      </c>
      <c r="G837" s="158" t="str">
        <f>IF(Settings!$M$4=Settings!$Y$3,IF($AA837=1,"P",""),IF($AA837=2,"P",""))</f>
        <v/>
      </c>
      <c r="H837" s="158" t="str">
        <f>IF(Settings!$M$4=Settings!$Y$3,IF($AA837=1,"P",""),IF($AA837=3,"P",""))</f>
        <v/>
      </c>
      <c r="I837" s="158" t="str">
        <f>IF(Settings!$M$4=Settings!$Y$3,IF($AA837=1,"P",""),IF($AA837=4,"P",""))</f>
        <v/>
      </c>
      <c r="J837" s="158" t="str">
        <f>IF(Settings!$M$4=Settings!$Y$3,IF($AA837=2,"P",""),IF($AA837=5,"P",""))</f>
        <v/>
      </c>
      <c r="K837" s="158" t="str">
        <f>IF(Settings!$M$4=Settings!$Y$3,IF($AA837=2,"P",""),IF($AA837=6,"P",""))</f>
        <v/>
      </c>
      <c r="L837" s="158" t="str">
        <f>IF(Settings!$M$4=Settings!$Y$3,IF($AA837=2,"P",""),IF($AA837=7,"P",""))</f>
        <v/>
      </c>
      <c r="M837" s="158" t="str">
        <f>IF(Settings!$M$4=Settings!$Y$3,IF($AA837=2,"P",""),IF($AA837=8,"P",""))</f>
        <v/>
      </c>
      <c r="N837" s="158" t="str">
        <f>IF(Settings!$M$4=Settings!$Y$3,IF($AA837=3,"P",""),IF($AA837=9,"P",""))</f>
        <v/>
      </c>
      <c r="O837" s="159" t="str">
        <f>IF(Settings!$M$4=Settings!$Y$3,IF($AA837=3,"P",""),IF($AA837=10,"P",""))</f>
        <v/>
      </c>
      <c r="P837" s="22"/>
      <c r="Q837" s="22"/>
      <c r="R837" s="353" t="e">
        <f>IF(INDEX(TblDatabase[Comment3],MATCH(1,INDEX(($L$4=ListEmployeeNamesInDatabase)*(C827=TblDatabase[Year]),0,1),0))="","",INDEX(TblDatabase[Comment3],MATCH(1,INDEX(($L$4=ListEmployeeNamesInDatabase)*(C827=TblDatabase[Year]),0,1),0)))</f>
        <v>#N/A</v>
      </c>
      <c r="S837" s="353"/>
      <c r="T837" s="353"/>
      <c r="U837" s="353"/>
      <c r="V837" s="353"/>
      <c r="W837" s="353"/>
      <c r="X837" s="353"/>
      <c r="Y837" s="354"/>
      <c r="Z837" s="149"/>
      <c r="AA837" s="151">
        <f>SUMIFS(TblDatabase[Competency3],ListEmployeeNamesInDatabase,$L$4,TblDatabase[Year],C827)</f>
        <v>0</v>
      </c>
      <c r="AB837" s="149"/>
      <c r="AC837" s="149"/>
      <c r="AD837" s="149"/>
      <c r="AE837" s="149"/>
      <c r="AF837" s="149"/>
    </row>
    <row r="838" spans="2:32" s="148" customFormat="1" ht="15" hidden="1" customHeight="1">
      <c r="B838" s="355" t="str">
        <f t="shared" si="19"/>
        <v>Client Service</v>
      </c>
      <c r="C838" s="356"/>
      <c r="D838" s="356"/>
      <c r="E838" s="357"/>
      <c r="F838" s="163" t="str">
        <f>IF(Settings!$M$4=Settings!$Y$3,IF($AA838=1,"P",""),IF($AA838=1,"P",""))</f>
        <v/>
      </c>
      <c r="G838" s="164" t="str">
        <f>IF(Settings!$M$4=Settings!$Y$3,IF($AA838=1,"P",""),IF($AA838=2,"P",""))</f>
        <v/>
      </c>
      <c r="H838" s="164" t="str">
        <f>IF(Settings!$M$4=Settings!$Y$3,IF($AA838=1,"P",""),IF($AA838=3,"P",""))</f>
        <v/>
      </c>
      <c r="I838" s="164" t="str">
        <f>IF(Settings!$M$4=Settings!$Y$3,IF($AA838=1,"P",""),IF($AA838=4,"P",""))</f>
        <v/>
      </c>
      <c r="J838" s="164" t="str">
        <f>IF(Settings!$M$4=Settings!$Y$3,IF($AA838=2,"P",""),IF($AA838=5,"P",""))</f>
        <v/>
      </c>
      <c r="K838" s="164" t="str">
        <f>IF(Settings!$M$4=Settings!$Y$3,IF($AA838=2,"P",""),IF($AA838=6,"P",""))</f>
        <v/>
      </c>
      <c r="L838" s="164" t="str">
        <f>IF(Settings!$M$4=Settings!$Y$3,IF($AA838=2,"P",""),IF($AA838=7,"P",""))</f>
        <v/>
      </c>
      <c r="M838" s="164" t="str">
        <f>IF(Settings!$M$4=Settings!$Y$3,IF($AA838=2,"P",""),IF($AA838=8,"P",""))</f>
        <v/>
      </c>
      <c r="N838" s="164" t="str">
        <f>IF(Settings!$M$4=Settings!$Y$3,IF($AA838=3,"P",""),IF($AA838=9,"P",""))</f>
        <v/>
      </c>
      <c r="O838" s="165" t="str">
        <f>IF(Settings!$M$4=Settings!$Y$3,IF($AA838=3,"P",""),IF($AA838=10,"P",""))</f>
        <v/>
      </c>
      <c r="P838" s="22"/>
      <c r="Q838" s="22"/>
      <c r="R838" s="360" t="e">
        <f>IF(INDEX(TblDatabase[Comment4],MATCH(1,INDEX(($L$4=ListEmployeeNamesInDatabase)*(C827=TblDatabase[Year]),0,1),0))="","",INDEX(TblDatabase[Comment4],MATCH(1,INDEX(($L$4=ListEmployeeNamesInDatabase)*(C827=TblDatabase[Year]),0,1),0)))</f>
        <v>#N/A</v>
      </c>
      <c r="S838" s="360"/>
      <c r="T838" s="360"/>
      <c r="U838" s="360"/>
      <c r="V838" s="360"/>
      <c r="W838" s="360"/>
      <c r="X838" s="360"/>
      <c r="Y838" s="361"/>
      <c r="Z838" s="149"/>
      <c r="AA838" s="151">
        <f>SUMIFS(TblDatabase[Competency4],ListEmployeeNamesInDatabase,$L$4,TblDatabase[Year],C827)</f>
        <v>0</v>
      </c>
      <c r="AB838" s="149"/>
      <c r="AC838" s="149"/>
      <c r="AD838" s="149"/>
      <c r="AE838" s="149"/>
      <c r="AF838" s="149"/>
    </row>
    <row r="839" spans="2:32" s="148" customFormat="1" ht="15" hidden="1" customHeight="1">
      <c r="B839" s="350" t="str">
        <f t="shared" si="19"/>
        <v>Teamwork</v>
      </c>
      <c r="C839" s="351"/>
      <c r="D839" s="351"/>
      <c r="E839" s="352"/>
      <c r="F839" s="157" t="str">
        <f>IF(Settings!$M$4=Settings!$Y$3,IF($AA839=1,"P",""),IF($AA839=1,"P",""))</f>
        <v/>
      </c>
      <c r="G839" s="158" t="str">
        <f>IF(Settings!$M$4=Settings!$Y$3,IF($AA839=1,"P",""),IF($AA839=2,"P",""))</f>
        <v/>
      </c>
      <c r="H839" s="158" t="str">
        <f>IF(Settings!$M$4=Settings!$Y$3,IF($AA839=1,"P",""),IF($AA839=3,"P",""))</f>
        <v/>
      </c>
      <c r="I839" s="158" t="str">
        <f>IF(Settings!$M$4=Settings!$Y$3,IF($AA839=1,"P",""),IF($AA839=4,"P",""))</f>
        <v/>
      </c>
      <c r="J839" s="158" t="str">
        <f>IF(Settings!$M$4=Settings!$Y$3,IF($AA839=2,"P",""),IF($AA839=5,"P",""))</f>
        <v/>
      </c>
      <c r="K839" s="158" t="str">
        <f>IF(Settings!$M$4=Settings!$Y$3,IF($AA839=2,"P",""),IF($AA839=6,"P",""))</f>
        <v/>
      </c>
      <c r="L839" s="158" t="str">
        <f>IF(Settings!$M$4=Settings!$Y$3,IF($AA839=2,"P",""),IF($AA839=7,"P",""))</f>
        <v/>
      </c>
      <c r="M839" s="158" t="str">
        <f>IF(Settings!$M$4=Settings!$Y$3,IF($AA839=2,"P",""),IF($AA839=8,"P",""))</f>
        <v/>
      </c>
      <c r="N839" s="158" t="str">
        <f>IF(Settings!$M$4=Settings!$Y$3,IF($AA839=3,"P",""),IF($AA839=9,"P",""))</f>
        <v/>
      </c>
      <c r="O839" s="159" t="str">
        <f>IF(Settings!$M$4=Settings!$Y$3,IF($AA839=3,"P",""),IF($AA839=10,"P",""))</f>
        <v/>
      </c>
      <c r="P839" s="22"/>
      <c r="Q839" s="22"/>
      <c r="R839" s="353" t="e">
        <f>IF(INDEX(TblDatabase[Comment5],MATCH(1,INDEX(($L$4=ListEmployeeNamesInDatabase)*(C827=TblDatabase[Year]),0,1),0))="","",INDEX(TblDatabase[Comment5],MATCH(1,INDEX(($L$4=ListEmployeeNamesInDatabase)*(C827=TblDatabase[Year]),0,1),0)))</f>
        <v>#N/A</v>
      </c>
      <c r="S839" s="353"/>
      <c r="T839" s="353"/>
      <c r="U839" s="353"/>
      <c r="V839" s="353"/>
      <c r="W839" s="353"/>
      <c r="X839" s="353"/>
      <c r="Y839" s="354"/>
      <c r="Z839" s="149"/>
      <c r="AA839" s="151">
        <f>SUMIFS(TblDatabase[Competency5],ListEmployeeNamesInDatabase,$L$4,TblDatabase[Year],C827)</f>
        <v>0</v>
      </c>
      <c r="AB839" s="149"/>
      <c r="AC839" s="149"/>
      <c r="AD839" s="149"/>
      <c r="AE839" s="149"/>
      <c r="AF839" s="149"/>
    </row>
    <row r="840" spans="2:32" s="148" customFormat="1" ht="15" hidden="1" customHeight="1">
      <c r="B840" s="355" t="str">
        <f t="shared" si="19"/>
        <v>Safety</v>
      </c>
      <c r="C840" s="356"/>
      <c r="D840" s="356"/>
      <c r="E840" s="357"/>
      <c r="F840" s="163" t="str">
        <f>IF(Settings!$M$4=Settings!$Y$3,IF($AA840=1,"P",""),IF($AA840=1,"P",""))</f>
        <v/>
      </c>
      <c r="G840" s="164" t="str">
        <f>IF(Settings!$M$4=Settings!$Y$3,IF($AA840=1,"P",""),IF($AA840=2,"P",""))</f>
        <v/>
      </c>
      <c r="H840" s="164" t="str">
        <f>IF(Settings!$M$4=Settings!$Y$3,IF($AA840=1,"P",""),IF($AA840=3,"P",""))</f>
        <v/>
      </c>
      <c r="I840" s="164" t="str">
        <f>IF(Settings!$M$4=Settings!$Y$3,IF($AA840=1,"P",""),IF($AA840=4,"P",""))</f>
        <v/>
      </c>
      <c r="J840" s="164" t="str">
        <f>IF(Settings!$M$4=Settings!$Y$3,IF($AA840=2,"P",""),IF($AA840=5,"P",""))</f>
        <v/>
      </c>
      <c r="K840" s="164" t="str">
        <f>IF(Settings!$M$4=Settings!$Y$3,IF($AA840=2,"P",""),IF($AA840=6,"P",""))</f>
        <v/>
      </c>
      <c r="L840" s="164" t="str">
        <f>IF(Settings!$M$4=Settings!$Y$3,IF($AA840=2,"P",""),IF($AA840=7,"P",""))</f>
        <v/>
      </c>
      <c r="M840" s="164" t="str">
        <f>IF(Settings!$M$4=Settings!$Y$3,IF($AA840=2,"P",""),IF($AA840=8,"P",""))</f>
        <v/>
      </c>
      <c r="N840" s="164" t="str">
        <f>IF(Settings!$M$4=Settings!$Y$3,IF($AA840=3,"P",""),IF($AA840=9,"P",""))</f>
        <v/>
      </c>
      <c r="O840" s="165" t="str">
        <f>IF(Settings!$M$4=Settings!$Y$3,IF($AA840=3,"P",""),IF($AA840=10,"P",""))</f>
        <v/>
      </c>
      <c r="P840" s="22"/>
      <c r="Q840" s="22"/>
      <c r="R840" s="360" t="e">
        <f>IF(INDEX(TblDatabase[Comment6],MATCH(1,INDEX(($L$4=ListEmployeeNamesInDatabase)*(C827=TblDatabase[Year]),0,1),0))="","",INDEX(TblDatabase[Comment6],MATCH(1,INDEX(($L$4=ListEmployeeNamesInDatabase)*(C827=TblDatabase[Year]),0,1),0)))</f>
        <v>#N/A</v>
      </c>
      <c r="S840" s="360"/>
      <c r="T840" s="360"/>
      <c r="U840" s="360"/>
      <c r="V840" s="360"/>
      <c r="W840" s="360"/>
      <c r="X840" s="360"/>
      <c r="Y840" s="361"/>
      <c r="Z840" s="149"/>
      <c r="AA840" s="151">
        <f>SUMIFS(TblDatabase[Competency6],ListEmployeeNamesInDatabase,$L$4,TblDatabase[Year],C827)</f>
        <v>0</v>
      </c>
      <c r="AB840" s="149"/>
      <c r="AC840" s="149"/>
      <c r="AD840" s="149"/>
      <c r="AE840" s="149"/>
      <c r="AF840" s="149"/>
    </row>
    <row r="841" spans="2:32" s="148" customFormat="1" ht="15" hidden="1" customHeight="1">
      <c r="B841" s="350" t="str">
        <f t="shared" si="19"/>
        <v>Reliability</v>
      </c>
      <c r="C841" s="351"/>
      <c r="D841" s="351"/>
      <c r="E841" s="352"/>
      <c r="F841" s="157" t="str">
        <f>IF(Settings!$M$4=Settings!$Y$3,IF($AA841=1,"P",""),IF($AA841=1,"P",""))</f>
        <v/>
      </c>
      <c r="G841" s="158" t="str">
        <f>IF(Settings!$M$4=Settings!$Y$3,IF($AA841=1,"P",""),IF($AA841=2,"P",""))</f>
        <v/>
      </c>
      <c r="H841" s="158" t="str">
        <f>IF(Settings!$M$4=Settings!$Y$3,IF($AA841=1,"P",""),IF($AA841=3,"P",""))</f>
        <v/>
      </c>
      <c r="I841" s="158" t="str">
        <f>IF(Settings!$M$4=Settings!$Y$3,IF($AA841=1,"P",""),IF($AA841=4,"P",""))</f>
        <v/>
      </c>
      <c r="J841" s="158" t="str">
        <f>IF(Settings!$M$4=Settings!$Y$3,IF($AA841=2,"P",""),IF($AA841=5,"P",""))</f>
        <v/>
      </c>
      <c r="K841" s="158" t="str">
        <f>IF(Settings!$M$4=Settings!$Y$3,IF($AA841=2,"P",""),IF($AA841=6,"P",""))</f>
        <v/>
      </c>
      <c r="L841" s="158" t="str">
        <f>IF(Settings!$M$4=Settings!$Y$3,IF($AA841=2,"P",""),IF($AA841=7,"P",""))</f>
        <v/>
      </c>
      <c r="M841" s="158" t="str">
        <f>IF(Settings!$M$4=Settings!$Y$3,IF($AA841=2,"P",""),IF($AA841=8,"P",""))</f>
        <v/>
      </c>
      <c r="N841" s="158" t="str">
        <f>IF(Settings!$M$4=Settings!$Y$3,IF($AA841=3,"P",""),IF($AA841=9,"P",""))</f>
        <v/>
      </c>
      <c r="O841" s="159" t="str">
        <f>IF(Settings!$M$4=Settings!$Y$3,IF($AA841=3,"P",""),IF($AA841=10,"P",""))</f>
        <v/>
      </c>
      <c r="P841" s="22"/>
      <c r="Q841" s="22"/>
      <c r="R841" s="353" t="e">
        <f>IF(INDEX(TblDatabase[Comment7],MATCH(1,INDEX(($L$4=ListEmployeeNamesInDatabase)*(C827=TblDatabase[Year]),0,1),0))="","",INDEX(TblDatabase[Comment7],MATCH(1,INDEX(($L$4=ListEmployeeNamesInDatabase)*(C827=TblDatabase[Year]),0,1),0)))</f>
        <v>#N/A</v>
      </c>
      <c r="S841" s="353"/>
      <c r="T841" s="353"/>
      <c r="U841" s="353"/>
      <c r="V841" s="353"/>
      <c r="W841" s="353"/>
      <c r="X841" s="353"/>
      <c r="Y841" s="354"/>
      <c r="Z841" s="149"/>
      <c r="AA841" s="151">
        <f>SUMIFS(TblDatabase[Competency7],ListEmployeeNamesInDatabase,$L$4,TblDatabase[Year],C827)</f>
        <v>0</v>
      </c>
      <c r="AB841" s="149"/>
      <c r="AC841" s="149"/>
      <c r="AD841" s="149"/>
      <c r="AE841" s="149"/>
      <c r="AF841" s="149"/>
    </row>
    <row r="842" spans="2:32" s="148" customFormat="1" ht="15" hidden="1" customHeight="1">
      <c r="B842" s="355" t="str">
        <f t="shared" si="19"/>
        <v>Initiative/Adaptability</v>
      </c>
      <c r="C842" s="356"/>
      <c r="D842" s="356"/>
      <c r="E842" s="357"/>
      <c r="F842" s="163" t="str">
        <f>IF(Settings!$M$4=Settings!$Y$3,IF($AA842=1,"P",""),IF($AA842=1,"P",""))</f>
        <v/>
      </c>
      <c r="G842" s="164" t="str">
        <f>IF(Settings!$M$4=Settings!$Y$3,IF($AA842=1,"P",""),IF($AA842=2,"P",""))</f>
        <v/>
      </c>
      <c r="H842" s="164" t="str">
        <f>IF(Settings!$M$4=Settings!$Y$3,IF($AA842=1,"P",""),IF($AA842=3,"P",""))</f>
        <v/>
      </c>
      <c r="I842" s="164" t="str">
        <f>IF(Settings!$M$4=Settings!$Y$3,IF($AA842=1,"P",""),IF($AA842=4,"P",""))</f>
        <v/>
      </c>
      <c r="J842" s="164" t="str">
        <f>IF(Settings!$M$4=Settings!$Y$3,IF($AA842=2,"P",""),IF($AA842=5,"P",""))</f>
        <v/>
      </c>
      <c r="K842" s="164" t="str">
        <f>IF(Settings!$M$4=Settings!$Y$3,IF($AA842=2,"P",""),IF($AA842=6,"P",""))</f>
        <v/>
      </c>
      <c r="L842" s="164" t="str">
        <f>IF(Settings!$M$4=Settings!$Y$3,IF($AA842=2,"P",""),IF($AA842=7,"P",""))</f>
        <v/>
      </c>
      <c r="M842" s="164" t="str">
        <f>IF(Settings!$M$4=Settings!$Y$3,IF($AA842=2,"P",""),IF($AA842=8,"P",""))</f>
        <v/>
      </c>
      <c r="N842" s="164" t="str">
        <f>IF(Settings!$M$4=Settings!$Y$3,IF($AA842=3,"P",""),IF($AA842=9,"P",""))</f>
        <v/>
      </c>
      <c r="O842" s="165" t="str">
        <f>IF(Settings!$M$4=Settings!$Y$3,IF($AA842=3,"P",""),IF($AA842=10,"P",""))</f>
        <v/>
      </c>
      <c r="P842" s="22"/>
      <c r="Q842" s="22"/>
      <c r="R842" s="360" t="e">
        <f>IF(INDEX(TblDatabase[Comment8],MATCH(1,INDEX(($L$4=ListEmployeeNamesInDatabase)*(C827=TblDatabase[Year]),0,1),0))="","",INDEX(TblDatabase[Comment8],MATCH(1,INDEX(($L$4=ListEmployeeNamesInDatabase)*(C827=TblDatabase[Year]),0,1),0)))</f>
        <v>#N/A</v>
      </c>
      <c r="S842" s="360"/>
      <c r="T842" s="360"/>
      <c r="U842" s="360"/>
      <c r="V842" s="360"/>
      <c r="W842" s="360"/>
      <c r="X842" s="360"/>
      <c r="Y842" s="361"/>
      <c r="Z842" s="149"/>
      <c r="AA842" s="151">
        <f>SUMIFS(TblDatabase[Competency8],ListEmployeeNamesInDatabase,$L$4,TblDatabase[Year],C827)</f>
        <v>0</v>
      </c>
      <c r="AB842" s="149"/>
      <c r="AC842" s="149"/>
      <c r="AD842" s="149"/>
      <c r="AE842" s="149"/>
      <c r="AF842" s="149"/>
    </row>
    <row r="843" spans="2:32" s="148" customFormat="1" ht="15" hidden="1" customHeight="1">
      <c r="B843" s="350" t="str">
        <f t="shared" si="19"/>
        <v/>
      </c>
      <c r="C843" s="351"/>
      <c r="D843" s="351"/>
      <c r="E843" s="352"/>
      <c r="F843" s="157" t="str">
        <f>IF(Settings!$M$4=Settings!$Y$3,IF($AA843=1,"P",""),IF($AA843=1,"P",""))</f>
        <v/>
      </c>
      <c r="G843" s="158" t="str">
        <f>IF(Settings!$M$4=Settings!$Y$3,IF($AA843=1,"P",""),IF($AA843=2,"P",""))</f>
        <v/>
      </c>
      <c r="H843" s="158" t="str">
        <f>IF(Settings!$M$4=Settings!$Y$3,IF($AA843=1,"P",""),IF($AA843=3,"P",""))</f>
        <v/>
      </c>
      <c r="I843" s="158" t="str">
        <f>IF(Settings!$M$4=Settings!$Y$3,IF($AA843=1,"P",""),IF($AA843=4,"P",""))</f>
        <v/>
      </c>
      <c r="J843" s="158" t="str">
        <f>IF(Settings!$M$4=Settings!$Y$3,IF($AA843=2,"P",""),IF($AA843=5,"P",""))</f>
        <v/>
      </c>
      <c r="K843" s="158" t="str">
        <f>IF(Settings!$M$4=Settings!$Y$3,IF($AA843=2,"P",""),IF($AA843=6,"P",""))</f>
        <v/>
      </c>
      <c r="L843" s="158" t="str">
        <f>IF(Settings!$M$4=Settings!$Y$3,IF($AA843=2,"P",""),IF($AA843=7,"P",""))</f>
        <v/>
      </c>
      <c r="M843" s="158" t="str">
        <f>IF(Settings!$M$4=Settings!$Y$3,IF($AA843=2,"P",""),IF($AA843=8,"P",""))</f>
        <v/>
      </c>
      <c r="N843" s="158" t="str">
        <f>IF(Settings!$M$4=Settings!$Y$3,IF($AA843=3,"P",""),IF($AA843=9,"P",""))</f>
        <v/>
      </c>
      <c r="O843" s="159" t="str">
        <f>IF(Settings!$M$4=Settings!$Y$3,IF($AA843=3,"P",""),IF($AA843=10,"P",""))</f>
        <v/>
      </c>
      <c r="P843" s="22"/>
      <c r="Q843" s="22"/>
      <c r="R843" s="353" t="e">
        <f>IF(INDEX(TblDatabase[Comment9],MATCH(1,INDEX(($L$4=ListEmployeeNamesInDatabase)*(C827=TblDatabase[Year]),0,1),0))="","",INDEX(TblDatabase[Comment9],MATCH(1,INDEX(($L$4=ListEmployeeNamesInDatabase)*(C827=TblDatabase[Year]),0,1),0)))</f>
        <v>#N/A</v>
      </c>
      <c r="S843" s="353"/>
      <c r="T843" s="353"/>
      <c r="U843" s="353"/>
      <c r="V843" s="353"/>
      <c r="W843" s="353"/>
      <c r="X843" s="353"/>
      <c r="Y843" s="354"/>
      <c r="Z843" s="149"/>
      <c r="AA843" s="151">
        <f>SUMIFS(TblDatabase[Competency9],ListEmployeeNamesInDatabase,$L$4,TblDatabase[Year],C827)</f>
        <v>0</v>
      </c>
      <c r="AB843" s="149"/>
      <c r="AC843" s="149"/>
      <c r="AD843" s="149"/>
      <c r="AE843" s="149"/>
      <c r="AF843" s="149"/>
    </row>
    <row r="844" spans="2:32" s="148" customFormat="1" ht="15" hidden="1" customHeight="1">
      <c r="B844" s="355" t="str">
        <f t="shared" si="19"/>
        <v/>
      </c>
      <c r="C844" s="356"/>
      <c r="D844" s="356"/>
      <c r="E844" s="357"/>
      <c r="F844" s="163" t="str">
        <f>IF(Settings!$M$4=Settings!$Y$3,IF($AA844=1,"P",""),IF($AA844=1,"P",""))</f>
        <v/>
      </c>
      <c r="G844" s="164" t="str">
        <f>IF(Settings!$M$4=Settings!$Y$3,IF($AA844=1,"P",""),IF($AA844=2,"P",""))</f>
        <v/>
      </c>
      <c r="H844" s="164" t="str">
        <f>IF(Settings!$M$4=Settings!$Y$3,IF($AA844=1,"P",""),IF($AA844=3,"P",""))</f>
        <v/>
      </c>
      <c r="I844" s="164" t="str">
        <f>IF(Settings!$M$4=Settings!$Y$3,IF($AA844=1,"P",""),IF($AA844=4,"P",""))</f>
        <v/>
      </c>
      <c r="J844" s="164" t="str">
        <f>IF(Settings!$M$4=Settings!$Y$3,IF($AA844=2,"P",""),IF($AA844=5,"P",""))</f>
        <v/>
      </c>
      <c r="K844" s="164" t="str">
        <f>IF(Settings!$M$4=Settings!$Y$3,IF($AA844=2,"P",""),IF($AA844=6,"P",""))</f>
        <v/>
      </c>
      <c r="L844" s="164" t="str">
        <f>IF(Settings!$M$4=Settings!$Y$3,IF($AA844=2,"P",""),IF($AA844=7,"P",""))</f>
        <v/>
      </c>
      <c r="M844" s="164" t="str">
        <f>IF(Settings!$M$4=Settings!$Y$3,IF($AA844=2,"P",""),IF($AA844=8,"P",""))</f>
        <v/>
      </c>
      <c r="N844" s="164" t="str">
        <f>IF(Settings!$M$4=Settings!$Y$3,IF($AA844=3,"P",""),IF($AA844=9,"P",""))</f>
        <v/>
      </c>
      <c r="O844" s="165" t="str">
        <f>IF(Settings!$M$4=Settings!$Y$3,IF($AA844=3,"P",""),IF($AA844=10,"P",""))</f>
        <v/>
      </c>
      <c r="P844" s="22"/>
      <c r="Q844" s="22"/>
      <c r="R844" s="360" t="e">
        <f>IF(INDEX(TblDatabase[Comment10],MATCH(1,INDEX(($L$4=ListEmployeeNamesInDatabase)*(C827=TblDatabase[Year]),0,1),0))="","",INDEX(TblDatabase[Comment10],MATCH(1,INDEX(($L$4=ListEmployeeNamesInDatabase)*(C827=TblDatabase[Year]),0,1),0)))</f>
        <v>#N/A</v>
      </c>
      <c r="S844" s="360"/>
      <c r="T844" s="360"/>
      <c r="U844" s="360"/>
      <c r="V844" s="360"/>
      <c r="W844" s="360"/>
      <c r="X844" s="360"/>
      <c r="Y844" s="361"/>
      <c r="Z844" s="149"/>
      <c r="AA844" s="151">
        <f>SUMIFS(TblDatabase[Competency10],ListEmployeeNamesInDatabase,$L$4,TblDatabase[Year],C827)</f>
        <v>0</v>
      </c>
      <c r="AB844" s="149"/>
      <c r="AC844" s="149"/>
      <c r="AD844" s="149"/>
      <c r="AE844" s="149"/>
      <c r="AF844" s="149"/>
    </row>
    <row r="845" spans="2:32" s="148" customFormat="1" ht="15" hidden="1" customHeight="1">
      <c r="B845" s="350" t="str">
        <f t="shared" si="19"/>
        <v/>
      </c>
      <c r="C845" s="351"/>
      <c r="D845" s="351"/>
      <c r="E845" s="352"/>
      <c r="F845" s="157" t="str">
        <f>IF(Settings!$M$4=Settings!$Y$3,IF($AA845=1,"P",""),IF($AA845=1,"P",""))</f>
        <v/>
      </c>
      <c r="G845" s="158" t="str">
        <f>IF(Settings!$M$4=Settings!$Y$3,IF($AA845=1,"P",""),IF($AA845=2,"P",""))</f>
        <v/>
      </c>
      <c r="H845" s="158" t="str">
        <f>IF(Settings!$M$4=Settings!$Y$3,IF($AA845=1,"P",""),IF($AA845=3,"P",""))</f>
        <v/>
      </c>
      <c r="I845" s="158" t="str">
        <f>IF(Settings!$M$4=Settings!$Y$3,IF($AA845=1,"P",""),IF($AA845=4,"P",""))</f>
        <v/>
      </c>
      <c r="J845" s="158" t="str">
        <f>IF(Settings!$M$4=Settings!$Y$3,IF($AA845=2,"P",""),IF($AA845=5,"P",""))</f>
        <v/>
      </c>
      <c r="K845" s="158" t="str">
        <f>IF(Settings!$M$4=Settings!$Y$3,IF($AA845=2,"P",""),IF($AA845=6,"P",""))</f>
        <v/>
      </c>
      <c r="L845" s="158" t="str">
        <f>IF(Settings!$M$4=Settings!$Y$3,IF($AA845=2,"P",""),IF($AA845=7,"P",""))</f>
        <v/>
      </c>
      <c r="M845" s="158" t="str">
        <f>IF(Settings!$M$4=Settings!$Y$3,IF($AA845=2,"P",""),IF($AA845=8,"P",""))</f>
        <v/>
      </c>
      <c r="N845" s="158" t="str">
        <f>IF(Settings!$M$4=Settings!$Y$3,IF($AA845=3,"P",""),IF($AA845=9,"P",""))</f>
        <v/>
      </c>
      <c r="O845" s="159" t="str">
        <f>IF(Settings!$M$4=Settings!$Y$3,IF($AA845=3,"P",""),IF($AA845=10,"P",""))</f>
        <v/>
      </c>
      <c r="P845" s="22"/>
      <c r="Q845" s="22"/>
      <c r="R845" s="353" t="e">
        <f>IF(INDEX(TblDatabase[Comment11],MATCH(1,INDEX(($L$4=ListEmployeeNamesInDatabase)*(C827=TblDatabase[Year]),0,1),0))="","",INDEX(TblDatabase[Comment11],MATCH(1,INDEX(($L$4=ListEmployeeNamesInDatabase)*(C827=TblDatabase[Year]),0,1),0)))</f>
        <v>#N/A</v>
      </c>
      <c r="S845" s="353"/>
      <c r="T845" s="353"/>
      <c r="U845" s="353"/>
      <c r="V845" s="353"/>
      <c r="W845" s="353"/>
      <c r="X845" s="353"/>
      <c r="Y845" s="354"/>
      <c r="Z845" s="149"/>
      <c r="AA845" s="151">
        <f>SUMIFS(TblDatabase[Competency11],ListEmployeeNamesInDatabase,$L$4,TblDatabase[Year],C827)</f>
        <v>0</v>
      </c>
      <c r="AB845" s="149"/>
      <c r="AC845" s="149"/>
      <c r="AD845" s="149"/>
      <c r="AE845" s="149"/>
      <c r="AF845" s="149"/>
    </row>
    <row r="846" spans="2:32" s="148" customFormat="1" ht="15" hidden="1" customHeight="1">
      <c r="B846" s="355" t="str">
        <f t="shared" si="19"/>
        <v/>
      </c>
      <c r="C846" s="356"/>
      <c r="D846" s="356"/>
      <c r="E846" s="357"/>
      <c r="F846" s="163" t="str">
        <f>IF(Settings!$M$4=Settings!$Y$3,IF($AA846=1,"P",""),IF($AA846=1,"P",""))</f>
        <v/>
      </c>
      <c r="G846" s="164" t="str">
        <f>IF(Settings!$M$4=Settings!$Y$3,IF($AA846=1,"P",""),IF($AA846=2,"P",""))</f>
        <v/>
      </c>
      <c r="H846" s="164" t="str">
        <f>IF(Settings!$M$4=Settings!$Y$3,IF($AA846=1,"P",""),IF($AA846=3,"P",""))</f>
        <v/>
      </c>
      <c r="I846" s="164" t="str">
        <f>IF(Settings!$M$4=Settings!$Y$3,IF($AA846=1,"P",""),IF($AA846=4,"P",""))</f>
        <v/>
      </c>
      <c r="J846" s="164" t="str">
        <f>IF(Settings!$M$4=Settings!$Y$3,IF($AA846=2,"P",""),IF($AA846=5,"P",""))</f>
        <v/>
      </c>
      <c r="K846" s="164" t="str">
        <f>IF(Settings!$M$4=Settings!$Y$3,IF($AA846=2,"P",""),IF($AA846=6,"P",""))</f>
        <v/>
      </c>
      <c r="L846" s="164" t="str">
        <f>IF(Settings!$M$4=Settings!$Y$3,IF($AA846=2,"P",""),IF($AA846=7,"P",""))</f>
        <v/>
      </c>
      <c r="M846" s="164" t="str">
        <f>IF(Settings!$M$4=Settings!$Y$3,IF($AA846=2,"P",""),IF($AA846=8,"P",""))</f>
        <v/>
      </c>
      <c r="N846" s="164" t="str">
        <f>IF(Settings!$M$4=Settings!$Y$3,IF($AA846=3,"P",""),IF($AA846=9,"P",""))</f>
        <v/>
      </c>
      <c r="O846" s="165" t="str">
        <f>IF(Settings!$M$4=Settings!$Y$3,IF($AA846=3,"P",""),IF($AA846=10,"P",""))</f>
        <v/>
      </c>
      <c r="P846" s="22"/>
      <c r="Q846" s="22"/>
      <c r="R846" s="360" t="e">
        <f>IF(INDEX(TblDatabase[Comment12],MATCH(1,INDEX(($L$4=ListEmployeeNamesInDatabase)*(C827=TblDatabase[Year]),0,1),0))="","",INDEX(TblDatabase[Comment12],MATCH(1,INDEX(($L$4=ListEmployeeNamesInDatabase)*(C827=TblDatabase[Year]),0,1),0)))</f>
        <v>#N/A</v>
      </c>
      <c r="S846" s="360"/>
      <c r="T846" s="360"/>
      <c r="U846" s="360"/>
      <c r="V846" s="360"/>
      <c r="W846" s="360"/>
      <c r="X846" s="360"/>
      <c r="Y846" s="361"/>
      <c r="Z846" s="149"/>
      <c r="AA846" s="151">
        <f>SUMIFS(TblDatabase[Competency12],ListEmployeeNamesInDatabase,$L$4,TblDatabase[Year],C827)</f>
        <v>0</v>
      </c>
      <c r="AB846" s="149"/>
      <c r="AC846" s="149"/>
      <c r="AD846" s="149"/>
      <c r="AE846" s="149"/>
      <c r="AF846" s="149"/>
    </row>
    <row r="847" spans="2:32" s="148" customFormat="1" ht="15" hidden="1" customHeight="1">
      <c r="B847" s="350" t="str">
        <f t="shared" si="19"/>
        <v/>
      </c>
      <c r="C847" s="351"/>
      <c r="D847" s="351"/>
      <c r="E847" s="352"/>
      <c r="F847" s="157" t="str">
        <f>IF(Settings!$M$4=Settings!$Y$3,IF($AA847=1,"P",""),IF($AA847=1,"P",""))</f>
        <v/>
      </c>
      <c r="G847" s="158" t="str">
        <f>IF(Settings!$M$4=Settings!$Y$3,IF($AA847=1,"P",""),IF($AA847=2,"P",""))</f>
        <v/>
      </c>
      <c r="H847" s="158" t="str">
        <f>IF(Settings!$M$4=Settings!$Y$3,IF($AA847=1,"P",""),IF($AA847=3,"P",""))</f>
        <v/>
      </c>
      <c r="I847" s="158" t="str">
        <f>IF(Settings!$M$4=Settings!$Y$3,IF($AA847=1,"P",""),IF($AA847=4,"P",""))</f>
        <v/>
      </c>
      <c r="J847" s="158" t="str">
        <f>IF(Settings!$M$4=Settings!$Y$3,IF($AA847=2,"P",""),IF($AA847=5,"P",""))</f>
        <v/>
      </c>
      <c r="K847" s="158" t="str">
        <f>IF(Settings!$M$4=Settings!$Y$3,IF($AA847=2,"P",""),IF($AA847=6,"P",""))</f>
        <v/>
      </c>
      <c r="L847" s="158" t="str">
        <f>IF(Settings!$M$4=Settings!$Y$3,IF($AA847=2,"P",""),IF($AA847=7,"P",""))</f>
        <v/>
      </c>
      <c r="M847" s="158" t="str">
        <f>IF(Settings!$M$4=Settings!$Y$3,IF($AA847=2,"P",""),IF($AA847=8,"P",""))</f>
        <v/>
      </c>
      <c r="N847" s="158" t="str">
        <f>IF(Settings!$M$4=Settings!$Y$3,IF($AA847=3,"P",""),IF($AA847=9,"P",""))</f>
        <v/>
      </c>
      <c r="O847" s="159" t="str">
        <f>IF(Settings!$M$4=Settings!$Y$3,IF($AA847=3,"P",""),IF($AA847=10,"P",""))</f>
        <v/>
      </c>
      <c r="P847" s="22"/>
      <c r="Q847" s="22"/>
      <c r="R847" s="353" t="e">
        <f>IF(INDEX(TblDatabase[Comment13],MATCH(1,INDEX(($L$4=ListEmployeeNamesInDatabase)*(C827=TblDatabase[Year]),0,1),0))="","",INDEX(TblDatabase[Comment13],MATCH(1,INDEX(($L$4=ListEmployeeNamesInDatabase)*(C827=TblDatabase[Year]),0,1),0)))</f>
        <v>#N/A</v>
      </c>
      <c r="S847" s="353"/>
      <c r="T847" s="353"/>
      <c r="U847" s="353"/>
      <c r="V847" s="353"/>
      <c r="W847" s="353"/>
      <c r="X847" s="353"/>
      <c r="Y847" s="354"/>
      <c r="Z847" s="149"/>
      <c r="AA847" s="151">
        <f>SUMIFS(TblDatabase[Competency13],ListEmployeeNamesInDatabase,$L$4,TblDatabase[Year],C827)</f>
        <v>0</v>
      </c>
      <c r="AB847" s="149"/>
      <c r="AC847" s="149"/>
      <c r="AD847" s="149"/>
      <c r="AE847" s="149"/>
      <c r="AF847" s="149"/>
    </row>
    <row r="848" spans="2:32" s="148" customFormat="1" ht="15" hidden="1" customHeight="1">
      <c r="B848" s="355" t="str">
        <f t="shared" si="19"/>
        <v/>
      </c>
      <c r="C848" s="356"/>
      <c r="D848" s="356"/>
      <c r="E848" s="357"/>
      <c r="F848" s="163" t="str">
        <f>IF(Settings!$M$4=Settings!$Y$3,IF($AA848=1,"P",""),IF($AA848=1,"P",""))</f>
        <v/>
      </c>
      <c r="G848" s="164" t="str">
        <f>IF(Settings!$M$4=Settings!$Y$3,IF($AA848=1,"P",""),IF($AA848=2,"P",""))</f>
        <v/>
      </c>
      <c r="H848" s="164" t="str">
        <f>IF(Settings!$M$4=Settings!$Y$3,IF($AA848=1,"P",""),IF($AA848=3,"P",""))</f>
        <v/>
      </c>
      <c r="I848" s="164" t="str">
        <f>IF(Settings!$M$4=Settings!$Y$3,IF($AA848=1,"P",""),IF($AA848=4,"P",""))</f>
        <v/>
      </c>
      <c r="J848" s="164" t="str">
        <f>IF(Settings!$M$4=Settings!$Y$3,IF($AA848=2,"P",""),IF($AA848=5,"P",""))</f>
        <v/>
      </c>
      <c r="K848" s="164" t="str">
        <f>IF(Settings!$M$4=Settings!$Y$3,IF($AA848=2,"P",""),IF($AA848=6,"P",""))</f>
        <v/>
      </c>
      <c r="L848" s="164" t="str">
        <f>IF(Settings!$M$4=Settings!$Y$3,IF($AA848=2,"P",""),IF($AA848=7,"P",""))</f>
        <v/>
      </c>
      <c r="M848" s="164" t="str">
        <f>IF(Settings!$M$4=Settings!$Y$3,IF($AA848=2,"P",""),IF($AA848=8,"P",""))</f>
        <v/>
      </c>
      <c r="N848" s="164" t="str">
        <f>IF(Settings!$M$4=Settings!$Y$3,IF($AA848=3,"P",""),IF($AA848=9,"P",""))</f>
        <v/>
      </c>
      <c r="O848" s="165" t="str">
        <f>IF(Settings!$M$4=Settings!$Y$3,IF($AA848=3,"P",""),IF($AA848=10,"P",""))</f>
        <v/>
      </c>
      <c r="P848" s="22"/>
      <c r="Q848" s="22"/>
      <c r="R848" s="360" t="e">
        <f>IF(INDEX(TblDatabase[Comment14],MATCH(1,INDEX(($L$4=ListEmployeeNamesInDatabase)*(C827=TblDatabase[Year]),0,1),0))="","",INDEX(TblDatabase[Comment14],MATCH(1,INDEX(($L$4=ListEmployeeNamesInDatabase)*(C827=TblDatabase[Year]),0,1),0)))</f>
        <v>#N/A</v>
      </c>
      <c r="S848" s="360"/>
      <c r="T848" s="360"/>
      <c r="U848" s="360"/>
      <c r="V848" s="360"/>
      <c r="W848" s="360"/>
      <c r="X848" s="360"/>
      <c r="Y848" s="361"/>
      <c r="Z848" s="149"/>
      <c r="AA848" s="151">
        <f>SUMIFS(TblDatabase[Competency14],ListEmployeeNamesInDatabase,$L$4,TblDatabase[Year],C827)</f>
        <v>0</v>
      </c>
      <c r="AB848" s="149"/>
      <c r="AC848" s="149"/>
      <c r="AD848" s="149"/>
      <c r="AE848" s="149"/>
      <c r="AF848" s="149"/>
    </row>
    <row r="849" spans="2:32" s="148" customFormat="1" ht="15" hidden="1" customHeight="1">
      <c r="B849" s="350" t="str">
        <f t="shared" si="19"/>
        <v/>
      </c>
      <c r="C849" s="351"/>
      <c r="D849" s="351"/>
      <c r="E849" s="352"/>
      <c r="F849" s="157" t="str">
        <f>IF(Settings!$M$4=Settings!$Y$3,IF($AA849=1,"P",""),IF($AA849=1,"P",""))</f>
        <v/>
      </c>
      <c r="G849" s="158" t="str">
        <f>IF(Settings!$M$4=Settings!$Y$3,IF($AA849=1,"P",""),IF($AA849=2,"P",""))</f>
        <v/>
      </c>
      <c r="H849" s="158" t="str">
        <f>IF(Settings!$M$4=Settings!$Y$3,IF($AA849=1,"P",""),IF($AA849=3,"P",""))</f>
        <v/>
      </c>
      <c r="I849" s="158" t="str">
        <f>IF(Settings!$M$4=Settings!$Y$3,IF($AA849=1,"P",""),IF($AA849=4,"P",""))</f>
        <v/>
      </c>
      <c r="J849" s="158" t="str">
        <f>IF(Settings!$M$4=Settings!$Y$3,IF($AA849=2,"P",""),IF($AA849=5,"P",""))</f>
        <v/>
      </c>
      <c r="K849" s="158" t="str">
        <f>IF(Settings!$M$4=Settings!$Y$3,IF($AA849=2,"P",""),IF($AA849=6,"P",""))</f>
        <v/>
      </c>
      <c r="L849" s="158" t="str">
        <f>IF(Settings!$M$4=Settings!$Y$3,IF($AA849=2,"P",""),IF($AA849=7,"P",""))</f>
        <v/>
      </c>
      <c r="M849" s="158" t="str">
        <f>IF(Settings!$M$4=Settings!$Y$3,IF($AA849=2,"P",""),IF($AA849=8,"P",""))</f>
        <v/>
      </c>
      <c r="N849" s="158" t="str">
        <f>IF(Settings!$M$4=Settings!$Y$3,IF($AA849=3,"P",""),IF($AA849=9,"P",""))</f>
        <v/>
      </c>
      <c r="O849" s="159" t="str">
        <f>IF(Settings!$M$4=Settings!$Y$3,IF($AA849=3,"P",""),IF($AA849=10,"P",""))</f>
        <v/>
      </c>
      <c r="P849" s="22"/>
      <c r="Q849" s="22"/>
      <c r="R849" s="353" t="e">
        <f>IF(INDEX(TblDatabase[Comment15],MATCH(1,INDEX(($L$4=ListEmployeeNamesInDatabase)*(C827=TblDatabase[Year]),0,1),0))="","",INDEX(TblDatabase[Comment15],MATCH(1,INDEX(($L$4=ListEmployeeNamesInDatabase)*(C827=TblDatabase[Year]),0,1),0)))</f>
        <v>#N/A</v>
      </c>
      <c r="S849" s="353"/>
      <c r="T849" s="353"/>
      <c r="U849" s="353"/>
      <c r="V849" s="353"/>
      <c r="W849" s="353"/>
      <c r="X849" s="353"/>
      <c r="Y849" s="354"/>
      <c r="Z849" s="149"/>
      <c r="AA849" s="151">
        <f>SUMIFS(TblDatabase[Competency15],ListEmployeeNamesInDatabase,$L$4,TblDatabase[Year],C827)</f>
        <v>0</v>
      </c>
      <c r="AB849" s="149"/>
      <c r="AC849" s="149"/>
      <c r="AD849" s="149"/>
      <c r="AE849" s="149"/>
      <c r="AF849" s="149"/>
    </row>
    <row r="850" spans="2:32" s="148" customFormat="1" ht="15" hidden="1" customHeight="1">
      <c r="B850" s="355" t="str">
        <f t="shared" si="19"/>
        <v/>
      </c>
      <c r="C850" s="356"/>
      <c r="D850" s="356"/>
      <c r="E850" s="357"/>
      <c r="F850" s="163" t="str">
        <f>IF(Settings!$M$4=Settings!$Y$3,IF($AA850=1,"P",""),IF($AA850=1,"P",""))</f>
        <v/>
      </c>
      <c r="G850" s="164" t="str">
        <f>IF(Settings!$M$4=Settings!$Y$3,IF($AA850=1,"P",""),IF($AA850=2,"P",""))</f>
        <v/>
      </c>
      <c r="H850" s="164" t="str">
        <f>IF(Settings!$M$4=Settings!$Y$3,IF($AA850=1,"P",""),IF($AA850=3,"P",""))</f>
        <v/>
      </c>
      <c r="I850" s="164" t="str">
        <f>IF(Settings!$M$4=Settings!$Y$3,IF($AA850=1,"P",""),IF($AA850=4,"P",""))</f>
        <v/>
      </c>
      <c r="J850" s="164" t="str">
        <f>IF(Settings!$M$4=Settings!$Y$3,IF($AA850=2,"P",""),IF($AA850=5,"P",""))</f>
        <v/>
      </c>
      <c r="K850" s="164" t="str">
        <f>IF(Settings!$M$4=Settings!$Y$3,IF($AA850=2,"P",""),IF($AA850=6,"P",""))</f>
        <v/>
      </c>
      <c r="L850" s="164" t="str">
        <f>IF(Settings!$M$4=Settings!$Y$3,IF($AA850=2,"P",""),IF($AA850=7,"P",""))</f>
        <v/>
      </c>
      <c r="M850" s="164" t="str">
        <f>IF(Settings!$M$4=Settings!$Y$3,IF($AA850=2,"P",""),IF($AA850=8,"P",""))</f>
        <v/>
      </c>
      <c r="N850" s="164" t="str">
        <f>IF(Settings!$M$4=Settings!$Y$3,IF($AA850=3,"P",""),IF($AA850=9,"P",""))</f>
        <v/>
      </c>
      <c r="O850" s="165" t="str">
        <f>IF(Settings!$M$4=Settings!$Y$3,IF($AA850=3,"P",""),IF($AA850=10,"P",""))</f>
        <v/>
      </c>
      <c r="P850" s="22"/>
      <c r="Q850" s="22"/>
      <c r="R850" s="360" t="e">
        <f>IF(INDEX(TblDatabase[Comment16],MATCH(1,INDEX(($L$4=ListEmployeeNamesInDatabase)*(C827=TblDatabase[Year]),0,1),0))="","",INDEX(TblDatabase[Comment16],MATCH(1,INDEX(($L$4=ListEmployeeNamesInDatabase)*(C827=TblDatabase[Year]),0,1),0)))</f>
        <v>#N/A</v>
      </c>
      <c r="S850" s="360"/>
      <c r="T850" s="360"/>
      <c r="U850" s="360"/>
      <c r="V850" s="360"/>
      <c r="W850" s="360"/>
      <c r="X850" s="360"/>
      <c r="Y850" s="361"/>
      <c r="Z850" s="149"/>
      <c r="AA850" s="151">
        <f>SUMIFS(TblDatabase[Competency16],ListEmployeeNamesInDatabase,$L$4,TblDatabase[Year],C827)</f>
        <v>0</v>
      </c>
      <c r="AB850" s="149"/>
      <c r="AC850" s="149"/>
      <c r="AD850" s="149"/>
      <c r="AE850" s="149"/>
      <c r="AF850" s="149"/>
    </row>
    <row r="851" spans="2:32" s="148" customFormat="1" ht="15" hidden="1" customHeight="1">
      <c r="B851" s="350" t="str">
        <f t="shared" si="19"/>
        <v/>
      </c>
      <c r="C851" s="351"/>
      <c r="D851" s="351"/>
      <c r="E851" s="352"/>
      <c r="F851" s="157" t="str">
        <f>IF(Settings!$M$4=Settings!$Y$3,IF($AA851=1,"P",""),IF($AA851=1,"P",""))</f>
        <v/>
      </c>
      <c r="G851" s="158" t="str">
        <f>IF(Settings!$M$4=Settings!$Y$3,IF($AA851=1,"P",""),IF($AA851=2,"P",""))</f>
        <v/>
      </c>
      <c r="H851" s="158" t="str">
        <f>IF(Settings!$M$4=Settings!$Y$3,IF($AA851=1,"P",""),IF($AA851=3,"P",""))</f>
        <v/>
      </c>
      <c r="I851" s="158" t="str">
        <f>IF(Settings!$M$4=Settings!$Y$3,IF($AA851=1,"P",""),IF($AA851=4,"P",""))</f>
        <v/>
      </c>
      <c r="J851" s="158" t="str">
        <f>IF(Settings!$M$4=Settings!$Y$3,IF($AA851=2,"P",""),IF($AA851=5,"P",""))</f>
        <v/>
      </c>
      <c r="K851" s="158" t="str">
        <f>IF(Settings!$M$4=Settings!$Y$3,IF($AA851=2,"P",""),IF($AA851=6,"P",""))</f>
        <v/>
      </c>
      <c r="L851" s="158" t="str">
        <f>IF(Settings!$M$4=Settings!$Y$3,IF($AA851=2,"P",""),IF($AA851=7,"P",""))</f>
        <v/>
      </c>
      <c r="M851" s="158" t="str">
        <f>IF(Settings!$M$4=Settings!$Y$3,IF($AA851=2,"P",""),IF($AA851=8,"P",""))</f>
        <v/>
      </c>
      <c r="N851" s="158" t="str">
        <f>IF(Settings!$M$4=Settings!$Y$3,IF($AA851=3,"P",""),IF($AA851=9,"P",""))</f>
        <v/>
      </c>
      <c r="O851" s="159" t="str">
        <f>IF(Settings!$M$4=Settings!$Y$3,IF($AA851=3,"P",""),IF($AA851=10,"P",""))</f>
        <v/>
      </c>
      <c r="P851" s="22"/>
      <c r="Q851" s="22"/>
      <c r="R851" s="353" t="e">
        <f>IF(INDEX(TblDatabase[Comment17],MATCH(1,INDEX(($L$4=ListEmployeeNamesInDatabase)*(C827=TblDatabase[Year]),0,1),0))="","",INDEX(TblDatabase[Comment17],MATCH(1,INDEX(($L$4=ListEmployeeNamesInDatabase)*(C827=TblDatabase[Year]),0,1),0)))</f>
        <v>#N/A</v>
      </c>
      <c r="S851" s="353"/>
      <c r="T851" s="353"/>
      <c r="U851" s="353"/>
      <c r="V851" s="353"/>
      <c r="W851" s="353"/>
      <c r="X851" s="353"/>
      <c r="Y851" s="354"/>
      <c r="Z851" s="149"/>
      <c r="AA851" s="151">
        <f>SUMIFS(TblDatabase[Competency17],ListEmployeeNamesInDatabase,$L$4,TblDatabase[Year],C827)</f>
        <v>0</v>
      </c>
      <c r="AB851" s="149"/>
      <c r="AC851" s="149"/>
      <c r="AD851" s="149"/>
      <c r="AE851" s="149"/>
      <c r="AF851" s="149"/>
    </row>
    <row r="852" spans="2:32" s="148" customFormat="1" ht="15" hidden="1" customHeight="1">
      <c r="B852" s="355" t="str">
        <f t="shared" si="19"/>
        <v/>
      </c>
      <c r="C852" s="356"/>
      <c r="D852" s="356"/>
      <c r="E852" s="357"/>
      <c r="F852" s="163" t="str">
        <f>IF(Settings!$M$4=Settings!$Y$3,IF($AA852=1,"P",""),IF($AA852=1,"P",""))</f>
        <v/>
      </c>
      <c r="G852" s="164" t="str">
        <f>IF(Settings!$M$4=Settings!$Y$3,IF($AA852=1,"P",""),IF($AA852=2,"P",""))</f>
        <v/>
      </c>
      <c r="H852" s="164" t="str">
        <f>IF(Settings!$M$4=Settings!$Y$3,IF($AA852=1,"P",""),IF($AA852=3,"P",""))</f>
        <v/>
      </c>
      <c r="I852" s="164" t="str">
        <f>IF(Settings!$M$4=Settings!$Y$3,IF($AA852=1,"P",""),IF($AA852=4,"P",""))</f>
        <v/>
      </c>
      <c r="J852" s="164" t="str">
        <f>IF(Settings!$M$4=Settings!$Y$3,IF($AA852=2,"P",""),IF($AA852=5,"P",""))</f>
        <v/>
      </c>
      <c r="K852" s="164" t="str">
        <f>IF(Settings!$M$4=Settings!$Y$3,IF($AA852=2,"P",""),IF($AA852=6,"P",""))</f>
        <v/>
      </c>
      <c r="L852" s="164" t="str">
        <f>IF(Settings!$M$4=Settings!$Y$3,IF($AA852=2,"P",""),IF($AA852=7,"P",""))</f>
        <v/>
      </c>
      <c r="M852" s="164" t="str">
        <f>IF(Settings!$M$4=Settings!$Y$3,IF($AA852=2,"P",""),IF($AA852=8,"P",""))</f>
        <v/>
      </c>
      <c r="N852" s="164" t="str">
        <f>IF(Settings!$M$4=Settings!$Y$3,IF($AA852=3,"P",""),IF($AA852=9,"P",""))</f>
        <v/>
      </c>
      <c r="O852" s="165" t="str">
        <f>IF(Settings!$M$4=Settings!$Y$3,IF($AA852=3,"P",""),IF($AA852=10,"P",""))</f>
        <v/>
      </c>
      <c r="P852" s="22"/>
      <c r="Q852" s="22"/>
      <c r="R852" s="360" t="e">
        <f>IF(INDEX(TblDatabase[Comment18],MATCH(1,INDEX(($L$4=ListEmployeeNamesInDatabase)*(C827=TblDatabase[Year]),0,1),0))="","",INDEX(TblDatabase[Comment18],MATCH(1,INDEX(($L$4=ListEmployeeNamesInDatabase)*(C827=TblDatabase[Year]),0,1),0)))</f>
        <v>#N/A</v>
      </c>
      <c r="S852" s="360"/>
      <c r="T852" s="360"/>
      <c r="U852" s="360"/>
      <c r="V852" s="360"/>
      <c r="W852" s="360"/>
      <c r="X852" s="360"/>
      <c r="Y852" s="361"/>
      <c r="Z852" s="149"/>
      <c r="AA852" s="151">
        <f>SUMIFS(TblDatabase[Competency18],ListEmployeeNamesInDatabase,$L$4,TblDatabase[Year],C827)</f>
        <v>0</v>
      </c>
      <c r="AB852" s="149"/>
      <c r="AC852" s="149"/>
      <c r="AD852" s="149"/>
      <c r="AE852" s="149"/>
      <c r="AF852" s="149"/>
    </row>
    <row r="853" spans="2:32" s="148" customFormat="1" ht="15" hidden="1" customHeight="1">
      <c r="B853" s="350" t="str">
        <f t="shared" si="19"/>
        <v/>
      </c>
      <c r="C853" s="351"/>
      <c r="D853" s="351"/>
      <c r="E853" s="352"/>
      <c r="F853" s="157" t="str">
        <f>IF(Settings!$M$4=Settings!$Y$3,IF($AA853=1,"P",""),IF($AA853=1,"P",""))</f>
        <v/>
      </c>
      <c r="G853" s="158" t="str">
        <f>IF(Settings!$M$4=Settings!$Y$3,IF($AA853=1,"P",""),IF($AA853=2,"P",""))</f>
        <v/>
      </c>
      <c r="H853" s="158" t="str">
        <f>IF(Settings!$M$4=Settings!$Y$3,IF($AA853=1,"P",""),IF($AA853=3,"P",""))</f>
        <v/>
      </c>
      <c r="I853" s="158" t="str">
        <f>IF(Settings!$M$4=Settings!$Y$3,IF($AA853=1,"P",""),IF($AA853=4,"P",""))</f>
        <v/>
      </c>
      <c r="J853" s="158" t="str">
        <f>IF(Settings!$M$4=Settings!$Y$3,IF($AA853=2,"P",""),IF($AA853=5,"P",""))</f>
        <v/>
      </c>
      <c r="K853" s="158" t="str">
        <f>IF(Settings!$M$4=Settings!$Y$3,IF($AA853=2,"P",""),IF($AA853=6,"P",""))</f>
        <v/>
      </c>
      <c r="L853" s="158" t="str">
        <f>IF(Settings!$M$4=Settings!$Y$3,IF($AA853=2,"P",""),IF($AA853=7,"P",""))</f>
        <v/>
      </c>
      <c r="M853" s="158" t="str">
        <f>IF(Settings!$M$4=Settings!$Y$3,IF($AA853=2,"P",""),IF($AA853=8,"P",""))</f>
        <v/>
      </c>
      <c r="N853" s="158" t="str">
        <f>IF(Settings!$M$4=Settings!$Y$3,IF($AA853=3,"P",""),IF($AA853=9,"P",""))</f>
        <v/>
      </c>
      <c r="O853" s="159" t="str">
        <f>IF(Settings!$M$4=Settings!$Y$3,IF($AA853=3,"P",""),IF($AA853=10,"P",""))</f>
        <v/>
      </c>
      <c r="P853" s="22"/>
      <c r="Q853" s="22"/>
      <c r="R853" s="353" t="e">
        <f>IF(INDEX(TblDatabase[Comment19],MATCH(1,INDEX(($L$4=ListEmployeeNamesInDatabase)*(C827=TblDatabase[Year]),0,1),0))="","",INDEX(TblDatabase[Comment19],MATCH(1,INDEX(($L$4=ListEmployeeNamesInDatabase)*(C827=TblDatabase[Year]),0,1),0)))</f>
        <v>#N/A</v>
      </c>
      <c r="S853" s="353"/>
      <c r="T853" s="353"/>
      <c r="U853" s="353"/>
      <c r="V853" s="353"/>
      <c r="W853" s="353"/>
      <c r="X853" s="353"/>
      <c r="Y853" s="354"/>
      <c r="Z853" s="149"/>
      <c r="AA853" s="151">
        <f>SUMIFS(TblDatabase[Competency19],ListEmployeeNamesInDatabase,$L$4,TblDatabase[Year],C827)</f>
        <v>0</v>
      </c>
      <c r="AB853" s="149"/>
      <c r="AC853" s="149"/>
      <c r="AD853" s="149"/>
      <c r="AE853" s="149"/>
      <c r="AF853" s="149"/>
    </row>
    <row r="854" spans="2:32" s="148" customFormat="1" ht="15" hidden="1" customHeight="1">
      <c r="B854" s="362" t="str">
        <f t="shared" si="19"/>
        <v/>
      </c>
      <c r="C854" s="363"/>
      <c r="D854" s="363"/>
      <c r="E854" s="364"/>
      <c r="F854" s="166" t="str">
        <f>IF(Settings!$M$4=Settings!$Y$3,IF($AA854=1,"P",""),IF($AA854=1,"P",""))</f>
        <v/>
      </c>
      <c r="G854" s="167" t="str">
        <f>IF(Settings!$M$4=Settings!$Y$3,IF($AA854=1,"P",""),IF($AA854=2,"P",""))</f>
        <v/>
      </c>
      <c r="H854" s="167" t="str">
        <f>IF(Settings!$M$4=Settings!$Y$3,IF($AA854=1,"P",""),IF($AA854=3,"P",""))</f>
        <v/>
      </c>
      <c r="I854" s="167" t="str">
        <f>IF(Settings!$M$4=Settings!$Y$3,IF($AA854=1,"P",""),IF($AA854=4,"P",""))</f>
        <v/>
      </c>
      <c r="J854" s="167" t="str">
        <f>IF(Settings!$M$4=Settings!$Y$3,IF($AA854=2,"P",""),IF($AA854=5,"P",""))</f>
        <v/>
      </c>
      <c r="K854" s="167" t="str">
        <f>IF(Settings!$M$4=Settings!$Y$3,IF($AA854=2,"P",""),IF($AA854=6,"P",""))</f>
        <v/>
      </c>
      <c r="L854" s="167" t="str">
        <f>IF(Settings!$M$4=Settings!$Y$3,IF($AA854=2,"P",""),IF($AA854=7,"P",""))</f>
        <v/>
      </c>
      <c r="M854" s="167" t="str">
        <f>IF(Settings!$M$4=Settings!$Y$3,IF($AA854=2,"P",""),IF($AA854=8,"P",""))</f>
        <v/>
      </c>
      <c r="N854" s="167" t="str">
        <f>IF(Settings!$M$4=Settings!$Y$3,IF($AA854=3,"P",""),IF($AA854=9,"P",""))</f>
        <v/>
      </c>
      <c r="O854" s="168" t="str">
        <f>IF(Settings!$M$4=Settings!$Y$3,IF($AA854=3,"P",""),IF($AA854=10,"P",""))</f>
        <v/>
      </c>
      <c r="P854" s="22"/>
      <c r="Q854" s="22"/>
      <c r="R854" s="365" t="e">
        <f>IF(INDEX(TblDatabase[Comment20],MATCH(1,INDEX(($L$4=ListEmployeeNamesInDatabase)*(C827=TblDatabase[Year]),0,1),0))="","",INDEX(TblDatabase[Comment20],MATCH(1,INDEX(($L$4=ListEmployeeNamesInDatabase)*(C827=TblDatabase[Year]),0,1),0)))</f>
        <v>#N/A</v>
      </c>
      <c r="S854" s="365"/>
      <c r="T854" s="365"/>
      <c r="U854" s="365"/>
      <c r="V854" s="365"/>
      <c r="W854" s="365"/>
      <c r="X854" s="365"/>
      <c r="Y854" s="366"/>
      <c r="Z854" s="149"/>
      <c r="AA854" s="151">
        <f>SUMIFS(TblDatabase[Competency20],ListEmployeeNamesInDatabase,$L$4,TblDatabase[Year],C827)</f>
        <v>0</v>
      </c>
      <c r="AB854" s="149"/>
      <c r="AC854" s="149"/>
      <c r="AD854" s="149"/>
      <c r="AE854" s="149"/>
      <c r="AF854" s="149"/>
    </row>
    <row r="855" spans="2:32" s="148" customFormat="1" hidden="1">
      <c r="B855" s="414" t="s">
        <v>26</v>
      </c>
      <c r="C855" s="415"/>
      <c r="D855" s="415"/>
      <c r="E855" s="371">
        <f ca="1">SUM(OFFSET(AA835,0,0,NumberOfCompetencies))</f>
        <v>0</v>
      </c>
      <c r="F855" s="372"/>
      <c r="G855" s="152"/>
      <c r="H855" s="152"/>
      <c r="I855" s="152"/>
      <c r="J855" s="152"/>
      <c r="K855" s="152"/>
      <c r="L855" s="152"/>
      <c r="M855" s="152"/>
      <c r="N855" s="152"/>
      <c r="O855" s="152"/>
      <c r="P855" s="152"/>
      <c r="Q855" s="152"/>
      <c r="R855" s="152"/>
      <c r="S855" s="152"/>
      <c r="T855" s="152"/>
      <c r="U855" s="152"/>
      <c r="V855" s="152"/>
      <c r="W855" s="152"/>
      <c r="X855" s="152"/>
      <c r="Y855" s="152"/>
      <c r="Z855" s="149"/>
      <c r="AA855" s="149"/>
      <c r="AB855" s="149"/>
      <c r="AC855" s="149"/>
      <c r="AD855" s="149"/>
      <c r="AE855" s="149"/>
      <c r="AF855" s="149"/>
    </row>
    <row r="856" spans="2:32" s="148" customFormat="1" hidden="1">
      <c r="B856" s="369" t="s">
        <v>27</v>
      </c>
      <c r="C856" s="370"/>
      <c r="D856" s="370"/>
      <c r="E856" s="358">
        <f ca="1">E855/NumberOfCompetencies</f>
        <v>0</v>
      </c>
      <c r="F856" s="359"/>
      <c r="G856" s="153"/>
      <c r="H856" s="153"/>
      <c r="I856" s="153"/>
      <c r="J856" s="153"/>
      <c r="K856" s="153"/>
      <c r="L856" s="153"/>
      <c r="M856" s="153"/>
      <c r="N856" s="153"/>
      <c r="O856" s="153"/>
      <c r="P856" s="153"/>
      <c r="Q856" s="153"/>
      <c r="R856" s="153"/>
      <c r="S856" s="153"/>
      <c r="T856" s="153"/>
      <c r="U856" s="153"/>
      <c r="V856" s="153"/>
      <c r="W856" s="153"/>
      <c r="X856" s="153"/>
      <c r="Y856" s="153"/>
      <c r="Z856" s="149"/>
      <c r="AA856" s="149"/>
      <c r="AB856" s="149"/>
      <c r="AC856" s="149"/>
      <c r="AD856" s="149"/>
      <c r="AE856" s="149"/>
      <c r="AF856" s="149"/>
    </row>
    <row r="857" spans="2:32" s="148" customFormat="1" hidden="1">
      <c r="B857" s="154"/>
      <c r="C857" s="154"/>
      <c r="D857" s="154"/>
      <c r="E857" s="154"/>
      <c r="F857" s="154"/>
      <c r="G857" s="154"/>
      <c r="H857" s="154"/>
      <c r="I857" s="154"/>
      <c r="J857" s="154"/>
      <c r="K857" s="154"/>
      <c r="L857" s="154"/>
      <c r="M857" s="154"/>
      <c r="N857" s="154"/>
      <c r="O857" s="154"/>
      <c r="P857" s="154"/>
      <c r="Q857" s="154"/>
      <c r="R857" s="154"/>
      <c r="S857" s="154"/>
      <c r="T857" s="154"/>
      <c r="U857" s="154"/>
      <c r="V857" s="154"/>
      <c r="W857" s="154"/>
      <c r="X857" s="154"/>
      <c r="Y857" s="154"/>
      <c r="Z857" s="149"/>
      <c r="AA857" s="149"/>
      <c r="AB857" s="149"/>
      <c r="AC857" s="149"/>
      <c r="AD857" s="149"/>
      <c r="AE857" s="149"/>
      <c r="AF857" s="149"/>
    </row>
    <row r="858" spans="2:32" s="148" customFormat="1" hidden="1">
      <c r="B858" s="338" t="str">
        <f>Settings!$N$15</f>
        <v>Previously agreed actions</v>
      </c>
      <c r="C858" s="339"/>
      <c r="D858" s="339"/>
      <c r="E858" s="339"/>
      <c r="F858" s="339"/>
      <c r="G858" s="339"/>
      <c r="H858" s="339"/>
      <c r="I858" s="339"/>
      <c r="J858" s="339"/>
      <c r="K858" s="339"/>
      <c r="L858" s="339"/>
      <c r="M858" s="339"/>
      <c r="N858" s="339"/>
      <c r="O858" s="339"/>
      <c r="P858" s="339"/>
      <c r="Q858" s="339"/>
      <c r="R858" s="339"/>
      <c r="S858" s="339"/>
      <c r="T858" s="339"/>
      <c r="U858" s="339"/>
      <c r="V858" s="339"/>
      <c r="W858" s="339"/>
      <c r="X858" s="339"/>
      <c r="Y858" s="340"/>
      <c r="Z858" s="149"/>
      <c r="AA858" s="149"/>
      <c r="AB858" s="149"/>
      <c r="AC858" s="149"/>
      <c r="AD858" s="149"/>
      <c r="AE858" s="149"/>
      <c r="AF858" s="149"/>
    </row>
    <row r="859" spans="2:32" s="148" customFormat="1" hidden="1">
      <c r="B859" s="341" t="e">
        <f>IF(INDEX(TblDatabase[Feedback Does Well],MATCH(1,INDEX(($L$4=ListEmployeeNamesInDatabase)*(C827=TblDatabase[Year]),0,1),0))="","",INDEX(TblDatabase[Feedback Does Well],MATCH(1,INDEX(($L$4=ListEmployeeNamesInDatabase)*(C827=TblDatabase[Year]),0,1),0)))</f>
        <v>#N/A</v>
      </c>
      <c r="C859" s="342"/>
      <c r="D859" s="342"/>
      <c r="E859" s="342"/>
      <c r="F859" s="342"/>
      <c r="G859" s="342"/>
      <c r="H859" s="342"/>
      <c r="I859" s="342"/>
      <c r="J859" s="342"/>
      <c r="K859" s="342"/>
      <c r="L859" s="342"/>
      <c r="M859" s="342"/>
      <c r="N859" s="342"/>
      <c r="O859" s="342"/>
      <c r="P859" s="342"/>
      <c r="Q859" s="342"/>
      <c r="R859" s="342"/>
      <c r="S859" s="342"/>
      <c r="T859" s="342"/>
      <c r="U859" s="342"/>
      <c r="V859" s="342"/>
      <c r="W859" s="342"/>
      <c r="X859" s="342"/>
      <c r="Y859" s="343"/>
      <c r="Z859" s="149"/>
      <c r="AA859" s="149"/>
      <c r="AB859" s="149"/>
      <c r="AC859" s="149"/>
      <c r="AD859" s="149"/>
      <c r="AE859" s="149"/>
      <c r="AF859" s="149"/>
    </row>
    <row r="860" spans="2:32" s="148" customFormat="1" hidden="1">
      <c r="B860" s="344"/>
      <c r="C860" s="345"/>
      <c r="D860" s="345"/>
      <c r="E860" s="345"/>
      <c r="F860" s="345"/>
      <c r="G860" s="345"/>
      <c r="H860" s="345"/>
      <c r="I860" s="345"/>
      <c r="J860" s="345"/>
      <c r="K860" s="345"/>
      <c r="L860" s="345"/>
      <c r="M860" s="345"/>
      <c r="N860" s="345"/>
      <c r="O860" s="345"/>
      <c r="P860" s="345"/>
      <c r="Q860" s="345"/>
      <c r="R860" s="345"/>
      <c r="S860" s="345"/>
      <c r="T860" s="345"/>
      <c r="U860" s="345"/>
      <c r="V860" s="345"/>
      <c r="W860" s="345"/>
      <c r="X860" s="345"/>
      <c r="Y860" s="346"/>
      <c r="Z860" s="149"/>
      <c r="AA860" s="149"/>
      <c r="AB860" s="149"/>
      <c r="AC860" s="149"/>
      <c r="AD860" s="149"/>
      <c r="AE860" s="149"/>
      <c r="AF860" s="149"/>
    </row>
    <row r="861" spans="2:32" s="148" customFormat="1" hidden="1">
      <c r="B861" s="347"/>
      <c r="C861" s="348"/>
      <c r="D861" s="348"/>
      <c r="E861" s="348"/>
      <c r="F861" s="348"/>
      <c r="G861" s="348"/>
      <c r="H861" s="348"/>
      <c r="I861" s="348"/>
      <c r="J861" s="348"/>
      <c r="K861" s="348"/>
      <c r="L861" s="348"/>
      <c r="M861" s="348"/>
      <c r="N861" s="348"/>
      <c r="O861" s="348"/>
      <c r="P861" s="348"/>
      <c r="Q861" s="348"/>
      <c r="R861" s="348"/>
      <c r="S861" s="348"/>
      <c r="T861" s="348"/>
      <c r="U861" s="348"/>
      <c r="V861" s="348"/>
      <c r="W861" s="348"/>
      <c r="X861" s="348"/>
      <c r="Y861" s="349"/>
      <c r="Z861" s="149"/>
      <c r="AA861" s="149"/>
      <c r="AB861" s="149"/>
      <c r="AC861" s="149"/>
      <c r="AD861" s="149"/>
      <c r="AE861" s="149"/>
      <c r="AF861" s="149"/>
    </row>
    <row r="862" spans="2:32" s="148" customFormat="1" hidden="1">
      <c r="B862" s="155"/>
      <c r="C862" s="155"/>
      <c r="D862" s="155"/>
      <c r="E862" s="155"/>
      <c r="F862" s="155"/>
      <c r="G862" s="155"/>
      <c r="H862" s="155"/>
      <c r="I862" s="155"/>
      <c r="J862" s="155"/>
      <c r="K862" s="155"/>
      <c r="L862" s="155"/>
      <c r="M862" s="155"/>
      <c r="N862" s="155"/>
      <c r="O862" s="155"/>
      <c r="P862" s="155"/>
      <c r="Q862" s="155"/>
      <c r="R862" s="155"/>
      <c r="S862" s="155"/>
      <c r="T862" s="155"/>
      <c r="U862" s="155"/>
      <c r="V862" s="155"/>
      <c r="W862" s="155"/>
      <c r="X862" s="155"/>
      <c r="Y862" s="155"/>
      <c r="Z862" s="149"/>
      <c r="AA862" s="149"/>
      <c r="AB862" s="149"/>
      <c r="AC862" s="149"/>
      <c r="AD862" s="149"/>
      <c r="AE862" s="149"/>
      <c r="AF862" s="149"/>
    </row>
    <row r="863" spans="2:32" s="148" customFormat="1" hidden="1">
      <c r="B863" s="338" t="str">
        <f>Settings!$N$16</f>
        <v>Actions agreed during this review</v>
      </c>
      <c r="C863" s="339"/>
      <c r="D863" s="339"/>
      <c r="E863" s="339"/>
      <c r="F863" s="339"/>
      <c r="G863" s="339"/>
      <c r="H863" s="339"/>
      <c r="I863" s="339"/>
      <c r="J863" s="339"/>
      <c r="K863" s="339"/>
      <c r="L863" s="339"/>
      <c r="M863" s="339"/>
      <c r="N863" s="339"/>
      <c r="O863" s="339"/>
      <c r="P863" s="339"/>
      <c r="Q863" s="339"/>
      <c r="R863" s="339"/>
      <c r="S863" s="339"/>
      <c r="T863" s="339"/>
      <c r="U863" s="339"/>
      <c r="V863" s="339"/>
      <c r="W863" s="339"/>
      <c r="X863" s="339"/>
      <c r="Y863" s="340"/>
      <c r="Z863" s="149"/>
      <c r="AA863" s="149"/>
      <c r="AB863" s="149"/>
      <c r="AC863" s="149"/>
      <c r="AD863" s="149"/>
      <c r="AE863" s="149"/>
      <c r="AF863" s="149"/>
    </row>
    <row r="864" spans="2:32" s="148" customFormat="1" hidden="1">
      <c r="B864" s="341" t="e">
        <f>IF(INDEX(TblDatabase[Feedback To Improve],MATCH(1,INDEX(($L$4=ListEmployeeNamesInDatabase)*(C827=TblDatabase[Year]),0,1),0))="","",INDEX(TblDatabase[Feedback To Improve],MATCH(1,INDEX(($L$4=ListEmployeeNamesInDatabase)*(C827=TblDatabase[Year]),0,1),0)))</f>
        <v>#N/A</v>
      </c>
      <c r="C864" s="342"/>
      <c r="D864" s="342"/>
      <c r="E864" s="342"/>
      <c r="F864" s="342"/>
      <c r="G864" s="342"/>
      <c r="H864" s="342"/>
      <c r="I864" s="342"/>
      <c r="J864" s="342"/>
      <c r="K864" s="342"/>
      <c r="L864" s="342"/>
      <c r="M864" s="342"/>
      <c r="N864" s="342"/>
      <c r="O864" s="342"/>
      <c r="P864" s="342"/>
      <c r="Q864" s="342"/>
      <c r="R864" s="342"/>
      <c r="S864" s="342"/>
      <c r="T864" s="342"/>
      <c r="U864" s="342"/>
      <c r="V864" s="342"/>
      <c r="W864" s="342"/>
      <c r="X864" s="342"/>
      <c r="Y864" s="343"/>
      <c r="Z864" s="149"/>
      <c r="AA864" s="149"/>
      <c r="AB864" s="149"/>
      <c r="AC864" s="149"/>
      <c r="AD864" s="149"/>
      <c r="AE864" s="149"/>
      <c r="AF864" s="149"/>
    </row>
    <row r="865" spans="1:32" s="148" customFormat="1" hidden="1">
      <c r="B865" s="344"/>
      <c r="C865" s="345"/>
      <c r="D865" s="345"/>
      <c r="E865" s="345"/>
      <c r="F865" s="345"/>
      <c r="G865" s="345"/>
      <c r="H865" s="345"/>
      <c r="I865" s="345"/>
      <c r="J865" s="345"/>
      <c r="K865" s="345"/>
      <c r="L865" s="345"/>
      <c r="M865" s="345"/>
      <c r="N865" s="345"/>
      <c r="O865" s="345"/>
      <c r="P865" s="345"/>
      <c r="Q865" s="345"/>
      <c r="R865" s="345"/>
      <c r="S865" s="345"/>
      <c r="T865" s="345"/>
      <c r="U865" s="345"/>
      <c r="V865" s="345"/>
      <c r="W865" s="345"/>
      <c r="X865" s="345"/>
      <c r="Y865" s="346"/>
      <c r="Z865" s="149"/>
      <c r="AA865" s="149"/>
      <c r="AB865" s="149"/>
      <c r="AC865" s="149"/>
      <c r="AD865" s="149"/>
      <c r="AE865" s="149"/>
      <c r="AF865" s="149"/>
    </row>
    <row r="866" spans="1:32" s="148" customFormat="1" hidden="1">
      <c r="B866" s="347"/>
      <c r="C866" s="348"/>
      <c r="D866" s="348"/>
      <c r="E866" s="348"/>
      <c r="F866" s="348"/>
      <c r="G866" s="348"/>
      <c r="H866" s="348"/>
      <c r="I866" s="348"/>
      <c r="J866" s="348"/>
      <c r="K866" s="348"/>
      <c r="L866" s="348"/>
      <c r="M866" s="348"/>
      <c r="N866" s="348"/>
      <c r="O866" s="348"/>
      <c r="P866" s="348"/>
      <c r="Q866" s="348"/>
      <c r="R866" s="348"/>
      <c r="S866" s="348"/>
      <c r="T866" s="348"/>
      <c r="U866" s="348"/>
      <c r="V866" s="348"/>
      <c r="W866" s="348"/>
      <c r="X866" s="348"/>
      <c r="Y866" s="349"/>
      <c r="Z866" s="149"/>
      <c r="AA866" s="149"/>
      <c r="AB866" s="149"/>
      <c r="AC866" s="149"/>
      <c r="AD866" s="149"/>
      <c r="AE866" s="149"/>
      <c r="AF866" s="149"/>
    </row>
    <row r="867" spans="1:32" s="148" customFormat="1" hidden="1">
      <c r="B867" s="156"/>
      <c r="C867" s="156"/>
      <c r="D867" s="156"/>
      <c r="E867" s="155"/>
      <c r="F867" s="155"/>
      <c r="G867" s="155"/>
      <c r="H867" s="155"/>
      <c r="I867" s="155"/>
      <c r="J867" s="155"/>
      <c r="K867" s="155"/>
      <c r="L867" s="155"/>
      <c r="M867" s="155"/>
      <c r="N867" s="155"/>
      <c r="O867" s="155"/>
      <c r="P867" s="155"/>
      <c r="Q867" s="155"/>
      <c r="R867" s="155"/>
      <c r="S867" s="155"/>
      <c r="T867" s="155"/>
      <c r="U867" s="155"/>
      <c r="V867" s="155"/>
      <c r="W867" s="155"/>
      <c r="X867" s="155"/>
      <c r="Y867" s="155"/>
      <c r="Z867" s="149"/>
      <c r="AA867" s="149"/>
      <c r="AB867" s="149"/>
      <c r="AC867" s="149"/>
      <c r="AD867" s="149"/>
      <c r="AE867" s="149"/>
      <c r="AF867" s="149"/>
    </row>
    <row r="868" spans="1:32" s="148" customFormat="1" hidden="1">
      <c r="A868" s="150">
        <f>A827+1</f>
        <v>21</v>
      </c>
      <c r="B868" s="27" t="s">
        <v>14</v>
      </c>
      <c r="C868" s="333">
        <f>C827-1</f>
        <v>2000</v>
      </c>
      <c r="D868" s="334"/>
      <c r="Y868" s="149"/>
      <c r="Z868" s="149"/>
      <c r="AA868" s="149"/>
      <c r="AB868" s="149"/>
      <c r="AC868" s="149"/>
      <c r="AD868" s="149"/>
      <c r="AE868" s="149"/>
      <c r="AF868" s="149"/>
    </row>
    <row r="869" spans="1:32" s="148" customFormat="1" hidden="1">
      <c r="Y869" s="149"/>
      <c r="Z869" s="149"/>
      <c r="AA869" s="149"/>
      <c r="AB869" s="149"/>
      <c r="AC869" s="149"/>
      <c r="AD869" s="149"/>
      <c r="AE869" s="149"/>
      <c r="AF869" s="149"/>
    </row>
    <row r="870" spans="1:32" s="148" customFormat="1" hidden="1">
      <c r="B870" s="338" t="str">
        <f>Settings!$N$14</f>
        <v>Employee's comments</v>
      </c>
      <c r="C870" s="339"/>
      <c r="D870" s="339"/>
      <c r="E870" s="339"/>
      <c r="F870" s="339"/>
      <c r="G870" s="339"/>
      <c r="H870" s="339"/>
      <c r="I870" s="339"/>
      <c r="J870" s="339"/>
      <c r="K870" s="339"/>
      <c r="L870" s="339"/>
      <c r="M870" s="339"/>
      <c r="N870" s="339"/>
      <c r="O870" s="339"/>
      <c r="P870" s="339"/>
      <c r="Q870" s="339"/>
      <c r="R870" s="339"/>
      <c r="S870" s="339"/>
      <c r="T870" s="339"/>
      <c r="U870" s="339"/>
      <c r="V870" s="339"/>
      <c r="W870" s="339"/>
      <c r="X870" s="339"/>
      <c r="Y870" s="340"/>
      <c r="Z870" s="149"/>
      <c r="AA870" s="149"/>
      <c r="AB870" s="149"/>
      <c r="AC870" s="149"/>
      <c r="AD870" s="149"/>
      <c r="AE870" s="149"/>
      <c r="AF870" s="149"/>
    </row>
    <row r="871" spans="1:32" s="148" customFormat="1" hidden="1">
      <c r="B871" s="341" t="e">
        <f>IF(INDEX(TblDatabase[Feedback Warnings],MATCH(1,INDEX(($L$4=ListEmployeeNamesInDatabase)*(C868=TblDatabase[Year]),0,1),0))="","",INDEX(TblDatabase[Feedback Warnings],MATCH(1,INDEX(($L$4=ListEmployeeNamesInDatabase)*(C868=TblDatabase[Year]),0,1),0)))</f>
        <v>#N/A</v>
      </c>
      <c r="C871" s="342"/>
      <c r="D871" s="342"/>
      <c r="E871" s="342"/>
      <c r="F871" s="342"/>
      <c r="G871" s="342"/>
      <c r="H871" s="342"/>
      <c r="I871" s="342"/>
      <c r="J871" s="342"/>
      <c r="K871" s="342"/>
      <c r="L871" s="342"/>
      <c r="M871" s="342"/>
      <c r="N871" s="342"/>
      <c r="O871" s="342"/>
      <c r="P871" s="342"/>
      <c r="Q871" s="342"/>
      <c r="R871" s="342"/>
      <c r="S871" s="342"/>
      <c r="T871" s="342"/>
      <c r="U871" s="342"/>
      <c r="V871" s="342"/>
      <c r="W871" s="342"/>
      <c r="X871" s="342"/>
      <c r="Y871" s="343"/>
      <c r="Z871" s="149"/>
      <c r="AA871" s="149"/>
      <c r="AB871" s="149"/>
      <c r="AC871" s="149"/>
      <c r="AD871" s="149"/>
      <c r="AE871" s="149"/>
      <c r="AF871" s="149"/>
    </row>
    <row r="872" spans="1:32" s="148" customFormat="1" hidden="1">
      <c r="B872" s="344"/>
      <c r="C872" s="345"/>
      <c r="D872" s="345"/>
      <c r="E872" s="345"/>
      <c r="F872" s="345"/>
      <c r="G872" s="345"/>
      <c r="H872" s="345"/>
      <c r="I872" s="345"/>
      <c r="J872" s="345"/>
      <c r="K872" s="345"/>
      <c r="L872" s="345"/>
      <c r="M872" s="345"/>
      <c r="N872" s="345"/>
      <c r="O872" s="345"/>
      <c r="P872" s="345"/>
      <c r="Q872" s="345"/>
      <c r="R872" s="345"/>
      <c r="S872" s="345"/>
      <c r="T872" s="345"/>
      <c r="U872" s="345"/>
      <c r="V872" s="345"/>
      <c r="W872" s="345"/>
      <c r="X872" s="345"/>
      <c r="Y872" s="346"/>
      <c r="Z872" s="149"/>
      <c r="AA872" s="149"/>
      <c r="AB872" s="149"/>
      <c r="AC872" s="149"/>
      <c r="AD872" s="149"/>
      <c r="AE872" s="149"/>
      <c r="AF872" s="149"/>
    </row>
    <row r="873" spans="1:32" s="148" customFormat="1" hidden="1">
      <c r="B873" s="347"/>
      <c r="C873" s="348"/>
      <c r="D873" s="348"/>
      <c r="E873" s="348"/>
      <c r="F873" s="348"/>
      <c r="G873" s="348"/>
      <c r="H873" s="348"/>
      <c r="I873" s="348"/>
      <c r="J873" s="348"/>
      <c r="K873" s="348"/>
      <c r="L873" s="348"/>
      <c r="M873" s="348"/>
      <c r="N873" s="348"/>
      <c r="O873" s="348"/>
      <c r="P873" s="348"/>
      <c r="Q873" s="348"/>
      <c r="R873" s="348"/>
      <c r="S873" s="348"/>
      <c r="T873" s="348"/>
      <c r="U873" s="348"/>
      <c r="V873" s="348"/>
      <c r="W873" s="348"/>
      <c r="X873" s="348"/>
      <c r="Y873" s="349"/>
      <c r="Z873" s="149"/>
      <c r="AA873" s="149"/>
      <c r="AB873" s="149"/>
      <c r="AC873" s="149"/>
      <c r="AD873" s="149"/>
      <c r="AE873" s="149"/>
      <c r="AF873" s="149"/>
    </row>
    <row r="874" spans="1:32" s="148" customFormat="1" hidden="1">
      <c r="Y874" s="149"/>
      <c r="Z874" s="149"/>
      <c r="AA874" s="149"/>
      <c r="AB874" s="149"/>
      <c r="AC874" s="149"/>
      <c r="AD874" s="149"/>
      <c r="AE874" s="149"/>
      <c r="AF874" s="149"/>
    </row>
    <row r="875" spans="1:32" s="148" customFormat="1" ht="15" hidden="1" customHeight="1">
      <c r="B875" s="320" t="s">
        <v>8</v>
      </c>
      <c r="C875" s="321"/>
      <c r="D875" s="321"/>
      <c r="E875" s="321"/>
      <c r="F875" s="233">
        <f>IF(Settings!$M$4=Settings!$Y$3,Settings!$O$19,1)</f>
        <v>1</v>
      </c>
      <c r="G875" s="234">
        <f>IF(Settings!$M$4=Settings!$Y$3,Settings!$O$19,2)</f>
        <v>2</v>
      </c>
      <c r="H875" s="234">
        <f>IF(Settings!$M$4=Settings!$Y$3,Settings!$O$19,3)</f>
        <v>3</v>
      </c>
      <c r="I875" s="234">
        <f>IF(Settings!$M$4=Settings!$Y$3,Settings!$O$19,4)</f>
        <v>4</v>
      </c>
      <c r="J875" s="234">
        <f>IF(Settings!$M$4=Settings!$Y$3,Settings!$O$20,5)</f>
        <v>5</v>
      </c>
      <c r="K875" s="234">
        <f>IF(Settings!$M$4=Settings!$Y$3,Settings!$O$20,6)</f>
        <v>6</v>
      </c>
      <c r="L875" s="234">
        <f>IF(Settings!$M$4=Settings!$Y$3,Settings!$O$20,7)</f>
        <v>7</v>
      </c>
      <c r="M875" s="234">
        <f>IF(Settings!$M$4=Settings!$Y$3,Settings!$O$20,8)</f>
        <v>8</v>
      </c>
      <c r="N875" s="234">
        <f>IF(Settings!$M$4=Settings!$Y$3,Settings!$O$21,9)</f>
        <v>9</v>
      </c>
      <c r="O875" s="235">
        <f>IF(Settings!$M$4=Settings!$Y$3,Settings!$O$21,10)</f>
        <v>10</v>
      </c>
      <c r="P875" s="22"/>
      <c r="Q875" s="22"/>
      <c r="R875" s="333" t="s">
        <v>24</v>
      </c>
      <c r="S875" s="333"/>
      <c r="T875" s="333"/>
      <c r="U875" s="333"/>
      <c r="V875" s="333"/>
      <c r="W875" s="333"/>
      <c r="X875" s="333"/>
      <c r="Y875" s="334"/>
      <c r="Z875" s="149"/>
      <c r="AA875" s="149"/>
      <c r="AB875" s="149"/>
      <c r="AC875" s="149"/>
      <c r="AD875" s="149"/>
      <c r="AE875" s="149"/>
      <c r="AF875" s="149"/>
    </row>
    <row r="876" spans="1:32" s="148" customFormat="1" ht="15" hidden="1" customHeight="1">
      <c r="B876" s="335" t="str">
        <f t="shared" ref="B876:B895" si="20">B835</f>
        <v>Quality of Work</v>
      </c>
      <c r="C876" s="336"/>
      <c r="D876" s="336"/>
      <c r="E876" s="337"/>
      <c r="F876" s="162" t="str">
        <f>IF(Settings!$M$4=Settings!$Y$3,IF($AA876=1,"P",""),IF($AA876=1,"P",""))</f>
        <v/>
      </c>
      <c r="G876" s="160" t="str">
        <f>IF(Settings!$M$4=Settings!$Y$3,IF($AA876=1,"P",""),IF($AA876=2,"P",""))</f>
        <v/>
      </c>
      <c r="H876" s="160" t="str">
        <f>IF(Settings!$M$4=Settings!$Y$3,IF($AA876=1,"P",""),IF($AA876=3,"P",""))</f>
        <v/>
      </c>
      <c r="I876" s="160" t="str">
        <f>IF(Settings!$M$4=Settings!$Y$3,IF($AA876=1,"P",""),IF($AA876=4,"P",""))</f>
        <v/>
      </c>
      <c r="J876" s="160" t="str">
        <f>IF(Settings!$M$4=Settings!$Y$3,IF($AA876=2,"P",""),IF($AA876=5,"P",""))</f>
        <v/>
      </c>
      <c r="K876" s="160" t="str">
        <f>IF(Settings!$M$4=Settings!$Y$3,IF($AA876=2,"P",""),IF($AA876=6,"P",""))</f>
        <v/>
      </c>
      <c r="L876" s="160" t="str">
        <f>IF(Settings!$M$4=Settings!$Y$3,IF($AA876=2,"P",""),IF($AA876=7,"P",""))</f>
        <v/>
      </c>
      <c r="M876" s="160" t="str">
        <f>IF(Settings!$M$4=Settings!$Y$3,IF($AA876=2,"P",""),IF($AA876=8,"P",""))</f>
        <v/>
      </c>
      <c r="N876" s="160" t="str">
        <f>IF(Settings!$M$4=Settings!$Y$3,IF($AA876=3,"P",""),IF($AA876=9,"P",""))</f>
        <v/>
      </c>
      <c r="O876" s="161" t="str">
        <f>IF(Settings!$M$4=Settings!$Y$3,IF($AA876=3,"P",""),IF($AA876=10,"P",""))</f>
        <v/>
      </c>
      <c r="P876" s="22"/>
      <c r="Q876" s="22"/>
      <c r="R876" s="367" t="e">
        <f>IF(INDEX(TblDatabase[Comment1],MATCH(1,INDEX(($L$4=ListEmployeeNamesInDatabase)*(C868=TblDatabase[Year]),0,1),0))="","",INDEX(TblDatabase[Comment1],MATCH(1,INDEX(($L$4=ListEmployeeNamesInDatabase)*(C868=TblDatabase[Year]),0,1),0)))</f>
        <v>#N/A</v>
      </c>
      <c r="S876" s="367"/>
      <c r="T876" s="367"/>
      <c r="U876" s="367"/>
      <c r="V876" s="367"/>
      <c r="W876" s="367"/>
      <c r="X876" s="367"/>
      <c r="Y876" s="368"/>
      <c r="Z876" s="149"/>
      <c r="AA876" s="151">
        <f>SUMIFS(TblDatabase[Competency1],ListEmployeeNamesInDatabase,$L$4,TblDatabase[Year],C868)</f>
        <v>0</v>
      </c>
      <c r="AB876" s="149"/>
      <c r="AC876" s="149"/>
      <c r="AD876" s="149"/>
      <c r="AE876" s="149"/>
      <c r="AF876" s="149"/>
    </row>
    <row r="877" spans="1:32" s="148" customFormat="1" ht="15" hidden="1" customHeight="1">
      <c r="B877" s="355" t="str">
        <f t="shared" si="20"/>
        <v>CaLL flow</v>
      </c>
      <c r="C877" s="356"/>
      <c r="D877" s="356"/>
      <c r="E877" s="357"/>
      <c r="F877" s="163" t="str">
        <f>IF(Settings!$M$4=Settings!$Y$3,IF($AA877=1,"P",""),IF($AA877=1,"P",""))</f>
        <v/>
      </c>
      <c r="G877" s="164" t="str">
        <f>IF(Settings!$M$4=Settings!$Y$3,IF($AA877=1,"P",""),IF($AA877=2,"P",""))</f>
        <v/>
      </c>
      <c r="H877" s="164" t="str">
        <f>IF(Settings!$M$4=Settings!$Y$3,IF($AA877=1,"P",""),IF($AA877=3,"P",""))</f>
        <v/>
      </c>
      <c r="I877" s="164" t="str">
        <f>IF(Settings!$M$4=Settings!$Y$3,IF($AA877=1,"P",""),IF($AA877=4,"P",""))</f>
        <v/>
      </c>
      <c r="J877" s="164" t="str">
        <f>IF(Settings!$M$4=Settings!$Y$3,IF($AA877=2,"P",""),IF($AA877=5,"P",""))</f>
        <v/>
      </c>
      <c r="K877" s="164" t="str">
        <f>IF(Settings!$M$4=Settings!$Y$3,IF($AA877=2,"P",""),IF($AA877=6,"P",""))</f>
        <v/>
      </c>
      <c r="L877" s="164" t="str">
        <f>IF(Settings!$M$4=Settings!$Y$3,IF($AA877=2,"P",""),IF($AA877=7,"P",""))</f>
        <v/>
      </c>
      <c r="M877" s="164" t="str">
        <f>IF(Settings!$M$4=Settings!$Y$3,IF($AA877=2,"P",""),IF($AA877=8,"P",""))</f>
        <v/>
      </c>
      <c r="N877" s="164" t="str">
        <f>IF(Settings!$M$4=Settings!$Y$3,IF($AA877=3,"P",""),IF($AA877=9,"P",""))</f>
        <v/>
      </c>
      <c r="O877" s="165" t="str">
        <f>IF(Settings!$M$4=Settings!$Y$3,IF($AA877=3,"P",""),IF($AA877=10,"P",""))</f>
        <v/>
      </c>
      <c r="P877" s="22"/>
      <c r="Q877" s="22"/>
      <c r="R877" s="360" t="e">
        <f>IF(INDEX(TblDatabase[Comment2],MATCH(1,INDEX(($L$4=ListEmployeeNamesInDatabase)*(C868=TblDatabase[Year]),0,1),0))="","",INDEX(TblDatabase[Comment2],MATCH(1,INDEX(($L$4=ListEmployeeNamesInDatabase)*(C868=TblDatabase[Year]),0,1),0)))</f>
        <v>#N/A</v>
      </c>
      <c r="S877" s="360"/>
      <c r="T877" s="360"/>
      <c r="U877" s="360"/>
      <c r="V877" s="360"/>
      <c r="W877" s="360"/>
      <c r="X877" s="360"/>
      <c r="Y877" s="361"/>
      <c r="Z877" s="149"/>
      <c r="AA877" s="151">
        <f>SUMIFS(TblDatabase[Competency2],ListEmployeeNamesInDatabase,$L$4,TblDatabase[Year],C868)</f>
        <v>0</v>
      </c>
      <c r="AB877" s="149"/>
      <c r="AC877" s="149"/>
      <c r="AD877" s="149"/>
      <c r="AE877" s="149"/>
      <c r="AF877" s="149"/>
    </row>
    <row r="878" spans="1:32" s="148" customFormat="1" ht="15" hidden="1" customHeight="1">
      <c r="B878" s="350" t="str">
        <f t="shared" si="20"/>
        <v>Job Knowledge</v>
      </c>
      <c r="C878" s="351"/>
      <c r="D878" s="351"/>
      <c r="E878" s="352"/>
      <c r="F878" s="157" t="str">
        <f>IF(Settings!$M$4=Settings!$Y$3,IF($AA878=1,"P",""),IF($AA878=1,"P",""))</f>
        <v/>
      </c>
      <c r="G878" s="158" t="str">
        <f>IF(Settings!$M$4=Settings!$Y$3,IF($AA878=1,"P",""),IF($AA878=2,"P",""))</f>
        <v/>
      </c>
      <c r="H878" s="158" t="str">
        <f>IF(Settings!$M$4=Settings!$Y$3,IF($AA878=1,"P",""),IF($AA878=3,"P",""))</f>
        <v/>
      </c>
      <c r="I878" s="158" t="str">
        <f>IF(Settings!$M$4=Settings!$Y$3,IF($AA878=1,"P",""),IF($AA878=4,"P",""))</f>
        <v/>
      </c>
      <c r="J878" s="158" t="str">
        <f>IF(Settings!$M$4=Settings!$Y$3,IF($AA878=2,"P",""),IF($AA878=5,"P",""))</f>
        <v/>
      </c>
      <c r="K878" s="158" t="str">
        <f>IF(Settings!$M$4=Settings!$Y$3,IF($AA878=2,"P",""),IF($AA878=6,"P",""))</f>
        <v/>
      </c>
      <c r="L878" s="158" t="str">
        <f>IF(Settings!$M$4=Settings!$Y$3,IF($AA878=2,"P",""),IF($AA878=7,"P",""))</f>
        <v/>
      </c>
      <c r="M878" s="158" t="str">
        <f>IF(Settings!$M$4=Settings!$Y$3,IF($AA878=2,"P",""),IF($AA878=8,"P",""))</f>
        <v/>
      </c>
      <c r="N878" s="158" t="str">
        <f>IF(Settings!$M$4=Settings!$Y$3,IF($AA878=3,"P",""),IF($AA878=9,"P",""))</f>
        <v/>
      </c>
      <c r="O878" s="159" t="str">
        <f>IF(Settings!$M$4=Settings!$Y$3,IF($AA878=3,"P",""),IF($AA878=10,"P",""))</f>
        <v/>
      </c>
      <c r="P878" s="22"/>
      <c r="Q878" s="22"/>
      <c r="R878" s="353" t="e">
        <f>IF(INDEX(TblDatabase[Comment3],MATCH(1,INDEX(($L$4=ListEmployeeNamesInDatabase)*(C868=TblDatabase[Year]),0,1),0))="","",INDEX(TblDatabase[Comment3],MATCH(1,INDEX(($L$4=ListEmployeeNamesInDatabase)*(C868=TblDatabase[Year]),0,1),0)))</f>
        <v>#N/A</v>
      </c>
      <c r="S878" s="353"/>
      <c r="T878" s="353"/>
      <c r="U878" s="353"/>
      <c r="V878" s="353"/>
      <c r="W878" s="353"/>
      <c r="X878" s="353"/>
      <c r="Y878" s="354"/>
      <c r="Z878" s="149"/>
      <c r="AA878" s="151">
        <f>SUMIFS(TblDatabase[Competency3],ListEmployeeNamesInDatabase,$L$4,TblDatabase[Year],C868)</f>
        <v>0</v>
      </c>
      <c r="AB878" s="149"/>
      <c r="AC878" s="149"/>
      <c r="AD878" s="149"/>
      <c r="AE878" s="149"/>
      <c r="AF878" s="149"/>
    </row>
    <row r="879" spans="1:32" s="148" customFormat="1" ht="15" hidden="1" customHeight="1">
      <c r="B879" s="355" t="str">
        <f t="shared" si="20"/>
        <v>Client Service</v>
      </c>
      <c r="C879" s="356"/>
      <c r="D879" s="356"/>
      <c r="E879" s="357"/>
      <c r="F879" s="163" t="str">
        <f>IF(Settings!$M$4=Settings!$Y$3,IF($AA879=1,"P",""),IF($AA879=1,"P",""))</f>
        <v/>
      </c>
      <c r="G879" s="164" t="str">
        <f>IF(Settings!$M$4=Settings!$Y$3,IF($AA879=1,"P",""),IF($AA879=2,"P",""))</f>
        <v/>
      </c>
      <c r="H879" s="164" t="str">
        <f>IF(Settings!$M$4=Settings!$Y$3,IF($AA879=1,"P",""),IF($AA879=3,"P",""))</f>
        <v/>
      </c>
      <c r="I879" s="164" t="str">
        <f>IF(Settings!$M$4=Settings!$Y$3,IF($AA879=1,"P",""),IF($AA879=4,"P",""))</f>
        <v/>
      </c>
      <c r="J879" s="164" t="str">
        <f>IF(Settings!$M$4=Settings!$Y$3,IF($AA879=2,"P",""),IF($AA879=5,"P",""))</f>
        <v/>
      </c>
      <c r="K879" s="164" t="str">
        <f>IF(Settings!$M$4=Settings!$Y$3,IF($AA879=2,"P",""),IF($AA879=6,"P",""))</f>
        <v/>
      </c>
      <c r="L879" s="164" t="str">
        <f>IF(Settings!$M$4=Settings!$Y$3,IF($AA879=2,"P",""),IF($AA879=7,"P",""))</f>
        <v/>
      </c>
      <c r="M879" s="164" t="str">
        <f>IF(Settings!$M$4=Settings!$Y$3,IF($AA879=2,"P",""),IF($AA879=8,"P",""))</f>
        <v/>
      </c>
      <c r="N879" s="164" t="str">
        <f>IF(Settings!$M$4=Settings!$Y$3,IF($AA879=3,"P",""),IF($AA879=9,"P",""))</f>
        <v/>
      </c>
      <c r="O879" s="165" t="str">
        <f>IF(Settings!$M$4=Settings!$Y$3,IF($AA879=3,"P",""),IF($AA879=10,"P",""))</f>
        <v/>
      </c>
      <c r="P879" s="22"/>
      <c r="Q879" s="22"/>
      <c r="R879" s="360" t="e">
        <f>IF(INDEX(TblDatabase[Comment4],MATCH(1,INDEX(($L$4=ListEmployeeNamesInDatabase)*(C868=TblDatabase[Year]),0,1),0))="","",INDEX(TblDatabase[Comment4],MATCH(1,INDEX(($L$4=ListEmployeeNamesInDatabase)*(C868=TblDatabase[Year]),0,1),0)))</f>
        <v>#N/A</v>
      </c>
      <c r="S879" s="360"/>
      <c r="T879" s="360"/>
      <c r="U879" s="360"/>
      <c r="V879" s="360"/>
      <c r="W879" s="360"/>
      <c r="X879" s="360"/>
      <c r="Y879" s="361"/>
      <c r="Z879" s="149"/>
      <c r="AA879" s="151">
        <f>SUMIFS(TblDatabase[Competency4],ListEmployeeNamesInDatabase,$L$4,TblDatabase[Year],C868)</f>
        <v>0</v>
      </c>
      <c r="AB879" s="149"/>
      <c r="AC879" s="149"/>
      <c r="AD879" s="149"/>
      <c r="AE879" s="149"/>
      <c r="AF879" s="149"/>
    </row>
    <row r="880" spans="1:32" s="148" customFormat="1" ht="15" hidden="1" customHeight="1">
      <c r="B880" s="350" t="str">
        <f t="shared" si="20"/>
        <v>Teamwork</v>
      </c>
      <c r="C880" s="351"/>
      <c r="D880" s="351"/>
      <c r="E880" s="352"/>
      <c r="F880" s="157" t="str">
        <f>IF(Settings!$M$4=Settings!$Y$3,IF($AA880=1,"P",""),IF($AA880=1,"P",""))</f>
        <v/>
      </c>
      <c r="G880" s="158" t="str">
        <f>IF(Settings!$M$4=Settings!$Y$3,IF($AA880=1,"P",""),IF($AA880=2,"P",""))</f>
        <v/>
      </c>
      <c r="H880" s="158" t="str">
        <f>IF(Settings!$M$4=Settings!$Y$3,IF($AA880=1,"P",""),IF($AA880=3,"P",""))</f>
        <v/>
      </c>
      <c r="I880" s="158" t="str">
        <f>IF(Settings!$M$4=Settings!$Y$3,IF($AA880=1,"P",""),IF($AA880=4,"P",""))</f>
        <v/>
      </c>
      <c r="J880" s="158" t="str">
        <f>IF(Settings!$M$4=Settings!$Y$3,IF($AA880=2,"P",""),IF($AA880=5,"P",""))</f>
        <v/>
      </c>
      <c r="K880" s="158" t="str">
        <f>IF(Settings!$M$4=Settings!$Y$3,IF($AA880=2,"P",""),IF($AA880=6,"P",""))</f>
        <v/>
      </c>
      <c r="L880" s="158" t="str">
        <f>IF(Settings!$M$4=Settings!$Y$3,IF($AA880=2,"P",""),IF($AA880=7,"P",""))</f>
        <v/>
      </c>
      <c r="M880" s="158" t="str">
        <f>IF(Settings!$M$4=Settings!$Y$3,IF($AA880=2,"P",""),IF($AA880=8,"P",""))</f>
        <v/>
      </c>
      <c r="N880" s="158" t="str">
        <f>IF(Settings!$M$4=Settings!$Y$3,IF($AA880=3,"P",""),IF($AA880=9,"P",""))</f>
        <v/>
      </c>
      <c r="O880" s="159" t="str">
        <f>IF(Settings!$M$4=Settings!$Y$3,IF($AA880=3,"P",""),IF($AA880=10,"P",""))</f>
        <v/>
      </c>
      <c r="P880" s="22"/>
      <c r="Q880" s="22"/>
      <c r="R880" s="353" t="e">
        <f>IF(INDEX(TblDatabase[Comment5],MATCH(1,INDEX(($L$4=ListEmployeeNamesInDatabase)*(C868=TblDatabase[Year]),0,1),0))="","",INDEX(TblDatabase[Comment5],MATCH(1,INDEX(($L$4=ListEmployeeNamesInDatabase)*(C868=TblDatabase[Year]),0,1),0)))</f>
        <v>#N/A</v>
      </c>
      <c r="S880" s="353"/>
      <c r="T880" s="353"/>
      <c r="U880" s="353"/>
      <c r="V880" s="353"/>
      <c r="W880" s="353"/>
      <c r="X880" s="353"/>
      <c r="Y880" s="354"/>
      <c r="Z880" s="149"/>
      <c r="AA880" s="151">
        <f>SUMIFS(TblDatabase[Competency5],ListEmployeeNamesInDatabase,$L$4,TblDatabase[Year],C868)</f>
        <v>0</v>
      </c>
      <c r="AB880" s="149"/>
      <c r="AC880" s="149"/>
      <c r="AD880" s="149"/>
      <c r="AE880" s="149"/>
      <c r="AF880" s="149"/>
    </row>
    <row r="881" spans="2:32" s="148" customFormat="1" ht="15" hidden="1" customHeight="1">
      <c r="B881" s="355" t="str">
        <f t="shared" si="20"/>
        <v>Safety</v>
      </c>
      <c r="C881" s="356"/>
      <c r="D881" s="356"/>
      <c r="E881" s="357"/>
      <c r="F881" s="163" t="str">
        <f>IF(Settings!$M$4=Settings!$Y$3,IF($AA881=1,"P",""),IF($AA881=1,"P",""))</f>
        <v/>
      </c>
      <c r="G881" s="164" t="str">
        <f>IF(Settings!$M$4=Settings!$Y$3,IF($AA881=1,"P",""),IF($AA881=2,"P",""))</f>
        <v/>
      </c>
      <c r="H881" s="164" t="str">
        <f>IF(Settings!$M$4=Settings!$Y$3,IF($AA881=1,"P",""),IF($AA881=3,"P",""))</f>
        <v/>
      </c>
      <c r="I881" s="164" t="str">
        <f>IF(Settings!$M$4=Settings!$Y$3,IF($AA881=1,"P",""),IF($AA881=4,"P",""))</f>
        <v/>
      </c>
      <c r="J881" s="164" t="str">
        <f>IF(Settings!$M$4=Settings!$Y$3,IF($AA881=2,"P",""),IF($AA881=5,"P",""))</f>
        <v/>
      </c>
      <c r="K881" s="164" t="str">
        <f>IF(Settings!$M$4=Settings!$Y$3,IF($AA881=2,"P",""),IF($AA881=6,"P",""))</f>
        <v/>
      </c>
      <c r="L881" s="164" t="str">
        <f>IF(Settings!$M$4=Settings!$Y$3,IF($AA881=2,"P",""),IF($AA881=7,"P",""))</f>
        <v/>
      </c>
      <c r="M881" s="164" t="str">
        <f>IF(Settings!$M$4=Settings!$Y$3,IF($AA881=2,"P",""),IF($AA881=8,"P",""))</f>
        <v/>
      </c>
      <c r="N881" s="164" t="str">
        <f>IF(Settings!$M$4=Settings!$Y$3,IF($AA881=3,"P",""),IF($AA881=9,"P",""))</f>
        <v/>
      </c>
      <c r="O881" s="165" t="str">
        <f>IF(Settings!$M$4=Settings!$Y$3,IF($AA881=3,"P",""),IF($AA881=10,"P",""))</f>
        <v/>
      </c>
      <c r="P881" s="22"/>
      <c r="Q881" s="22"/>
      <c r="R881" s="360" t="e">
        <f>IF(INDEX(TblDatabase[Comment6],MATCH(1,INDEX(($L$4=ListEmployeeNamesInDatabase)*(C868=TblDatabase[Year]),0,1),0))="","",INDEX(TblDatabase[Comment6],MATCH(1,INDEX(($L$4=ListEmployeeNamesInDatabase)*(C868=TblDatabase[Year]),0,1),0)))</f>
        <v>#N/A</v>
      </c>
      <c r="S881" s="360"/>
      <c r="T881" s="360"/>
      <c r="U881" s="360"/>
      <c r="V881" s="360"/>
      <c r="W881" s="360"/>
      <c r="X881" s="360"/>
      <c r="Y881" s="361"/>
      <c r="Z881" s="149"/>
      <c r="AA881" s="151">
        <f>SUMIFS(TblDatabase[Competency6],ListEmployeeNamesInDatabase,$L$4,TblDatabase[Year],C868)</f>
        <v>0</v>
      </c>
      <c r="AB881" s="149"/>
      <c r="AC881" s="149"/>
      <c r="AD881" s="149"/>
      <c r="AE881" s="149"/>
      <c r="AF881" s="149"/>
    </row>
    <row r="882" spans="2:32" s="148" customFormat="1" ht="15" hidden="1" customHeight="1">
      <c r="B882" s="350" t="str">
        <f t="shared" si="20"/>
        <v>Reliability</v>
      </c>
      <c r="C882" s="351"/>
      <c r="D882" s="351"/>
      <c r="E882" s="352"/>
      <c r="F882" s="157" t="str">
        <f>IF(Settings!$M$4=Settings!$Y$3,IF($AA882=1,"P",""),IF($AA882=1,"P",""))</f>
        <v/>
      </c>
      <c r="G882" s="158" t="str">
        <f>IF(Settings!$M$4=Settings!$Y$3,IF($AA882=1,"P",""),IF($AA882=2,"P",""))</f>
        <v/>
      </c>
      <c r="H882" s="158" t="str">
        <f>IF(Settings!$M$4=Settings!$Y$3,IF($AA882=1,"P",""),IF($AA882=3,"P",""))</f>
        <v/>
      </c>
      <c r="I882" s="158" t="str">
        <f>IF(Settings!$M$4=Settings!$Y$3,IF($AA882=1,"P",""),IF($AA882=4,"P",""))</f>
        <v/>
      </c>
      <c r="J882" s="158" t="str">
        <f>IF(Settings!$M$4=Settings!$Y$3,IF($AA882=2,"P",""),IF($AA882=5,"P",""))</f>
        <v/>
      </c>
      <c r="K882" s="158" t="str">
        <f>IF(Settings!$M$4=Settings!$Y$3,IF($AA882=2,"P",""),IF($AA882=6,"P",""))</f>
        <v/>
      </c>
      <c r="L882" s="158" t="str">
        <f>IF(Settings!$M$4=Settings!$Y$3,IF($AA882=2,"P",""),IF($AA882=7,"P",""))</f>
        <v/>
      </c>
      <c r="M882" s="158" t="str">
        <f>IF(Settings!$M$4=Settings!$Y$3,IF($AA882=2,"P",""),IF($AA882=8,"P",""))</f>
        <v/>
      </c>
      <c r="N882" s="158" t="str">
        <f>IF(Settings!$M$4=Settings!$Y$3,IF($AA882=3,"P",""),IF($AA882=9,"P",""))</f>
        <v/>
      </c>
      <c r="O882" s="159" t="str">
        <f>IF(Settings!$M$4=Settings!$Y$3,IF($AA882=3,"P",""),IF($AA882=10,"P",""))</f>
        <v/>
      </c>
      <c r="P882" s="22"/>
      <c r="Q882" s="22"/>
      <c r="R882" s="353" t="e">
        <f>IF(INDEX(TblDatabase[Comment7],MATCH(1,INDEX(($L$4=ListEmployeeNamesInDatabase)*(C868=TblDatabase[Year]),0,1),0))="","",INDEX(TblDatabase[Comment7],MATCH(1,INDEX(($L$4=ListEmployeeNamesInDatabase)*(C868=TblDatabase[Year]),0,1),0)))</f>
        <v>#N/A</v>
      </c>
      <c r="S882" s="353"/>
      <c r="T882" s="353"/>
      <c r="U882" s="353"/>
      <c r="V882" s="353"/>
      <c r="W882" s="353"/>
      <c r="X882" s="353"/>
      <c r="Y882" s="354"/>
      <c r="Z882" s="149"/>
      <c r="AA882" s="151">
        <f>SUMIFS(TblDatabase[Competency7],ListEmployeeNamesInDatabase,$L$4,TblDatabase[Year],C868)</f>
        <v>0</v>
      </c>
      <c r="AB882" s="149"/>
      <c r="AC882" s="149"/>
      <c r="AD882" s="149"/>
      <c r="AE882" s="149"/>
      <c r="AF882" s="149"/>
    </row>
    <row r="883" spans="2:32" s="148" customFormat="1" ht="15" hidden="1" customHeight="1">
      <c r="B883" s="355" t="str">
        <f t="shared" si="20"/>
        <v>Initiative/Adaptability</v>
      </c>
      <c r="C883" s="356"/>
      <c r="D883" s="356"/>
      <c r="E883" s="357"/>
      <c r="F883" s="163" t="str">
        <f>IF(Settings!$M$4=Settings!$Y$3,IF($AA883=1,"P",""),IF($AA883=1,"P",""))</f>
        <v/>
      </c>
      <c r="G883" s="164" t="str">
        <f>IF(Settings!$M$4=Settings!$Y$3,IF($AA883=1,"P",""),IF($AA883=2,"P",""))</f>
        <v/>
      </c>
      <c r="H883" s="164" t="str">
        <f>IF(Settings!$M$4=Settings!$Y$3,IF($AA883=1,"P",""),IF($AA883=3,"P",""))</f>
        <v/>
      </c>
      <c r="I883" s="164" t="str">
        <f>IF(Settings!$M$4=Settings!$Y$3,IF($AA883=1,"P",""),IF($AA883=4,"P",""))</f>
        <v/>
      </c>
      <c r="J883" s="164" t="str">
        <f>IF(Settings!$M$4=Settings!$Y$3,IF($AA883=2,"P",""),IF($AA883=5,"P",""))</f>
        <v/>
      </c>
      <c r="K883" s="164" t="str">
        <f>IF(Settings!$M$4=Settings!$Y$3,IF($AA883=2,"P",""),IF($AA883=6,"P",""))</f>
        <v/>
      </c>
      <c r="L883" s="164" t="str">
        <f>IF(Settings!$M$4=Settings!$Y$3,IF($AA883=2,"P",""),IF($AA883=7,"P",""))</f>
        <v/>
      </c>
      <c r="M883" s="164" t="str">
        <f>IF(Settings!$M$4=Settings!$Y$3,IF($AA883=2,"P",""),IF($AA883=8,"P",""))</f>
        <v/>
      </c>
      <c r="N883" s="164" t="str">
        <f>IF(Settings!$M$4=Settings!$Y$3,IF($AA883=3,"P",""),IF($AA883=9,"P",""))</f>
        <v/>
      </c>
      <c r="O883" s="165" t="str">
        <f>IF(Settings!$M$4=Settings!$Y$3,IF($AA883=3,"P",""),IF($AA883=10,"P",""))</f>
        <v/>
      </c>
      <c r="P883" s="22"/>
      <c r="Q883" s="22"/>
      <c r="R883" s="360" t="e">
        <f>IF(INDEX(TblDatabase[Comment8],MATCH(1,INDEX(($L$4=ListEmployeeNamesInDatabase)*(C868=TblDatabase[Year]),0,1),0))="","",INDEX(TblDatabase[Comment8],MATCH(1,INDEX(($L$4=ListEmployeeNamesInDatabase)*(C868=TblDatabase[Year]),0,1),0)))</f>
        <v>#N/A</v>
      </c>
      <c r="S883" s="360"/>
      <c r="T883" s="360"/>
      <c r="U883" s="360"/>
      <c r="V883" s="360"/>
      <c r="W883" s="360"/>
      <c r="X883" s="360"/>
      <c r="Y883" s="361"/>
      <c r="Z883" s="149"/>
      <c r="AA883" s="151">
        <f>SUMIFS(TblDatabase[Competency8],ListEmployeeNamesInDatabase,$L$4,TblDatabase[Year],C868)</f>
        <v>0</v>
      </c>
      <c r="AB883" s="149"/>
      <c r="AC883" s="149"/>
      <c r="AD883" s="149"/>
      <c r="AE883" s="149"/>
      <c r="AF883" s="149"/>
    </row>
    <row r="884" spans="2:32" s="148" customFormat="1" ht="15" hidden="1" customHeight="1">
      <c r="B884" s="350" t="str">
        <f t="shared" si="20"/>
        <v/>
      </c>
      <c r="C884" s="351"/>
      <c r="D884" s="351"/>
      <c r="E884" s="352"/>
      <c r="F884" s="157" t="str">
        <f>IF(Settings!$M$4=Settings!$Y$3,IF($AA884=1,"P",""),IF($AA884=1,"P",""))</f>
        <v/>
      </c>
      <c r="G884" s="158" t="str">
        <f>IF(Settings!$M$4=Settings!$Y$3,IF($AA884=1,"P",""),IF($AA884=2,"P",""))</f>
        <v/>
      </c>
      <c r="H884" s="158" t="str">
        <f>IF(Settings!$M$4=Settings!$Y$3,IF($AA884=1,"P",""),IF($AA884=3,"P",""))</f>
        <v/>
      </c>
      <c r="I884" s="158" t="str">
        <f>IF(Settings!$M$4=Settings!$Y$3,IF($AA884=1,"P",""),IF($AA884=4,"P",""))</f>
        <v/>
      </c>
      <c r="J884" s="158" t="str">
        <f>IF(Settings!$M$4=Settings!$Y$3,IF($AA884=2,"P",""),IF($AA884=5,"P",""))</f>
        <v/>
      </c>
      <c r="K884" s="158" t="str">
        <f>IF(Settings!$M$4=Settings!$Y$3,IF($AA884=2,"P",""),IF($AA884=6,"P",""))</f>
        <v/>
      </c>
      <c r="L884" s="158" t="str">
        <f>IF(Settings!$M$4=Settings!$Y$3,IF($AA884=2,"P",""),IF($AA884=7,"P",""))</f>
        <v/>
      </c>
      <c r="M884" s="158" t="str">
        <f>IF(Settings!$M$4=Settings!$Y$3,IF($AA884=2,"P",""),IF($AA884=8,"P",""))</f>
        <v/>
      </c>
      <c r="N884" s="158" t="str">
        <f>IF(Settings!$M$4=Settings!$Y$3,IF($AA884=3,"P",""),IF($AA884=9,"P",""))</f>
        <v/>
      </c>
      <c r="O884" s="159" t="str">
        <f>IF(Settings!$M$4=Settings!$Y$3,IF($AA884=3,"P",""),IF($AA884=10,"P",""))</f>
        <v/>
      </c>
      <c r="P884" s="22"/>
      <c r="Q884" s="22"/>
      <c r="R884" s="353" t="e">
        <f>IF(INDEX(TblDatabase[Comment9],MATCH(1,INDEX(($L$4=ListEmployeeNamesInDatabase)*(C868=TblDatabase[Year]),0,1),0))="","",INDEX(TblDatabase[Comment9],MATCH(1,INDEX(($L$4=ListEmployeeNamesInDatabase)*(C868=TblDatabase[Year]),0,1),0)))</f>
        <v>#N/A</v>
      </c>
      <c r="S884" s="353"/>
      <c r="T884" s="353"/>
      <c r="U884" s="353"/>
      <c r="V884" s="353"/>
      <c r="W884" s="353"/>
      <c r="X884" s="353"/>
      <c r="Y884" s="354"/>
      <c r="Z884" s="149"/>
      <c r="AA884" s="151">
        <f>SUMIFS(TblDatabase[Competency9],ListEmployeeNamesInDatabase,$L$4,TblDatabase[Year],C868)</f>
        <v>0</v>
      </c>
      <c r="AB884" s="149"/>
      <c r="AC884" s="149"/>
      <c r="AD884" s="149"/>
      <c r="AE884" s="149"/>
      <c r="AF884" s="149"/>
    </row>
    <row r="885" spans="2:32" s="148" customFormat="1" ht="15" hidden="1" customHeight="1">
      <c r="B885" s="355" t="str">
        <f t="shared" si="20"/>
        <v/>
      </c>
      <c r="C885" s="356"/>
      <c r="D885" s="356"/>
      <c r="E885" s="357"/>
      <c r="F885" s="163" t="str">
        <f>IF(Settings!$M$4=Settings!$Y$3,IF($AA885=1,"P",""),IF($AA885=1,"P",""))</f>
        <v/>
      </c>
      <c r="G885" s="164" t="str">
        <f>IF(Settings!$M$4=Settings!$Y$3,IF($AA885=1,"P",""),IF($AA885=2,"P",""))</f>
        <v/>
      </c>
      <c r="H885" s="164" t="str">
        <f>IF(Settings!$M$4=Settings!$Y$3,IF($AA885=1,"P",""),IF($AA885=3,"P",""))</f>
        <v/>
      </c>
      <c r="I885" s="164" t="str">
        <f>IF(Settings!$M$4=Settings!$Y$3,IF($AA885=1,"P",""),IF($AA885=4,"P",""))</f>
        <v/>
      </c>
      <c r="J885" s="164" t="str">
        <f>IF(Settings!$M$4=Settings!$Y$3,IF($AA885=2,"P",""),IF($AA885=5,"P",""))</f>
        <v/>
      </c>
      <c r="K885" s="164" t="str">
        <f>IF(Settings!$M$4=Settings!$Y$3,IF($AA885=2,"P",""),IF($AA885=6,"P",""))</f>
        <v/>
      </c>
      <c r="L885" s="164" t="str">
        <f>IF(Settings!$M$4=Settings!$Y$3,IF($AA885=2,"P",""),IF($AA885=7,"P",""))</f>
        <v/>
      </c>
      <c r="M885" s="164" t="str">
        <f>IF(Settings!$M$4=Settings!$Y$3,IF($AA885=2,"P",""),IF($AA885=8,"P",""))</f>
        <v/>
      </c>
      <c r="N885" s="164" t="str">
        <f>IF(Settings!$M$4=Settings!$Y$3,IF($AA885=3,"P",""),IF($AA885=9,"P",""))</f>
        <v/>
      </c>
      <c r="O885" s="165" t="str">
        <f>IF(Settings!$M$4=Settings!$Y$3,IF($AA885=3,"P",""),IF($AA885=10,"P",""))</f>
        <v/>
      </c>
      <c r="P885" s="22"/>
      <c r="Q885" s="22"/>
      <c r="R885" s="360" t="e">
        <f>IF(INDEX(TblDatabase[Comment10],MATCH(1,INDEX(($L$4=ListEmployeeNamesInDatabase)*(C868=TblDatabase[Year]),0,1),0))="","",INDEX(TblDatabase[Comment10],MATCH(1,INDEX(($L$4=ListEmployeeNamesInDatabase)*(C868=TblDatabase[Year]),0,1),0)))</f>
        <v>#N/A</v>
      </c>
      <c r="S885" s="360"/>
      <c r="T885" s="360"/>
      <c r="U885" s="360"/>
      <c r="V885" s="360"/>
      <c r="W885" s="360"/>
      <c r="X885" s="360"/>
      <c r="Y885" s="361"/>
      <c r="Z885" s="149"/>
      <c r="AA885" s="151">
        <f>SUMIFS(TblDatabase[Competency10],ListEmployeeNamesInDatabase,$L$4,TblDatabase[Year],C868)</f>
        <v>0</v>
      </c>
      <c r="AB885" s="149"/>
      <c r="AC885" s="149"/>
      <c r="AD885" s="149"/>
      <c r="AE885" s="149"/>
      <c r="AF885" s="149"/>
    </row>
    <row r="886" spans="2:32" s="148" customFormat="1" ht="15" hidden="1" customHeight="1">
      <c r="B886" s="350" t="str">
        <f t="shared" si="20"/>
        <v/>
      </c>
      <c r="C886" s="351"/>
      <c r="D886" s="351"/>
      <c r="E886" s="352"/>
      <c r="F886" s="157" t="str">
        <f>IF(Settings!$M$4=Settings!$Y$3,IF($AA886=1,"P",""),IF($AA886=1,"P",""))</f>
        <v/>
      </c>
      <c r="G886" s="158" t="str">
        <f>IF(Settings!$M$4=Settings!$Y$3,IF($AA886=1,"P",""),IF($AA886=2,"P",""))</f>
        <v/>
      </c>
      <c r="H886" s="158" t="str">
        <f>IF(Settings!$M$4=Settings!$Y$3,IF($AA886=1,"P",""),IF($AA886=3,"P",""))</f>
        <v/>
      </c>
      <c r="I886" s="158" t="str">
        <f>IF(Settings!$M$4=Settings!$Y$3,IF($AA886=1,"P",""),IF($AA886=4,"P",""))</f>
        <v/>
      </c>
      <c r="J886" s="158" t="str">
        <f>IF(Settings!$M$4=Settings!$Y$3,IF($AA886=2,"P",""),IF($AA886=5,"P",""))</f>
        <v/>
      </c>
      <c r="K886" s="158" t="str">
        <f>IF(Settings!$M$4=Settings!$Y$3,IF($AA886=2,"P",""),IF($AA886=6,"P",""))</f>
        <v/>
      </c>
      <c r="L886" s="158" t="str">
        <f>IF(Settings!$M$4=Settings!$Y$3,IF($AA886=2,"P",""),IF($AA886=7,"P",""))</f>
        <v/>
      </c>
      <c r="M886" s="158" t="str">
        <f>IF(Settings!$M$4=Settings!$Y$3,IF($AA886=2,"P",""),IF($AA886=8,"P",""))</f>
        <v/>
      </c>
      <c r="N886" s="158" t="str">
        <f>IF(Settings!$M$4=Settings!$Y$3,IF($AA886=3,"P",""),IF($AA886=9,"P",""))</f>
        <v/>
      </c>
      <c r="O886" s="159" t="str">
        <f>IF(Settings!$M$4=Settings!$Y$3,IF($AA886=3,"P",""),IF($AA886=10,"P",""))</f>
        <v/>
      </c>
      <c r="P886" s="22"/>
      <c r="Q886" s="22"/>
      <c r="R886" s="353" t="e">
        <f>IF(INDEX(TblDatabase[Comment11],MATCH(1,INDEX(($L$4=ListEmployeeNamesInDatabase)*(C868=TblDatabase[Year]),0,1),0))="","",INDEX(TblDatabase[Comment11],MATCH(1,INDEX(($L$4=ListEmployeeNamesInDatabase)*(C868=TblDatabase[Year]),0,1),0)))</f>
        <v>#N/A</v>
      </c>
      <c r="S886" s="353"/>
      <c r="T886" s="353"/>
      <c r="U886" s="353"/>
      <c r="V886" s="353"/>
      <c r="W886" s="353"/>
      <c r="X886" s="353"/>
      <c r="Y886" s="354"/>
      <c r="Z886" s="149"/>
      <c r="AA886" s="151">
        <f>SUMIFS(TblDatabase[Competency11],ListEmployeeNamesInDatabase,$L$4,TblDatabase[Year],C868)</f>
        <v>0</v>
      </c>
      <c r="AB886" s="149"/>
      <c r="AC886" s="149"/>
      <c r="AD886" s="149"/>
      <c r="AE886" s="149"/>
      <c r="AF886" s="149"/>
    </row>
    <row r="887" spans="2:32" s="148" customFormat="1" ht="15" hidden="1" customHeight="1">
      <c r="B887" s="355" t="str">
        <f t="shared" si="20"/>
        <v/>
      </c>
      <c r="C887" s="356"/>
      <c r="D887" s="356"/>
      <c r="E887" s="357"/>
      <c r="F887" s="163" t="str">
        <f>IF(Settings!$M$4=Settings!$Y$3,IF($AA887=1,"P",""),IF($AA887=1,"P",""))</f>
        <v/>
      </c>
      <c r="G887" s="164" t="str">
        <f>IF(Settings!$M$4=Settings!$Y$3,IF($AA887=1,"P",""),IF($AA887=2,"P",""))</f>
        <v/>
      </c>
      <c r="H887" s="164" t="str">
        <f>IF(Settings!$M$4=Settings!$Y$3,IF($AA887=1,"P",""),IF($AA887=3,"P",""))</f>
        <v/>
      </c>
      <c r="I887" s="164" t="str">
        <f>IF(Settings!$M$4=Settings!$Y$3,IF($AA887=1,"P",""),IF($AA887=4,"P",""))</f>
        <v/>
      </c>
      <c r="J887" s="164" t="str">
        <f>IF(Settings!$M$4=Settings!$Y$3,IF($AA887=2,"P",""),IF($AA887=5,"P",""))</f>
        <v/>
      </c>
      <c r="K887" s="164" t="str">
        <f>IF(Settings!$M$4=Settings!$Y$3,IF($AA887=2,"P",""),IF($AA887=6,"P",""))</f>
        <v/>
      </c>
      <c r="L887" s="164" t="str">
        <f>IF(Settings!$M$4=Settings!$Y$3,IF($AA887=2,"P",""),IF($AA887=7,"P",""))</f>
        <v/>
      </c>
      <c r="M887" s="164" t="str">
        <f>IF(Settings!$M$4=Settings!$Y$3,IF($AA887=2,"P",""),IF($AA887=8,"P",""))</f>
        <v/>
      </c>
      <c r="N887" s="164" t="str">
        <f>IF(Settings!$M$4=Settings!$Y$3,IF($AA887=3,"P",""),IF($AA887=9,"P",""))</f>
        <v/>
      </c>
      <c r="O887" s="165" t="str">
        <f>IF(Settings!$M$4=Settings!$Y$3,IF($AA887=3,"P",""),IF($AA887=10,"P",""))</f>
        <v/>
      </c>
      <c r="P887" s="22"/>
      <c r="Q887" s="22"/>
      <c r="R887" s="360" t="e">
        <f>IF(INDEX(TblDatabase[Comment12],MATCH(1,INDEX(($L$4=ListEmployeeNamesInDatabase)*(C868=TblDatabase[Year]),0,1),0))="","",INDEX(TblDatabase[Comment12],MATCH(1,INDEX(($L$4=ListEmployeeNamesInDatabase)*(C868=TblDatabase[Year]),0,1),0)))</f>
        <v>#N/A</v>
      </c>
      <c r="S887" s="360"/>
      <c r="T887" s="360"/>
      <c r="U887" s="360"/>
      <c r="V887" s="360"/>
      <c r="W887" s="360"/>
      <c r="X887" s="360"/>
      <c r="Y887" s="361"/>
      <c r="Z887" s="149"/>
      <c r="AA887" s="151">
        <f>SUMIFS(TblDatabase[Competency12],ListEmployeeNamesInDatabase,$L$4,TblDatabase[Year],C868)</f>
        <v>0</v>
      </c>
      <c r="AB887" s="149"/>
      <c r="AC887" s="149"/>
      <c r="AD887" s="149"/>
      <c r="AE887" s="149"/>
      <c r="AF887" s="149"/>
    </row>
    <row r="888" spans="2:32" s="148" customFormat="1" ht="15" hidden="1" customHeight="1">
      <c r="B888" s="350" t="str">
        <f t="shared" si="20"/>
        <v/>
      </c>
      <c r="C888" s="351"/>
      <c r="D888" s="351"/>
      <c r="E888" s="352"/>
      <c r="F888" s="157" t="str">
        <f>IF(Settings!$M$4=Settings!$Y$3,IF($AA888=1,"P",""),IF($AA888=1,"P",""))</f>
        <v/>
      </c>
      <c r="G888" s="158" t="str">
        <f>IF(Settings!$M$4=Settings!$Y$3,IF($AA888=1,"P",""),IF($AA888=2,"P",""))</f>
        <v/>
      </c>
      <c r="H888" s="158" t="str">
        <f>IF(Settings!$M$4=Settings!$Y$3,IF($AA888=1,"P",""),IF($AA888=3,"P",""))</f>
        <v/>
      </c>
      <c r="I888" s="158" t="str">
        <f>IF(Settings!$M$4=Settings!$Y$3,IF($AA888=1,"P",""),IF($AA888=4,"P",""))</f>
        <v/>
      </c>
      <c r="J888" s="158" t="str">
        <f>IF(Settings!$M$4=Settings!$Y$3,IF($AA888=2,"P",""),IF($AA888=5,"P",""))</f>
        <v/>
      </c>
      <c r="K888" s="158" t="str">
        <f>IF(Settings!$M$4=Settings!$Y$3,IF($AA888=2,"P",""),IF($AA888=6,"P",""))</f>
        <v/>
      </c>
      <c r="L888" s="158" t="str">
        <f>IF(Settings!$M$4=Settings!$Y$3,IF($AA888=2,"P",""),IF($AA888=7,"P",""))</f>
        <v/>
      </c>
      <c r="M888" s="158" t="str">
        <f>IF(Settings!$M$4=Settings!$Y$3,IF($AA888=2,"P",""),IF($AA888=8,"P",""))</f>
        <v/>
      </c>
      <c r="N888" s="158" t="str">
        <f>IF(Settings!$M$4=Settings!$Y$3,IF($AA888=3,"P",""),IF($AA888=9,"P",""))</f>
        <v/>
      </c>
      <c r="O888" s="159" t="str">
        <f>IF(Settings!$M$4=Settings!$Y$3,IF($AA888=3,"P",""),IF($AA888=10,"P",""))</f>
        <v/>
      </c>
      <c r="P888" s="22"/>
      <c r="Q888" s="22"/>
      <c r="R888" s="353" t="e">
        <f>IF(INDEX(TblDatabase[Comment13],MATCH(1,INDEX(($L$4=ListEmployeeNamesInDatabase)*(C868=TblDatabase[Year]),0,1),0))="","",INDEX(TblDatabase[Comment13],MATCH(1,INDEX(($L$4=ListEmployeeNamesInDatabase)*(C868=TblDatabase[Year]),0,1),0)))</f>
        <v>#N/A</v>
      </c>
      <c r="S888" s="353"/>
      <c r="T888" s="353"/>
      <c r="U888" s="353"/>
      <c r="V888" s="353"/>
      <c r="W888" s="353"/>
      <c r="X888" s="353"/>
      <c r="Y888" s="354"/>
      <c r="Z888" s="149"/>
      <c r="AA888" s="151">
        <f>SUMIFS(TblDatabase[Competency13],ListEmployeeNamesInDatabase,$L$4,TblDatabase[Year],C868)</f>
        <v>0</v>
      </c>
      <c r="AB888" s="149"/>
      <c r="AC888" s="149"/>
      <c r="AD888" s="149"/>
      <c r="AE888" s="149"/>
      <c r="AF888" s="149"/>
    </row>
    <row r="889" spans="2:32" s="148" customFormat="1" ht="15" hidden="1" customHeight="1">
      <c r="B889" s="355" t="str">
        <f t="shared" si="20"/>
        <v/>
      </c>
      <c r="C889" s="356"/>
      <c r="D889" s="356"/>
      <c r="E889" s="357"/>
      <c r="F889" s="163" t="str">
        <f>IF(Settings!$M$4=Settings!$Y$3,IF($AA889=1,"P",""),IF($AA889=1,"P",""))</f>
        <v/>
      </c>
      <c r="G889" s="164" t="str">
        <f>IF(Settings!$M$4=Settings!$Y$3,IF($AA889=1,"P",""),IF($AA889=2,"P",""))</f>
        <v/>
      </c>
      <c r="H889" s="164" t="str">
        <f>IF(Settings!$M$4=Settings!$Y$3,IF($AA889=1,"P",""),IF($AA889=3,"P",""))</f>
        <v/>
      </c>
      <c r="I889" s="164" t="str">
        <f>IF(Settings!$M$4=Settings!$Y$3,IF($AA889=1,"P",""),IF($AA889=4,"P",""))</f>
        <v/>
      </c>
      <c r="J889" s="164" t="str">
        <f>IF(Settings!$M$4=Settings!$Y$3,IF($AA889=2,"P",""),IF($AA889=5,"P",""))</f>
        <v/>
      </c>
      <c r="K889" s="164" t="str">
        <f>IF(Settings!$M$4=Settings!$Y$3,IF($AA889=2,"P",""),IF($AA889=6,"P",""))</f>
        <v/>
      </c>
      <c r="L889" s="164" t="str">
        <f>IF(Settings!$M$4=Settings!$Y$3,IF($AA889=2,"P",""),IF($AA889=7,"P",""))</f>
        <v/>
      </c>
      <c r="M889" s="164" t="str">
        <f>IF(Settings!$M$4=Settings!$Y$3,IF($AA889=2,"P",""),IF($AA889=8,"P",""))</f>
        <v/>
      </c>
      <c r="N889" s="164" t="str">
        <f>IF(Settings!$M$4=Settings!$Y$3,IF($AA889=3,"P",""),IF($AA889=9,"P",""))</f>
        <v/>
      </c>
      <c r="O889" s="165" t="str">
        <f>IF(Settings!$M$4=Settings!$Y$3,IF($AA889=3,"P",""),IF($AA889=10,"P",""))</f>
        <v/>
      </c>
      <c r="P889" s="22"/>
      <c r="Q889" s="22"/>
      <c r="R889" s="360" t="e">
        <f>IF(INDEX(TblDatabase[Comment14],MATCH(1,INDEX(($L$4=ListEmployeeNamesInDatabase)*(C868=TblDatabase[Year]),0,1),0))="","",INDEX(TblDatabase[Comment14],MATCH(1,INDEX(($L$4=ListEmployeeNamesInDatabase)*(C868=TblDatabase[Year]),0,1),0)))</f>
        <v>#N/A</v>
      </c>
      <c r="S889" s="360"/>
      <c r="T889" s="360"/>
      <c r="U889" s="360"/>
      <c r="V889" s="360"/>
      <c r="W889" s="360"/>
      <c r="X889" s="360"/>
      <c r="Y889" s="361"/>
      <c r="Z889" s="149"/>
      <c r="AA889" s="151">
        <f>SUMIFS(TblDatabase[Competency14],ListEmployeeNamesInDatabase,$L$4,TblDatabase[Year],C868)</f>
        <v>0</v>
      </c>
      <c r="AB889" s="149"/>
      <c r="AC889" s="149"/>
      <c r="AD889" s="149"/>
      <c r="AE889" s="149"/>
      <c r="AF889" s="149"/>
    </row>
    <row r="890" spans="2:32" s="148" customFormat="1" ht="15" hidden="1" customHeight="1">
      <c r="B890" s="350" t="str">
        <f t="shared" si="20"/>
        <v/>
      </c>
      <c r="C890" s="351"/>
      <c r="D890" s="351"/>
      <c r="E890" s="352"/>
      <c r="F890" s="157" t="str">
        <f>IF(Settings!$M$4=Settings!$Y$3,IF($AA890=1,"P",""),IF($AA890=1,"P",""))</f>
        <v/>
      </c>
      <c r="G890" s="158" t="str">
        <f>IF(Settings!$M$4=Settings!$Y$3,IF($AA890=1,"P",""),IF($AA890=2,"P",""))</f>
        <v/>
      </c>
      <c r="H890" s="158" t="str">
        <f>IF(Settings!$M$4=Settings!$Y$3,IF($AA890=1,"P",""),IF($AA890=3,"P",""))</f>
        <v/>
      </c>
      <c r="I890" s="158" t="str">
        <f>IF(Settings!$M$4=Settings!$Y$3,IF($AA890=1,"P",""),IF($AA890=4,"P",""))</f>
        <v/>
      </c>
      <c r="J890" s="158" t="str">
        <f>IF(Settings!$M$4=Settings!$Y$3,IF($AA890=2,"P",""),IF($AA890=5,"P",""))</f>
        <v/>
      </c>
      <c r="K890" s="158" t="str">
        <f>IF(Settings!$M$4=Settings!$Y$3,IF($AA890=2,"P",""),IF($AA890=6,"P",""))</f>
        <v/>
      </c>
      <c r="L890" s="158" t="str">
        <f>IF(Settings!$M$4=Settings!$Y$3,IF($AA890=2,"P",""),IF($AA890=7,"P",""))</f>
        <v/>
      </c>
      <c r="M890" s="158" t="str">
        <f>IF(Settings!$M$4=Settings!$Y$3,IF($AA890=2,"P",""),IF($AA890=8,"P",""))</f>
        <v/>
      </c>
      <c r="N890" s="158" t="str">
        <f>IF(Settings!$M$4=Settings!$Y$3,IF($AA890=3,"P",""),IF($AA890=9,"P",""))</f>
        <v/>
      </c>
      <c r="O890" s="159" t="str">
        <f>IF(Settings!$M$4=Settings!$Y$3,IF($AA890=3,"P",""),IF($AA890=10,"P",""))</f>
        <v/>
      </c>
      <c r="P890" s="22"/>
      <c r="Q890" s="22"/>
      <c r="R890" s="353" t="e">
        <f>IF(INDEX(TblDatabase[Comment15],MATCH(1,INDEX(($L$4=ListEmployeeNamesInDatabase)*(C868=TblDatabase[Year]),0,1),0))="","",INDEX(TblDatabase[Comment15],MATCH(1,INDEX(($L$4=ListEmployeeNamesInDatabase)*(C868=TblDatabase[Year]),0,1),0)))</f>
        <v>#N/A</v>
      </c>
      <c r="S890" s="353"/>
      <c r="T890" s="353"/>
      <c r="U890" s="353"/>
      <c r="V890" s="353"/>
      <c r="W890" s="353"/>
      <c r="X890" s="353"/>
      <c r="Y890" s="354"/>
      <c r="Z890" s="149"/>
      <c r="AA890" s="151">
        <f>SUMIFS(TblDatabase[Competency15],ListEmployeeNamesInDatabase,$L$4,TblDatabase[Year],C868)</f>
        <v>0</v>
      </c>
      <c r="AB890" s="149"/>
      <c r="AC890" s="149"/>
      <c r="AD890" s="149"/>
      <c r="AE890" s="149"/>
      <c r="AF890" s="149"/>
    </row>
    <row r="891" spans="2:32" s="148" customFormat="1" ht="15" hidden="1" customHeight="1">
      <c r="B891" s="355" t="str">
        <f t="shared" si="20"/>
        <v/>
      </c>
      <c r="C891" s="356"/>
      <c r="D891" s="356"/>
      <c r="E891" s="357"/>
      <c r="F891" s="163" t="str">
        <f>IF(Settings!$M$4=Settings!$Y$3,IF($AA891=1,"P",""),IF($AA891=1,"P",""))</f>
        <v/>
      </c>
      <c r="G891" s="164" t="str">
        <f>IF(Settings!$M$4=Settings!$Y$3,IF($AA891=1,"P",""),IF($AA891=2,"P",""))</f>
        <v/>
      </c>
      <c r="H891" s="164" t="str">
        <f>IF(Settings!$M$4=Settings!$Y$3,IF($AA891=1,"P",""),IF($AA891=3,"P",""))</f>
        <v/>
      </c>
      <c r="I891" s="164" t="str">
        <f>IF(Settings!$M$4=Settings!$Y$3,IF($AA891=1,"P",""),IF($AA891=4,"P",""))</f>
        <v/>
      </c>
      <c r="J891" s="164" t="str">
        <f>IF(Settings!$M$4=Settings!$Y$3,IF($AA891=2,"P",""),IF($AA891=5,"P",""))</f>
        <v/>
      </c>
      <c r="K891" s="164" t="str">
        <f>IF(Settings!$M$4=Settings!$Y$3,IF($AA891=2,"P",""),IF($AA891=6,"P",""))</f>
        <v/>
      </c>
      <c r="L891" s="164" t="str">
        <f>IF(Settings!$M$4=Settings!$Y$3,IF($AA891=2,"P",""),IF($AA891=7,"P",""))</f>
        <v/>
      </c>
      <c r="M891" s="164" t="str">
        <f>IF(Settings!$M$4=Settings!$Y$3,IF($AA891=2,"P",""),IF($AA891=8,"P",""))</f>
        <v/>
      </c>
      <c r="N891" s="164" t="str">
        <f>IF(Settings!$M$4=Settings!$Y$3,IF($AA891=3,"P",""),IF($AA891=9,"P",""))</f>
        <v/>
      </c>
      <c r="O891" s="165" t="str">
        <f>IF(Settings!$M$4=Settings!$Y$3,IF($AA891=3,"P",""),IF($AA891=10,"P",""))</f>
        <v/>
      </c>
      <c r="P891" s="22"/>
      <c r="Q891" s="22"/>
      <c r="R891" s="360" t="e">
        <f>IF(INDEX(TblDatabase[Comment16],MATCH(1,INDEX(($L$4=ListEmployeeNamesInDatabase)*(C868=TblDatabase[Year]),0,1),0))="","",INDEX(TblDatabase[Comment16],MATCH(1,INDEX(($L$4=ListEmployeeNamesInDatabase)*(C868=TblDatabase[Year]),0,1),0)))</f>
        <v>#N/A</v>
      </c>
      <c r="S891" s="360"/>
      <c r="T891" s="360"/>
      <c r="U891" s="360"/>
      <c r="V891" s="360"/>
      <c r="W891" s="360"/>
      <c r="X891" s="360"/>
      <c r="Y891" s="361"/>
      <c r="Z891" s="149"/>
      <c r="AA891" s="151">
        <f>SUMIFS(TblDatabase[Competency16],ListEmployeeNamesInDatabase,$L$4,TblDatabase[Year],C868)</f>
        <v>0</v>
      </c>
      <c r="AB891" s="149"/>
      <c r="AC891" s="149"/>
      <c r="AD891" s="149"/>
      <c r="AE891" s="149"/>
      <c r="AF891" s="149"/>
    </row>
    <row r="892" spans="2:32" s="148" customFormat="1" ht="15" hidden="1" customHeight="1">
      <c r="B892" s="350" t="str">
        <f t="shared" si="20"/>
        <v/>
      </c>
      <c r="C892" s="351"/>
      <c r="D892" s="351"/>
      <c r="E892" s="352"/>
      <c r="F892" s="157" t="str">
        <f>IF(Settings!$M$4=Settings!$Y$3,IF($AA892=1,"P",""),IF($AA892=1,"P",""))</f>
        <v/>
      </c>
      <c r="G892" s="158" t="str">
        <f>IF(Settings!$M$4=Settings!$Y$3,IF($AA892=1,"P",""),IF($AA892=2,"P",""))</f>
        <v/>
      </c>
      <c r="H892" s="158" t="str">
        <f>IF(Settings!$M$4=Settings!$Y$3,IF($AA892=1,"P",""),IF($AA892=3,"P",""))</f>
        <v/>
      </c>
      <c r="I892" s="158" t="str">
        <f>IF(Settings!$M$4=Settings!$Y$3,IF($AA892=1,"P",""),IF($AA892=4,"P",""))</f>
        <v/>
      </c>
      <c r="J892" s="158" t="str">
        <f>IF(Settings!$M$4=Settings!$Y$3,IF($AA892=2,"P",""),IF($AA892=5,"P",""))</f>
        <v/>
      </c>
      <c r="K892" s="158" t="str">
        <f>IF(Settings!$M$4=Settings!$Y$3,IF($AA892=2,"P",""),IF($AA892=6,"P",""))</f>
        <v/>
      </c>
      <c r="L892" s="158" t="str">
        <f>IF(Settings!$M$4=Settings!$Y$3,IF($AA892=2,"P",""),IF($AA892=7,"P",""))</f>
        <v/>
      </c>
      <c r="M892" s="158" t="str">
        <f>IF(Settings!$M$4=Settings!$Y$3,IF($AA892=2,"P",""),IF($AA892=8,"P",""))</f>
        <v/>
      </c>
      <c r="N892" s="158" t="str">
        <f>IF(Settings!$M$4=Settings!$Y$3,IF($AA892=3,"P",""),IF($AA892=9,"P",""))</f>
        <v/>
      </c>
      <c r="O892" s="159" t="str">
        <f>IF(Settings!$M$4=Settings!$Y$3,IF($AA892=3,"P",""),IF($AA892=10,"P",""))</f>
        <v/>
      </c>
      <c r="P892" s="22"/>
      <c r="Q892" s="22"/>
      <c r="R892" s="353" t="e">
        <f>IF(INDEX(TblDatabase[Comment17],MATCH(1,INDEX(($L$4=ListEmployeeNamesInDatabase)*(C868=TblDatabase[Year]),0,1),0))="","",INDEX(TblDatabase[Comment17],MATCH(1,INDEX(($L$4=ListEmployeeNamesInDatabase)*(C868=TblDatabase[Year]),0,1),0)))</f>
        <v>#N/A</v>
      </c>
      <c r="S892" s="353"/>
      <c r="T892" s="353"/>
      <c r="U892" s="353"/>
      <c r="V892" s="353"/>
      <c r="W892" s="353"/>
      <c r="X892" s="353"/>
      <c r="Y892" s="354"/>
      <c r="Z892" s="149"/>
      <c r="AA892" s="151">
        <f>SUMIFS(TblDatabase[Competency17],ListEmployeeNamesInDatabase,$L$4,TblDatabase[Year],C868)</f>
        <v>0</v>
      </c>
      <c r="AB892" s="149"/>
      <c r="AC892" s="149"/>
      <c r="AD892" s="149"/>
      <c r="AE892" s="149"/>
      <c r="AF892" s="149"/>
    </row>
    <row r="893" spans="2:32" s="148" customFormat="1" ht="15" hidden="1" customHeight="1">
      <c r="B893" s="355" t="str">
        <f t="shared" si="20"/>
        <v/>
      </c>
      <c r="C893" s="356"/>
      <c r="D893" s="356"/>
      <c r="E893" s="357"/>
      <c r="F893" s="163" t="str">
        <f>IF(Settings!$M$4=Settings!$Y$3,IF($AA893=1,"P",""),IF($AA893=1,"P",""))</f>
        <v/>
      </c>
      <c r="G893" s="164" t="str">
        <f>IF(Settings!$M$4=Settings!$Y$3,IF($AA893=1,"P",""),IF($AA893=2,"P",""))</f>
        <v/>
      </c>
      <c r="H893" s="164" t="str">
        <f>IF(Settings!$M$4=Settings!$Y$3,IF($AA893=1,"P",""),IF($AA893=3,"P",""))</f>
        <v/>
      </c>
      <c r="I893" s="164" t="str">
        <f>IF(Settings!$M$4=Settings!$Y$3,IF($AA893=1,"P",""),IF($AA893=4,"P",""))</f>
        <v/>
      </c>
      <c r="J893" s="164" t="str">
        <f>IF(Settings!$M$4=Settings!$Y$3,IF($AA893=2,"P",""),IF($AA893=5,"P",""))</f>
        <v/>
      </c>
      <c r="K893" s="164" t="str">
        <f>IF(Settings!$M$4=Settings!$Y$3,IF($AA893=2,"P",""),IF($AA893=6,"P",""))</f>
        <v/>
      </c>
      <c r="L893" s="164" t="str">
        <f>IF(Settings!$M$4=Settings!$Y$3,IF($AA893=2,"P",""),IF($AA893=7,"P",""))</f>
        <v/>
      </c>
      <c r="M893" s="164" t="str">
        <f>IF(Settings!$M$4=Settings!$Y$3,IF($AA893=2,"P",""),IF($AA893=8,"P",""))</f>
        <v/>
      </c>
      <c r="N893" s="164" t="str">
        <f>IF(Settings!$M$4=Settings!$Y$3,IF($AA893=3,"P",""),IF($AA893=9,"P",""))</f>
        <v/>
      </c>
      <c r="O893" s="165" t="str">
        <f>IF(Settings!$M$4=Settings!$Y$3,IF($AA893=3,"P",""),IF($AA893=10,"P",""))</f>
        <v/>
      </c>
      <c r="P893" s="22"/>
      <c r="Q893" s="22"/>
      <c r="R893" s="360" t="e">
        <f>IF(INDEX(TblDatabase[Comment18],MATCH(1,INDEX(($L$4=ListEmployeeNamesInDatabase)*(C868=TblDatabase[Year]),0,1),0))="","",INDEX(TblDatabase[Comment18],MATCH(1,INDEX(($L$4=ListEmployeeNamesInDatabase)*(C868=TblDatabase[Year]),0,1),0)))</f>
        <v>#N/A</v>
      </c>
      <c r="S893" s="360"/>
      <c r="T893" s="360"/>
      <c r="U893" s="360"/>
      <c r="V893" s="360"/>
      <c r="W893" s="360"/>
      <c r="X893" s="360"/>
      <c r="Y893" s="361"/>
      <c r="Z893" s="149"/>
      <c r="AA893" s="151">
        <f>SUMIFS(TblDatabase[Competency18],ListEmployeeNamesInDatabase,$L$4,TblDatabase[Year],C868)</f>
        <v>0</v>
      </c>
      <c r="AB893" s="149"/>
      <c r="AC893" s="149"/>
      <c r="AD893" s="149"/>
      <c r="AE893" s="149"/>
      <c r="AF893" s="149"/>
    </row>
    <row r="894" spans="2:32" s="148" customFormat="1" ht="15" hidden="1" customHeight="1">
      <c r="B894" s="350" t="str">
        <f t="shared" si="20"/>
        <v/>
      </c>
      <c r="C894" s="351"/>
      <c r="D894" s="351"/>
      <c r="E894" s="352"/>
      <c r="F894" s="157" t="str">
        <f>IF(Settings!$M$4=Settings!$Y$3,IF($AA894=1,"P",""),IF($AA894=1,"P",""))</f>
        <v/>
      </c>
      <c r="G894" s="158" t="str">
        <f>IF(Settings!$M$4=Settings!$Y$3,IF($AA894=1,"P",""),IF($AA894=2,"P",""))</f>
        <v/>
      </c>
      <c r="H894" s="158" t="str">
        <f>IF(Settings!$M$4=Settings!$Y$3,IF($AA894=1,"P",""),IF($AA894=3,"P",""))</f>
        <v/>
      </c>
      <c r="I894" s="158" t="str">
        <f>IF(Settings!$M$4=Settings!$Y$3,IF($AA894=1,"P",""),IF($AA894=4,"P",""))</f>
        <v/>
      </c>
      <c r="J894" s="158" t="str">
        <f>IF(Settings!$M$4=Settings!$Y$3,IF($AA894=2,"P",""),IF($AA894=5,"P",""))</f>
        <v/>
      </c>
      <c r="K894" s="158" t="str">
        <f>IF(Settings!$M$4=Settings!$Y$3,IF($AA894=2,"P",""),IF($AA894=6,"P",""))</f>
        <v/>
      </c>
      <c r="L894" s="158" t="str">
        <f>IF(Settings!$M$4=Settings!$Y$3,IF($AA894=2,"P",""),IF($AA894=7,"P",""))</f>
        <v/>
      </c>
      <c r="M894" s="158" t="str">
        <f>IF(Settings!$M$4=Settings!$Y$3,IF($AA894=2,"P",""),IF($AA894=8,"P",""))</f>
        <v/>
      </c>
      <c r="N894" s="158" t="str">
        <f>IF(Settings!$M$4=Settings!$Y$3,IF($AA894=3,"P",""),IF($AA894=9,"P",""))</f>
        <v/>
      </c>
      <c r="O894" s="159" t="str">
        <f>IF(Settings!$M$4=Settings!$Y$3,IF($AA894=3,"P",""),IF($AA894=10,"P",""))</f>
        <v/>
      </c>
      <c r="P894" s="22"/>
      <c r="Q894" s="22"/>
      <c r="R894" s="353" t="e">
        <f>IF(INDEX(TblDatabase[Comment19],MATCH(1,INDEX(($L$4=ListEmployeeNamesInDatabase)*(C868=TblDatabase[Year]),0,1),0))="","",INDEX(TblDatabase[Comment19],MATCH(1,INDEX(($L$4=ListEmployeeNamesInDatabase)*(C868=TblDatabase[Year]),0,1),0)))</f>
        <v>#N/A</v>
      </c>
      <c r="S894" s="353"/>
      <c r="T894" s="353"/>
      <c r="U894" s="353"/>
      <c r="V894" s="353"/>
      <c r="W894" s="353"/>
      <c r="X894" s="353"/>
      <c r="Y894" s="354"/>
      <c r="Z894" s="149"/>
      <c r="AA894" s="151">
        <f>SUMIFS(TblDatabase[Competency19],ListEmployeeNamesInDatabase,$L$4,TblDatabase[Year],C868)</f>
        <v>0</v>
      </c>
      <c r="AB894" s="149"/>
      <c r="AC894" s="149"/>
      <c r="AD894" s="149"/>
      <c r="AE894" s="149"/>
      <c r="AF894" s="149"/>
    </row>
    <row r="895" spans="2:32" s="148" customFormat="1" ht="15" hidden="1" customHeight="1">
      <c r="B895" s="362" t="str">
        <f t="shared" si="20"/>
        <v/>
      </c>
      <c r="C895" s="363"/>
      <c r="D895" s="363"/>
      <c r="E895" s="364"/>
      <c r="F895" s="166" t="str">
        <f>IF(Settings!$M$4=Settings!$Y$3,IF($AA895=1,"P",""),IF($AA895=1,"P",""))</f>
        <v/>
      </c>
      <c r="G895" s="167" t="str">
        <f>IF(Settings!$M$4=Settings!$Y$3,IF($AA895=1,"P",""),IF($AA895=2,"P",""))</f>
        <v/>
      </c>
      <c r="H895" s="167" t="str">
        <f>IF(Settings!$M$4=Settings!$Y$3,IF($AA895=1,"P",""),IF($AA895=3,"P",""))</f>
        <v/>
      </c>
      <c r="I895" s="167" t="str">
        <f>IF(Settings!$M$4=Settings!$Y$3,IF($AA895=1,"P",""),IF($AA895=4,"P",""))</f>
        <v/>
      </c>
      <c r="J895" s="167" t="str">
        <f>IF(Settings!$M$4=Settings!$Y$3,IF($AA895=2,"P",""),IF($AA895=5,"P",""))</f>
        <v/>
      </c>
      <c r="K895" s="167" t="str">
        <f>IF(Settings!$M$4=Settings!$Y$3,IF($AA895=2,"P",""),IF($AA895=6,"P",""))</f>
        <v/>
      </c>
      <c r="L895" s="167" t="str">
        <f>IF(Settings!$M$4=Settings!$Y$3,IF($AA895=2,"P",""),IF($AA895=7,"P",""))</f>
        <v/>
      </c>
      <c r="M895" s="167" t="str">
        <f>IF(Settings!$M$4=Settings!$Y$3,IF($AA895=2,"P",""),IF($AA895=8,"P",""))</f>
        <v/>
      </c>
      <c r="N895" s="167" t="str">
        <f>IF(Settings!$M$4=Settings!$Y$3,IF($AA895=3,"P",""),IF($AA895=9,"P",""))</f>
        <v/>
      </c>
      <c r="O895" s="168" t="str">
        <f>IF(Settings!$M$4=Settings!$Y$3,IF($AA895=3,"P",""),IF($AA895=10,"P",""))</f>
        <v/>
      </c>
      <c r="P895" s="22"/>
      <c r="Q895" s="22"/>
      <c r="R895" s="365" t="e">
        <f>IF(INDEX(TblDatabase[Comment20],MATCH(1,INDEX(($L$4=ListEmployeeNamesInDatabase)*(C868=TblDatabase[Year]),0,1),0))="","",INDEX(TblDatabase[Comment20],MATCH(1,INDEX(($L$4=ListEmployeeNamesInDatabase)*(C868=TblDatabase[Year]),0,1),0)))</f>
        <v>#N/A</v>
      </c>
      <c r="S895" s="365"/>
      <c r="T895" s="365"/>
      <c r="U895" s="365"/>
      <c r="V895" s="365"/>
      <c r="W895" s="365"/>
      <c r="X895" s="365"/>
      <c r="Y895" s="366"/>
      <c r="Z895" s="149"/>
      <c r="AA895" s="151">
        <f>SUMIFS(TblDatabase[Competency20],ListEmployeeNamesInDatabase,$L$4,TblDatabase[Year],C868)</f>
        <v>0</v>
      </c>
      <c r="AB895" s="149"/>
      <c r="AC895" s="149"/>
      <c r="AD895" s="149"/>
      <c r="AE895" s="149"/>
      <c r="AF895" s="149"/>
    </row>
    <row r="896" spans="2:32" s="148" customFormat="1" hidden="1">
      <c r="B896" s="414" t="s">
        <v>26</v>
      </c>
      <c r="C896" s="415"/>
      <c r="D896" s="415"/>
      <c r="E896" s="371">
        <f ca="1">SUM(OFFSET(AA876,0,0,NumberOfCompetencies))</f>
        <v>0</v>
      </c>
      <c r="F896" s="372"/>
      <c r="G896" s="152"/>
      <c r="H896" s="152"/>
      <c r="I896" s="152"/>
      <c r="J896" s="152"/>
      <c r="K896" s="152"/>
      <c r="L896" s="152"/>
      <c r="M896" s="152"/>
      <c r="N896" s="152"/>
      <c r="O896" s="152"/>
      <c r="P896" s="152"/>
      <c r="Q896" s="152"/>
      <c r="R896" s="152"/>
      <c r="S896" s="152"/>
      <c r="T896" s="152"/>
      <c r="U896" s="152"/>
      <c r="V896" s="152"/>
      <c r="W896" s="152"/>
      <c r="X896" s="152"/>
      <c r="Y896" s="152"/>
      <c r="Z896" s="149"/>
      <c r="AA896" s="149"/>
      <c r="AB896" s="149"/>
      <c r="AC896" s="149"/>
      <c r="AD896" s="149"/>
      <c r="AE896" s="149"/>
      <c r="AF896" s="149"/>
    </row>
    <row r="897" spans="1:32" s="148" customFormat="1" hidden="1">
      <c r="B897" s="369" t="s">
        <v>27</v>
      </c>
      <c r="C897" s="370"/>
      <c r="D897" s="370"/>
      <c r="E897" s="358">
        <f ca="1">E896/NumberOfCompetencies</f>
        <v>0</v>
      </c>
      <c r="F897" s="359"/>
      <c r="G897" s="153"/>
      <c r="H897" s="153"/>
      <c r="I897" s="153"/>
      <c r="J897" s="153"/>
      <c r="K897" s="153"/>
      <c r="L897" s="153"/>
      <c r="M897" s="153"/>
      <c r="N897" s="153"/>
      <c r="O897" s="153"/>
      <c r="P897" s="153"/>
      <c r="Q897" s="153"/>
      <c r="R897" s="153"/>
      <c r="S897" s="153"/>
      <c r="T897" s="153"/>
      <c r="U897" s="153"/>
      <c r="V897" s="153"/>
      <c r="W897" s="153"/>
      <c r="X897" s="153"/>
      <c r="Y897" s="153"/>
      <c r="Z897" s="149"/>
      <c r="AA897" s="149"/>
      <c r="AB897" s="149"/>
      <c r="AC897" s="149"/>
      <c r="AD897" s="149"/>
      <c r="AE897" s="149"/>
      <c r="AF897" s="149"/>
    </row>
    <row r="898" spans="1:32" s="148" customFormat="1" hidden="1">
      <c r="B898" s="154"/>
      <c r="C898" s="154"/>
      <c r="D898" s="154"/>
      <c r="E898" s="154"/>
      <c r="F898" s="154"/>
      <c r="G898" s="154"/>
      <c r="H898" s="154"/>
      <c r="I898" s="154"/>
      <c r="J898" s="154"/>
      <c r="K898" s="154"/>
      <c r="L898" s="154"/>
      <c r="M898" s="154"/>
      <c r="N898" s="154"/>
      <c r="O898" s="154"/>
      <c r="P898" s="154"/>
      <c r="Q898" s="154"/>
      <c r="R898" s="154"/>
      <c r="S898" s="154"/>
      <c r="T898" s="154"/>
      <c r="U898" s="154"/>
      <c r="V898" s="154"/>
      <c r="W898" s="154"/>
      <c r="X898" s="154"/>
      <c r="Y898" s="154"/>
      <c r="Z898" s="149"/>
      <c r="AA898" s="149"/>
      <c r="AB898" s="149"/>
      <c r="AC898" s="149"/>
      <c r="AD898" s="149"/>
      <c r="AE898" s="149"/>
      <c r="AF898" s="149"/>
    </row>
    <row r="899" spans="1:32" s="148" customFormat="1" hidden="1">
      <c r="B899" s="338" t="str">
        <f>Settings!$N$15</f>
        <v>Previously agreed actions</v>
      </c>
      <c r="C899" s="339"/>
      <c r="D899" s="339"/>
      <c r="E899" s="339"/>
      <c r="F899" s="339"/>
      <c r="G899" s="339"/>
      <c r="H899" s="339"/>
      <c r="I899" s="339"/>
      <c r="J899" s="339"/>
      <c r="K899" s="339"/>
      <c r="L899" s="339"/>
      <c r="M899" s="339"/>
      <c r="N899" s="339"/>
      <c r="O899" s="339"/>
      <c r="P899" s="339"/>
      <c r="Q899" s="339"/>
      <c r="R899" s="339"/>
      <c r="S899" s="339"/>
      <c r="T899" s="339"/>
      <c r="U899" s="339"/>
      <c r="V899" s="339"/>
      <c r="W899" s="339"/>
      <c r="X899" s="339"/>
      <c r="Y899" s="340"/>
      <c r="Z899" s="149"/>
      <c r="AA899" s="149"/>
      <c r="AB899" s="149"/>
      <c r="AC899" s="149"/>
      <c r="AD899" s="149"/>
      <c r="AE899" s="149"/>
      <c r="AF899" s="149"/>
    </row>
    <row r="900" spans="1:32" s="148" customFormat="1" hidden="1">
      <c r="B900" s="341" t="e">
        <f>IF(INDEX(TblDatabase[Feedback Does Well],MATCH(1,INDEX(($L$4=ListEmployeeNamesInDatabase)*(C868=TblDatabase[Year]),0,1),0))="","",INDEX(TblDatabase[Feedback Does Well],MATCH(1,INDEX(($L$4=ListEmployeeNamesInDatabase)*(C868=TblDatabase[Year]),0,1),0)))</f>
        <v>#N/A</v>
      </c>
      <c r="C900" s="342"/>
      <c r="D900" s="342"/>
      <c r="E900" s="342"/>
      <c r="F900" s="342"/>
      <c r="G900" s="342"/>
      <c r="H900" s="342"/>
      <c r="I900" s="342"/>
      <c r="J900" s="342"/>
      <c r="K900" s="342"/>
      <c r="L900" s="342"/>
      <c r="M900" s="342"/>
      <c r="N900" s="342"/>
      <c r="O900" s="342"/>
      <c r="P900" s="342"/>
      <c r="Q900" s="342"/>
      <c r="R900" s="342"/>
      <c r="S900" s="342"/>
      <c r="T900" s="342"/>
      <c r="U900" s="342"/>
      <c r="V900" s="342"/>
      <c r="W900" s="342"/>
      <c r="X900" s="342"/>
      <c r="Y900" s="343"/>
      <c r="Z900" s="149"/>
      <c r="AA900" s="149"/>
      <c r="AB900" s="149"/>
      <c r="AC900" s="149"/>
      <c r="AD900" s="149"/>
      <c r="AE900" s="149"/>
      <c r="AF900" s="149"/>
    </row>
    <row r="901" spans="1:32" s="148" customFormat="1" hidden="1">
      <c r="B901" s="344"/>
      <c r="C901" s="345"/>
      <c r="D901" s="345"/>
      <c r="E901" s="345"/>
      <c r="F901" s="345"/>
      <c r="G901" s="345"/>
      <c r="H901" s="345"/>
      <c r="I901" s="345"/>
      <c r="J901" s="345"/>
      <c r="K901" s="345"/>
      <c r="L901" s="345"/>
      <c r="M901" s="345"/>
      <c r="N901" s="345"/>
      <c r="O901" s="345"/>
      <c r="P901" s="345"/>
      <c r="Q901" s="345"/>
      <c r="R901" s="345"/>
      <c r="S901" s="345"/>
      <c r="T901" s="345"/>
      <c r="U901" s="345"/>
      <c r="V901" s="345"/>
      <c r="W901" s="345"/>
      <c r="X901" s="345"/>
      <c r="Y901" s="346"/>
      <c r="Z901" s="149"/>
      <c r="AA901" s="149"/>
      <c r="AB901" s="149"/>
      <c r="AC901" s="149"/>
      <c r="AD901" s="149"/>
      <c r="AE901" s="149"/>
      <c r="AF901" s="149"/>
    </row>
    <row r="902" spans="1:32" s="148" customFormat="1" hidden="1">
      <c r="B902" s="347"/>
      <c r="C902" s="348"/>
      <c r="D902" s="348"/>
      <c r="E902" s="348"/>
      <c r="F902" s="348"/>
      <c r="G902" s="348"/>
      <c r="H902" s="348"/>
      <c r="I902" s="348"/>
      <c r="J902" s="348"/>
      <c r="K902" s="348"/>
      <c r="L902" s="348"/>
      <c r="M902" s="348"/>
      <c r="N902" s="348"/>
      <c r="O902" s="348"/>
      <c r="P902" s="348"/>
      <c r="Q902" s="348"/>
      <c r="R902" s="348"/>
      <c r="S902" s="348"/>
      <c r="T902" s="348"/>
      <c r="U902" s="348"/>
      <c r="V902" s="348"/>
      <c r="W902" s="348"/>
      <c r="X902" s="348"/>
      <c r="Y902" s="349"/>
      <c r="Z902" s="149"/>
      <c r="AA902" s="149"/>
      <c r="AB902" s="149"/>
      <c r="AC902" s="149"/>
      <c r="AD902" s="149"/>
      <c r="AE902" s="149"/>
      <c r="AF902" s="149"/>
    </row>
    <row r="903" spans="1:32" s="148" customFormat="1" hidden="1">
      <c r="B903" s="155"/>
      <c r="C903" s="155"/>
      <c r="D903" s="155"/>
      <c r="E903" s="155"/>
      <c r="F903" s="155"/>
      <c r="G903" s="155"/>
      <c r="H903" s="155"/>
      <c r="I903" s="155"/>
      <c r="J903" s="155"/>
      <c r="K903" s="155"/>
      <c r="L903" s="155"/>
      <c r="M903" s="155"/>
      <c r="N903" s="155"/>
      <c r="O903" s="155"/>
      <c r="P903" s="155"/>
      <c r="Q903" s="155"/>
      <c r="R903" s="155"/>
      <c r="S903" s="155"/>
      <c r="T903" s="155"/>
      <c r="U903" s="155"/>
      <c r="V903" s="155"/>
      <c r="W903" s="155"/>
      <c r="X903" s="155"/>
      <c r="Y903" s="155"/>
      <c r="Z903" s="149"/>
      <c r="AA903" s="149"/>
      <c r="AB903" s="149"/>
      <c r="AC903" s="149"/>
      <c r="AD903" s="149"/>
      <c r="AE903" s="149"/>
      <c r="AF903" s="149"/>
    </row>
    <row r="904" spans="1:32" s="148" customFormat="1" hidden="1">
      <c r="B904" s="338" t="str">
        <f>Settings!$N$16</f>
        <v>Actions agreed during this review</v>
      </c>
      <c r="C904" s="339"/>
      <c r="D904" s="339"/>
      <c r="E904" s="339"/>
      <c r="F904" s="339"/>
      <c r="G904" s="339"/>
      <c r="H904" s="339"/>
      <c r="I904" s="339"/>
      <c r="J904" s="339"/>
      <c r="K904" s="339"/>
      <c r="L904" s="339"/>
      <c r="M904" s="339"/>
      <c r="N904" s="339"/>
      <c r="O904" s="339"/>
      <c r="P904" s="339"/>
      <c r="Q904" s="339"/>
      <c r="R904" s="339"/>
      <c r="S904" s="339"/>
      <c r="T904" s="339"/>
      <c r="U904" s="339"/>
      <c r="V904" s="339"/>
      <c r="W904" s="339"/>
      <c r="X904" s="339"/>
      <c r="Y904" s="340"/>
      <c r="Z904" s="149"/>
      <c r="AA904" s="149"/>
      <c r="AB904" s="149"/>
      <c r="AC904" s="149"/>
      <c r="AD904" s="149"/>
      <c r="AE904" s="149"/>
      <c r="AF904" s="149"/>
    </row>
    <row r="905" spans="1:32" s="148" customFormat="1" hidden="1">
      <c r="B905" s="341" t="e">
        <f>IF(INDEX(TblDatabase[Feedback To Improve],MATCH(1,INDEX(($L$4=ListEmployeeNamesInDatabase)*(C868=TblDatabase[Year]),0,1),0))="","",INDEX(TblDatabase[Feedback To Improve],MATCH(1,INDEX(($L$4=ListEmployeeNamesInDatabase)*(C868=TblDatabase[Year]),0,1),0)))</f>
        <v>#N/A</v>
      </c>
      <c r="C905" s="342"/>
      <c r="D905" s="342"/>
      <c r="E905" s="342"/>
      <c r="F905" s="342"/>
      <c r="G905" s="342"/>
      <c r="H905" s="342"/>
      <c r="I905" s="342"/>
      <c r="J905" s="342"/>
      <c r="K905" s="342"/>
      <c r="L905" s="342"/>
      <c r="M905" s="342"/>
      <c r="N905" s="342"/>
      <c r="O905" s="342"/>
      <c r="P905" s="342"/>
      <c r="Q905" s="342"/>
      <c r="R905" s="342"/>
      <c r="S905" s="342"/>
      <c r="T905" s="342"/>
      <c r="U905" s="342"/>
      <c r="V905" s="342"/>
      <c r="W905" s="342"/>
      <c r="X905" s="342"/>
      <c r="Y905" s="343"/>
      <c r="Z905" s="149"/>
      <c r="AA905" s="149"/>
      <c r="AB905" s="149"/>
      <c r="AC905" s="149"/>
      <c r="AD905" s="149"/>
      <c r="AE905" s="149"/>
      <c r="AF905" s="149"/>
    </row>
    <row r="906" spans="1:32" s="148" customFormat="1" hidden="1">
      <c r="B906" s="344"/>
      <c r="C906" s="345"/>
      <c r="D906" s="345"/>
      <c r="E906" s="345"/>
      <c r="F906" s="345"/>
      <c r="G906" s="345"/>
      <c r="H906" s="345"/>
      <c r="I906" s="345"/>
      <c r="J906" s="345"/>
      <c r="K906" s="345"/>
      <c r="L906" s="345"/>
      <c r="M906" s="345"/>
      <c r="N906" s="345"/>
      <c r="O906" s="345"/>
      <c r="P906" s="345"/>
      <c r="Q906" s="345"/>
      <c r="R906" s="345"/>
      <c r="S906" s="345"/>
      <c r="T906" s="345"/>
      <c r="U906" s="345"/>
      <c r="V906" s="345"/>
      <c r="W906" s="345"/>
      <c r="X906" s="345"/>
      <c r="Y906" s="346"/>
      <c r="Z906" s="149"/>
      <c r="AA906" s="149"/>
      <c r="AB906" s="149"/>
      <c r="AC906" s="149"/>
      <c r="AD906" s="149"/>
      <c r="AE906" s="149"/>
      <c r="AF906" s="149"/>
    </row>
    <row r="907" spans="1:32" s="148" customFormat="1" hidden="1">
      <c r="B907" s="347"/>
      <c r="C907" s="348"/>
      <c r="D907" s="348"/>
      <c r="E907" s="348"/>
      <c r="F907" s="348"/>
      <c r="G907" s="348"/>
      <c r="H907" s="348"/>
      <c r="I907" s="348"/>
      <c r="J907" s="348"/>
      <c r="K907" s="348"/>
      <c r="L907" s="348"/>
      <c r="M907" s="348"/>
      <c r="N907" s="348"/>
      <c r="O907" s="348"/>
      <c r="P907" s="348"/>
      <c r="Q907" s="348"/>
      <c r="R907" s="348"/>
      <c r="S907" s="348"/>
      <c r="T907" s="348"/>
      <c r="U907" s="348"/>
      <c r="V907" s="348"/>
      <c r="W907" s="348"/>
      <c r="X907" s="348"/>
      <c r="Y907" s="349"/>
      <c r="Z907" s="149"/>
      <c r="AA907" s="149"/>
      <c r="AB907" s="149"/>
      <c r="AC907" s="149"/>
      <c r="AD907" s="149"/>
      <c r="AE907" s="149"/>
      <c r="AF907" s="149"/>
    </row>
    <row r="908" spans="1:32" s="148" customFormat="1" hidden="1">
      <c r="B908" s="156"/>
      <c r="C908" s="156"/>
      <c r="D908" s="156"/>
      <c r="E908" s="155"/>
      <c r="F908" s="155"/>
      <c r="G908" s="155"/>
      <c r="H908" s="155"/>
      <c r="I908" s="155"/>
      <c r="J908" s="155"/>
      <c r="K908" s="155"/>
      <c r="L908" s="155"/>
      <c r="M908" s="155"/>
      <c r="N908" s="155"/>
      <c r="O908" s="155"/>
      <c r="P908" s="155"/>
      <c r="Q908" s="155"/>
      <c r="R908" s="155"/>
      <c r="S908" s="155"/>
      <c r="T908" s="155"/>
      <c r="U908" s="155"/>
      <c r="V908" s="155"/>
      <c r="W908" s="155"/>
      <c r="X908" s="155"/>
      <c r="Y908" s="155"/>
      <c r="Z908" s="149"/>
      <c r="AA908" s="149"/>
      <c r="AB908" s="149"/>
      <c r="AC908" s="149"/>
      <c r="AD908" s="149"/>
      <c r="AE908" s="149"/>
      <c r="AF908" s="149"/>
    </row>
    <row r="909" spans="1:32" s="148" customFormat="1" hidden="1">
      <c r="A909" s="150">
        <f>A868+1</f>
        <v>22</v>
      </c>
      <c r="B909" s="27" t="s">
        <v>14</v>
      </c>
      <c r="C909" s="333">
        <f>C868-1</f>
        <v>1999</v>
      </c>
      <c r="D909" s="334"/>
      <c r="Y909" s="149"/>
      <c r="Z909" s="149"/>
      <c r="AA909" s="149"/>
      <c r="AB909" s="149"/>
      <c r="AC909" s="149"/>
      <c r="AD909" s="149"/>
      <c r="AE909" s="149"/>
      <c r="AF909" s="149"/>
    </row>
    <row r="910" spans="1:32" s="148" customFormat="1" hidden="1">
      <c r="Y910" s="149"/>
      <c r="Z910" s="149"/>
      <c r="AA910" s="149"/>
      <c r="AB910" s="149"/>
      <c r="AC910" s="149"/>
      <c r="AD910" s="149"/>
      <c r="AE910" s="149"/>
      <c r="AF910" s="149"/>
    </row>
    <row r="911" spans="1:32" s="148" customFormat="1" hidden="1">
      <c r="B911" s="338" t="str">
        <f>Settings!$N$14</f>
        <v>Employee's comments</v>
      </c>
      <c r="C911" s="339"/>
      <c r="D911" s="339"/>
      <c r="E911" s="339"/>
      <c r="F911" s="339"/>
      <c r="G911" s="339"/>
      <c r="H911" s="339"/>
      <c r="I911" s="339"/>
      <c r="J911" s="339"/>
      <c r="K911" s="339"/>
      <c r="L911" s="339"/>
      <c r="M911" s="339"/>
      <c r="N911" s="339"/>
      <c r="O911" s="339"/>
      <c r="P911" s="339"/>
      <c r="Q911" s="339"/>
      <c r="R911" s="339"/>
      <c r="S911" s="339"/>
      <c r="T911" s="339"/>
      <c r="U911" s="339"/>
      <c r="V911" s="339"/>
      <c r="W911" s="339"/>
      <c r="X911" s="339"/>
      <c r="Y911" s="340"/>
      <c r="Z911" s="149"/>
      <c r="AA911" s="149"/>
      <c r="AB911" s="149"/>
      <c r="AC911" s="149"/>
      <c r="AD911" s="149"/>
      <c r="AE911" s="149"/>
      <c r="AF911" s="149"/>
    </row>
    <row r="912" spans="1:32" s="148" customFormat="1" hidden="1">
      <c r="B912" s="341" t="e">
        <f>IF(INDEX(TblDatabase[Feedback Warnings],MATCH(1,INDEX(($L$4=ListEmployeeNamesInDatabase)*(C909=TblDatabase[Year]),0,1),0))="","",INDEX(TblDatabase[Feedback Warnings],MATCH(1,INDEX(($L$4=ListEmployeeNamesInDatabase)*(C909=TblDatabase[Year]),0,1),0)))</f>
        <v>#N/A</v>
      </c>
      <c r="C912" s="342"/>
      <c r="D912" s="342"/>
      <c r="E912" s="342"/>
      <c r="F912" s="342"/>
      <c r="G912" s="342"/>
      <c r="H912" s="342"/>
      <c r="I912" s="342"/>
      <c r="J912" s="342"/>
      <c r="K912" s="342"/>
      <c r="L912" s="342"/>
      <c r="M912" s="342"/>
      <c r="N912" s="342"/>
      <c r="O912" s="342"/>
      <c r="P912" s="342"/>
      <c r="Q912" s="342"/>
      <c r="R912" s="342"/>
      <c r="S912" s="342"/>
      <c r="T912" s="342"/>
      <c r="U912" s="342"/>
      <c r="V912" s="342"/>
      <c r="W912" s="342"/>
      <c r="X912" s="342"/>
      <c r="Y912" s="343"/>
      <c r="Z912" s="149"/>
      <c r="AA912" s="149"/>
      <c r="AB912" s="149"/>
      <c r="AC912" s="149"/>
      <c r="AD912" s="149"/>
      <c r="AE912" s="149"/>
      <c r="AF912" s="149"/>
    </row>
    <row r="913" spans="2:32" s="148" customFormat="1" hidden="1">
      <c r="B913" s="344"/>
      <c r="C913" s="345"/>
      <c r="D913" s="345"/>
      <c r="E913" s="345"/>
      <c r="F913" s="345"/>
      <c r="G913" s="345"/>
      <c r="H913" s="345"/>
      <c r="I913" s="345"/>
      <c r="J913" s="345"/>
      <c r="K913" s="345"/>
      <c r="L913" s="345"/>
      <c r="M913" s="345"/>
      <c r="N913" s="345"/>
      <c r="O913" s="345"/>
      <c r="P913" s="345"/>
      <c r="Q913" s="345"/>
      <c r="R913" s="345"/>
      <c r="S913" s="345"/>
      <c r="T913" s="345"/>
      <c r="U913" s="345"/>
      <c r="V913" s="345"/>
      <c r="W913" s="345"/>
      <c r="X913" s="345"/>
      <c r="Y913" s="346"/>
      <c r="Z913" s="149"/>
      <c r="AA913" s="149"/>
      <c r="AB913" s="149"/>
      <c r="AC913" s="149"/>
      <c r="AD913" s="149"/>
      <c r="AE913" s="149"/>
      <c r="AF913" s="149"/>
    </row>
    <row r="914" spans="2:32" s="148" customFormat="1" hidden="1">
      <c r="B914" s="347"/>
      <c r="C914" s="348"/>
      <c r="D914" s="348"/>
      <c r="E914" s="348"/>
      <c r="F914" s="348"/>
      <c r="G914" s="348"/>
      <c r="H914" s="348"/>
      <c r="I914" s="348"/>
      <c r="J914" s="348"/>
      <c r="K914" s="348"/>
      <c r="L914" s="348"/>
      <c r="M914" s="348"/>
      <c r="N914" s="348"/>
      <c r="O914" s="348"/>
      <c r="P914" s="348"/>
      <c r="Q914" s="348"/>
      <c r="R914" s="348"/>
      <c r="S914" s="348"/>
      <c r="T914" s="348"/>
      <c r="U914" s="348"/>
      <c r="V914" s="348"/>
      <c r="W914" s="348"/>
      <c r="X914" s="348"/>
      <c r="Y914" s="349"/>
      <c r="Z914" s="149"/>
      <c r="AA914" s="149"/>
      <c r="AB914" s="149"/>
      <c r="AC914" s="149"/>
      <c r="AD914" s="149"/>
      <c r="AE914" s="149"/>
      <c r="AF914" s="149"/>
    </row>
    <row r="915" spans="2:32" s="148" customFormat="1" hidden="1">
      <c r="Y915" s="149"/>
      <c r="Z915" s="149"/>
      <c r="AA915" s="149"/>
      <c r="AB915" s="149"/>
      <c r="AC915" s="149"/>
      <c r="AD915" s="149"/>
      <c r="AE915" s="149"/>
      <c r="AF915" s="149"/>
    </row>
    <row r="916" spans="2:32" s="148" customFormat="1" ht="15" hidden="1" customHeight="1">
      <c r="B916" s="320" t="s">
        <v>8</v>
      </c>
      <c r="C916" s="321"/>
      <c r="D916" s="321"/>
      <c r="E916" s="321"/>
      <c r="F916" s="233">
        <f>IF(Settings!$M$4=Settings!$Y$3,Settings!$O$19,1)</f>
        <v>1</v>
      </c>
      <c r="G916" s="234">
        <f>IF(Settings!$M$4=Settings!$Y$3,Settings!$O$19,2)</f>
        <v>2</v>
      </c>
      <c r="H916" s="234">
        <f>IF(Settings!$M$4=Settings!$Y$3,Settings!$O$19,3)</f>
        <v>3</v>
      </c>
      <c r="I916" s="234">
        <f>IF(Settings!$M$4=Settings!$Y$3,Settings!$O$19,4)</f>
        <v>4</v>
      </c>
      <c r="J916" s="234">
        <f>IF(Settings!$M$4=Settings!$Y$3,Settings!$O$20,5)</f>
        <v>5</v>
      </c>
      <c r="K916" s="234">
        <f>IF(Settings!$M$4=Settings!$Y$3,Settings!$O$20,6)</f>
        <v>6</v>
      </c>
      <c r="L916" s="234">
        <f>IF(Settings!$M$4=Settings!$Y$3,Settings!$O$20,7)</f>
        <v>7</v>
      </c>
      <c r="M916" s="234">
        <f>IF(Settings!$M$4=Settings!$Y$3,Settings!$O$20,8)</f>
        <v>8</v>
      </c>
      <c r="N916" s="234">
        <f>IF(Settings!$M$4=Settings!$Y$3,Settings!$O$21,9)</f>
        <v>9</v>
      </c>
      <c r="O916" s="235">
        <f>IF(Settings!$M$4=Settings!$Y$3,Settings!$O$21,10)</f>
        <v>10</v>
      </c>
      <c r="P916" s="22"/>
      <c r="Q916" s="22"/>
      <c r="R916" s="333" t="s">
        <v>24</v>
      </c>
      <c r="S916" s="333"/>
      <c r="T916" s="333"/>
      <c r="U916" s="333"/>
      <c r="V916" s="333"/>
      <c r="W916" s="333"/>
      <c r="X916" s="333"/>
      <c r="Y916" s="334"/>
      <c r="Z916" s="149"/>
      <c r="AA916" s="149"/>
      <c r="AB916" s="149"/>
      <c r="AC916" s="149"/>
      <c r="AD916" s="149"/>
      <c r="AE916" s="149"/>
      <c r="AF916" s="149"/>
    </row>
    <row r="917" spans="2:32" s="148" customFormat="1" ht="15" hidden="1" customHeight="1">
      <c r="B917" s="335" t="str">
        <f t="shared" ref="B917:B936" si="21">B876</f>
        <v>Quality of Work</v>
      </c>
      <c r="C917" s="336"/>
      <c r="D917" s="336"/>
      <c r="E917" s="337"/>
      <c r="F917" s="162" t="str">
        <f>IF(Settings!$M$4=Settings!$Y$3,IF($AA917=1,"P",""),IF($AA917=1,"P",""))</f>
        <v/>
      </c>
      <c r="G917" s="160" t="str">
        <f>IF(Settings!$M$4=Settings!$Y$3,IF($AA917=1,"P",""),IF($AA917=2,"P",""))</f>
        <v/>
      </c>
      <c r="H917" s="160" t="str">
        <f>IF(Settings!$M$4=Settings!$Y$3,IF($AA917=1,"P",""),IF($AA917=3,"P",""))</f>
        <v/>
      </c>
      <c r="I917" s="160" t="str">
        <f>IF(Settings!$M$4=Settings!$Y$3,IF($AA917=1,"P",""),IF($AA917=4,"P",""))</f>
        <v/>
      </c>
      <c r="J917" s="160" t="str">
        <f>IF(Settings!$M$4=Settings!$Y$3,IF($AA917=2,"P",""),IF($AA917=5,"P",""))</f>
        <v/>
      </c>
      <c r="K917" s="160" t="str">
        <f>IF(Settings!$M$4=Settings!$Y$3,IF($AA917=2,"P",""),IF($AA917=6,"P",""))</f>
        <v/>
      </c>
      <c r="L917" s="160" t="str">
        <f>IF(Settings!$M$4=Settings!$Y$3,IF($AA917=2,"P",""),IF($AA917=7,"P",""))</f>
        <v/>
      </c>
      <c r="M917" s="160" t="str">
        <f>IF(Settings!$M$4=Settings!$Y$3,IF($AA917=2,"P",""),IF($AA917=8,"P",""))</f>
        <v/>
      </c>
      <c r="N917" s="160" t="str">
        <f>IF(Settings!$M$4=Settings!$Y$3,IF($AA917=3,"P",""),IF($AA917=9,"P",""))</f>
        <v/>
      </c>
      <c r="O917" s="161" t="str">
        <f>IF(Settings!$M$4=Settings!$Y$3,IF($AA917=3,"P",""),IF($AA917=10,"P",""))</f>
        <v/>
      </c>
      <c r="P917" s="22"/>
      <c r="Q917" s="22"/>
      <c r="R917" s="367" t="e">
        <f>IF(INDEX(TblDatabase[Comment1],MATCH(1,INDEX(($L$4=ListEmployeeNamesInDatabase)*(C909=TblDatabase[Year]),0,1),0))="","",INDEX(TblDatabase[Comment1],MATCH(1,INDEX(($L$4=ListEmployeeNamesInDatabase)*(C909=TblDatabase[Year]),0,1),0)))</f>
        <v>#N/A</v>
      </c>
      <c r="S917" s="367"/>
      <c r="T917" s="367"/>
      <c r="U917" s="367"/>
      <c r="V917" s="367"/>
      <c r="W917" s="367"/>
      <c r="X917" s="367"/>
      <c r="Y917" s="368"/>
      <c r="Z917" s="149"/>
      <c r="AA917" s="151">
        <f>SUMIFS(TblDatabase[Competency1],ListEmployeeNamesInDatabase,$L$4,TblDatabase[Year],C909)</f>
        <v>0</v>
      </c>
      <c r="AB917" s="149"/>
      <c r="AC917" s="149"/>
      <c r="AD917" s="149"/>
      <c r="AE917" s="149"/>
      <c r="AF917" s="149"/>
    </row>
    <row r="918" spans="2:32" s="148" customFormat="1" ht="15" hidden="1" customHeight="1">
      <c r="B918" s="355" t="str">
        <f t="shared" si="21"/>
        <v>CaLL flow</v>
      </c>
      <c r="C918" s="356"/>
      <c r="D918" s="356"/>
      <c r="E918" s="357"/>
      <c r="F918" s="163" t="str">
        <f>IF(Settings!$M$4=Settings!$Y$3,IF($AA918=1,"P",""),IF($AA918=1,"P",""))</f>
        <v/>
      </c>
      <c r="G918" s="164" t="str">
        <f>IF(Settings!$M$4=Settings!$Y$3,IF($AA918=1,"P",""),IF($AA918=2,"P",""))</f>
        <v/>
      </c>
      <c r="H918" s="164" t="str">
        <f>IF(Settings!$M$4=Settings!$Y$3,IF($AA918=1,"P",""),IF($AA918=3,"P",""))</f>
        <v/>
      </c>
      <c r="I918" s="164" t="str">
        <f>IF(Settings!$M$4=Settings!$Y$3,IF($AA918=1,"P",""),IF($AA918=4,"P",""))</f>
        <v/>
      </c>
      <c r="J918" s="164" t="str">
        <f>IF(Settings!$M$4=Settings!$Y$3,IF($AA918=2,"P",""),IF($AA918=5,"P",""))</f>
        <v/>
      </c>
      <c r="K918" s="164" t="str">
        <f>IF(Settings!$M$4=Settings!$Y$3,IF($AA918=2,"P",""),IF($AA918=6,"P",""))</f>
        <v/>
      </c>
      <c r="L918" s="164" t="str">
        <f>IF(Settings!$M$4=Settings!$Y$3,IF($AA918=2,"P",""),IF($AA918=7,"P",""))</f>
        <v/>
      </c>
      <c r="M918" s="164" t="str">
        <f>IF(Settings!$M$4=Settings!$Y$3,IF($AA918=2,"P",""),IF($AA918=8,"P",""))</f>
        <v/>
      </c>
      <c r="N918" s="164" t="str">
        <f>IF(Settings!$M$4=Settings!$Y$3,IF($AA918=3,"P",""),IF($AA918=9,"P",""))</f>
        <v/>
      </c>
      <c r="O918" s="165" t="str">
        <f>IF(Settings!$M$4=Settings!$Y$3,IF($AA918=3,"P",""),IF($AA918=10,"P",""))</f>
        <v/>
      </c>
      <c r="P918" s="22"/>
      <c r="Q918" s="22"/>
      <c r="R918" s="360" t="e">
        <f>IF(INDEX(TblDatabase[Comment2],MATCH(1,INDEX(($L$4=ListEmployeeNamesInDatabase)*(C909=TblDatabase[Year]),0,1),0))="","",INDEX(TblDatabase[Comment2],MATCH(1,INDEX(($L$4=ListEmployeeNamesInDatabase)*(C909=TblDatabase[Year]),0,1),0)))</f>
        <v>#N/A</v>
      </c>
      <c r="S918" s="360"/>
      <c r="T918" s="360"/>
      <c r="U918" s="360"/>
      <c r="V918" s="360"/>
      <c r="W918" s="360"/>
      <c r="X918" s="360"/>
      <c r="Y918" s="361"/>
      <c r="Z918" s="149"/>
      <c r="AA918" s="151">
        <f>SUMIFS(TblDatabase[Competency2],ListEmployeeNamesInDatabase,$L$4,TblDatabase[Year],C909)</f>
        <v>0</v>
      </c>
      <c r="AB918" s="149"/>
      <c r="AC918" s="149"/>
      <c r="AD918" s="149"/>
      <c r="AE918" s="149"/>
      <c r="AF918" s="149"/>
    </row>
    <row r="919" spans="2:32" s="148" customFormat="1" ht="15" hidden="1" customHeight="1">
      <c r="B919" s="350" t="str">
        <f t="shared" si="21"/>
        <v>Job Knowledge</v>
      </c>
      <c r="C919" s="351"/>
      <c r="D919" s="351"/>
      <c r="E919" s="352"/>
      <c r="F919" s="157" t="str">
        <f>IF(Settings!$M$4=Settings!$Y$3,IF($AA919=1,"P",""),IF($AA919=1,"P",""))</f>
        <v/>
      </c>
      <c r="G919" s="158" t="str">
        <f>IF(Settings!$M$4=Settings!$Y$3,IF($AA919=1,"P",""),IF($AA919=2,"P",""))</f>
        <v/>
      </c>
      <c r="H919" s="158" t="str">
        <f>IF(Settings!$M$4=Settings!$Y$3,IF($AA919=1,"P",""),IF($AA919=3,"P",""))</f>
        <v/>
      </c>
      <c r="I919" s="158" t="str">
        <f>IF(Settings!$M$4=Settings!$Y$3,IF($AA919=1,"P",""),IF($AA919=4,"P",""))</f>
        <v/>
      </c>
      <c r="J919" s="158" t="str">
        <f>IF(Settings!$M$4=Settings!$Y$3,IF($AA919=2,"P",""),IF($AA919=5,"P",""))</f>
        <v/>
      </c>
      <c r="K919" s="158" t="str">
        <f>IF(Settings!$M$4=Settings!$Y$3,IF($AA919=2,"P",""),IF($AA919=6,"P",""))</f>
        <v/>
      </c>
      <c r="L919" s="158" t="str">
        <f>IF(Settings!$M$4=Settings!$Y$3,IF($AA919=2,"P",""),IF($AA919=7,"P",""))</f>
        <v/>
      </c>
      <c r="M919" s="158" t="str">
        <f>IF(Settings!$M$4=Settings!$Y$3,IF($AA919=2,"P",""),IF($AA919=8,"P",""))</f>
        <v/>
      </c>
      <c r="N919" s="158" t="str">
        <f>IF(Settings!$M$4=Settings!$Y$3,IF($AA919=3,"P",""),IF($AA919=9,"P",""))</f>
        <v/>
      </c>
      <c r="O919" s="159" t="str">
        <f>IF(Settings!$M$4=Settings!$Y$3,IF($AA919=3,"P",""),IF($AA919=10,"P",""))</f>
        <v/>
      </c>
      <c r="P919" s="22"/>
      <c r="Q919" s="22"/>
      <c r="R919" s="353" t="e">
        <f>IF(INDEX(TblDatabase[Comment3],MATCH(1,INDEX(($L$4=ListEmployeeNamesInDatabase)*(C909=TblDatabase[Year]),0,1),0))="","",INDEX(TblDatabase[Comment3],MATCH(1,INDEX(($L$4=ListEmployeeNamesInDatabase)*(C909=TblDatabase[Year]),0,1),0)))</f>
        <v>#N/A</v>
      </c>
      <c r="S919" s="353"/>
      <c r="T919" s="353"/>
      <c r="U919" s="353"/>
      <c r="V919" s="353"/>
      <c r="W919" s="353"/>
      <c r="X919" s="353"/>
      <c r="Y919" s="354"/>
      <c r="Z919" s="149"/>
      <c r="AA919" s="151">
        <f>SUMIFS(TblDatabase[Competency3],ListEmployeeNamesInDatabase,$L$4,TblDatabase[Year],C909)</f>
        <v>0</v>
      </c>
      <c r="AB919" s="149"/>
      <c r="AC919" s="149"/>
      <c r="AD919" s="149"/>
      <c r="AE919" s="149"/>
      <c r="AF919" s="149"/>
    </row>
    <row r="920" spans="2:32" s="148" customFormat="1" ht="15" hidden="1" customHeight="1">
      <c r="B920" s="355" t="str">
        <f t="shared" si="21"/>
        <v>Client Service</v>
      </c>
      <c r="C920" s="356"/>
      <c r="D920" s="356"/>
      <c r="E920" s="357"/>
      <c r="F920" s="163" t="str">
        <f>IF(Settings!$M$4=Settings!$Y$3,IF($AA920=1,"P",""),IF($AA920=1,"P",""))</f>
        <v/>
      </c>
      <c r="G920" s="164" t="str">
        <f>IF(Settings!$M$4=Settings!$Y$3,IF($AA920=1,"P",""),IF($AA920=2,"P",""))</f>
        <v/>
      </c>
      <c r="H920" s="164" t="str">
        <f>IF(Settings!$M$4=Settings!$Y$3,IF($AA920=1,"P",""),IF($AA920=3,"P",""))</f>
        <v/>
      </c>
      <c r="I920" s="164" t="str">
        <f>IF(Settings!$M$4=Settings!$Y$3,IF($AA920=1,"P",""),IF($AA920=4,"P",""))</f>
        <v/>
      </c>
      <c r="J920" s="164" t="str">
        <f>IF(Settings!$M$4=Settings!$Y$3,IF($AA920=2,"P",""),IF($AA920=5,"P",""))</f>
        <v/>
      </c>
      <c r="K920" s="164" t="str">
        <f>IF(Settings!$M$4=Settings!$Y$3,IF($AA920=2,"P",""),IF($AA920=6,"P",""))</f>
        <v/>
      </c>
      <c r="L920" s="164" t="str">
        <f>IF(Settings!$M$4=Settings!$Y$3,IF($AA920=2,"P",""),IF($AA920=7,"P",""))</f>
        <v/>
      </c>
      <c r="M920" s="164" t="str">
        <f>IF(Settings!$M$4=Settings!$Y$3,IF($AA920=2,"P",""),IF($AA920=8,"P",""))</f>
        <v/>
      </c>
      <c r="N920" s="164" t="str">
        <f>IF(Settings!$M$4=Settings!$Y$3,IF($AA920=3,"P",""),IF($AA920=9,"P",""))</f>
        <v/>
      </c>
      <c r="O920" s="165" t="str">
        <f>IF(Settings!$M$4=Settings!$Y$3,IF($AA920=3,"P",""),IF($AA920=10,"P",""))</f>
        <v/>
      </c>
      <c r="P920" s="22"/>
      <c r="Q920" s="22"/>
      <c r="R920" s="360" t="e">
        <f>IF(INDEX(TblDatabase[Comment4],MATCH(1,INDEX(($L$4=ListEmployeeNamesInDatabase)*(C909=TblDatabase[Year]),0,1),0))="","",INDEX(TblDatabase[Comment4],MATCH(1,INDEX(($L$4=ListEmployeeNamesInDatabase)*(C909=TblDatabase[Year]),0,1),0)))</f>
        <v>#N/A</v>
      </c>
      <c r="S920" s="360"/>
      <c r="T920" s="360"/>
      <c r="U920" s="360"/>
      <c r="V920" s="360"/>
      <c r="W920" s="360"/>
      <c r="X920" s="360"/>
      <c r="Y920" s="361"/>
      <c r="Z920" s="149"/>
      <c r="AA920" s="151">
        <f>SUMIFS(TblDatabase[Competency4],ListEmployeeNamesInDatabase,$L$4,TblDatabase[Year],C909)</f>
        <v>0</v>
      </c>
      <c r="AB920" s="149"/>
      <c r="AC920" s="149"/>
      <c r="AD920" s="149"/>
      <c r="AE920" s="149"/>
      <c r="AF920" s="149"/>
    </row>
    <row r="921" spans="2:32" s="148" customFormat="1" ht="15" hidden="1" customHeight="1">
      <c r="B921" s="350" t="str">
        <f t="shared" si="21"/>
        <v>Teamwork</v>
      </c>
      <c r="C921" s="351"/>
      <c r="D921" s="351"/>
      <c r="E921" s="352"/>
      <c r="F921" s="157" t="str">
        <f>IF(Settings!$M$4=Settings!$Y$3,IF($AA921=1,"P",""),IF($AA921=1,"P",""))</f>
        <v/>
      </c>
      <c r="G921" s="158" t="str">
        <f>IF(Settings!$M$4=Settings!$Y$3,IF($AA921=1,"P",""),IF($AA921=2,"P",""))</f>
        <v/>
      </c>
      <c r="H921" s="158" t="str">
        <f>IF(Settings!$M$4=Settings!$Y$3,IF($AA921=1,"P",""),IF($AA921=3,"P",""))</f>
        <v/>
      </c>
      <c r="I921" s="158" t="str">
        <f>IF(Settings!$M$4=Settings!$Y$3,IF($AA921=1,"P",""),IF($AA921=4,"P",""))</f>
        <v/>
      </c>
      <c r="J921" s="158" t="str">
        <f>IF(Settings!$M$4=Settings!$Y$3,IF($AA921=2,"P",""),IF($AA921=5,"P",""))</f>
        <v/>
      </c>
      <c r="K921" s="158" t="str">
        <f>IF(Settings!$M$4=Settings!$Y$3,IF($AA921=2,"P",""),IF($AA921=6,"P",""))</f>
        <v/>
      </c>
      <c r="L921" s="158" t="str">
        <f>IF(Settings!$M$4=Settings!$Y$3,IF($AA921=2,"P",""),IF($AA921=7,"P",""))</f>
        <v/>
      </c>
      <c r="M921" s="158" t="str">
        <f>IF(Settings!$M$4=Settings!$Y$3,IF($AA921=2,"P",""),IF($AA921=8,"P",""))</f>
        <v/>
      </c>
      <c r="N921" s="158" t="str">
        <f>IF(Settings!$M$4=Settings!$Y$3,IF($AA921=3,"P",""),IF($AA921=9,"P",""))</f>
        <v/>
      </c>
      <c r="O921" s="159" t="str">
        <f>IF(Settings!$M$4=Settings!$Y$3,IF($AA921=3,"P",""),IF($AA921=10,"P",""))</f>
        <v/>
      </c>
      <c r="P921" s="22"/>
      <c r="Q921" s="22"/>
      <c r="R921" s="353" t="e">
        <f>IF(INDEX(TblDatabase[Comment5],MATCH(1,INDEX(($L$4=ListEmployeeNamesInDatabase)*(C909=TblDatabase[Year]),0,1),0))="","",INDEX(TblDatabase[Comment5],MATCH(1,INDEX(($L$4=ListEmployeeNamesInDatabase)*(C909=TblDatabase[Year]),0,1),0)))</f>
        <v>#N/A</v>
      </c>
      <c r="S921" s="353"/>
      <c r="T921" s="353"/>
      <c r="U921" s="353"/>
      <c r="V921" s="353"/>
      <c r="W921" s="353"/>
      <c r="X921" s="353"/>
      <c r="Y921" s="354"/>
      <c r="Z921" s="149"/>
      <c r="AA921" s="151">
        <f>SUMIFS(TblDatabase[Competency5],ListEmployeeNamesInDatabase,$L$4,TblDatabase[Year],C909)</f>
        <v>0</v>
      </c>
      <c r="AB921" s="149"/>
      <c r="AC921" s="149"/>
      <c r="AD921" s="149"/>
      <c r="AE921" s="149"/>
      <c r="AF921" s="149"/>
    </row>
    <row r="922" spans="2:32" s="148" customFormat="1" ht="15" hidden="1" customHeight="1">
      <c r="B922" s="355" t="str">
        <f t="shared" si="21"/>
        <v>Safety</v>
      </c>
      <c r="C922" s="356"/>
      <c r="D922" s="356"/>
      <c r="E922" s="357"/>
      <c r="F922" s="163" t="str">
        <f>IF(Settings!$M$4=Settings!$Y$3,IF($AA922=1,"P",""),IF($AA922=1,"P",""))</f>
        <v/>
      </c>
      <c r="G922" s="164" t="str">
        <f>IF(Settings!$M$4=Settings!$Y$3,IF($AA922=1,"P",""),IF($AA922=2,"P",""))</f>
        <v/>
      </c>
      <c r="H922" s="164" t="str">
        <f>IF(Settings!$M$4=Settings!$Y$3,IF($AA922=1,"P",""),IF($AA922=3,"P",""))</f>
        <v/>
      </c>
      <c r="I922" s="164" t="str">
        <f>IF(Settings!$M$4=Settings!$Y$3,IF($AA922=1,"P",""),IF($AA922=4,"P",""))</f>
        <v/>
      </c>
      <c r="J922" s="164" t="str">
        <f>IF(Settings!$M$4=Settings!$Y$3,IF($AA922=2,"P",""),IF($AA922=5,"P",""))</f>
        <v/>
      </c>
      <c r="K922" s="164" t="str">
        <f>IF(Settings!$M$4=Settings!$Y$3,IF($AA922=2,"P",""),IF($AA922=6,"P",""))</f>
        <v/>
      </c>
      <c r="L922" s="164" t="str">
        <f>IF(Settings!$M$4=Settings!$Y$3,IF($AA922=2,"P",""),IF($AA922=7,"P",""))</f>
        <v/>
      </c>
      <c r="M922" s="164" t="str">
        <f>IF(Settings!$M$4=Settings!$Y$3,IF($AA922=2,"P",""),IF($AA922=8,"P",""))</f>
        <v/>
      </c>
      <c r="N922" s="164" t="str">
        <f>IF(Settings!$M$4=Settings!$Y$3,IF($AA922=3,"P",""),IF($AA922=9,"P",""))</f>
        <v/>
      </c>
      <c r="O922" s="165" t="str">
        <f>IF(Settings!$M$4=Settings!$Y$3,IF($AA922=3,"P",""),IF($AA922=10,"P",""))</f>
        <v/>
      </c>
      <c r="P922" s="22"/>
      <c r="Q922" s="22"/>
      <c r="R922" s="360" t="e">
        <f>IF(INDEX(TblDatabase[Comment6],MATCH(1,INDEX(($L$4=ListEmployeeNamesInDatabase)*(C909=TblDatabase[Year]),0,1),0))="","",INDEX(TblDatabase[Comment6],MATCH(1,INDEX(($L$4=ListEmployeeNamesInDatabase)*(C909=TblDatabase[Year]),0,1),0)))</f>
        <v>#N/A</v>
      </c>
      <c r="S922" s="360"/>
      <c r="T922" s="360"/>
      <c r="U922" s="360"/>
      <c r="V922" s="360"/>
      <c r="W922" s="360"/>
      <c r="X922" s="360"/>
      <c r="Y922" s="361"/>
      <c r="Z922" s="149"/>
      <c r="AA922" s="151">
        <f>SUMIFS(TblDatabase[Competency6],ListEmployeeNamesInDatabase,$L$4,TblDatabase[Year],C909)</f>
        <v>0</v>
      </c>
      <c r="AB922" s="149"/>
      <c r="AC922" s="149"/>
      <c r="AD922" s="149"/>
      <c r="AE922" s="149"/>
      <c r="AF922" s="149"/>
    </row>
    <row r="923" spans="2:32" s="148" customFormat="1" ht="15" hidden="1" customHeight="1">
      <c r="B923" s="350" t="str">
        <f t="shared" si="21"/>
        <v>Reliability</v>
      </c>
      <c r="C923" s="351"/>
      <c r="D923" s="351"/>
      <c r="E923" s="352"/>
      <c r="F923" s="157" t="str">
        <f>IF(Settings!$M$4=Settings!$Y$3,IF($AA923=1,"P",""),IF($AA923=1,"P",""))</f>
        <v/>
      </c>
      <c r="G923" s="158" t="str">
        <f>IF(Settings!$M$4=Settings!$Y$3,IF($AA923=1,"P",""),IF($AA923=2,"P",""))</f>
        <v/>
      </c>
      <c r="H923" s="158" t="str">
        <f>IF(Settings!$M$4=Settings!$Y$3,IF($AA923=1,"P",""),IF($AA923=3,"P",""))</f>
        <v/>
      </c>
      <c r="I923" s="158" t="str">
        <f>IF(Settings!$M$4=Settings!$Y$3,IF($AA923=1,"P",""),IF($AA923=4,"P",""))</f>
        <v/>
      </c>
      <c r="J923" s="158" t="str">
        <f>IF(Settings!$M$4=Settings!$Y$3,IF($AA923=2,"P",""),IF($AA923=5,"P",""))</f>
        <v/>
      </c>
      <c r="K923" s="158" t="str">
        <f>IF(Settings!$M$4=Settings!$Y$3,IF($AA923=2,"P",""),IF($AA923=6,"P",""))</f>
        <v/>
      </c>
      <c r="L923" s="158" t="str">
        <f>IF(Settings!$M$4=Settings!$Y$3,IF($AA923=2,"P",""),IF($AA923=7,"P",""))</f>
        <v/>
      </c>
      <c r="M923" s="158" t="str">
        <f>IF(Settings!$M$4=Settings!$Y$3,IF($AA923=2,"P",""),IF($AA923=8,"P",""))</f>
        <v/>
      </c>
      <c r="N923" s="158" t="str">
        <f>IF(Settings!$M$4=Settings!$Y$3,IF($AA923=3,"P",""),IF($AA923=9,"P",""))</f>
        <v/>
      </c>
      <c r="O923" s="159" t="str">
        <f>IF(Settings!$M$4=Settings!$Y$3,IF($AA923=3,"P",""),IF($AA923=10,"P",""))</f>
        <v/>
      </c>
      <c r="P923" s="22"/>
      <c r="Q923" s="22"/>
      <c r="R923" s="353" t="e">
        <f>IF(INDEX(TblDatabase[Comment7],MATCH(1,INDEX(($L$4=ListEmployeeNamesInDatabase)*(C909=TblDatabase[Year]),0,1),0))="","",INDEX(TblDatabase[Comment7],MATCH(1,INDEX(($L$4=ListEmployeeNamesInDatabase)*(C909=TblDatabase[Year]),0,1),0)))</f>
        <v>#N/A</v>
      </c>
      <c r="S923" s="353"/>
      <c r="T923" s="353"/>
      <c r="U923" s="353"/>
      <c r="V923" s="353"/>
      <c r="W923" s="353"/>
      <c r="X923" s="353"/>
      <c r="Y923" s="354"/>
      <c r="Z923" s="149"/>
      <c r="AA923" s="151">
        <f>SUMIFS(TblDatabase[Competency7],ListEmployeeNamesInDatabase,$L$4,TblDatabase[Year],C909)</f>
        <v>0</v>
      </c>
      <c r="AB923" s="149"/>
      <c r="AC923" s="149"/>
      <c r="AD923" s="149"/>
      <c r="AE923" s="149"/>
      <c r="AF923" s="149"/>
    </row>
    <row r="924" spans="2:32" s="148" customFormat="1" ht="15" hidden="1" customHeight="1">
      <c r="B924" s="355" t="str">
        <f t="shared" si="21"/>
        <v>Initiative/Adaptability</v>
      </c>
      <c r="C924" s="356"/>
      <c r="D924" s="356"/>
      <c r="E924" s="357"/>
      <c r="F924" s="163" t="str">
        <f>IF(Settings!$M$4=Settings!$Y$3,IF($AA924=1,"P",""),IF($AA924=1,"P",""))</f>
        <v/>
      </c>
      <c r="G924" s="164" t="str">
        <f>IF(Settings!$M$4=Settings!$Y$3,IF($AA924=1,"P",""),IF($AA924=2,"P",""))</f>
        <v/>
      </c>
      <c r="H924" s="164" t="str">
        <f>IF(Settings!$M$4=Settings!$Y$3,IF($AA924=1,"P",""),IF($AA924=3,"P",""))</f>
        <v/>
      </c>
      <c r="I924" s="164" t="str">
        <f>IF(Settings!$M$4=Settings!$Y$3,IF($AA924=1,"P",""),IF($AA924=4,"P",""))</f>
        <v/>
      </c>
      <c r="J924" s="164" t="str">
        <f>IF(Settings!$M$4=Settings!$Y$3,IF($AA924=2,"P",""),IF($AA924=5,"P",""))</f>
        <v/>
      </c>
      <c r="K924" s="164" t="str">
        <f>IF(Settings!$M$4=Settings!$Y$3,IF($AA924=2,"P",""),IF($AA924=6,"P",""))</f>
        <v/>
      </c>
      <c r="L924" s="164" t="str">
        <f>IF(Settings!$M$4=Settings!$Y$3,IF($AA924=2,"P",""),IF($AA924=7,"P",""))</f>
        <v/>
      </c>
      <c r="M924" s="164" t="str">
        <f>IF(Settings!$M$4=Settings!$Y$3,IF($AA924=2,"P",""),IF($AA924=8,"P",""))</f>
        <v/>
      </c>
      <c r="N924" s="164" t="str">
        <f>IF(Settings!$M$4=Settings!$Y$3,IF($AA924=3,"P",""),IF($AA924=9,"P",""))</f>
        <v/>
      </c>
      <c r="O924" s="165" t="str">
        <f>IF(Settings!$M$4=Settings!$Y$3,IF($AA924=3,"P",""),IF($AA924=10,"P",""))</f>
        <v/>
      </c>
      <c r="P924" s="22"/>
      <c r="Q924" s="22"/>
      <c r="R924" s="360" t="e">
        <f>IF(INDEX(TblDatabase[Comment8],MATCH(1,INDEX(($L$4=ListEmployeeNamesInDatabase)*(C909=TblDatabase[Year]),0,1),0))="","",INDEX(TblDatabase[Comment8],MATCH(1,INDEX(($L$4=ListEmployeeNamesInDatabase)*(C909=TblDatabase[Year]),0,1),0)))</f>
        <v>#N/A</v>
      </c>
      <c r="S924" s="360"/>
      <c r="T924" s="360"/>
      <c r="U924" s="360"/>
      <c r="V924" s="360"/>
      <c r="W924" s="360"/>
      <c r="X924" s="360"/>
      <c r="Y924" s="361"/>
      <c r="Z924" s="149"/>
      <c r="AA924" s="151">
        <f>SUMIFS(TblDatabase[Competency8],ListEmployeeNamesInDatabase,$L$4,TblDatabase[Year],C909)</f>
        <v>0</v>
      </c>
      <c r="AB924" s="149"/>
      <c r="AC924" s="149"/>
      <c r="AD924" s="149"/>
      <c r="AE924" s="149"/>
      <c r="AF924" s="149"/>
    </row>
    <row r="925" spans="2:32" s="148" customFormat="1" ht="15" hidden="1" customHeight="1">
      <c r="B925" s="350" t="str">
        <f t="shared" si="21"/>
        <v/>
      </c>
      <c r="C925" s="351"/>
      <c r="D925" s="351"/>
      <c r="E925" s="352"/>
      <c r="F925" s="157" t="str">
        <f>IF(Settings!$M$4=Settings!$Y$3,IF($AA925=1,"P",""),IF($AA925=1,"P",""))</f>
        <v/>
      </c>
      <c r="G925" s="158" t="str">
        <f>IF(Settings!$M$4=Settings!$Y$3,IF($AA925=1,"P",""),IF($AA925=2,"P",""))</f>
        <v/>
      </c>
      <c r="H925" s="158" t="str">
        <f>IF(Settings!$M$4=Settings!$Y$3,IF($AA925=1,"P",""),IF($AA925=3,"P",""))</f>
        <v/>
      </c>
      <c r="I925" s="158" t="str">
        <f>IF(Settings!$M$4=Settings!$Y$3,IF($AA925=1,"P",""),IF($AA925=4,"P",""))</f>
        <v/>
      </c>
      <c r="J925" s="158" t="str">
        <f>IF(Settings!$M$4=Settings!$Y$3,IF($AA925=2,"P",""),IF($AA925=5,"P",""))</f>
        <v/>
      </c>
      <c r="K925" s="158" t="str">
        <f>IF(Settings!$M$4=Settings!$Y$3,IF($AA925=2,"P",""),IF($AA925=6,"P",""))</f>
        <v/>
      </c>
      <c r="L925" s="158" t="str">
        <f>IF(Settings!$M$4=Settings!$Y$3,IF($AA925=2,"P",""),IF($AA925=7,"P",""))</f>
        <v/>
      </c>
      <c r="M925" s="158" t="str">
        <f>IF(Settings!$M$4=Settings!$Y$3,IF($AA925=2,"P",""),IF($AA925=8,"P",""))</f>
        <v/>
      </c>
      <c r="N925" s="158" t="str">
        <f>IF(Settings!$M$4=Settings!$Y$3,IF($AA925=3,"P",""),IF($AA925=9,"P",""))</f>
        <v/>
      </c>
      <c r="O925" s="159" t="str">
        <f>IF(Settings!$M$4=Settings!$Y$3,IF($AA925=3,"P",""),IF($AA925=10,"P",""))</f>
        <v/>
      </c>
      <c r="P925" s="22"/>
      <c r="Q925" s="22"/>
      <c r="R925" s="353" t="e">
        <f>IF(INDEX(TblDatabase[Comment9],MATCH(1,INDEX(($L$4=ListEmployeeNamesInDatabase)*(C909=TblDatabase[Year]),0,1),0))="","",INDEX(TblDatabase[Comment9],MATCH(1,INDEX(($L$4=ListEmployeeNamesInDatabase)*(C909=TblDatabase[Year]),0,1),0)))</f>
        <v>#N/A</v>
      </c>
      <c r="S925" s="353"/>
      <c r="T925" s="353"/>
      <c r="U925" s="353"/>
      <c r="V925" s="353"/>
      <c r="W925" s="353"/>
      <c r="X925" s="353"/>
      <c r="Y925" s="354"/>
      <c r="Z925" s="149"/>
      <c r="AA925" s="151">
        <f>SUMIFS(TblDatabase[Competency9],ListEmployeeNamesInDatabase,$L$4,TblDatabase[Year],C909)</f>
        <v>0</v>
      </c>
      <c r="AB925" s="149"/>
      <c r="AC925" s="149"/>
      <c r="AD925" s="149"/>
      <c r="AE925" s="149"/>
      <c r="AF925" s="149"/>
    </row>
    <row r="926" spans="2:32" s="148" customFormat="1" ht="15" hidden="1" customHeight="1">
      <c r="B926" s="355" t="str">
        <f t="shared" si="21"/>
        <v/>
      </c>
      <c r="C926" s="356"/>
      <c r="D926" s="356"/>
      <c r="E926" s="357"/>
      <c r="F926" s="163" t="str">
        <f>IF(Settings!$M$4=Settings!$Y$3,IF($AA926=1,"P",""),IF($AA926=1,"P",""))</f>
        <v/>
      </c>
      <c r="G926" s="164" t="str">
        <f>IF(Settings!$M$4=Settings!$Y$3,IF($AA926=1,"P",""),IF($AA926=2,"P",""))</f>
        <v/>
      </c>
      <c r="H926" s="164" t="str">
        <f>IF(Settings!$M$4=Settings!$Y$3,IF($AA926=1,"P",""),IF($AA926=3,"P",""))</f>
        <v/>
      </c>
      <c r="I926" s="164" t="str">
        <f>IF(Settings!$M$4=Settings!$Y$3,IF($AA926=1,"P",""),IF($AA926=4,"P",""))</f>
        <v/>
      </c>
      <c r="J926" s="164" t="str">
        <f>IF(Settings!$M$4=Settings!$Y$3,IF($AA926=2,"P",""),IF($AA926=5,"P",""))</f>
        <v/>
      </c>
      <c r="K926" s="164" t="str">
        <f>IF(Settings!$M$4=Settings!$Y$3,IF($AA926=2,"P",""),IF($AA926=6,"P",""))</f>
        <v/>
      </c>
      <c r="L926" s="164" t="str">
        <f>IF(Settings!$M$4=Settings!$Y$3,IF($AA926=2,"P",""),IF($AA926=7,"P",""))</f>
        <v/>
      </c>
      <c r="M926" s="164" t="str">
        <f>IF(Settings!$M$4=Settings!$Y$3,IF($AA926=2,"P",""),IF($AA926=8,"P",""))</f>
        <v/>
      </c>
      <c r="N926" s="164" t="str">
        <f>IF(Settings!$M$4=Settings!$Y$3,IF($AA926=3,"P",""),IF($AA926=9,"P",""))</f>
        <v/>
      </c>
      <c r="O926" s="165" t="str">
        <f>IF(Settings!$M$4=Settings!$Y$3,IF($AA926=3,"P",""),IF($AA926=10,"P",""))</f>
        <v/>
      </c>
      <c r="P926" s="22"/>
      <c r="Q926" s="22"/>
      <c r="R926" s="360" t="e">
        <f>IF(INDEX(TblDatabase[Comment10],MATCH(1,INDEX(($L$4=ListEmployeeNamesInDatabase)*(C909=TblDatabase[Year]),0,1),0))="","",INDEX(TblDatabase[Comment10],MATCH(1,INDEX(($L$4=ListEmployeeNamesInDatabase)*(C909=TblDatabase[Year]),0,1),0)))</f>
        <v>#N/A</v>
      </c>
      <c r="S926" s="360"/>
      <c r="T926" s="360"/>
      <c r="U926" s="360"/>
      <c r="V926" s="360"/>
      <c r="W926" s="360"/>
      <c r="X926" s="360"/>
      <c r="Y926" s="361"/>
      <c r="Z926" s="149"/>
      <c r="AA926" s="151">
        <f>SUMIFS(TblDatabase[Competency10],ListEmployeeNamesInDatabase,$L$4,TblDatabase[Year],C909)</f>
        <v>0</v>
      </c>
      <c r="AB926" s="149"/>
      <c r="AC926" s="149"/>
      <c r="AD926" s="149"/>
      <c r="AE926" s="149"/>
      <c r="AF926" s="149"/>
    </row>
    <row r="927" spans="2:32" s="148" customFormat="1" ht="15" hidden="1" customHeight="1">
      <c r="B927" s="350" t="str">
        <f t="shared" si="21"/>
        <v/>
      </c>
      <c r="C927" s="351"/>
      <c r="D927" s="351"/>
      <c r="E927" s="352"/>
      <c r="F927" s="157" t="str">
        <f>IF(Settings!$M$4=Settings!$Y$3,IF($AA927=1,"P",""),IF($AA927=1,"P",""))</f>
        <v/>
      </c>
      <c r="G927" s="158" t="str">
        <f>IF(Settings!$M$4=Settings!$Y$3,IF($AA927=1,"P",""),IF($AA927=2,"P",""))</f>
        <v/>
      </c>
      <c r="H927" s="158" t="str">
        <f>IF(Settings!$M$4=Settings!$Y$3,IF($AA927=1,"P",""),IF($AA927=3,"P",""))</f>
        <v/>
      </c>
      <c r="I927" s="158" t="str">
        <f>IF(Settings!$M$4=Settings!$Y$3,IF($AA927=1,"P",""),IF($AA927=4,"P",""))</f>
        <v/>
      </c>
      <c r="J927" s="158" t="str">
        <f>IF(Settings!$M$4=Settings!$Y$3,IF($AA927=2,"P",""),IF($AA927=5,"P",""))</f>
        <v/>
      </c>
      <c r="K927" s="158" t="str">
        <f>IF(Settings!$M$4=Settings!$Y$3,IF($AA927=2,"P",""),IF($AA927=6,"P",""))</f>
        <v/>
      </c>
      <c r="L927" s="158" t="str">
        <f>IF(Settings!$M$4=Settings!$Y$3,IF($AA927=2,"P",""),IF($AA927=7,"P",""))</f>
        <v/>
      </c>
      <c r="M927" s="158" t="str">
        <f>IF(Settings!$M$4=Settings!$Y$3,IF($AA927=2,"P",""),IF($AA927=8,"P",""))</f>
        <v/>
      </c>
      <c r="N927" s="158" t="str">
        <f>IF(Settings!$M$4=Settings!$Y$3,IF($AA927=3,"P",""),IF($AA927=9,"P",""))</f>
        <v/>
      </c>
      <c r="O927" s="159" t="str">
        <f>IF(Settings!$M$4=Settings!$Y$3,IF($AA927=3,"P",""),IF($AA927=10,"P",""))</f>
        <v/>
      </c>
      <c r="P927" s="22"/>
      <c r="Q927" s="22"/>
      <c r="R927" s="353" t="e">
        <f>IF(INDEX(TblDatabase[Comment11],MATCH(1,INDEX(($L$4=ListEmployeeNamesInDatabase)*(C909=TblDatabase[Year]),0,1),0))="","",INDEX(TblDatabase[Comment11],MATCH(1,INDEX(($L$4=ListEmployeeNamesInDatabase)*(C909=TblDatabase[Year]),0,1),0)))</f>
        <v>#N/A</v>
      </c>
      <c r="S927" s="353"/>
      <c r="T927" s="353"/>
      <c r="U927" s="353"/>
      <c r="V927" s="353"/>
      <c r="W927" s="353"/>
      <c r="X927" s="353"/>
      <c r="Y927" s="354"/>
      <c r="Z927" s="149"/>
      <c r="AA927" s="151">
        <f>SUMIFS(TblDatabase[Competency11],ListEmployeeNamesInDatabase,$L$4,TblDatabase[Year],C909)</f>
        <v>0</v>
      </c>
      <c r="AB927" s="149"/>
      <c r="AC927" s="149"/>
      <c r="AD927" s="149"/>
      <c r="AE927" s="149"/>
      <c r="AF927" s="149"/>
    </row>
    <row r="928" spans="2:32" s="148" customFormat="1" ht="15" hidden="1" customHeight="1">
      <c r="B928" s="355" t="str">
        <f t="shared" si="21"/>
        <v/>
      </c>
      <c r="C928" s="356"/>
      <c r="D928" s="356"/>
      <c r="E928" s="357"/>
      <c r="F928" s="163" t="str">
        <f>IF(Settings!$M$4=Settings!$Y$3,IF($AA928=1,"P",""),IF($AA928=1,"P",""))</f>
        <v/>
      </c>
      <c r="G928" s="164" t="str">
        <f>IF(Settings!$M$4=Settings!$Y$3,IF($AA928=1,"P",""),IF($AA928=2,"P",""))</f>
        <v/>
      </c>
      <c r="H928" s="164" t="str">
        <f>IF(Settings!$M$4=Settings!$Y$3,IF($AA928=1,"P",""),IF($AA928=3,"P",""))</f>
        <v/>
      </c>
      <c r="I928" s="164" t="str">
        <f>IF(Settings!$M$4=Settings!$Y$3,IF($AA928=1,"P",""),IF($AA928=4,"P",""))</f>
        <v/>
      </c>
      <c r="J928" s="164" t="str">
        <f>IF(Settings!$M$4=Settings!$Y$3,IF($AA928=2,"P",""),IF($AA928=5,"P",""))</f>
        <v/>
      </c>
      <c r="K928" s="164" t="str">
        <f>IF(Settings!$M$4=Settings!$Y$3,IF($AA928=2,"P",""),IF($AA928=6,"P",""))</f>
        <v/>
      </c>
      <c r="L928" s="164" t="str">
        <f>IF(Settings!$M$4=Settings!$Y$3,IF($AA928=2,"P",""),IF($AA928=7,"P",""))</f>
        <v/>
      </c>
      <c r="M928" s="164" t="str">
        <f>IF(Settings!$M$4=Settings!$Y$3,IF($AA928=2,"P",""),IF($AA928=8,"P",""))</f>
        <v/>
      </c>
      <c r="N928" s="164" t="str">
        <f>IF(Settings!$M$4=Settings!$Y$3,IF($AA928=3,"P",""),IF($AA928=9,"P",""))</f>
        <v/>
      </c>
      <c r="O928" s="165" t="str">
        <f>IF(Settings!$M$4=Settings!$Y$3,IF($AA928=3,"P",""),IF($AA928=10,"P",""))</f>
        <v/>
      </c>
      <c r="P928" s="22"/>
      <c r="Q928" s="22"/>
      <c r="R928" s="360" t="e">
        <f>IF(INDEX(TblDatabase[Comment12],MATCH(1,INDEX(($L$4=ListEmployeeNamesInDatabase)*(C909=TblDatabase[Year]),0,1),0))="","",INDEX(TblDatabase[Comment12],MATCH(1,INDEX(($L$4=ListEmployeeNamesInDatabase)*(C909=TblDatabase[Year]),0,1),0)))</f>
        <v>#N/A</v>
      </c>
      <c r="S928" s="360"/>
      <c r="T928" s="360"/>
      <c r="U928" s="360"/>
      <c r="V928" s="360"/>
      <c r="W928" s="360"/>
      <c r="X928" s="360"/>
      <c r="Y928" s="361"/>
      <c r="Z928" s="149"/>
      <c r="AA928" s="151">
        <f>SUMIFS(TblDatabase[Competency12],ListEmployeeNamesInDatabase,$L$4,TblDatabase[Year],C909)</f>
        <v>0</v>
      </c>
      <c r="AB928" s="149"/>
      <c r="AC928" s="149"/>
      <c r="AD928" s="149"/>
      <c r="AE928" s="149"/>
      <c r="AF928" s="149"/>
    </row>
    <row r="929" spans="2:32" s="148" customFormat="1" ht="15" hidden="1" customHeight="1">
      <c r="B929" s="350" t="str">
        <f t="shared" si="21"/>
        <v/>
      </c>
      <c r="C929" s="351"/>
      <c r="D929" s="351"/>
      <c r="E929" s="352"/>
      <c r="F929" s="157" t="str">
        <f>IF(Settings!$M$4=Settings!$Y$3,IF($AA929=1,"P",""),IF($AA929=1,"P",""))</f>
        <v/>
      </c>
      <c r="G929" s="158" t="str">
        <f>IF(Settings!$M$4=Settings!$Y$3,IF($AA929=1,"P",""),IF($AA929=2,"P",""))</f>
        <v/>
      </c>
      <c r="H929" s="158" t="str">
        <f>IF(Settings!$M$4=Settings!$Y$3,IF($AA929=1,"P",""),IF($AA929=3,"P",""))</f>
        <v/>
      </c>
      <c r="I929" s="158" t="str">
        <f>IF(Settings!$M$4=Settings!$Y$3,IF($AA929=1,"P",""),IF($AA929=4,"P",""))</f>
        <v/>
      </c>
      <c r="J929" s="158" t="str">
        <f>IF(Settings!$M$4=Settings!$Y$3,IF($AA929=2,"P",""),IF($AA929=5,"P",""))</f>
        <v/>
      </c>
      <c r="K929" s="158" t="str">
        <f>IF(Settings!$M$4=Settings!$Y$3,IF($AA929=2,"P",""),IF($AA929=6,"P",""))</f>
        <v/>
      </c>
      <c r="L929" s="158" t="str">
        <f>IF(Settings!$M$4=Settings!$Y$3,IF($AA929=2,"P",""),IF($AA929=7,"P",""))</f>
        <v/>
      </c>
      <c r="M929" s="158" t="str">
        <f>IF(Settings!$M$4=Settings!$Y$3,IF($AA929=2,"P",""),IF($AA929=8,"P",""))</f>
        <v/>
      </c>
      <c r="N929" s="158" t="str">
        <f>IF(Settings!$M$4=Settings!$Y$3,IF($AA929=3,"P",""),IF($AA929=9,"P",""))</f>
        <v/>
      </c>
      <c r="O929" s="159" t="str">
        <f>IF(Settings!$M$4=Settings!$Y$3,IF($AA929=3,"P",""),IF($AA929=10,"P",""))</f>
        <v/>
      </c>
      <c r="P929" s="22"/>
      <c r="Q929" s="22"/>
      <c r="R929" s="353" t="e">
        <f>IF(INDEX(TblDatabase[Comment13],MATCH(1,INDEX(($L$4=ListEmployeeNamesInDatabase)*(C909=TblDatabase[Year]),0,1),0))="","",INDEX(TblDatabase[Comment13],MATCH(1,INDEX(($L$4=ListEmployeeNamesInDatabase)*(C909=TblDatabase[Year]),0,1),0)))</f>
        <v>#N/A</v>
      </c>
      <c r="S929" s="353"/>
      <c r="T929" s="353"/>
      <c r="U929" s="353"/>
      <c r="V929" s="353"/>
      <c r="W929" s="353"/>
      <c r="X929" s="353"/>
      <c r="Y929" s="354"/>
      <c r="Z929" s="149"/>
      <c r="AA929" s="151">
        <f>SUMIFS(TblDatabase[Competency13],ListEmployeeNamesInDatabase,$L$4,TblDatabase[Year],C909)</f>
        <v>0</v>
      </c>
      <c r="AB929" s="149"/>
      <c r="AC929" s="149"/>
      <c r="AD929" s="149"/>
      <c r="AE929" s="149"/>
      <c r="AF929" s="149"/>
    </row>
    <row r="930" spans="2:32" s="148" customFormat="1" ht="15" hidden="1" customHeight="1">
      <c r="B930" s="355" t="str">
        <f t="shared" si="21"/>
        <v/>
      </c>
      <c r="C930" s="356"/>
      <c r="D930" s="356"/>
      <c r="E930" s="357"/>
      <c r="F930" s="163" t="str">
        <f>IF(Settings!$M$4=Settings!$Y$3,IF($AA930=1,"P",""),IF($AA930=1,"P",""))</f>
        <v/>
      </c>
      <c r="G930" s="164" t="str">
        <f>IF(Settings!$M$4=Settings!$Y$3,IF($AA930=1,"P",""),IF($AA930=2,"P",""))</f>
        <v/>
      </c>
      <c r="H930" s="164" t="str">
        <f>IF(Settings!$M$4=Settings!$Y$3,IF($AA930=1,"P",""),IF($AA930=3,"P",""))</f>
        <v/>
      </c>
      <c r="I930" s="164" t="str">
        <f>IF(Settings!$M$4=Settings!$Y$3,IF($AA930=1,"P",""),IF($AA930=4,"P",""))</f>
        <v/>
      </c>
      <c r="J930" s="164" t="str">
        <f>IF(Settings!$M$4=Settings!$Y$3,IF($AA930=2,"P",""),IF($AA930=5,"P",""))</f>
        <v/>
      </c>
      <c r="K930" s="164" t="str">
        <f>IF(Settings!$M$4=Settings!$Y$3,IF($AA930=2,"P",""),IF($AA930=6,"P",""))</f>
        <v/>
      </c>
      <c r="L930" s="164" t="str">
        <f>IF(Settings!$M$4=Settings!$Y$3,IF($AA930=2,"P",""),IF($AA930=7,"P",""))</f>
        <v/>
      </c>
      <c r="M930" s="164" t="str">
        <f>IF(Settings!$M$4=Settings!$Y$3,IF($AA930=2,"P",""),IF($AA930=8,"P",""))</f>
        <v/>
      </c>
      <c r="N930" s="164" t="str">
        <f>IF(Settings!$M$4=Settings!$Y$3,IF($AA930=3,"P",""),IF($AA930=9,"P",""))</f>
        <v/>
      </c>
      <c r="O930" s="165" t="str">
        <f>IF(Settings!$M$4=Settings!$Y$3,IF($AA930=3,"P",""),IF($AA930=10,"P",""))</f>
        <v/>
      </c>
      <c r="P930" s="22"/>
      <c r="Q930" s="22"/>
      <c r="R930" s="360" t="e">
        <f>IF(INDEX(TblDatabase[Comment14],MATCH(1,INDEX(($L$4=ListEmployeeNamesInDatabase)*(C909=TblDatabase[Year]),0,1),0))="","",INDEX(TblDatabase[Comment14],MATCH(1,INDEX(($L$4=ListEmployeeNamesInDatabase)*(C909=TblDatabase[Year]),0,1),0)))</f>
        <v>#N/A</v>
      </c>
      <c r="S930" s="360"/>
      <c r="T930" s="360"/>
      <c r="U930" s="360"/>
      <c r="V930" s="360"/>
      <c r="W930" s="360"/>
      <c r="X930" s="360"/>
      <c r="Y930" s="361"/>
      <c r="Z930" s="149"/>
      <c r="AA930" s="151">
        <f>SUMIFS(TblDatabase[Competency14],ListEmployeeNamesInDatabase,$L$4,TblDatabase[Year],C909)</f>
        <v>0</v>
      </c>
      <c r="AB930" s="149"/>
      <c r="AC930" s="149"/>
      <c r="AD930" s="149"/>
      <c r="AE930" s="149"/>
      <c r="AF930" s="149"/>
    </row>
    <row r="931" spans="2:32" s="148" customFormat="1" ht="15" hidden="1" customHeight="1">
      <c r="B931" s="350" t="str">
        <f t="shared" si="21"/>
        <v/>
      </c>
      <c r="C931" s="351"/>
      <c r="D931" s="351"/>
      <c r="E931" s="352"/>
      <c r="F931" s="157" t="str">
        <f>IF(Settings!$M$4=Settings!$Y$3,IF($AA931=1,"P",""),IF($AA931=1,"P",""))</f>
        <v/>
      </c>
      <c r="G931" s="158" t="str">
        <f>IF(Settings!$M$4=Settings!$Y$3,IF($AA931=1,"P",""),IF($AA931=2,"P",""))</f>
        <v/>
      </c>
      <c r="H931" s="158" t="str">
        <f>IF(Settings!$M$4=Settings!$Y$3,IF($AA931=1,"P",""),IF($AA931=3,"P",""))</f>
        <v/>
      </c>
      <c r="I931" s="158" t="str">
        <f>IF(Settings!$M$4=Settings!$Y$3,IF($AA931=1,"P",""),IF($AA931=4,"P",""))</f>
        <v/>
      </c>
      <c r="J931" s="158" t="str">
        <f>IF(Settings!$M$4=Settings!$Y$3,IF($AA931=2,"P",""),IF($AA931=5,"P",""))</f>
        <v/>
      </c>
      <c r="K931" s="158" t="str">
        <f>IF(Settings!$M$4=Settings!$Y$3,IF($AA931=2,"P",""),IF($AA931=6,"P",""))</f>
        <v/>
      </c>
      <c r="L931" s="158" t="str">
        <f>IF(Settings!$M$4=Settings!$Y$3,IF($AA931=2,"P",""),IF($AA931=7,"P",""))</f>
        <v/>
      </c>
      <c r="M931" s="158" t="str">
        <f>IF(Settings!$M$4=Settings!$Y$3,IF($AA931=2,"P",""),IF($AA931=8,"P",""))</f>
        <v/>
      </c>
      <c r="N931" s="158" t="str">
        <f>IF(Settings!$M$4=Settings!$Y$3,IF($AA931=3,"P",""),IF($AA931=9,"P",""))</f>
        <v/>
      </c>
      <c r="O931" s="159" t="str">
        <f>IF(Settings!$M$4=Settings!$Y$3,IF($AA931=3,"P",""),IF($AA931=10,"P",""))</f>
        <v/>
      </c>
      <c r="P931" s="22"/>
      <c r="Q931" s="22"/>
      <c r="R931" s="353" t="e">
        <f>IF(INDEX(TblDatabase[Comment15],MATCH(1,INDEX(($L$4=ListEmployeeNamesInDatabase)*(C909=TblDatabase[Year]),0,1),0))="","",INDEX(TblDatabase[Comment15],MATCH(1,INDEX(($L$4=ListEmployeeNamesInDatabase)*(C909=TblDatabase[Year]),0,1),0)))</f>
        <v>#N/A</v>
      </c>
      <c r="S931" s="353"/>
      <c r="T931" s="353"/>
      <c r="U931" s="353"/>
      <c r="V931" s="353"/>
      <c r="W931" s="353"/>
      <c r="X931" s="353"/>
      <c r="Y931" s="354"/>
      <c r="Z931" s="149"/>
      <c r="AA931" s="151">
        <f>SUMIFS(TblDatabase[Competency15],ListEmployeeNamesInDatabase,$L$4,TblDatabase[Year],C909)</f>
        <v>0</v>
      </c>
      <c r="AB931" s="149"/>
      <c r="AC931" s="149"/>
      <c r="AD931" s="149"/>
      <c r="AE931" s="149"/>
      <c r="AF931" s="149"/>
    </row>
    <row r="932" spans="2:32" s="148" customFormat="1" ht="15" hidden="1" customHeight="1">
      <c r="B932" s="355" t="str">
        <f t="shared" si="21"/>
        <v/>
      </c>
      <c r="C932" s="356"/>
      <c r="D932" s="356"/>
      <c r="E932" s="357"/>
      <c r="F932" s="163" t="str">
        <f>IF(Settings!$M$4=Settings!$Y$3,IF($AA932=1,"P",""),IF($AA932=1,"P",""))</f>
        <v/>
      </c>
      <c r="G932" s="164" t="str">
        <f>IF(Settings!$M$4=Settings!$Y$3,IF($AA932=1,"P",""),IF($AA932=2,"P",""))</f>
        <v/>
      </c>
      <c r="H932" s="164" t="str">
        <f>IF(Settings!$M$4=Settings!$Y$3,IF($AA932=1,"P",""),IF($AA932=3,"P",""))</f>
        <v/>
      </c>
      <c r="I932" s="164" t="str">
        <f>IF(Settings!$M$4=Settings!$Y$3,IF($AA932=1,"P",""),IF($AA932=4,"P",""))</f>
        <v/>
      </c>
      <c r="J932" s="164" t="str">
        <f>IF(Settings!$M$4=Settings!$Y$3,IF($AA932=2,"P",""),IF($AA932=5,"P",""))</f>
        <v/>
      </c>
      <c r="K932" s="164" t="str">
        <f>IF(Settings!$M$4=Settings!$Y$3,IF($AA932=2,"P",""),IF($AA932=6,"P",""))</f>
        <v/>
      </c>
      <c r="L932" s="164" t="str">
        <f>IF(Settings!$M$4=Settings!$Y$3,IF($AA932=2,"P",""),IF($AA932=7,"P",""))</f>
        <v/>
      </c>
      <c r="M932" s="164" t="str">
        <f>IF(Settings!$M$4=Settings!$Y$3,IF($AA932=2,"P",""),IF($AA932=8,"P",""))</f>
        <v/>
      </c>
      <c r="N932" s="164" t="str">
        <f>IF(Settings!$M$4=Settings!$Y$3,IF($AA932=3,"P",""),IF($AA932=9,"P",""))</f>
        <v/>
      </c>
      <c r="O932" s="165" t="str">
        <f>IF(Settings!$M$4=Settings!$Y$3,IF($AA932=3,"P",""),IF($AA932=10,"P",""))</f>
        <v/>
      </c>
      <c r="P932" s="22"/>
      <c r="Q932" s="22"/>
      <c r="R932" s="360" t="e">
        <f>IF(INDEX(TblDatabase[Comment16],MATCH(1,INDEX(($L$4=ListEmployeeNamesInDatabase)*(C909=TblDatabase[Year]),0,1),0))="","",INDEX(TblDatabase[Comment16],MATCH(1,INDEX(($L$4=ListEmployeeNamesInDatabase)*(C909=TblDatabase[Year]),0,1),0)))</f>
        <v>#N/A</v>
      </c>
      <c r="S932" s="360"/>
      <c r="T932" s="360"/>
      <c r="U932" s="360"/>
      <c r="V932" s="360"/>
      <c r="W932" s="360"/>
      <c r="X932" s="360"/>
      <c r="Y932" s="361"/>
      <c r="Z932" s="149"/>
      <c r="AA932" s="151">
        <f>SUMIFS(TblDatabase[Competency16],ListEmployeeNamesInDatabase,$L$4,TblDatabase[Year],C909)</f>
        <v>0</v>
      </c>
      <c r="AB932" s="149"/>
      <c r="AC932" s="149"/>
      <c r="AD932" s="149"/>
      <c r="AE932" s="149"/>
      <c r="AF932" s="149"/>
    </row>
    <row r="933" spans="2:32" s="148" customFormat="1" ht="15" hidden="1" customHeight="1">
      <c r="B933" s="350" t="str">
        <f t="shared" si="21"/>
        <v/>
      </c>
      <c r="C933" s="351"/>
      <c r="D933" s="351"/>
      <c r="E933" s="352"/>
      <c r="F933" s="157" t="str">
        <f>IF(Settings!$M$4=Settings!$Y$3,IF($AA933=1,"P",""),IF($AA933=1,"P",""))</f>
        <v/>
      </c>
      <c r="G933" s="158" t="str">
        <f>IF(Settings!$M$4=Settings!$Y$3,IF($AA933=1,"P",""),IF($AA933=2,"P",""))</f>
        <v/>
      </c>
      <c r="H933" s="158" t="str">
        <f>IF(Settings!$M$4=Settings!$Y$3,IF($AA933=1,"P",""),IF($AA933=3,"P",""))</f>
        <v/>
      </c>
      <c r="I933" s="158" t="str">
        <f>IF(Settings!$M$4=Settings!$Y$3,IF($AA933=1,"P",""),IF($AA933=4,"P",""))</f>
        <v/>
      </c>
      <c r="J933" s="158" t="str">
        <f>IF(Settings!$M$4=Settings!$Y$3,IF($AA933=2,"P",""),IF($AA933=5,"P",""))</f>
        <v/>
      </c>
      <c r="K933" s="158" t="str">
        <f>IF(Settings!$M$4=Settings!$Y$3,IF($AA933=2,"P",""),IF($AA933=6,"P",""))</f>
        <v/>
      </c>
      <c r="L933" s="158" t="str">
        <f>IF(Settings!$M$4=Settings!$Y$3,IF($AA933=2,"P",""),IF($AA933=7,"P",""))</f>
        <v/>
      </c>
      <c r="M933" s="158" t="str">
        <f>IF(Settings!$M$4=Settings!$Y$3,IF($AA933=2,"P",""),IF($AA933=8,"P",""))</f>
        <v/>
      </c>
      <c r="N933" s="158" t="str">
        <f>IF(Settings!$M$4=Settings!$Y$3,IF($AA933=3,"P",""),IF($AA933=9,"P",""))</f>
        <v/>
      </c>
      <c r="O933" s="159" t="str">
        <f>IF(Settings!$M$4=Settings!$Y$3,IF($AA933=3,"P",""),IF($AA933=10,"P",""))</f>
        <v/>
      </c>
      <c r="P933" s="22"/>
      <c r="Q933" s="22"/>
      <c r="R933" s="353" t="e">
        <f>IF(INDEX(TblDatabase[Comment17],MATCH(1,INDEX(($L$4=ListEmployeeNamesInDatabase)*(C909=TblDatabase[Year]),0,1),0))="","",INDEX(TblDatabase[Comment17],MATCH(1,INDEX(($L$4=ListEmployeeNamesInDatabase)*(C909=TblDatabase[Year]),0,1),0)))</f>
        <v>#N/A</v>
      </c>
      <c r="S933" s="353"/>
      <c r="T933" s="353"/>
      <c r="U933" s="353"/>
      <c r="V933" s="353"/>
      <c r="W933" s="353"/>
      <c r="X933" s="353"/>
      <c r="Y933" s="354"/>
      <c r="Z933" s="149"/>
      <c r="AA933" s="151">
        <f>SUMIFS(TblDatabase[Competency17],ListEmployeeNamesInDatabase,$L$4,TblDatabase[Year],C909)</f>
        <v>0</v>
      </c>
      <c r="AB933" s="149"/>
      <c r="AC933" s="149"/>
      <c r="AD933" s="149"/>
      <c r="AE933" s="149"/>
      <c r="AF933" s="149"/>
    </row>
    <row r="934" spans="2:32" s="148" customFormat="1" ht="15" hidden="1" customHeight="1">
      <c r="B934" s="355" t="str">
        <f t="shared" si="21"/>
        <v/>
      </c>
      <c r="C934" s="356"/>
      <c r="D934" s="356"/>
      <c r="E934" s="357"/>
      <c r="F934" s="163" t="str">
        <f>IF(Settings!$M$4=Settings!$Y$3,IF($AA934=1,"P",""),IF($AA934=1,"P",""))</f>
        <v/>
      </c>
      <c r="G934" s="164" t="str">
        <f>IF(Settings!$M$4=Settings!$Y$3,IF($AA934=1,"P",""),IF($AA934=2,"P",""))</f>
        <v/>
      </c>
      <c r="H934" s="164" t="str">
        <f>IF(Settings!$M$4=Settings!$Y$3,IF($AA934=1,"P",""),IF($AA934=3,"P",""))</f>
        <v/>
      </c>
      <c r="I934" s="164" t="str">
        <f>IF(Settings!$M$4=Settings!$Y$3,IF($AA934=1,"P",""),IF($AA934=4,"P",""))</f>
        <v/>
      </c>
      <c r="J934" s="164" t="str">
        <f>IF(Settings!$M$4=Settings!$Y$3,IF($AA934=2,"P",""),IF($AA934=5,"P",""))</f>
        <v/>
      </c>
      <c r="K934" s="164" t="str">
        <f>IF(Settings!$M$4=Settings!$Y$3,IF($AA934=2,"P",""),IF($AA934=6,"P",""))</f>
        <v/>
      </c>
      <c r="L934" s="164" t="str">
        <f>IF(Settings!$M$4=Settings!$Y$3,IF($AA934=2,"P",""),IF($AA934=7,"P",""))</f>
        <v/>
      </c>
      <c r="M934" s="164" t="str">
        <f>IF(Settings!$M$4=Settings!$Y$3,IF($AA934=2,"P",""),IF($AA934=8,"P",""))</f>
        <v/>
      </c>
      <c r="N934" s="164" t="str">
        <f>IF(Settings!$M$4=Settings!$Y$3,IF($AA934=3,"P",""),IF($AA934=9,"P",""))</f>
        <v/>
      </c>
      <c r="O934" s="165" t="str">
        <f>IF(Settings!$M$4=Settings!$Y$3,IF($AA934=3,"P",""),IF($AA934=10,"P",""))</f>
        <v/>
      </c>
      <c r="P934" s="22"/>
      <c r="Q934" s="22"/>
      <c r="R934" s="360" t="e">
        <f>IF(INDEX(TblDatabase[Comment18],MATCH(1,INDEX(($L$4=ListEmployeeNamesInDatabase)*(C909=TblDatabase[Year]),0,1),0))="","",INDEX(TblDatabase[Comment18],MATCH(1,INDEX(($L$4=ListEmployeeNamesInDatabase)*(C909=TblDatabase[Year]),0,1),0)))</f>
        <v>#N/A</v>
      </c>
      <c r="S934" s="360"/>
      <c r="T934" s="360"/>
      <c r="U934" s="360"/>
      <c r="V934" s="360"/>
      <c r="W934" s="360"/>
      <c r="X934" s="360"/>
      <c r="Y934" s="361"/>
      <c r="Z934" s="149"/>
      <c r="AA934" s="151">
        <f>SUMIFS(TblDatabase[Competency18],ListEmployeeNamesInDatabase,$L$4,TblDatabase[Year],C909)</f>
        <v>0</v>
      </c>
      <c r="AB934" s="149"/>
      <c r="AC934" s="149"/>
      <c r="AD934" s="149"/>
      <c r="AE934" s="149"/>
      <c r="AF934" s="149"/>
    </row>
    <row r="935" spans="2:32" s="148" customFormat="1" ht="15" hidden="1" customHeight="1">
      <c r="B935" s="350" t="str">
        <f t="shared" si="21"/>
        <v/>
      </c>
      <c r="C935" s="351"/>
      <c r="D935" s="351"/>
      <c r="E935" s="352"/>
      <c r="F935" s="157" t="str">
        <f>IF(Settings!$M$4=Settings!$Y$3,IF($AA935=1,"P",""),IF($AA935=1,"P",""))</f>
        <v/>
      </c>
      <c r="G935" s="158" t="str">
        <f>IF(Settings!$M$4=Settings!$Y$3,IF($AA935=1,"P",""),IF($AA935=2,"P",""))</f>
        <v/>
      </c>
      <c r="H935" s="158" t="str">
        <f>IF(Settings!$M$4=Settings!$Y$3,IF($AA935=1,"P",""),IF($AA935=3,"P",""))</f>
        <v/>
      </c>
      <c r="I935" s="158" t="str">
        <f>IF(Settings!$M$4=Settings!$Y$3,IF($AA935=1,"P",""),IF($AA935=4,"P",""))</f>
        <v/>
      </c>
      <c r="J935" s="158" t="str">
        <f>IF(Settings!$M$4=Settings!$Y$3,IF($AA935=2,"P",""),IF($AA935=5,"P",""))</f>
        <v/>
      </c>
      <c r="K935" s="158" t="str">
        <f>IF(Settings!$M$4=Settings!$Y$3,IF($AA935=2,"P",""),IF($AA935=6,"P",""))</f>
        <v/>
      </c>
      <c r="L935" s="158" t="str">
        <f>IF(Settings!$M$4=Settings!$Y$3,IF($AA935=2,"P",""),IF($AA935=7,"P",""))</f>
        <v/>
      </c>
      <c r="M935" s="158" t="str">
        <f>IF(Settings!$M$4=Settings!$Y$3,IF($AA935=2,"P",""),IF($AA935=8,"P",""))</f>
        <v/>
      </c>
      <c r="N935" s="158" t="str">
        <f>IF(Settings!$M$4=Settings!$Y$3,IF($AA935=3,"P",""),IF($AA935=9,"P",""))</f>
        <v/>
      </c>
      <c r="O935" s="159" t="str">
        <f>IF(Settings!$M$4=Settings!$Y$3,IF($AA935=3,"P",""),IF($AA935=10,"P",""))</f>
        <v/>
      </c>
      <c r="P935" s="22"/>
      <c r="Q935" s="22"/>
      <c r="R935" s="353" t="e">
        <f>IF(INDEX(TblDatabase[Comment19],MATCH(1,INDEX(($L$4=ListEmployeeNamesInDatabase)*(C909=TblDatabase[Year]),0,1),0))="","",INDEX(TblDatabase[Comment19],MATCH(1,INDEX(($L$4=ListEmployeeNamesInDatabase)*(C909=TblDatabase[Year]),0,1),0)))</f>
        <v>#N/A</v>
      </c>
      <c r="S935" s="353"/>
      <c r="T935" s="353"/>
      <c r="U935" s="353"/>
      <c r="V935" s="353"/>
      <c r="W935" s="353"/>
      <c r="X935" s="353"/>
      <c r="Y935" s="354"/>
      <c r="Z935" s="149"/>
      <c r="AA935" s="151">
        <f>SUMIFS(TblDatabase[Competency19],ListEmployeeNamesInDatabase,$L$4,TblDatabase[Year],C909)</f>
        <v>0</v>
      </c>
      <c r="AB935" s="149"/>
      <c r="AC935" s="149"/>
      <c r="AD935" s="149"/>
      <c r="AE935" s="149"/>
      <c r="AF935" s="149"/>
    </row>
    <row r="936" spans="2:32" s="148" customFormat="1" ht="15" hidden="1" customHeight="1">
      <c r="B936" s="362" t="str">
        <f t="shared" si="21"/>
        <v/>
      </c>
      <c r="C936" s="363"/>
      <c r="D936" s="363"/>
      <c r="E936" s="364"/>
      <c r="F936" s="166" t="str">
        <f>IF(Settings!$M$4=Settings!$Y$3,IF($AA936=1,"P",""),IF($AA936=1,"P",""))</f>
        <v/>
      </c>
      <c r="G936" s="167" t="str">
        <f>IF(Settings!$M$4=Settings!$Y$3,IF($AA936=1,"P",""),IF($AA936=2,"P",""))</f>
        <v/>
      </c>
      <c r="H936" s="167" t="str">
        <f>IF(Settings!$M$4=Settings!$Y$3,IF($AA936=1,"P",""),IF($AA936=3,"P",""))</f>
        <v/>
      </c>
      <c r="I936" s="167" t="str">
        <f>IF(Settings!$M$4=Settings!$Y$3,IF($AA936=1,"P",""),IF($AA936=4,"P",""))</f>
        <v/>
      </c>
      <c r="J936" s="167" t="str">
        <f>IF(Settings!$M$4=Settings!$Y$3,IF($AA936=2,"P",""),IF($AA936=5,"P",""))</f>
        <v/>
      </c>
      <c r="K936" s="167" t="str">
        <f>IF(Settings!$M$4=Settings!$Y$3,IF($AA936=2,"P",""),IF($AA936=6,"P",""))</f>
        <v/>
      </c>
      <c r="L936" s="167" t="str">
        <f>IF(Settings!$M$4=Settings!$Y$3,IF($AA936=2,"P",""),IF($AA936=7,"P",""))</f>
        <v/>
      </c>
      <c r="M936" s="167" t="str">
        <f>IF(Settings!$M$4=Settings!$Y$3,IF($AA936=2,"P",""),IF($AA936=8,"P",""))</f>
        <v/>
      </c>
      <c r="N936" s="167" t="str">
        <f>IF(Settings!$M$4=Settings!$Y$3,IF($AA936=3,"P",""),IF($AA936=9,"P",""))</f>
        <v/>
      </c>
      <c r="O936" s="168" t="str">
        <f>IF(Settings!$M$4=Settings!$Y$3,IF($AA936=3,"P",""),IF($AA936=10,"P",""))</f>
        <v/>
      </c>
      <c r="P936" s="22"/>
      <c r="Q936" s="22"/>
      <c r="R936" s="365" t="e">
        <f>IF(INDEX(TblDatabase[Comment20],MATCH(1,INDEX(($L$4=ListEmployeeNamesInDatabase)*(C909=TblDatabase[Year]),0,1),0))="","",INDEX(TblDatabase[Comment20],MATCH(1,INDEX(($L$4=ListEmployeeNamesInDatabase)*(C909=TblDatabase[Year]),0,1),0)))</f>
        <v>#N/A</v>
      </c>
      <c r="S936" s="365"/>
      <c r="T936" s="365"/>
      <c r="U936" s="365"/>
      <c r="V936" s="365"/>
      <c r="W936" s="365"/>
      <c r="X936" s="365"/>
      <c r="Y936" s="366"/>
      <c r="Z936" s="149"/>
      <c r="AA936" s="151">
        <f>SUMIFS(TblDatabase[Competency20],ListEmployeeNamesInDatabase,$L$4,TblDatabase[Year],C909)</f>
        <v>0</v>
      </c>
      <c r="AB936" s="149"/>
      <c r="AC936" s="149"/>
      <c r="AD936" s="149"/>
      <c r="AE936" s="149"/>
      <c r="AF936" s="149"/>
    </row>
    <row r="937" spans="2:32" s="148" customFormat="1" hidden="1">
      <c r="B937" s="414" t="s">
        <v>26</v>
      </c>
      <c r="C937" s="415"/>
      <c r="D937" s="415"/>
      <c r="E937" s="371">
        <f ca="1">SUM(OFFSET(AA917,0,0,NumberOfCompetencies))</f>
        <v>0</v>
      </c>
      <c r="F937" s="372"/>
      <c r="G937" s="152"/>
      <c r="H937" s="152"/>
      <c r="I937" s="152"/>
      <c r="J937" s="152"/>
      <c r="K937" s="152"/>
      <c r="L937" s="152"/>
      <c r="M937" s="152"/>
      <c r="N937" s="152"/>
      <c r="O937" s="152"/>
      <c r="P937" s="152"/>
      <c r="Q937" s="152"/>
      <c r="R937" s="152"/>
      <c r="S937" s="152"/>
      <c r="T937" s="152"/>
      <c r="U937" s="152"/>
      <c r="V937" s="152"/>
      <c r="W937" s="152"/>
      <c r="X937" s="152"/>
      <c r="Y937" s="152"/>
      <c r="Z937" s="149"/>
      <c r="AA937" s="149"/>
      <c r="AB937" s="149"/>
      <c r="AC937" s="149"/>
      <c r="AD937" s="149"/>
      <c r="AE937" s="149"/>
      <c r="AF937" s="149"/>
    </row>
    <row r="938" spans="2:32" s="148" customFormat="1" hidden="1">
      <c r="B938" s="369" t="s">
        <v>27</v>
      </c>
      <c r="C938" s="370"/>
      <c r="D938" s="370"/>
      <c r="E938" s="358">
        <f ca="1">E937/NumberOfCompetencies</f>
        <v>0</v>
      </c>
      <c r="F938" s="359"/>
      <c r="G938" s="153"/>
      <c r="H938" s="153"/>
      <c r="I938" s="153"/>
      <c r="J938" s="153"/>
      <c r="K938" s="153"/>
      <c r="L938" s="153"/>
      <c r="M938" s="153"/>
      <c r="N938" s="153"/>
      <c r="O938" s="153"/>
      <c r="P938" s="153"/>
      <c r="Q938" s="153"/>
      <c r="R938" s="153"/>
      <c r="S938" s="153"/>
      <c r="T938" s="153"/>
      <c r="U938" s="153"/>
      <c r="V938" s="153"/>
      <c r="W938" s="153"/>
      <c r="X938" s="153"/>
      <c r="Y938" s="153"/>
      <c r="Z938" s="149"/>
      <c r="AA938" s="149"/>
      <c r="AB938" s="149"/>
      <c r="AC938" s="149"/>
      <c r="AD938" s="149"/>
      <c r="AE938" s="149"/>
      <c r="AF938" s="149"/>
    </row>
    <row r="939" spans="2:32" s="148" customFormat="1" hidden="1">
      <c r="B939" s="154"/>
      <c r="C939" s="154"/>
      <c r="D939" s="154"/>
      <c r="E939" s="154"/>
      <c r="F939" s="154"/>
      <c r="G939" s="154"/>
      <c r="H939" s="154"/>
      <c r="I939" s="154"/>
      <c r="J939" s="154"/>
      <c r="K939" s="154"/>
      <c r="L939" s="154"/>
      <c r="M939" s="154"/>
      <c r="N939" s="154"/>
      <c r="O939" s="154"/>
      <c r="P939" s="154"/>
      <c r="Q939" s="154"/>
      <c r="R939" s="154"/>
      <c r="S939" s="154"/>
      <c r="T939" s="154"/>
      <c r="U939" s="154"/>
      <c r="V939" s="154"/>
      <c r="W939" s="154"/>
      <c r="X939" s="154"/>
      <c r="Y939" s="154"/>
      <c r="Z939" s="149"/>
      <c r="AA939" s="149"/>
      <c r="AB939" s="149"/>
      <c r="AC939" s="149"/>
      <c r="AD939" s="149"/>
      <c r="AE939" s="149"/>
      <c r="AF939" s="149"/>
    </row>
    <row r="940" spans="2:32" s="148" customFormat="1" hidden="1">
      <c r="B940" s="338" t="str">
        <f>Settings!$N$15</f>
        <v>Previously agreed actions</v>
      </c>
      <c r="C940" s="339"/>
      <c r="D940" s="339"/>
      <c r="E940" s="339"/>
      <c r="F940" s="339"/>
      <c r="G940" s="339"/>
      <c r="H940" s="339"/>
      <c r="I940" s="339"/>
      <c r="J940" s="339"/>
      <c r="K940" s="339"/>
      <c r="L940" s="339"/>
      <c r="M940" s="339"/>
      <c r="N940" s="339"/>
      <c r="O940" s="339"/>
      <c r="P940" s="339"/>
      <c r="Q940" s="339"/>
      <c r="R940" s="339"/>
      <c r="S940" s="339"/>
      <c r="T940" s="339"/>
      <c r="U940" s="339"/>
      <c r="V940" s="339"/>
      <c r="W940" s="339"/>
      <c r="X940" s="339"/>
      <c r="Y940" s="340"/>
      <c r="Z940" s="149"/>
      <c r="AA940" s="149"/>
      <c r="AB940" s="149"/>
      <c r="AC940" s="149"/>
      <c r="AD940" s="149"/>
      <c r="AE940" s="149"/>
      <c r="AF940" s="149"/>
    </row>
    <row r="941" spans="2:32" s="148" customFormat="1" hidden="1">
      <c r="B941" s="341" t="e">
        <f>IF(INDEX(TblDatabase[Feedback Does Well],MATCH(1,INDEX(($L$4=ListEmployeeNamesInDatabase)*(C909=TblDatabase[Year]),0,1),0))="","",INDEX(TblDatabase[Feedback Does Well],MATCH(1,INDEX(($L$4=ListEmployeeNamesInDatabase)*(C909=TblDatabase[Year]),0,1),0)))</f>
        <v>#N/A</v>
      </c>
      <c r="C941" s="342"/>
      <c r="D941" s="342"/>
      <c r="E941" s="342"/>
      <c r="F941" s="342"/>
      <c r="G941" s="342"/>
      <c r="H941" s="342"/>
      <c r="I941" s="342"/>
      <c r="J941" s="342"/>
      <c r="K941" s="342"/>
      <c r="L941" s="342"/>
      <c r="M941" s="342"/>
      <c r="N941" s="342"/>
      <c r="O941" s="342"/>
      <c r="P941" s="342"/>
      <c r="Q941" s="342"/>
      <c r="R941" s="342"/>
      <c r="S941" s="342"/>
      <c r="T941" s="342"/>
      <c r="U941" s="342"/>
      <c r="V941" s="342"/>
      <c r="W941" s="342"/>
      <c r="X941" s="342"/>
      <c r="Y941" s="343"/>
      <c r="Z941" s="149"/>
      <c r="AA941" s="149"/>
      <c r="AB941" s="149"/>
      <c r="AC941" s="149"/>
      <c r="AD941" s="149"/>
      <c r="AE941" s="149"/>
      <c r="AF941" s="149"/>
    </row>
    <row r="942" spans="2:32" s="148" customFormat="1" hidden="1">
      <c r="B942" s="344"/>
      <c r="C942" s="345"/>
      <c r="D942" s="345"/>
      <c r="E942" s="345"/>
      <c r="F942" s="345"/>
      <c r="G942" s="345"/>
      <c r="H942" s="345"/>
      <c r="I942" s="345"/>
      <c r="J942" s="345"/>
      <c r="K942" s="345"/>
      <c r="L942" s="345"/>
      <c r="M942" s="345"/>
      <c r="N942" s="345"/>
      <c r="O942" s="345"/>
      <c r="P942" s="345"/>
      <c r="Q942" s="345"/>
      <c r="R942" s="345"/>
      <c r="S942" s="345"/>
      <c r="T942" s="345"/>
      <c r="U942" s="345"/>
      <c r="V942" s="345"/>
      <c r="W942" s="345"/>
      <c r="X942" s="345"/>
      <c r="Y942" s="346"/>
      <c r="Z942" s="149"/>
      <c r="AA942" s="149"/>
      <c r="AB942" s="149"/>
      <c r="AC942" s="149"/>
      <c r="AD942" s="149"/>
      <c r="AE942" s="149"/>
      <c r="AF942" s="149"/>
    </row>
    <row r="943" spans="2:32" s="148" customFormat="1" hidden="1">
      <c r="B943" s="347"/>
      <c r="C943" s="348"/>
      <c r="D943" s="348"/>
      <c r="E943" s="348"/>
      <c r="F943" s="348"/>
      <c r="G943" s="348"/>
      <c r="H943" s="348"/>
      <c r="I943" s="348"/>
      <c r="J943" s="348"/>
      <c r="K943" s="348"/>
      <c r="L943" s="348"/>
      <c r="M943" s="348"/>
      <c r="N943" s="348"/>
      <c r="O943" s="348"/>
      <c r="P943" s="348"/>
      <c r="Q943" s="348"/>
      <c r="R943" s="348"/>
      <c r="S943" s="348"/>
      <c r="T943" s="348"/>
      <c r="U943" s="348"/>
      <c r="V943" s="348"/>
      <c r="W943" s="348"/>
      <c r="X943" s="348"/>
      <c r="Y943" s="349"/>
      <c r="Z943" s="149"/>
      <c r="AA943" s="149"/>
      <c r="AB943" s="149"/>
      <c r="AC943" s="149"/>
      <c r="AD943" s="149"/>
      <c r="AE943" s="149"/>
      <c r="AF943" s="149"/>
    </row>
    <row r="944" spans="2:32" s="148" customFormat="1" hidden="1">
      <c r="B944" s="155"/>
      <c r="C944" s="155"/>
      <c r="D944" s="155"/>
      <c r="E944" s="155"/>
      <c r="F944" s="155"/>
      <c r="G944" s="155"/>
      <c r="H944" s="155"/>
      <c r="I944" s="155"/>
      <c r="J944" s="155"/>
      <c r="K944" s="155"/>
      <c r="L944" s="155"/>
      <c r="M944" s="155"/>
      <c r="N944" s="155"/>
      <c r="O944" s="155"/>
      <c r="P944" s="155"/>
      <c r="Q944" s="155"/>
      <c r="R944" s="155"/>
      <c r="S944" s="155"/>
      <c r="T944" s="155"/>
      <c r="U944" s="155"/>
      <c r="V944" s="155"/>
      <c r="W944" s="155"/>
      <c r="X944" s="155"/>
      <c r="Y944" s="155"/>
      <c r="Z944" s="149"/>
      <c r="AA944" s="149"/>
      <c r="AB944" s="149"/>
      <c r="AC944" s="149"/>
      <c r="AD944" s="149"/>
      <c r="AE944" s="149"/>
      <c r="AF944" s="149"/>
    </row>
    <row r="945" spans="1:32" s="148" customFormat="1" hidden="1">
      <c r="B945" s="338" t="str">
        <f>Settings!$N$16</f>
        <v>Actions agreed during this review</v>
      </c>
      <c r="C945" s="339"/>
      <c r="D945" s="339"/>
      <c r="E945" s="339"/>
      <c r="F945" s="339"/>
      <c r="G945" s="339"/>
      <c r="H945" s="339"/>
      <c r="I945" s="339"/>
      <c r="J945" s="339"/>
      <c r="K945" s="339"/>
      <c r="L945" s="339"/>
      <c r="M945" s="339"/>
      <c r="N945" s="339"/>
      <c r="O945" s="339"/>
      <c r="P945" s="339"/>
      <c r="Q945" s="339"/>
      <c r="R945" s="339"/>
      <c r="S945" s="339"/>
      <c r="T945" s="339"/>
      <c r="U945" s="339"/>
      <c r="V945" s="339"/>
      <c r="W945" s="339"/>
      <c r="X945" s="339"/>
      <c r="Y945" s="340"/>
      <c r="Z945" s="149"/>
      <c r="AA945" s="149"/>
      <c r="AB945" s="149"/>
      <c r="AC945" s="149"/>
      <c r="AD945" s="149"/>
      <c r="AE945" s="149"/>
      <c r="AF945" s="149"/>
    </row>
    <row r="946" spans="1:32" s="148" customFormat="1" hidden="1">
      <c r="B946" s="341" t="e">
        <f>IF(INDEX(TblDatabase[Feedback To Improve],MATCH(1,INDEX(($L$4=ListEmployeeNamesInDatabase)*(C909=TblDatabase[Year]),0,1),0))="","",INDEX(TblDatabase[Feedback To Improve],MATCH(1,INDEX(($L$4=ListEmployeeNamesInDatabase)*(C909=TblDatabase[Year]),0,1),0)))</f>
        <v>#N/A</v>
      </c>
      <c r="C946" s="342"/>
      <c r="D946" s="342"/>
      <c r="E946" s="342"/>
      <c r="F946" s="342"/>
      <c r="G946" s="342"/>
      <c r="H946" s="342"/>
      <c r="I946" s="342"/>
      <c r="J946" s="342"/>
      <c r="K946" s="342"/>
      <c r="L946" s="342"/>
      <c r="M946" s="342"/>
      <c r="N946" s="342"/>
      <c r="O946" s="342"/>
      <c r="P946" s="342"/>
      <c r="Q946" s="342"/>
      <c r="R946" s="342"/>
      <c r="S946" s="342"/>
      <c r="T946" s="342"/>
      <c r="U946" s="342"/>
      <c r="V946" s="342"/>
      <c r="W946" s="342"/>
      <c r="X946" s="342"/>
      <c r="Y946" s="343"/>
      <c r="Z946" s="149"/>
      <c r="AA946" s="149"/>
      <c r="AB946" s="149"/>
      <c r="AC946" s="149"/>
      <c r="AD946" s="149"/>
      <c r="AE946" s="149"/>
      <c r="AF946" s="149"/>
    </row>
    <row r="947" spans="1:32" s="148" customFormat="1" hidden="1">
      <c r="B947" s="344"/>
      <c r="C947" s="345"/>
      <c r="D947" s="345"/>
      <c r="E947" s="345"/>
      <c r="F947" s="345"/>
      <c r="G947" s="345"/>
      <c r="H947" s="345"/>
      <c r="I947" s="345"/>
      <c r="J947" s="345"/>
      <c r="K947" s="345"/>
      <c r="L947" s="345"/>
      <c r="M947" s="345"/>
      <c r="N947" s="345"/>
      <c r="O947" s="345"/>
      <c r="P947" s="345"/>
      <c r="Q947" s="345"/>
      <c r="R947" s="345"/>
      <c r="S947" s="345"/>
      <c r="T947" s="345"/>
      <c r="U947" s="345"/>
      <c r="V947" s="345"/>
      <c r="W947" s="345"/>
      <c r="X947" s="345"/>
      <c r="Y947" s="346"/>
      <c r="Z947" s="149"/>
      <c r="AA947" s="149"/>
      <c r="AB947" s="149"/>
      <c r="AC947" s="149"/>
      <c r="AD947" s="149"/>
      <c r="AE947" s="149"/>
      <c r="AF947" s="149"/>
    </row>
    <row r="948" spans="1:32" s="148" customFormat="1" hidden="1">
      <c r="B948" s="347"/>
      <c r="C948" s="348"/>
      <c r="D948" s="348"/>
      <c r="E948" s="348"/>
      <c r="F948" s="348"/>
      <c r="G948" s="348"/>
      <c r="H948" s="348"/>
      <c r="I948" s="348"/>
      <c r="J948" s="348"/>
      <c r="K948" s="348"/>
      <c r="L948" s="348"/>
      <c r="M948" s="348"/>
      <c r="N948" s="348"/>
      <c r="O948" s="348"/>
      <c r="P948" s="348"/>
      <c r="Q948" s="348"/>
      <c r="R948" s="348"/>
      <c r="S948" s="348"/>
      <c r="T948" s="348"/>
      <c r="U948" s="348"/>
      <c r="V948" s="348"/>
      <c r="W948" s="348"/>
      <c r="X948" s="348"/>
      <c r="Y948" s="349"/>
      <c r="Z948" s="149"/>
      <c r="AA948" s="149"/>
      <c r="AB948" s="149"/>
      <c r="AC948" s="149"/>
      <c r="AD948" s="149"/>
      <c r="AE948" s="149"/>
      <c r="AF948" s="149"/>
    </row>
    <row r="949" spans="1:32" s="148" customFormat="1" hidden="1">
      <c r="B949" s="156"/>
      <c r="C949" s="156"/>
      <c r="D949" s="156"/>
      <c r="E949" s="155"/>
      <c r="F949" s="155"/>
      <c r="G949" s="155"/>
      <c r="H949" s="155"/>
      <c r="I949" s="155"/>
      <c r="J949" s="155"/>
      <c r="K949" s="155"/>
      <c r="L949" s="155"/>
      <c r="M949" s="155"/>
      <c r="N949" s="155"/>
      <c r="O949" s="155"/>
      <c r="P949" s="155"/>
      <c r="Q949" s="155"/>
      <c r="R949" s="155"/>
      <c r="S949" s="155"/>
      <c r="T949" s="155"/>
      <c r="U949" s="155"/>
      <c r="V949" s="155"/>
      <c r="W949" s="155"/>
      <c r="X949" s="155"/>
      <c r="Y949" s="155"/>
      <c r="Z949" s="149"/>
      <c r="AA949" s="149"/>
      <c r="AB949" s="149"/>
      <c r="AC949" s="149"/>
      <c r="AD949" s="149"/>
      <c r="AE949" s="149"/>
      <c r="AF949" s="149"/>
    </row>
    <row r="950" spans="1:32" s="148" customFormat="1" hidden="1">
      <c r="A950" s="150">
        <f>A909+1</f>
        <v>23</v>
      </c>
      <c r="B950" s="27" t="s">
        <v>14</v>
      </c>
      <c r="C950" s="333">
        <f>C909-1</f>
        <v>1998</v>
      </c>
      <c r="D950" s="334"/>
      <c r="Y950" s="149"/>
      <c r="Z950" s="149"/>
      <c r="AA950" s="149"/>
      <c r="AB950" s="149"/>
      <c r="AC950" s="149"/>
      <c r="AD950" s="149"/>
      <c r="AE950" s="149"/>
      <c r="AF950" s="149"/>
    </row>
    <row r="951" spans="1:32" s="148" customFormat="1" hidden="1">
      <c r="Y951" s="149"/>
      <c r="Z951" s="149"/>
      <c r="AA951" s="149"/>
      <c r="AB951" s="149"/>
      <c r="AC951" s="149"/>
      <c r="AD951" s="149"/>
      <c r="AE951" s="149"/>
      <c r="AF951" s="149"/>
    </row>
    <row r="952" spans="1:32" s="148" customFormat="1" hidden="1">
      <c r="B952" s="338" t="str">
        <f>Settings!$N$14</f>
        <v>Employee's comments</v>
      </c>
      <c r="C952" s="339"/>
      <c r="D952" s="339"/>
      <c r="E952" s="339"/>
      <c r="F952" s="339"/>
      <c r="G952" s="339"/>
      <c r="H952" s="339"/>
      <c r="I952" s="339"/>
      <c r="J952" s="339"/>
      <c r="K952" s="339"/>
      <c r="L952" s="339"/>
      <c r="M952" s="339"/>
      <c r="N952" s="339"/>
      <c r="O952" s="339"/>
      <c r="P952" s="339"/>
      <c r="Q952" s="339"/>
      <c r="R952" s="339"/>
      <c r="S952" s="339"/>
      <c r="T952" s="339"/>
      <c r="U952" s="339"/>
      <c r="V952" s="339"/>
      <c r="W952" s="339"/>
      <c r="X952" s="339"/>
      <c r="Y952" s="340"/>
      <c r="Z952" s="149"/>
      <c r="AA952" s="149"/>
      <c r="AB952" s="149"/>
      <c r="AC952" s="149"/>
      <c r="AD952" s="149"/>
      <c r="AE952" s="149"/>
      <c r="AF952" s="149"/>
    </row>
    <row r="953" spans="1:32" s="148" customFormat="1" hidden="1">
      <c r="B953" s="341" t="e">
        <f>IF(INDEX(TblDatabase[Feedback Warnings],MATCH(1,INDEX(($L$4=ListEmployeeNamesInDatabase)*(C950=TblDatabase[Year]),0,1),0))="","",INDEX(TblDatabase[Feedback Warnings],MATCH(1,INDEX(($L$4=ListEmployeeNamesInDatabase)*(C950=TblDatabase[Year]),0,1),0)))</f>
        <v>#N/A</v>
      </c>
      <c r="C953" s="342"/>
      <c r="D953" s="342"/>
      <c r="E953" s="342"/>
      <c r="F953" s="342"/>
      <c r="G953" s="342"/>
      <c r="H953" s="342"/>
      <c r="I953" s="342"/>
      <c r="J953" s="342"/>
      <c r="K953" s="342"/>
      <c r="L953" s="342"/>
      <c r="M953" s="342"/>
      <c r="N953" s="342"/>
      <c r="O953" s="342"/>
      <c r="P953" s="342"/>
      <c r="Q953" s="342"/>
      <c r="R953" s="342"/>
      <c r="S953" s="342"/>
      <c r="T953" s="342"/>
      <c r="U953" s="342"/>
      <c r="V953" s="342"/>
      <c r="W953" s="342"/>
      <c r="X953" s="342"/>
      <c r="Y953" s="343"/>
      <c r="Z953" s="149"/>
      <c r="AA953" s="149"/>
      <c r="AB953" s="149"/>
      <c r="AC953" s="149"/>
      <c r="AD953" s="149"/>
      <c r="AE953" s="149"/>
      <c r="AF953" s="149"/>
    </row>
    <row r="954" spans="1:32" s="148" customFormat="1" hidden="1">
      <c r="B954" s="344"/>
      <c r="C954" s="345"/>
      <c r="D954" s="345"/>
      <c r="E954" s="345"/>
      <c r="F954" s="345"/>
      <c r="G954" s="345"/>
      <c r="H954" s="345"/>
      <c r="I954" s="345"/>
      <c r="J954" s="345"/>
      <c r="K954" s="345"/>
      <c r="L954" s="345"/>
      <c r="M954" s="345"/>
      <c r="N954" s="345"/>
      <c r="O954" s="345"/>
      <c r="P954" s="345"/>
      <c r="Q954" s="345"/>
      <c r="R954" s="345"/>
      <c r="S954" s="345"/>
      <c r="T954" s="345"/>
      <c r="U954" s="345"/>
      <c r="V954" s="345"/>
      <c r="W954" s="345"/>
      <c r="X954" s="345"/>
      <c r="Y954" s="346"/>
      <c r="Z954" s="149"/>
      <c r="AA954" s="149"/>
      <c r="AB954" s="149"/>
      <c r="AC954" s="149"/>
      <c r="AD954" s="149"/>
      <c r="AE954" s="149"/>
      <c r="AF954" s="149"/>
    </row>
    <row r="955" spans="1:32" s="148" customFormat="1" hidden="1">
      <c r="B955" s="347"/>
      <c r="C955" s="348"/>
      <c r="D955" s="348"/>
      <c r="E955" s="348"/>
      <c r="F955" s="348"/>
      <c r="G955" s="348"/>
      <c r="H955" s="348"/>
      <c r="I955" s="348"/>
      <c r="J955" s="348"/>
      <c r="K955" s="348"/>
      <c r="L955" s="348"/>
      <c r="M955" s="348"/>
      <c r="N955" s="348"/>
      <c r="O955" s="348"/>
      <c r="P955" s="348"/>
      <c r="Q955" s="348"/>
      <c r="R955" s="348"/>
      <c r="S955" s="348"/>
      <c r="T955" s="348"/>
      <c r="U955" s="348"/>
      <c r="V955" s="348"/>
      <c r="W955" s="348"/>
      <c r="X955" s="348"/>
      <c r="Y955" s="349"/>
      <c r="Z955" s="149"/>
      <c r="AA955" s="149"/>
      <c r="AB955" s="149"/>
      <c r="AC955" s="149"/>
      <c r="AD955" s="149"/>
      <c r="AE955" s="149"/>
      <c r="AF955" s="149"/>
    </row>
    <row r="956" spans="1:32" s="148" customFormat="1" hidden="1">
      <c r="Y956" s="149"/>
      <c r="Z956" s="149"/>
      <c r="AA956" s="149"/>
      <c r="AB956" s="149"/>
      <c r="AC956" s="149"/>
      <c r="AD956" s="149"/>
      <c r="AE956" s="149"/>
      <c r="AF956" s="149"/>
    </row>
    <row r="957" spans="1:32" s="148" customFormat="1" ht="15" hidden="1" customHeight="1">
      <c r="B957" s="320" t="s">
        <v>8</v>
      </c>
      <c r="C957" s="321"/>
      <c r="D957" s="321"/>
      <c r="E957" s="321"/>
      <c r="F957" s="233">
        <f>IF(Settings!$M$4=Settings!$Y$3,Settings!$O$19,1)</f>
        <v>1</v>
      </c>
      <c r="G957" s="234">
        <f>IF(Settings!$M$4=Settings!$Y$3,Settings!$O$19,2)</f>
        <v>2</v>
      </c>
      <c r="H957" s="234">
        <f>IF(Settings!$M$4=Settings!$Y$3,Settings!$O$19,3)</f>
        <v>3</v>
      </c>
      <c r="I957" s="234">
        <f>IF(Settings!$M$4=Settings!$Y$3,Settings!$O$19,4)</f>
        <v>4</v>
      </c>
      <c r="J957" s="234">
        <f>IF(Settings!$M$4=Settings!$Y$3,Settings!$O$20,5)</f>
        <v>5</v>
      </c>
      <c r="K957" s="234">
        <f>IF(Settings!$M$4=Settings!$Y$3,Settings!$O$20,6)</f>
        <v>6</v>
      </c>
      <c r="L957" s="234">
        <f>IF(Settings!$M$4=Settings!$Y$3,Settings!$O$20,7)</f>
        <v>7</v>
      </c>
      <c r="M957" s="234">
        <f>IF(Settings!$M$4=Settings!$Y$3,Settings!$O$20,8)</f>
        <v>8</v>
      </c>
      <c r="N957" s="234">
        <f>IF(Settings!$M$4=Settings!$Y$3,Settings!$O$21,9)</f>
        <v>9</v>
      </c>
      <c r="O957" s="235">
        <f>IF(Settings!$M$4=Settings!$Y$3,Settings!$O$21,10)</f>
        <v>10</v>
      </c>
      <c r="P957" s="22"/>
      <c r="Q957" s="22"/>
      <c r="R957" s="333" t="s">
        <v>24</v>
      </c>
      <c r="S957" s="333"/>
      <c r="T957" s="333"/>
      <c r="U957" s="333"/>
      <c r="V957" s="333"/>
      <c r="W957" s="333"/>
      <c r="X957" s="333"/>
      <c r="Y957" s="334"/>
      <c r="Z957" s="149"/>
      <c r="AA957" s="149"/>
      <c r="AB957" s="149"/>
      <c r="AC957" s="149"/>
      <c r="AD957" s="149"/>
      <c r="AE957" s="149"/>
      <c r="AF957" s="149"/>
    </row>
    <row r="958" spans="1:32" s="148" customFormat="1" ht="15" hidden="1" customHeight="1">
      <c r="B958" s="335" t="str">
        <f t="shared" ref="B958:B977" si="22">B917</f>
        <v>Quality of Work</v>
      </c>
      <c r="C958" s="336"/>
      <c r="D958" s="336"/>
      <c r="E958" s="337"/>
      <c r="F958" s="162" t="str">
        <f>IF(Settings!$M$4=Settings!$Y$3,IF($AA958=1,"P",""),IF($AA958=1,"P",""))</f>
        <v/>
      </c>
      <c r="G958" s="160" t="str">
        <f>IF(Settings!$M$4=Settings!$Y$3,IF($AA958=1,"P",""),IF($AA958=2,"P",""))</f>
        <v/>
      </c>
      <c r="H958" s="160" t="str">
        <f>IF(Settings!$M$4=Settings!$Y$3,IF($AA958=1,"P",""),IF($AA958=3,"P",""))</f>
        <v/>
      </c>
      <c r="I958" s="160" t="str">
        <f>IF(Settings!$M$4=Settings!$Y$3,IF($AA958=1,"P",""),IF($AA958=4,"P",""))</f>
        <v/>
      </c>
      <c r="J958" s="160" t="str">
        <f>IF(Settings!$M$4=Settings!$Y$3,IF($AA958=2,"P",""),IF($AA958=5,"P",""))</f>
        <v/>
      </c>
      <c r="K958" s="160" t="str">
        <f>IF(Settings!$M$4=Settings!$Y$3,IF($AA958=2,"P",""),IF($AA958=6,"P",""))</f>
        <v/>
      </c>
      <c r="L958" s="160" t="str">
        <f>IF(Settings!$M$4=Settings!$Y$3,IF($AA958=2,"P",""),IF($AA958=7,"P",""))</f>
        <v/>
      </c>
      <c r="M958" s="160" t="str">
        <f>IF(Settings!$M$4=Settings!$Y$3,IF($AA958=2,"P",""),IF($AA958=8,"P",""))</f>
        <v/>
      </c>
      <c r="N958" s="160" t="str">
        <f>IF(Settings!$M$4=Settings!$Y$3,IF($AA958=3,"P",""),IF($AA958=9,"P",""))</f>
        <v/>
      </c>
      <c r="O958" s="161" t="str">
        <f>IF(Settings!$M$4=Settings!$Y$3,IF($AA958=3,"P",""),IF($AA958=10,"P",""))</f>
        <v/>
      </c>
      <c r="P958" s="22"/>
      <c r="Q958" s="22"/>
      <c r="R958" s="367" t="e">
        <f>IF(INDEX(TblDatabase[Comment1],MATCH(1,INDEX(($L$4=ListEmployeeNamesInDatabase)*(C950=TblDatabase[Year]),0,1),0))="","",INDEX(TblDatabase[Comment1],MATCH(1,INDEX(($L$4=ListEmployeeNamesInDatabase)*(C950=TblDatabase[Year]),0,1),0)))</f>
        <v>#N/A</v>
      </c>
      <c r="S958" s="367"/>
      <c r="T958" s="367"/>
      <c r="U958" s="367"/>
      <c r="V958" s="367"/>
      <c r="W958" s="367"/>
      <c r="X958" s="367"/>
      <c r="Y958" s="368"/>
      <c r="Z958" s="149"/>
      <c r="AA958" s="151">
        <f>SUMIFS(TblDatabase[Competency1],ListEmployeeNamesInDatabase,$L$4,TblDatabase[Year],C950)</f>
        <v>0</v>
      </c>
      <c r="AB958" s="149"/>
      <c r="AC958" s="149"/>
      <c r="AD958" s="149"/>
      <c r="AE958" s="149"/>
      <c r="AF958" s="149"/>
    </row>
    <row r="959" spans="1:32" s="148" customFormat="1" ht="15" hidden="1" customHeight="1">
      <c r="B959" s="355" t="str">
        <f t="shared" si="22"/>
        <v>CaLL flow</v>
      </c>
      <c r="C959" s="356"/>
      <c r="D959" s="356"/>
      <c r="E959" s="357"/>
      <c r="F959" s="163" t="str">
        <f>IF(Settings!$M$4=Settings!$Y$3,IF($AA959=1,"P",""),IF($AA959=1,"P",""))</f>
        <v/>
      </c>
      <c r="G959" s="164" t="str">
        <f>IF(Settings!$M$4=Settings!$Y$3,IF($AA959=1,"P",""),IF($AA959=2,"P",""))</f>
        <v/>
      </c>
      <c r="H959" s="164" t="str">
        <f>IF(Settings!$M$4=Settings!$Y$3,IF($AA959=1,"P",""),IF($AA959=3,"P",""))</f>
        <v/>
      </c>
      <c r="I959" s="164" t="str">
        <f>IF(Settings!$M$4=Settings!$Y$3,IF($AA959=1,"P",""),IF($AA959=4,"P",""))</f>
        <v/>
      </c>
      <c r="J959" s="164" t="str">
        <f>IF(Settings!$M$4=Settings!$Y$3,IF($AA959=2,"P",""),IF($AA959=5,"P",""))</f>
        <v/>
      </c>
      <c r="K959" s="164" t="str">
        <f>IF(Settings!$M$4=Settings!$Y$3,IF($AA959=2,"P",""),IF($AA959=6,"P",""))</f>
        <v/>
      </c>
      <c r="L959" s="164" t="str">
        <f>IF(Settings!$M$4=Settings!$Y$3,IF($AA959=2,"P",""),IF($AA959=7,"P",""))</f>
        <v/>
      </c>
      <c r="M959" s="164" t="str">
        <f>IF(Settings!$M$4=Settings!$Y$3,IF($AA959=2,"P",""),IF($AA959=8,"P",""))</f>
        <v/>
      </c>
      <c r="N959" s="164" t="str">
        <f>IF(Settings!$M$4=Settings!$Y$3,IF($AA959=3,"P",""),IF($AA959=9,"P",""))</f>
        <v/>
      </c>
      <c r="O959" s="165" t="str">
        <f>IF(Settings!$M$4=Settings!$Y$3,IF($AA959=3,"P",""),IF($AA959=10,"P",""))</f>
        <v/>
      </c>
      <c r="P959" s="22"/>
      <c r="Q959" s="22"/>
      <c r="R959" s="360" t="e">
        <f>IF(INDEX(TblDatabase[Comment2],MATCH(1,INDEX(($L$4=ListEmployeeNamesInDatabase)*(C950=TblDatabase[Year]),0,1),0))="","",INDEX(TblDatabase[Comment2],MATCH(1,INDEX(($L$4=ListEmployeeNamesInDatabase)*(C950=TblDatabase[Year]),0,1),0)))</f>
        <v>#N/A</v>
      </c>
      <c r="S959" s="360"/>
      <c r="T959" s="360"/>
      <c r="U959" s="360"/>
      <c r="V959" s="360"/>
      <c r="W959" s="360"/>
      <c r="X959" s="360"/>
      <c r="Y959" s="361"/>
      <c r="Z959" s="149"/>
      <c r="AA959" s="151">
        <f>SUMIFS(TblDatabase[Competency2],ListEmployeeNamesInDatabase,$L$4,TblDatabase[Year],C950)</f>
        <v>0</v>
      </c>
      <c r="AB959" s="149"/>
      <c r="AC959" s="149"/>
      <c r="AD959" s="149"/>
      <c r="AE959" s="149"/>
      <c r="AF959" s="149"/>
    </row>
    <row r="960" spans="1:32" s="148" customFormat="1" ht="15" hidden="1" customHeight="1">
      <c r="B960" s="350" t="str">
        <f t="shared" si="22"/>
        <v>Job Knowledge</v>
      </c>
      <c r="C960" s="351"/>
      <c r="D960" s="351"/>
      <c r="E960" s="352"/>
      <c r="F960" s="157" t="str">
        <f>IF(Settings!$M$4=Settings!$Y$3,IF($AA960=1,"P",""),IF($AA960=1,"P",""))</f>
        <v/>
      </c>
      <c r="G960" s="158" t="str">
        <f>IF(Settings!$M$4=Settings!$Y$3,IF($AA960=1,"P",""),IF($AA960=2,"P",""))</f>
        <v/>
      </c>
      <c r="H960" s="158" t="str">
        <f>IF(Settings!$M$4=Settings!$Y$3,IF($AA960=1,"P",""),IF($AA960=3,"P",""))</f>
        <v/>
      </c>
      <c r="I960" s="158" t="str">
        <f>IF(Settings!$M$4=Settings!$Y$3,IF($AA960=1,"P",""),IF($AA960=4,"P",""))</f>
        <v/>
      </c>
      <c r="J960" s="158" t="str">
        <f>IF(Settings!$M$4=Settings!$Y$3,IF($AA960=2,"P",""),IF($AA960=5,"P",""))</f>
        <v/>
      </c>
      <c r="K960" s="158" t="str">
        <f>IF(Settings!$M$4=Settings!$Y$3,IF($AA960=2,"P",""),IF($AA960=6,"P",""))</f>
        <v/>
      </c>
      <c r="L960" s="158" t="str">
        <f>IF(Settings!$M$4=Settings!$Y$3,IF($AA960=2,"P",""),IF($AA960=7,"P",""))</f>
        <v/>
      </c>
      <c r="M960" s="158" t="str">
        <f>IF(Settings!$M$4=Settings!$Y$3,IF($AA960=2,"P",""),IF($AA960=8,"P",""))</f>
        <v/>
      </c>
      <c r="N960" s="158" t="str">
        <f>IF(Settings!$M$4=Settings!$Y$3,IF($AA960=3,"P",""),IF($AA960=9,"P",""))</f>
        <v/>
      </c>
      <c r="O960" s="159" t="str">
        <f>IF(Settings!$M$4=Settings!$Y$3,IF($AA960=3,"P",""),IF($AA960=10,"P",""))</f>
        <v/>
      </c>
      <c r="P960" s="22"/>
      <c r="Q960" s="22"/>
      <c r="R960" s="353" t="e">
        <f>IF(INDEX(TblDatabase[Comment3],MATCH(1,INDEX(($L$4=ListEmployeeNamesInDatabase)*(C950=TblDatabase[Year]),0,1),0))="","",INDEX(TblDatabase[Comment3],MATCH(1,INDEX(($L$4=ListEmployeeNamesInDatabase)*(C950=TblDatabase[Year]),0,1),0)))</f>
        <v>#N/A</v>
      </c>
      <c r="S960" s="353"/>
      <c r="T960" s="353"/>
      <c r="U960" s="353"/>
      <c r="V960" s="353"/>
      <c r="W960" s="353"/>
      <c r="X960" s="353"/>
      <c r="Y960" s="354"/>
      <c r="Z960" s="149"/>
      <c r="AA960" s="151">
        <f>SUMIFS(TblDatabase[Competency3],ListEmployeeNamesInDatabase,$L$4,TblDatabase[Year],C950)</f>
        <v>0</v>
      </c>
      <c r="AB960" s="149"/>
      <c r="AC960" s="149"/>
      <c r="AD960" s="149"/>
      <c r="AE960" s="149"/>
      <c r="AF960" s="149"/>
    </row>
    <row r="961" spans="2:32" s="148" customFormat="1" ht="15" hidden="1" customHeight="1">
      <c r="B961" s="355" t="str">
        <f t="shared" si="22"/>
        <v>Client Service</v>
      </c>
      <c r="C961" s="356"/>
      <c r="D961" s="356"/>
      <c r="E961" s="357"/>
      <c r="F961" s="163" t="str">
        <f>IF(Settings!$M$4=Settings!$Y$3,IF($AA961=1,"P",""),IF($AA961=1,"P",""))</f>
        <v/>
      </c>
      <c r="G961" s="164" t="str">
        <f>IF(Settings!$M$4=Settings!$Y$3,IF($AA961=1,"P",""),IF($AA961=2,"P",""))</f>
        <v/>
      </c>
      <c r="H961" s="164" t="str">
        <f>IF(Settings!$M$4=Settings!$Y$3,IF($AA961=1,"P",""),IF($AA961=3,"P",""))</f>
        <v/>
      </c>
      <c r="I961" s="164" t="str">
        <f>IF(Settings!$M$4=Settings!$Y$3,IF($AA961=1,"P",""),IF($AA961=4,"P",""))</f>
        <v/>
      </c>
      <c r="J961" s="164" t="str">
        <f>IF(Settings!$M$4=Settings!$Y$3,IF($AA961=2,"P",""),IF($AA961=5,"P",""))</f>
        <v/>
      </c>
      <c r="K961" s="164" t="str">
        <f>IF(Settings!$M$4=Settings!$Y$3,IF($AA961=2,"P",""),IF($AA961=6,"P",""))</f>
        <v/>
      </c>
      <c r="L961" s="164" t="str">
        <f>IF(Settings!$M$4=Settings!$Y$3,IF($AA961=2,"P",""),IF($AA961=7,"P",""))</f>
        <v/>
      </c>
      <c r="M961" s="164" t="str">
        <f>IF(Settings!$M$4=Settings!$Y$3,IF($AA961=2,"P",""),IF($AA961=8,"P",""))</f>
        <v/>
      </c>
      <c r="N961" s="164" t="str">
        <f>IF(Settings!$M$4=Settings!$Y$3,IF($AA961=3,"P",""),IF($AA961=9,"P",""))</f>
        <v/>
      </c>
      <c r="O961" s="165" t="str">
        <f>IF(Settings!$M$4=Settings!$Y$3,IF($AA961=3,"P",""),IF($AA961=10,"P",""))</f>
        <v/>
      </c>
      <c r="P961" s="22"/>
      <c r="Q961" s="22"/>
      <c r="R961" s="360" t="e">
        <f>IF(INDEX(TblDatabase[Comment4],MATCH(1,INDEX(($L$4=ListEmployeeNamesInDatabase)*(C950=TblDatabase[Year]),0,1),0))="","",INDEX(TblDatabase[Comment4],MATCH(1,INDEX(($L$4=ListEmployeeNamesInDatabase)*(C950=TblDatabase[Year]),0,1),0)))</f>
        <v>#N/A</v>
      </c>
      <c r="S961" s="360"/>
      <c r="T961" s="360"/>
      <c r="U961" s="360"/>
      <c r="V961" s="360"/>
      <c r="W961" s="360"/>
      <c r="X961" s="360"/>
      <c r="Y961" s="361"/>
      <c r="Z961" s="149"/>
      <c r="AA961" s="151">
        <f>SUMIFS(TblDatabase[Competency4],ListEmployeeNamesInDatabase,$L$4,TblDatabase[Year],C950)</f>
        <v>0</v>
      </c>
      <c r="AB961" s="149"/>
      <c r="AC961" s="149"/>
      <c r="AD961" s="149"/>
      <c r="AE961" s="149"/>
      <c r="AF961" s="149"/>
    </row>
    <row r="962" spans="2:32" s="148" customFormat="1" ht="15" hidden="1" customHeight="1">
      <c r="B962" s="350" t="str">
        <f t="shared" si="22"/>
        <v>Teamwork</v>
      </c>
      <c r="C962" s="351"/>
      <c r="D962" s="351"/>
      <c r="E962" s="352"/>
      <c r="F962" s="157" t="str">
        <f>IF(Settings!$M$4=Settings!$Y$3,IF($AA962=1,"P",""),IF($AA962=1,"P",""))</f>
        <v/>
      </c>
      <c r="G962" s="158" t="str">
        <f>IF(Settings!$M$4=Settings!$Y$3,IF($AA962=1,"P",""),IF($AA962=2,"P",""))</f>
        <v/>
      </c>
      <c r="H962" s="158" t="str">
        <f>IF(Settings!$M$4=Settings!$Y$3,IF($AA962=1,"P",""),IF($AA962=3,"P",""))</f>
        <v/>
      </c>
      <c r="I962" s="158" t="str">
        <f>IF(Settings!$M$4=Settings!$Y$3,IF($AA962=1,"P",""),IF($AA962=4,"P",""))</f>
        <v/>
      </c>
      <c r="J962" s="158" t="str">
        <f>IF(Settings!$M$4=Settings!$Y$3,IF($AA962=2,"P",""),IF($AA962=5,"P",""))</f>
        <v/>
      </c>
      <c r="K962" s="158" t="str">
        <f>IF(Settings!$M$4=Settings!$Y$3,IF($AA962=2,"P",""),IF($AA962=6,"P",""))</f>
        <v/>
      </c>
      <c r="L962" s="158" t="str">
        <f>IF(Settings!$M$4=Settings!$Y$3,IF($AA962=2,"P",""),IF($AA962=7,"P",""))</f>
        <v/>
      </c>
      <c r="M962" s="158" t="str">
        <f>IF(Settings!$M$4=Settings!$Y$3,IF($AA962=2,"P",""),IF($AA962=8,"P",""))</f>
        <v/>
      </c>
      <c r="N962" s="158" t="str">
        <f>IF(Settings!$M$4=Settings!$Y$3,IF($AA962=3,"P",""),IF($AA962=9,"P",""))</f>
        <v/>
      </c>
      <c r="O962" s="159" t="str">
        <f>IF(Settings!$M$4=Settings!$Y$3,IF($AA962=3,"P",""),IF($AA962=10,"P",""))</f>
        <v/>
      </c>
      <c r="P962" s="22"/>
      <c r="Q962" s="22"/>
      <c r="R962" s="353" t="e">
        <f>IF(INDEX(TblDatabase[Comment5],MATCH(1,INDEX(($L$4=ListEmployeeNamesInDatabase)*(C950=TblDatabase[Year]),0,1),0))="","",INDEX(TblDatabase[Comment5],MATCH(1,INDEX(($L$4=ListEmployeeNamesInDatabase)*(C950=TblDatabase[Year]),0,1),0)))</f>
        <v>#N/A</v>
      </c>
      <c r="S962" s="353"/>
      <c r="T962" s="353"/>
      <c r="U962" s="353"/>
      <c r="V962" s="353"/>
      <c r="W962" s="353"/>
      <c r="X962" s="353"/>
      <c r="Y962" s="354"/>
      <c r="Z962" s="149"/>
      <c r="AA962" s="151">
        <f>SUMIFS(TblDatabase[Competency5],ListEmployeeNamesInDatabase,$L$4,TblDatabase[Year],C950)</f>
        <v>0</v>
      </c>
      <c r="AB962" s="149"/>
      <c r="AC962" s="149"/>
      <c r="AD962" s="149"/>
      <c r="AE962" s="149"/>
      <c r="AF962" s="149"/>
    </row>
    <row r="963" spans="2:32" s="148" customFormat="1" ht="15" hidden="1" customHeight="1">
      <c r="B963" s="355" t="str">
        <f t="shared" si="22"/>
        <v>Safety</v>
      </c>
      <c r="C963" s="356"/>
      <c r="D963" s="356"/>
      <c r="E963" s="357"/>
      <c r="F963" s="163" t="str">
        <f>IF(Settings!$M$4=Settings!$Y$3,IF($AA963=1,"P",""),IF($AA963=1,"P",""))</f>
        <v/>
      </c>
      <c r="G963" s="164" t="str">
        <f>IF(Settings!$M$4=Settings!$Y$3,IF($AA963=1,"P",""),IF($AA963=2,"P",""))</f>
        <v/>
      </c>
      <c r="H963" s="164" t="str">
        <f>IF(Settings!$M$4=Settings!$Y$3,IF($AA963=1,"P",""),IF($AA963=3,"P",""))</f>
        <v/>
      </c>
      <c r="I963" s="164" t="str">
        <f>IF(Settings!$M$4=Settings!$Y$3,IF($AA963=1,"P",""),IF($AA963=4,"P",""))</f>
        <v/>
      </c>
      <c r="J963" s="164" t="str">
        <f>IF(Settings!$M$4=Settings!$Y$3,IF($AA963=2,"P",""),IF($AA963=5,"P",""))</f>
        <v/>
      </c>
      <c r="K963" s="164" t="str">
        <f>IF(Settings!$M$4=Settings!$Y$3,IF($AA963=2,"P",""),IF($AA963=6,"P",""))</f>
        <v/>
      </c>
      <c r="L963" s="164" t="str">
        <f>IF(Settings!$M$4=Settings!$Y$3,IF($AA963=2,"P",""),IF($AA963=7,"P",""))</f>
        <v/>
      </c>
      <c r="M963" s="164" t="str">
        <f>IF(Settings!$M$4=Settings!$Y$3,IF($AA963=2,"P",""),IF($AA963=8,"P",""))</f>
        <v/>
      </c>
      <c r="N963" s="164" t="str">
        <f>IF(Settings!$M$4=Settings!$Y$3,IF($AA963=3,"P",""),IF($AA963=9,"P",""))</f>
        <v/>
      </c>
      <c r="O963" s="165" t="str">
        <f>IF(Settings!$M$4=Settings!$Y$3,IF($AA963=3,"P",""),IF($AA963=10,"P",""))</f>
        <v/>
      </c>
      <c r="P963" s="22"/>
      <c r="Q963" s="22"/>
      <c r="R963" s="360" t="e">
        <f>IF(INDEX(TblDatabase[Comment6],MATCH(1,INDEX(($L$4=ListEmployeeNamesInDatabase)*(C950=TblDatabase[Year]),0,1),0))="","",INDEX(TblDatabase[Comment6],MATCH(1,INDEX(($L$4=ListEmployeeNamesInDatabase)*(C950=TblDatabase[Year]),0,1),0)))</f>
        <v>#N/A</v>
      </c>
      <c r="S963" s="360"/>
      <c r="T963" s="360"/>
      <c r="U963" s="360"/>
      <c r="V963" s="360"/>
      <c r="W963" s="360"/>
      <c r="X963" s="360"/>
      <c r="Y963" s="361"/>
      <c r="Z963" s="149"/>
      <c r="AA963" s="151">
        <f>SUMIFS(TblDatabase[Competency6],ListEmployeeNamesInDatabase,$L$4,TblDatabase[Year],C950)</f>
        <v>0</v>
      </c>
      <c r="AB963" s="149"/>
      <c r="AC963" s="149"/>
      <c r="AD963" s="149"/>
      <c r="AE963" s="149"/>
      <c r="AF963" s="149"/>
    </row>
    <row r="964" spans="2:32" s="148" customFormat="1" ht="15" hidden="1" customHeight="1">
      <c r="B964" s="350" t="str">
        <f t="shared" si="22"/>
        <v>Reliability</v>
      </c>
      <c r="C964" s="351"/>
      <c r="D964" s="351"/>
      <c r="E964" s="352"/>
      <c r="F964" s="157" t="str">
        <f>IF(Settings!$M$4=Settings!$Y$3,IF($AA964=1,"P",""),IF($AA964=1,"P",""))</f>
        <v/>
      </c>
      <c r="G964" s="158" t="str">
        <f>IF(Settings!$M$4=Settings!$Y$3,IF($AA964=1,"P",""),IF($AA964=2,"P",""))</f>
        <v/>
      </c>
      <c r="H964" s="158" t="str">
        <f>IF(Settings!$M$4=Settings!$Y$3,IF($AA964=1,"P",""),IF($AA964=3,"P",""))</f>
        <v/>
      </c>
      <c r="I964" s="158" t="str">
        <f>IF(Settings!$M$4=Settings!$Y$3,IF($AA964=1,"P",""),IF($AA964=4,"P",""))</f>
        <v/>
      </c>
      <c r="J964" s="158" t="str">
        <f>IF(Settings!$M$4=Settings!$Y$3,IF($AA964=2,"P",""),IF($AA964=5,"P",""))</f>
        <v/>
      </c>
      <c r="K964" s="158" t="str">
        <f>IF(Settings!$M$4=Settings!$Y$3,IF($AA964=2,"P",""),IF($AA964=6,"P",""))</f>
        <v/>
      </c>
      <c r="L964" s="158" t="str">
        <f>IF(Settings!$M$4=Settings!$Y$3,IF($AA964=2,"P",""),IF($AA964=7,"P",""))</f>
        <v/>
      </c>
      <c r="M964" s="158" t="str">
        <f>IF(Settings!$M$4=Settings!$Y$3,IF($AA964=2,"P",""),IF($AA964=8,"P",""))</f>
        <v/>
      </c>
      <c r="N964" s="158" t="str">
        <f>IF(Settings!$M$4=Settings!$Y$3,IF($AA964=3,"P",""),IF($AA964=9,"P",""))</f>
        <v/>
      </c>
      <c r="O964" s="159" t="str">
        <f>IF(Settings!$M$4=Settings!$Y$3,IF($AA964=3,"P",""),IF($AA964=10,"P",""))</f>
        <v/>
      </c>
      <c r="P964" s="22"/>
      <c r="Q964" s="22"/>
      <c r="R964" s="353" t="e">
        <f>IF(INDEX(TblDatabase[Comment7],MATCH(1,INDEX(($L$4=ListEmployeeNamesInDatabase)*(C950=TblDatabase[Year]),0,1),0))="","",INDEX(TblDatabase[Comment7],MATCH(1,INDEX(($L$4=ListEmployeeNamesInDatabase)*(C950=TblDatabase[Year]),0,1),0)))</f>
        <v>#N/A</v>
      </c>
      <c r="S964" s="353"/>
      <c r="T964" s="353"/>
      <c r="U964" s="353"/>
      <c r="V964" s="353"/>
      <c r="W964" s="353"/>
      <c r="X964" s="353"/>
      <c r="Y964" s="354"/>
      <c r="Z964" s="149"/>
      <c r="AA964" s="151">
        <f>SUMIFS(TblDatabase[Competency7],ListEmployeeNamesInDatabase,$L$4,TblDatabase[Year],C950)</f>
        <v>0</v>
      </c>
      <c r="AB964" s="149"/>
      <c r="AC964" s="149"/>
      <c r="AD964" s="149"/>
      <c r="AE964" s="149"/>
      <c r="AF964" s="149"/>
    </row>
    <row r="965" spans="2:32" s="148" customFormat="1" ht="15" hidden="1" customHeight="1">
      <c r="B965" s="355" t="str">
        <f t="shared" si="22"/>
        <v>Initiative/Adaptability</v>
      </c>
      <c r="C965" s="356"/>
      <c r="D965" s="356"/>
      <c r="E965" s="357"/>
      <c r="F965" s="163" t="str">
        <f>IF(Settings!$M$4=Settings!$Y$3,IF($AA965=1,"P",""),IF($AA965=1,"P",""))</f>
        <v/>
      </c>
      <c r="G965" s="164" t="str">
        <f>IF(Settings!$M$4=Settings!$Y$3,IF($AA965=1,"P",""),IF($AA965=2,"P",""))</f>
        <v/>
      </c>
      <c r="H965" s="164" t="str">
        <f>IF(Settings!$M$4=Settings!$Y$3,IF($AA965=1,"P",""),IF($AA965=3,"P",""))</f>
        <v/>
      </c>
      <c r="I965" s="164" t="str">
        <f>IF(Settings!$M$4=Settings!$Y$3,IF($AA965=1,"P",""),IF($AA965=4,"P",""))</f>
        <v/>
      </c>
      <c r="J965" s="164" t="str">
        <f>IF(Settings!$M$4=Settings!$Y$3,IF($AA965=2,"P",""),IF($AA965=5,"P",""))</f>
        <v/>
      </c>
      <c r="K965" s="164" t="str">
        <f>IF(Settings!$M$4=Settings!$Y$3,IF($AA965=2,"P",""),IF($AA965=6,"P",""))</f>
        <v/>
      </c>
      <c r="L965" s="164" t="str">
        <f>IF(Settings!$M$4=Settings!$Y$3,IF($AA965=2,"P",""),IF($AA965=7,"P",""))</f>
        <v/>
      </c>
      <c r="M965" s="164" t="str">
        <f>IF(Settings!$M$4=Settings!$Y$3,IF($AA965=2,"P",""),IF($AA965=8,"P",""))</f>
        <v/>
      </c>
      <c r="N965" s="164" t="str">
        <f>IF(Settings!$M$4=Settings!$Y$3,IF($AA965=3,"P",""),IF($AA965=9,"P",""))</f>
        <v/>
      </c>
      <c r="O965" s="165" t="str">
        <f>IF(Settings!$M$4=Settings!$Y$3,IF($AA965=3,"P",""),IF($AA965=10,"P",""))</f>
        <v/>
      </c>
      <c r="P965" s="22"/>
      <c r="Q965" s="22"/>
      <c r="R965" s="360" t="e">
        <f>IF(INDEX(TblDatabase[Comment8],MATCH(1,INDEX(($L$4=ListEmployeeNamesInDatabase)*(C950=TblDatabase[Year]),0,1),0))="","",INDEX(TblDatabase[Comment8],MATCH(1,INDEX(($L$4=ListEmployeeNamesInDatabase)*(C950=TblDatabase[Year]),0,1),0)))</f>
        <v>#N/A</v>
      </c>
      <c r="S965" s="360"/>
      <c r="T965" s="360"/>
      <c r="U965" s="360"/>
      <c r="V965" s="360"/>
      <c r="W965" s="360"/>
      <c r="X965" s="360"/>
      <c r="Y965" s="361"/>
      <c r="Z965" s="149"/>
      <c r="AA965" s="151">
        <f>SUMIFS(TblDatabase[Competency8],ListEmployeeNamesInDatabase,$L$4,TblDatabase[Year],C950)</f>
        <v>0</v>
      </c>
      <c r="AB965" s="149"/>
      <c r="AC965" s="149"/>
      <c r="AD965" s="149"/>
      <c r="AE965" s="149"/>
      <c r="AF965" s="149"/>
    </row>
    <row r="966" spans="2:32" s="148" customFormat="1" ht="15" hidden="1" customHeight="1">
      <c r="B966" s="350" t="str">
        <f t="shared" si="22"/>
        <v/>
      </c>
      <c r="C966" s="351"/>
      <c r="D966" s="351"/>
      <c r="E966" s="352"/>
      <c r="F966" s="157" t="str">
        <f>IF(Settings!$M$4=Settings!$Y$3,IF($AA966=1,"P",""),IF($AA966=1,"P",""))</f>
        <v/>
      </c>
      <c r="G966" s="158" t="str">
        <f>IF(Settings!$M$4=Settings!$Y$3,IF($AA966=1,"P",""),IF($AA966=2,"P",""))</f>
        <v/>
      </c>
      <c r="H966" s="158" t="str">
        <f>IF(Settings!$M$4=Settings!$Y$3,IF($AA966=1,"P",""),IF($AA966=3,"P",""))</f>
        <v/>
      </c>
      <c r="I966" s="158" t="str">
        <f>IF(Settings!$M$4=Settings!$Y$3,IF($AA966=1,"P",""),IF($AA966=4,"P",""))</f>
        <v/>
      </c>
      <c r="J966" s="158" t="str">
        <f>IF(Settings!$M$4=Settings!$Y$3,IF($AA966=2,"P",""),IF($AA966=5,"P",""))</f>
        <v/>
      </c>
      <c r="K966" s="158" t="str">
        <f>IF(Settings!$M$4=Settings!$Y$3,IF($AA966=2,"P",""),IF($AA966=6,"P",""))</f>
        <v/>
      </c>
      <c r="L966" s="158" t="str">
        <f>IF(Settings!$M$4=Settings!$Y$3,IF($AA966=2,"P",""),IF($AA966=7,"P",""))</f>
        <v/>
      </c>
      <c r="M966" s="158" t="str">
        <f>IF(Settings!$M$4=Settings!$Y$3,IF($AA966=2,"P",""),IF($AA966=8,"P",""))</f>
        <v/>
      </c>
      <c r="N966" s="158" t="str">
        <f>IF(Settings!$M$4=Settings!$Y$3,IF($AA966=3,"P",""),IF($AA966=9,"P",""))</f>
        <v/>
      </c>
      <c r="O966" s="159" t="str">
        <f>IF(Settings!$M$4=Settings!$Y$3,IF($AA966=3,"P",""),IF($AA966=10,"P",""))</f>
        <v/>
      </c>
      <c r="P966" s="22"/>
      <c r="Q966" s="22"/>
      <c r="R966" s="353" t="e">
        <f>IF(INDEX(TblDatabase[Comment9],MATCH(1,INDEX(($L$4=ListEmployeeNamesInDatabase)*(C950=TblDatabase[Year]),0,1),0))="","",INDEX(TblDatabase[Comment9],MATCH(1,INDEX(($L$4=ListEmployeeNamesInDatabase)*(C950=TblDatabase[Year]),0,1),0)))</f>
        <v>#N/A</v>
      </c>
      <c r="S966" s="353"/>
      <c r="T966" s="353"/>
      <c r="U966" s="353"/>
      <c r="V966" s="353"/>
      <c r="W966" s="353"/>
      <c r="X966" s="353"/>
      <c r="Y966" s="354"/>
      <c r="Z966" s="149"/>
      <c r="AA966" s="151">
        <f>SUMIFS(TblDatabase[Competency9],ListEmployeeNamesInDatabase,$L$4,TblDatabase[Year],C950)</f>
        <v>0</v>
      </c>
      <c r="AB966" s="149"/>
      <c r="AC966" s="149"/>
      <c r="AD966" s="149"/>
      <c r="AE966" s="149"/>
      <c r="AF966" s="149"/>
    </row>
    <row r="967" spans="2:32" s="148" customFormat="1" ht="15" hidden="1" customHeight="1">
      <c r="B967" s="355" t="str">
        <f t="shared" si="22"/>
        <v/>
      </c>
      <c r="C967" s="356"/>
      <c r="D967" s="356"/>
      <c r="E967" s="357"/>
      <c r="F967" s="163" t="str">
        <f>IF(Settings!$M$4=Settings!$Y$3,IF($AA967=1,"P",""),IF($AA967=1,"P",""))</f>
        <v/>
      </c>
      <c r="G967" s="164" t="str">
        <f>IF(Settings!$M$4=Settings!$Y$3,IF($AA967=1,"P",""),IF($AA967=2,"P",""))</f>
        <v/>
      </c>
      <c r="H967" s="164" t="str">
        <f>IF(Settings!$M$4=Settings!$Y$3,IF($AA967=1,"P",""),IF($AA967=3,"P",""))</f>
        <v/>
      </c>
      <c r="I967" s="164" t="str">
        <f>IF(Settings!$M$4=Settings!$Y$3,IF($AA967=1,"P",""),IF($AA967=4,"P",""))</f>
        <v/>
      </c>
      <c r="J967" s="164" t="str">
        <f>IF(Settings!$M$4=Settings!$Y$3,IF($AA967=2,"P",""),IF($AA967=5,"P",""))</f>
        <v/>
      </c>
      <c r="K967" s="164" t="str">
        <f>IF(Settings!$M$4=Settings!$Y$3,IF($AA967=2,"P",""),IF($AA967=6,"P",""))</f>
        <v/>
      </c>
      <c r="L967" s="164" t="str">
        <f>IF(Settings!$M$4=Settings!$Y$3,IF($AA967=2,"P",""),IF($AA967=7,"P",""))</f>
        <v/>
      </c>
      <c r="M967" s="164" t="str">
        <f>IF(Settings!$M$4=Settings!$Y$3,IF($AA967=2,"P",""),IF($AA967=8,"P",""))</f>
        <v/>
      </c>
      <c r="N967" s="164" t="str">
        <f>IF(Settings!$M$4=Settings!$Y$3,IF($AA967=3,"P",""),IF($AA967=9,"P",""))</f>
        <v/>
      </c>
      <c r="O967" s="165" t="str">
        <f>IF(Settings!$M$4=Settings!$Y$3,IF($AA967=3,"P",""),IF($AA967=10,"P",""))</f>
        <v/>
      </c>
      <c r="P967" s="22"/>
      <c r="Q967" s="22"/>
      <c r="R967" s="360" t="e">
        <f>IF(INDEX(TblDatabase[Comment10],MATCH(1,INDEX(($L$4=ListEmployeeNamesInDatabase)*(C950=TblDatabase[Year]),0,1),0))="","",INDEX(TblDatabase[Comment10],MATCH(1,INDEX(($L$4=ListEmployeeNamesInDatabase)*(C950=TblDatabase[Year]),0,1),0)))</f>
        <v>#N/A</v>
      </c>
      <c r="S967" s="360"/>
      <c r="T967" s="360"/>
      <c r="U967" s="360"/>
      <c r="V967" s="360"/>
      <c r="W967" s="360"/>
      <c r="X967" s="360"/>
      <c r="Y967" s="361"/>
      <c r="Z967" s="149"/>
      <c r="AA967" s="151">
        <f>SUMIFS(TblDatabase[Competency10],ListEmployeeNamesInDatabase,$L$4,TblDatabase[Year],C950)</f>
        <v>0</v>
      </c>
      <c r="AB967" s="149"/>
      <c r="AC967" s="149"/>
      <c r="AD967" s="149"/>
      <c r="AE967" s="149"/>
      <c r="AF967" s="149"/>
    </row>
    <row r="968" spans="2:32" s="148" customFormat="1" ht="15" hidden="1" customHeight="1">
      <c r="B968" s="350" t="str">
        <f t="shared" si="22"/>
        <v/>
      </c>
      <c r="C968" s="351"/>
      <c r="D968" s="351"/>
      <c r="E968" s="352"/>
      <c r="F968" s="157" t="str">
        <f>IF(Settings!$M$4=Settings!$Y$3,IF($AA968=1,"P",""),IF($AA968=1,"P",""))</f>
        <v/>
      </c>
      <c r="G968" s="158" t="str">
        <f>IF(Settings!$M$4=Settings!$Y$3,IF($AA968=1,"P",""),IF($AA968=2,"P",""))</f>
        <v/>
      </c>
      <c r="H968" s="158" t="str">
        <f>IF(Settings!$M$4=Settings!$Y$3,IF($AA968=1,"P",""),IF($AA968=3,"P",""))</f>
        <v/>
      </c>
      <c r="I968" s="158" t="str">
        <f>IF(Settings!$M$4=Settings!$Y$3,IF($AA968=1,"P",""),IF($AA968=4,"P",""))</f>
        <v/>
      </c>
      <c r="J968" s="158" t="str">
        <f>IF(Settings!$M$4=Settings!$Y$3,IF($AA968=2,"P",""),IF($AA968=5,"P",""))</f>
        <v/>
      </c>
      <c r="K968" s="158" t="str">
        <f>IF(Settings!$M$4=Settings!$Y$3,IF($AA968=2,"P",""),IF($AA968=6,"P",""))</f>
        <v/>
      </c>
      <c r="L968" s="158" t="str">
        <f>IF(Settings!$M$4=Settings!$Y$3,IF($AA968=2,"P",""),IF($AA968=7,"P",""))</f>
        <v/>
      </c>
      <c r="M968" s="158" t="str">
        <f>IF(Settings!$M$4=Settings!$Y$3,IF($AA968=2,"P",""),IF($AA968=8,"P",""))</f>
        <v/>
      </c>
      <c r="N968" s="158" t="str">
        <f>IF(Settings!$M$4=Settings!$Y$3,IF($AA968=3,"P",""),IF($AA968=9,"P",""))</f>
        <v/>
      </c>
      <c r="O968" s="159" t="str">
        <f>IF(Settings!$M$4=Settings!$Y$3,IF($AA968=3,"P",""),IF($AA968=10,"P",""))</f>
        <v/>
      </c>
      <c r="P968" s="22"/>
      <c r="Q968" s="22"/>
      <c r="R968" s="353" t="e">
        <f>IF(INDEX(TblDatabase[Comment11],MATCH(1,INDEX(($L$4=ListEmployeeNamesInDatabase)*(C950=TblDatabase[Year]),0,1),0))="","",INDEX(TblDatabase[Comment11],MATCH(1,INDEX(($L$4=ListEmployeeNamesInDatabase)*(C950=TblDatabase[Year]),0,1),0)))</f>
        <v>#N/A</v>
      </c>
      <c r="S968" s="353"/>
      <c r="T968" s="353"/>
      <c r="U968" s="353"/>
      <c r="V968" s="353"/>
      <c r="W968" s="353"/>
      <c r="X968" s="353"/>
      <c r="Y968" s="354"/>
      <c r="Z968" s="149"/>
      <c r="AA968" s="151">
        <f>SUMIFS(TblDatabase[Competency11],ListEmployeeNamesInDatabase,$L$4,TblDatabase[Year],C950)</f>
        <v>0</v>
      </c>
      <c r="AB968" s="149"/>
      <c r="AC968" s="149"/>
      <c r="AD968" s="149"/>
      <c r="AE968" s="149"/>
      <c r="AF968" s="149"/>
    </row>
    <row r="969" spans="2:32" s="148" customFormat="1" ht="15" hidden="1" customHeight="1">
      <c r="B969" s="355" t="str">
        <f t="shared" si="22"/>
        <v/>
      </c>
      <c r="C969" s="356"/>
      <c r="D969" s="356"/>
      <c r="E969" s="357"/>
      <c r="F969" s="163" t="str">
        <f>IF(Settings!$M$4=Settings!$Y$3,IF($AA969=1,"P",""),IF($AA969=1,"P",""))</f>
        <v/>
      </c>
      <c r="G969" s="164" t="str">
        <f>IF(Settings!$M$4=Settings!$Y$3,IF($AA969=1,"P",""),IF($AA969=2,"P",""))</f>
        <v/>
      </c>
      <c r="H969" s="164" t="str">
        <f>IF(Settings!$M$4=Settings!$Y$3,IF($AA969=1,"P",""),IF($AA969=3,"P",""))</f>
        <v/>
      </c>
      <c r="I969" s="164" t="str">
        <f>IF(Settings!$M$4=Settings!$Y$3,IF($AA969=1,"P",""),IF($AA969=4,"P",""))</f>
        <v/>
      </c>
      <c r="J969" s="164" t="str">
        <f>IF(Settings!$M$4=Settings!$Y$3,IF($AA969=2,"P",""),IF($AA969=5,"P",""))</f>
        <v/>
      </c>
      <c r="K969" s="164" t="str">
        <f>IF(Settings!$M$4=Settings!$Y$3,IF($AA969=2,"P",""),IF($AA969=6,"P",""))</f>
        <v/>
      </c>
      <c r="L969" s="164" t="str">
        <f>IF(Settings!$M$4=Settings!$Y$3,IF($AA969=2,"P",""),IF($AA969=7,"P",""))</f>
        <v/>
      </c>
      <c r="M969" s="164" t="str">
        <f>IF(Settings!$M$4=Settings!$Y$3,IF($AA969=2,"P",""),IF($AA969=8,"P",""))</f>
        <v/>
      </c>
      <c r="N969" s="164" t="str">
        <f>IF(Settings!$M$4=Settings!$Y$3,IF($AA969=3,"P",""),IF($AA969=9,"P",""))</f>
        <v/>
      </c>
      <c r="O969" s="165" t="str">
        <f>IF(Settings!$M$4=Settings!$Y$3,IF($AA969=3,"P",""),IF($AA969=10,"P",""))</f>
        <v/>
      </c>
      <c r="P969" s="22"/>
      <c r="Q969" s="22"/>
      <c r="R969" s="360" t="e">
        <f>IF(INDEX(TblDatabase[Comment12],MATCH(1,INDEX(($L$4=ListEmployeeNamesInDatabase)*(C950=TblDatabase[Year]),0,1),0))="","",INDEX(TblDatabase[Comment12],MATCH(1,INDEX(($L$4=ListEmployeeNamesInDatabase)*(C950=TblDatabase[Year]),0,1),0)))</f>
        <v>#N/A</v>
      </c>
      <c r="S969" s="360"/>
      <c r="T969" s="360"/>
      <c r="U969" s="360"/>
      <c r="V969" s="360"/>
      <c r="W969" s="360"/>
      <c r="X969" s="360"/>
      <c r="Y969" s="361"/>
      <c r="Z969" s="149"/>
      <c r="AA969" s="151">
        <f>SUMIFS(TblDatabase[Competency12],ListEmployeeNamesInDatabase,$L$4,TblDatabase[Year],C950)</f>
        <v>0</v>
      </c>
      <c r="AB969" s="149"/>
      <c r="AC969" s="149"/>
      <c r="AD969" s="149"/>
      <c r="AE969" s="149"/>
      <c r="AF969" s="149"/>
    </row>
    <row r="970" spans="2:32" s="148" customFormat="1" ht="15" hidden="1" customHeight="1">
      <c r="B970" s="350" t="str">
        <f t="shared" si="22"/>
        <v/>
      </c>
      <c r="C970" s="351"/>
      <c r="D970" s="351"/>
      <c r="E970" s="352"/>
      <c r="F970" s="157" t="str">
        <f>IF(Settings!$M$4=Settings!$Y$3,IF($AA970=1,"P",""),IF($AA970=1,"P",""))</f>
        <v/>
      </c>
      <c r="G970" s="158" t="str">
        <f>IF(Settings!$M$4=Settings!$Y$3,IF($AA970=1,"P",""),IF($AA970=2,"P",""))</f>
        <v/>
      </c>
      <c r="H970" s="158" t="str">
        <f>IF(Settings!$M$4=Settings!$Y$3,IF($AA970=1,"P",""),IF($AA970=3,"P",""))</f>
        <v/>
      </c>
      <c r="I970" s="158" t="str">
        <f>IF(Settings!$M$4=Settings!$Y$3,IF($AA970=1,"P",""),IF($AA970=4,"P",""))</f>
        <v/>
      </c>
      <c r="J970" s="158" t="str">
        <f>IF(Settings!$M$4=Settings!$Y$3,IF($AA970=2,"P",""),IF($AA970=5,"P",""))</f>
        <v/>
      </c>
      <c r="K970" s="158" t="str">
        <f>IF(Settings!$M$4=Settings!$Y$3,IF($AA970=2,"P",""),IF($AA970=6,"P",""))</f>
        <v/>
      </c>
      <c r="L970" s="158" t="str">
        <f>IF(Settings!$M$4=Settings!$Y$3,IF($AA970=2,"P",""),IF($AA970=7,"P",""))</f>
        <v/>
      </c>
      <c r="M970" s="158" t="str">
        <f>IF(Settings!$M$4=Settings!$Y$3,IF($AA970=2,"P",""),IF($AA970=8,"P",""))</f>
        <v/>
      </c>
      <c r="N970" s="158" t="str">
        <f>IF(Settings!$M$4=Settings!$Y$3,IF($AA970=3,"P",""),IF($AA970=9,"P",""))</f>
        <v/>
      </c>
      <c r="O970" s="159" t="str">
        <f>IF(Settings!$M$4=Settings!$Y$3,IF($AA970=3,"P",""),IF($AA970=10,"P",""))</f>
        <v/>
      </c>
      <c r="P970" s="22"/>
      <c r="Q970" s="22"/>
      <c r="R970" s="353" t="e">
        <f>IF(INDEX(TblDatabase[Comment13],MATCH(1,INDEX(($L$4=ListEmployeeNamesInDatabase)*(C950=TblDatabase[Year]),0,1),0))="","",INDEX(TblDatabase[Comment13],MATCH(1,INDEX(($L$4=ListEmployeeNamesInDatabase)*(C950=TblDatabase[Year]),0,1),0)))</f>
        <v>#N/A</v>
      </c>
      <c r="S970" s="353"/>
      <c r="T970" s="353"/>
      <c r="U970" s="353"/>
      <c r="V970" s="353"/>
      <c r="W970" s="353"/>
      <c r="X970" s="353"/>
      <c r="Y970" s="354"/>
      <c r="Z970" s="149"/>
      <c r="AA970" s="151">
        <f>SUMIFS(TblDatabase[Competency13],ListEmployeeNamesInDatabase,$L$4,TblDatabase[Year],C950)</f>
        <v>0</v>
      </c>
      <c r="AB970" s="149"/>
      <c r="AC970" s="149"/>
      <c r="AD970" s="149"/>
      <c r="AE970" s="149"/>
      <c r="AF970" s="149"/>
    </row>
    <row r="971" spans="2:32" s="148" customFormat="1" ht="15" hidden="1" customHeight="1">
      <c r="B971" s="355" t="str">
        <f t="shared" si="22"/>
        <v/>
      </c>
      <c r="C971" s="356"/>
      <c r="D971" s="356"/>
      <c r="E971" s="357"/>
      <c r="F971" s="163" t="str">
        <f>IF(Settings!$M$4=Settings!$Y$3,IF($AA971=1,"P",""),IF($AA971=1,"P",""))</f>
        <v/>
      </c>
      <c r="G971" s="164" t="str">
        <f>IF(Settings!$M$4=Settings!$Y$3,IF($AA971=1,"P",""),IF($AA971=2,"P",""))</f>
        <v/>
      </c>
      <c r="H971" s="164" t="str">
        <f>IF(Settings!$M$4=Settings!$Y$3,IF($AA971=1,"P",""),IF($AA971=3,"P",""))</f>
        <v/>
      </c>
      <c r="I971" s="164" t="str">
        <f>IF(Settings!$M$4=Settings!$Y$3,IF($AA971=1,"P",""),IF($AA971=4,"P",""))</f>
        <v/>
      </c>
      <c r="J971" s="164" t="str">
        <f>IF(Settings!$M$4=Settings!$Y$3,IF($AA971=2,"P",""),IF($AA971=5,"P",""))</f>
        <v/>
      </c>
      <c r="K971" s="164" t="str">
        <f>IF(Settings!$M$4=Settings!$Y$3,IF($AA971=2,"P",""),IF($AA971=6,"P",""))</f>
        <v/>
      </c>
      <c r="L971" s="164" t="str">
        <f>IF(Settings!$M$4=Settings!$Y$3,IF($AA971=2,"P",""),IF($AA971=7,"P",""))</f>
        <v/>
      </c>
      <c r="M971" s="164" t="str">
        <f>IF(Settings!$M$4=Settings!$Y$3,IF($AA971=2,"P",""),IF($AA971=8,"P",""))</f>
        <v/>
      </c>
      <c r="N971" s="164" t="str">
        <f>IF(Settings!$M$4=Settings!$Y$3,IF($AA971=3,"P",""),IF($AA971=9,"P",""))</f>
        <v/>
      </c>
      <c r="O971" s="165" t="str">
        <f>IF(Settings!$M$4=Settings!$Y$3,IF($AA971=3,"P",""),IF($AA971=10,"P",""))</f>
        <v/>
      </c>
      <c r="P971" s="22"/>
      <c r="Q971" s="22"/>
      <c r="R971" s="360" t="e">
        <f>IF(INDEX(TblDatabase[Comment14],MATCH(1,INDEX(($L$4=ListEmployeeNamesInDatabase)*(C950=TblDatabase[Year]),0,1),0))="","",INDEX(TblDatabase[Comment14],MATCH(1,INDEX(($L$4=ListEmployeeNamesInDatabase)*(C950=TblDatabase[Year]),0,1),0)))</f>
        <v>#N/A</v>
      </c>
      <c r="S971" s="360"/>
      <c r="T971" s="360"/>
      <c r="U971" s="360"/>
      <c r="V971" s="360"/>
      <c r="W971" s="360"/>
      <c r="X971" s="360"/>
      <c r="Y971" s="361"/>
      <c r="Z971" s="149"/>
      <c r="AA971" s="151">
        <f>SUMIFS(TblDatabase[Competency14],ListEmployeeNamesInDatabase,$L$4,TblDatabase[Year],C950)</f>
        <v>0</v>
      </c>
      <c r="AB971" s="149"/>
      <c r="AC971" s="149"/>
      <c r="AD971" s="149"/>
      <c r="AE971" s="149"/>
      <c r="AF971" s="149"/>
    </row>
    <row r="972" spans="2:32" s="148" customFormat="1" ht="15" hidden="1" customHeight="1">
      <c r="B972" s="350" t="str">
        <f t="shared" si="22"/>
        <v/>
      </c>
      <c r="C972" s="351"/>
      <c r="D972" s="351"/>
      <c r="E972" s="352"/>
      <c r="F972" s="157" t="str">
        <f>IF(Settings!$M$4=Settings!$Y$3,IF($AA972=1,"P",""),IF($AA972=1,"P",""))</f>
        <v/>
      </c>
      <c r="G972" s="158" t="str">
        <f>IF(Settings!$M$4=Settings!$Y$3,IF($AA972=1,"P",""),IF($AA972=2,"P",""))</f>
        <v/>
      </c>
      <c r="H972" s="158" t="str">
        <f>IF(Settings!$M$4=Settings!$Y$3,IF($AA972=1,"P",""),IF($AA972=3,"P",""))</f>
        <v/>
      </c>
      <c r="I972" s="158" t="str">
        <f>IF(Settings!$M$4=Settings!$Y$3,IF($AA972=1,"P",""),IF($AA972=4,"P",""))</f>
        <v/>
      </c>
      <c r="J972" s="158" t="str">
        <f>IF(Settings!$M$4=Settings!$Y$3,IF($AA972=2,"P",""),IF($AA972=5,"P",""))</f>
        <v/>
      </c>
      <c r="K972" s="158" t="str">
        <f>IF(Settings!$M$4=Settings!$Y$3,IF($AA972=2,"P",""),IF($AA972=6,"P",""))</f>
        <v/>
      </c>
      <c r="L972" s="158" t="str">
        <f>IF(Settings!$M$4=Settings!$Y$3,IF($AA972=2,"P",""),IF($AA972=7,"P",""))</f>
        <v/>
      </c>
      <c r="M972" s="158" t="str">
        <f>IF(Settings!$M$4=Settings!$Y$3,IF($AA972=2,"P",""),IF($AA972=8,"P",""))</f>
        <v/>
      </c>
      <c r="N972" s="158" t="str">
        <f>IF(Settings!$M$4=Settings!$Y$3,IF($AA972=3,"P",""),IF($AA972=9,"P",""))</f>
        <v/>
      </c>
      <c r="O972" s="159" t="str">
        <f>IF(Settings!$M$4=Settings!$Y$3,IF($AA972=3,"P",""),IF($AA972=10,"P",""))</f>
        <v/>
      </c>
      <c r="P972" s="22"/>
      <c r="Q972" s="22"/>
      <c r="R972" s="353" t="e">
        <f>IF(INDEX(TblDatabase[Comment15],MATCH(1,INDEX(($L$4=ListEmployeeNamesInDatabase)*(C950=TblDatabase[Year]),0,1),0))="","",INDEX(TblDatabase[Comment15],MATCH(1,INDEX(($L$4=ListEmployeeNamesInDatabase)*(C950=TblDatabase[Year]),0,1),0)))</f>
        <v>#N/A</v>
      </c>
      <c r="S972" s="353"/>
      <c r="T972" s="353"/>
      <c r="U972" s="353"/>
      <c r="V972" s="353"/>
      <c r="W972" s="353"/>
      <c r="X972" s="353"/>
      <c r="Y972" s="354"/>
      <c r="Z972" s="149"/>
      <c r="AA972" s="151">
        <f>SUMIFS(TblDatabase[Competency15],ListEmployeeNamesInDatabase,$L$4,TblDatabase[Year],C950)</f>
        <v>0</v>
      </c>
      <c r="AB972" s="149"/>
      <c r="AC972" s="149"/>
      <c r="AD972" s="149"/>
      <c r="AE972" s="149"/>
      <c r="AF972" s="149"/>
    </row>
    <row r="973" spans="2:32" s="148" customFormat="1" ht="15" hidden="1" customHeight="1">
      <c r="B973" s="355" t="str">
        <f t="shared" si="22"/>
        <v/>
      </c>
      <c r="C973" s="356"/>
      <c r="D973" s="356"/>
      <c r="E973" s="357"/>
      <c r="F973" s="163" t="str">
        <f>IF(Settings!$M$4=Settings!$Y$3,IF($AA973=1,"P",""),IF($AA973=1,"P",""))</f>
        <v/>
      </c>
      <c r="G973" s="164" t="str">
        <f>IF(Settings!$M$4=Settings!$Y$3,IF($AA973=1,"P",""),IF($AA973=2,"P",""))</f>
        <v/>
      </c>
      <c r="H973" s="164" t="str">
        <f>IF(Settings!$M$4=Settings!$Y$3,IF($AA973=1,"P",""),IF($AA973=3,"P",""))</f>
        <v/>
      </c>
      <c r="I973" s="164" t="str">
        <f>IF(Settings!$M$4=Settings!$Y$3,IF($AA973=1,"P",""),IF($AA973=4,"P",""))</f>
        <v/>
      </c>
      <c r="J973" s="164" t="str">
        <f>IF(Settings!$M$4=Settings!$Y$3,IF($AA973=2,"P",""),IF($AA973=5,"P",""))</f>
        <v/>
      </c>
      <c r="K973" s="164" t="str">
        <f>IF(Settings!$M$4=Settings!$Y$3,IF($AA973=2,"P",""),IF($AA973=6,"P",""))</f>
        <v/>
      </c>
      <c r="L973" s="164" t="str">
        <f>IF(Settings!$M$4=Settings!$Y$3,IF($AA973=2,"P",""),IF($AA973=7,"P",""))</f>
        <v/>
      </c>
      <c r="M973" s="164" t="str">
        <f>IF(Settings!$M$4=Settings!$Y$3,IF($AA973=2,"P",""),IF($AA973=8,"P",""))</f>
        <v/>
      </c>
      <c r="N973" s="164" t="str">
        <f>IF(Settings!$M$4=Settings!$Y$3,IF($AA973=3,"P",""),IF($AA973=9,"P",""))</f>
        <v/>
      </c>
      <c r="O973" s="165" t="str">
        <f>IF(Settings!$M$4=Settings!$Y$3,IF($AA973=3,"P",""),IF($AA973=10,"P",""))</f>
        <v/>
      </c>
      <c r="P973" s="22"/>
      <c r="Q973" s="22"/>
      <c r="R973" s="360" t="e">
        <f>IF(INDEX(TblDatabase[Comment16],MATCH(1,INDEX(($L$4=ListEmployeeNamesInDatabase)*(C950=TblDatabase[Year]),0,1),0))="","",INDEX(TblDatabase[Comment16],MATCH(1,INDEX(($L$4=ListEmployeeNamesInDatabase)*(C950=TblDatabase[Year]),0,1),0)))</f>
        <v>#N/A</v>
      </c>
      <c r="S973" s="360"/>
      <c r="T973" s="360"/>
      <c r="U973" s="360"/>
      <c r="V973" s="360"/>
      <c r="W973" s="360"/>
      <c r="X973" s="360"/>
      <c r="Y973" s="361"/>
      <c r="Z973" s="149"/>
      <c r="AA973" s="151">
        <f>SUMIFS(TblDatabase[Competency16],ListEmployeeNamesInDatabase,$L$4,TblDatabase[Year],C950)</f>
        <v>0</v>
      </c>
      <c r="AB973" s="149"/>
      <c r="AC973" s="149"/>
      <c r="AD973" s="149"/>
      <c r="AE973" s="149"/>
      <c r="AF973" s="149"/>
    </row>
    <row r="974" spans="2:32" s="148" customFormat="1" ht="15" hidden="1" customHeight="1">
      <c r="B974" s="350" t="str">
        <f t="shared" si="22"/>
        <v/>
      </c>
      <c r="C974" s="351"/>
      <c r="D974" s="351"/>
      <c r="E974" s="352"/>
      <c r="F974" s="157" t="str">
        <f>IF(Settings!$M$4=Settings!$Y$3,IF($AA974=1,"P",""),IF($AA974=1,"P",""))</f>
        <v/>
      </c>
      <c r="G974" s="158" t="str">
        <f>IF(Settings!$M$4=Settings!$Y$3,IF($AA974=1,"P",""),IF($AA974=2,"P",""))</f>
        <v/>
      </c>
      <c r="H974" s="158" t="str">
        <f>IF(Settings!$M$4=Settings!$Y$3,IF($AA974=1,"P",""),IF($AA974=3,"P",""))</f>
        <v/>
      </c>
      <c r="I974" s="158" t="str">
        <f>IF(Settings!$M$4=Settings!$Y$3,IF($AA974=1,"P",""),IF($AA974=4,"P",""))</f>
        <v/>
      </c>
      <c r="J974" s="158" t="str">
        <f>IF(Settings!$M$4=Settings!$Y$3,IF($AA974=2,"P",""),IF($AA974=5,"P",""))</f>
        <v/>
      </c>
      <c r="K974" s="158" t="str">
        <f>IF(Settings!$M$4=Settings!$Y$3,IF($AA974=2,"P",""),IF($AA974=6,"P",""))</f>
        <v/>
      </c>
      <c r="L974" s="158" t="str">
        <f>IF(Settings!$M$4=Settings!$Y$3,IF($AA974=2,"P",""),IF($AA974=7,"P",""))</f>
        <v/>
      </c>
      <c r="M974" s="158" t="str">
        <f>IF(Settings!$M$4=Settings!$Y$3,IF($AA974=2,"P",""),IF($AA974=8,"P",""))</f>
        <v/>
      </c>
      <c r="N974" s="158" t="str">
        <f>IF(Settings!$M$4=Settings!$Y$3,IF($AA974=3,"P",""),IF($AA974=9,"P",""))</f>
        <v/>
      </c>
      <c r="O974" s="159" t="str">
        <f>IF(Settings!$M$4=Settings!$Y$3,IF($AA974=3,"P",""),IF($AA974=10,"P",""))</f>
        <v/>
      </c>
      <c r="P974" s="22"/>
      <c r="Q974" s="22"/>
      <c r="R974" s="353" t="e">
        <f>IF(INDEX(TblDatabase[Comment17],MATCH(1,INDEX(($L$4=ListEmployeeNamesInDatabase)*(C950=TblDatabase[Year]),0,1),0))="","",INDEX(TblDatabase[Comment17],MATCH(1,INDEX(($L$4=ListEmployeeNamesInDatabase)*(C950=TblDatabase[Year]),0,1),0)))</f>
        <v>#N/A</v>
      </c>
      <c r="S974" s="353"/>
      <c r="T974" s="353"/>
      <c r="U974" s="353"/>
      <c r="V974" s="353"/>
      <c r="W974" s="353"/>
      <c r="X974" s="353"/>
      <c r="Y974" s="354"/>
      <c r="Z974" s="149"/>
      <c r="AA974" s="151">
        <f>SUMIFS(TblDatabase[Competency17],ListEmployeeNamesInDatabase,$L$4,TblDatabase[Year],C950)</f>
        <v>0</v>
      </c>
      <c r="AB974" s="149"/>
      <c r="AC974" s="149"/>
      <c r="AD974" s="149"/>
      <c r="AE974" s="149"/>
      <c r="AF974" s="149"/>
    </row>
    <row r="975" spans="2:32" s="148" customFormat="1" ht="15" hidden="1" customHeight="1">
      <c r="B975" s="355" t="str">
        <f t="shared" si="22"/>
        <v/>
      </c>
      <c r="C975" s="356"/>
      <c r="D975" s="356"/>
      <c r="E975" s="357"/>
      <c r="F975" s="163" t="str">
        <f>IF(Settings!$M$4=Settings!$Y$3,IF($AA975=1,"P",""),IF($AA975=1,"P",""))</f>
        <v/>
      </c>
      <c r="G975" s="164" t="str">
        <f>IF(Settings!$M$4=Settings!$Y$3,IF($AA975=1,"P",""),IF($AA975=2,"P",""))</f>
        <v/>
      </c>
      <c r="H975" s="164" t="str">
        <f>IF(Settings!$M$4=Settings!$Y$3,IF($AA975=1,"P",""),IF($AA975=3,"P",""))</f>
        <v/>
      </c>
      <c r="I975" s="164" t="str">
        <f>IF(Settings!$M$4=Settings!$Y$3,IF($AA975=1,"P",""),IF($AA975=4,"P",""))</f>
        <v/>
      </c>
      <c r="J975" s="164" t="str">
        <f>IF(Settings!$M$4=Settings!$Y$3,IF($AA975=2,"P",""),IF($AA975=5,"P",""))</f>
        <v/>
      </c>
      <c r="K975" s="164" t="str">
        <f>IF(Settings!$M$4=Settings!$Y$3,IF($AA975=2,"P",""),IF($AA975=6,"P",""))</f>
        <v/>
      </c>
      <c r="L975" s="164" t="str">
        <f>IF(Settings!$M$4=Settings!$Y$3,IF($AA975=2,"P",""),IF($AA975=7,"P",""))</f>
        <v/>
      </c>
      <c r="M975" s="164" t="str">
        <f>IF(Settings!$M$4=Settings!$Y$3,IF($AA975=2,"P",""),IF($AA975=8,"P",""))</f>
        <v/>
      </c>
      <c r="N975" s="164" t="str">
        <f>IF(Settings!$M$4=Settings!$Y$3,IF($AA975=3,"P",""),IF($AA975=9,"P",""))</f>
        <v/>
      </c>
      <c r="O975" s="165" t="str">
        <f>IF(Settings!$M$4=Settings!$Y$3,IF($AA975=3,"P",""),IF($AA975=10,"P",""))</f>
        <v/>
      </c>
      <c r="P975" s="22"/>
      <c r="Q975" s="22"/>
      <c r="R975" s="360" t="e">
        <f>IF(INDEX(TblDatabase[Comment18],MATCH(1,INDEX(($L$4=ListEmployeeNamesInDatabase)*(C950=TblDatabase[Year]),0,1),0))="","",INDEX(TblDatabase[Comment18],MATCH(1,INDEX(($L$4=ListEmployeeNamesInDatabase)*(C950=TblDatabase[Year]),0,1),0)))</f>
        <v>#N/A</v>
      </c>
      <c r="S975" s="360"/>
      <c r="T975" s="360"/>
      <c r="U975" s="360"/>
      <c r="V975" s="360"/>
      <c r="W975" s="360"/>
      <c r="X975" s="360"/>
      <c r="Y975" s="361"/>
      <c r="Z975" s="149"/>
      <c r="AA975" s="151">
        <f>SUMIFS(TblDatabase[Competency18],ListEmployeeNamesInDatabase,$L$4,TblDatabase[Year],C950)</f>
        <v>0</v>
      </c>
      <c r="AB975" s="149"/>
      <c r="AC975" s="149"/>
      <c r="AD975" s="149"/>
      <c r="AE975" s="149"/>
      <c r="AF975" s="149"/>
    </row>
    <row r="976" spans="2:32" s="148" customFormat="1" ht="15" hidden="1" customHeight="1">
      <c r="B976" s="350" t="str">
        <f t="shared" si="22"/>
        <v/>
      </c>
      <c r="C976" s="351"/>
      <c r="D976" s="351"/>
      <c r="E976" s="352"/>
      <c r="F976" s="157" t="str">
        <f>IF(Settings!$M$4=Settings!$Y$3,IF($AA976=1,"P",""),IF($AA976=1,"P",""))</f>
        <v/>
      </c>
      <c r="G976" s="158" t="str">
        <f>IF(Settings!$M$4=Settings!$Y$3,IF($AA976=1,"P",""),IF($AA976=2,"P",""))</f>
        <v/>
      </c>
      <c r="H976" s="158" t="str">
        <f>IF(Settings!$M$4=Settings!$Y$3,IF($AA976=1,"P",""),IF($AA976=3,"P",""))</f>
        <v/>
      </c>
      <c r="I976" s="158" t="str">
        <f>IF(Settings!$M$4=Settings!$Y$3,IF($AA976=1,"P",""),IF($AA976=4,"P",""))</f>
        <v/>
      </c>
      <c r="J976" s="158" t="str">
        <f>IF(Settings!$M$4=Settings!$Y$3,IF($AA976=2,"P",""),IF($AA976=5,"P",""))</f>
        <v/>
      </c>
      <c r="K976" s="158" t="str">
        <f>IF(Settings!$M$4=Settings!$Y$3,IF($AA976=2,"P",""),IF($AA976=6,"P",""))</f>
        <v/>
      </c>
      <c r="L976" s="158" t="str">
        <f>IF(Settings!$M$4=Settings!$Y$3,IF($AA976=2,"P",""),IF($AA976=7,"P",""))</f>
        <v/>
      </c>
      <c r="M976" s="158" t="str">
        <f>IF(Settings!$M$4=Settings!$Y$3,IF($AA976=2,"P",""),IF($AA976=8,"P",""))</f>
        <v/>
      </c>
      <c r="N976" s="158" t="str">
        <f>IF(Settings!$M$4=Settings!$Y$3,IF($AA976=3,"P",""),IF($AA976=9,"P",""))</f>
        <v/>
      </c>
      <c r="O976" s="159" t="str">
        <f>IF(Settings!$M$4=Settings!$Y$3,IF($AA976=3,"P",""),IF($AA976=10,"P",""))</f>
        <v/>
      </c>
      <c r="P976" s="22"/>
      <c r="Q976" s="22"/>
      <c r="R976" s="353" t="e">
        <f>IF(INDEX(TblDatabase[Comment19],MATCH(1,INDEX(($L$4=ListEmployeeNamesInDatabase)*(C950=TblDatabase[Year]),0,1),0))="","",INDEX(TblDatabase[Comment19],MATCH(1,INDEX(($L$4=ListEmployeeNamesInDatabase)*(C950=TblDatabase[Year]),0,1),0)))</f>
        <v>#N/A</v>
      </c>
      <c r="S976" s="353"/>
      <c r="T976" s="353"/>
      <c r="U976" s="353"/>
      <c r="V976" s="353"/>
      <c r="W976" s="353"/>
      <c r="X976" s="353"/>
      <c r="Y976" s="354"/>
      <c r="Z976" s="149"/>
      <c r="AA976" s="151">
        <f>SUMIFS(TblDatabase[Competency19],ListEmployeeNamesInDatabase,$L$4,TblDatabase[Year],C950)</f>
        <v>0</v>
      </c>
      <c r="AB976" s="149"/>
      <c r="AC976" s="149"/>
      <c r="AD976" s="149"/>
      <c r="AE976" s="149"/>
      <c r="AF976" s="149"/>
    </row>
    <row r="977" spans="1:32" s="148" customFormat="1" ht="15" hidden="1" customHeight="1">
      <c r="B977" s="362" t="str">
        <f t="shared" si="22"/>
        <v/>
      </c>
      <c r="C977" s="363"/>
      <c r="D977" s="363"/>
      <c r="E977" s="364"/>
      <c r="F977" s="166" t="str">
        <f>IF(Settings!$M$4=Settings!$Y$3,IF($AA977=1,"P",""),IF($AA977=1,"P",""))</f>
        <v/>
      </c>
      <c r="G977" s="167" t="str">
        <f>IF(Settings!$M$4=Settings!$Y$3,IF($AA977=1,"P",""),IF($AA977=2,"P",""))</f>
        <v/>
      </c>
      <c r="H977" s="167" t="str">
        <f>IF(Settings!$M$4=Settings!$Y$3,IF($AA977=1,"P",""),IF($AA977=3,"P",""))</f>
        <v/>
      </c>
      <c r="I977" s="167" t="str">
        <f>IF(Settings!$M$4=Settings!$Y$3,IF($AA977=1,"P",""),IF($AA977=4,"P",""))</f>
        <v/>
      </c>
      <c r="J977" s="167" t="str">
        <f>IF(Settings!$M$4=Settings!$Y$3,IF($AA977=2,"P",""),IF($AA977=5,"P",""))</f>
        <v/>
      </c>
      <c r="K977" s="167" t="str">
        <f>IF(Settings!$M$4=Settings!$Y$3,IF($AA977=2,"P",""),IF($AA977=6,"P",""))</f>
        <v/>
      </c>
      <c r="L977" s="167" t="str">
        <f>IF(Settings!$M$4=Settings!$Y$3,IF($AA977=2,"P",""),IF($AA977=7,"P",""))</f>
        <v/>
      </c>
      <c r="M977" s="167" t="str">
        <f>IF(Settings!$M$4=Settings!$Y$3,IF($AA977=2,"P",""),IF($AA977=8,"P",""))</f>
        <v/>
      </c>
      <c r="N977" s="167" t="str">
        <f>IF(Settings!$M$4=Settings!$Y$3,IF($AA977=3,"P",""),IF($AA977=9,"P",""))</f>
        <v/>
      </c>
      <c r="O977" s="168" t="str">
        <f>IF(Settings!$M$4=Settings!$Y$3,IF($AA977=3,"P",""),IF($AA977=10,"P",""))</f>
        <v/>
      </c>
      <c r="P977" s="22"/>
      <c r="Q977" s="22"/>
      <c r="R977" s="365" t="e">
        <f>IF(INDEX(TblDatabase[Comment20],MATCH(1,INDEX(($L$4=ListEmployeeNamesInDatabase)*(C950=TblDatabase[Year]),0,1),0))="","",INDEX(TblDatabase[Comment20],MATCH(1,INDEX(($L$4=ListEmployeeNamesInDatabase)*(C950=TblDatabase[Year]),0,1),0)))</f>
        <v>#N/A</v>
      </c>
      <c r="S977" s="365"/>
      <c r="T977" s="365"/>
      <c r="U977" s="365"/>
      <c r="V977" s="365"/>
      <c r="W977" s="365"/>
      <c r="X977" s="365"/>
      <c r="Y977" s="366"/>
      <c r="Z977" s="149"/>
      <c r="AA977" s="151">
        <f>SUMIFS(TblDatabase[Competency20],ListEmployeeNamesInDatabase,$L$4,TblDatabase[Year],C950)</f>
        <v>0</v>
      </c>
      <c r="AB977" s="149"/>
      <c r="AC977" s="149"/>
      <c r="AD977" s="149"/>
      <c r="AE977" s="149"/>
      <c r="AF977" s="149"/>
    </row>
    <row r="978" spans="1:32" s="148" customFormat="1" hidden="1">
      <c r="B978" s="414" t="s">
        <v>26</v>
      </c>
      <c r="C978" s="415"/>
      <c r="D978" s="415"/>
      <c r="E978" s="371">
        <f ca="1">SUM(OFFSET(AA958,0,0,NumberOfCompetencies))</f>
        <v>0</v>
      </c>
      <c r="F978" s="372"/>
      <c r="G978" s="152"/>
      <c r="H978" s="152"/>
      <c r="I978" s="152"/>
      <c r="J978" s="152"/>
      <c r="K978" s="152"/>
      <c r="L978" s="152"/>
      <c r="M978" s="152"/>
      <c r="N978" s="152"/>
      <c r="O978" s="152"/>
      <c r="P978" s="152"/>
      <c r="Q978" s="152"/>
      <c r="R978" s="152"/>
      <c r="S978" s="152"/>
      <c r="T978" s="152"/>
      <c r="U978" s="152"/>
      <c r="V978" s="152"/>
      <c r="W978" s="152"/>
      <c r="X978" s="152"/>
      <c r="Y978" s="152"/>
      <c r="Z978" s="149"/>
      <c r="AA978" s="149"/>
      <c r="AB978" s="149"/>
      <c r="AC978" s="149"/>
      <c r="AD978" s="149"/>
      <c r="AE978" s="149"/>
      <c r="AF978" s="149"/>
    </row>
    <row r="979" spans="1:32" s="148" customFormat="1" hidden="1">
      <c r="B979" s="369" t="s">
        <v>27</v>
      </c>
      <c r="C979" s="370"/>
      <c r="D979" s="370"/>
      <c r="E979" s="358">
        <f ca="1">E978/NumberOfCompetencies</f>
        <v>0</v>
      </c>
      <c r="F979" s="359"/>
      <c r="G979" s="153"/>
      <c r="H979" s="153"/>
      <c r="I979" s="153"/>
      <c r="J979" s="153"/>
      <c r="K979" s="153"/>
      <c r="L979" s="153"/>
      <c r="M979" s="153"/>
      <c r="N979" s="153"/>
      <c r="O979" s="153"/>
      <c r="P979" s="153"/>
      <c r="Q979" s="153"/>
      <c r="R979" s="153"/>
      <c r="S979" s="153"/>
      <c r="T979" s="153"/>
      <c r="U979" s="153"/>
      <c r="V979" s="153"/>
      <c r="W979" s="153"/>
      <c r="X979" s="153"/>
      <c r="Y979" s="153"/>
      <c r="Z979" s="149"/>
      <c r="AA979" s="149"/>
      <c r="AB979" s="149"/>
      <c r="AC979" s="149"/>
      <c r="AD979" s="149"/>
      <c r="AE979" s="149"/>
      <c r="AF979" s="149"/>
    </row>
    <row r="980" spans="1:32" s="148" customFormat="1" hidden="1">
      <c r="B980" s="154"/>
      <c r="C980" s="154"/>
      <c r="D980" s="154"/>
      <c r="E980" s="154"/>
      <c r="F980" s="154"/>
      <c r="G980" s="154"/>
      <c r="H980" s="154"/>
      <c r="I980" s="154"/>
      <c r="J980" s="154"/>
      <c r="K980" s="154"/>
      <c r="L980" s="154"/>
      <c r="M980" s="154"/>
      <c r="N980" s="154"/>
      <c r="O980" s="154"/>
      <c r="P980" s="154"/>
      <c r="Q980" s="154"/>
      <c r="R980" s="154"/>
      <c r="S980" s="154"/>
      <c r="T980" s="154"/>
      <c r="U980" s="154"/>
      <c r="V980" s="154"/>
      <c r="W980" s="154"/>
      <c r="X980" s="154"/>
      <c r="Y980" s="154"/>
      <c r="Z980" s="149"/>
      <c r="AA980" s="149"/>
      <c r="AB980" s="149"/>
      <c r="AC980" s="149"/>
      <c r="AD980" s="149"/>
      <c r="AE980" s="149"/>
      <c r="AF980" s="149"/>
    </row>
    <row r="981" spans="1:32" s="148" customFormat="1" hidden="1">
      <c r="B981" s="338" t="str">
        <f>Settings!$N$15</f>
        <v>Previously agreed actions</v>
      </c>
      <c r="C981" s="339"/>
      <c r="D981" s="339"/>
      <c r="E981" s="339"/>
      <c r="F981" s="339"/>
      <c r="G981" s="339"/>
      <c r="H981" s="339"/>
      <c r="I981" s="339"/>
      <c r="J981" s="339"/>
      <c r="K981" s="339"/>
      <c r="L981" s="339"/>
      <c r="M981" s="339"/>
      <c r="N981" s="339"/>
      <c r="O981" s="339"/>
      <c r="P981" s="339"/>
      <c r="Q981" s="339"/>
      <c r="R981" s="339"/>
      <c r="S981" s="339"/>
      <c r="T981" s="339"/>
      <c r="U981" s="339"/>
      <c r="V981" s="339"/>
      <c r="W981" s="339"/>
      <c r="X981" s="339"/>
      <c r="Y981" s="340"/>
      <c r="Z981" s="149"/>
      <c r="AA981" s="149"/>
      <c r="AB981" s="149"/>
      <c r="AC981" s="149"/>
      <c r="AD981" s="149"/>
      <c r="AE981" s="149"/>
      <c r="AF981" s="149"/>
    </row>
    <row r="982" spans="1:32" s="148" customFormat="1" hidden="1">
      <c r="B982" s="341" t="e">
        <f>IF(INDEX(TblDatabase[Feedback Does Well],MATCH(1,INDEX(($L$4=ListEmployeeNamesInDatabase)*(C950=TblDatabase[Year]),0,1),0))="","",INDEX(TblDatabase[Feedback Does Well],MATCH(1,INDEX(($L$4=ListEmployeeNamesInDatabase)*(C950=TblDatabase[Year]),0,1),0)))</f>
        <v>#N/A</v>
      </c>
      <c r="C982" s="342"/>
      <c r="D982" s="342"/>
      <c r="E982" s="342"/>
      <c r="F982" s="342"/>
      <c r="G982" s="342"/>
      <c r="H982" s="342"/>
      <c r="I982" s="342"/>
      <c r="J982" s="342"/>
      <c r="K982" s="342"/>
      <c r="L982" s="342"/>
      <c r="M982" s="342"/>
      <c r="N982" s="342"/>
      <c r="O982" s="342"/>
      <c r="P982" s="342"/>
      <c r="Q982" s="342"/>
      <c r="R982" s="342"/>
      <c r="S982" s="342"/>
      <c r="T982" s="342"/>
      <c r="U982" s="342"/>
      <c r="V982" s="342"/>
      <c r="W982" s="342"/>
      <c r="X982" s="342"/>
      <c r="Y982" s="343"/>
      <c r="Z982" s="149"/>
      <c r="AA982" s="149"/>
      <c r="AB982" s="149"/>
      <c r="AC982" s="149"/>
      <c r="AD982" s="149"/>
      <c r="AE982" s="149"/>
      <c r="AF982" s="149"/>
    </row>
    <row r="983" spans="1:32" s="148" customFormat="1" hidden="1">
      <c r="B983" s="344"/>
      <c r="C983" s="345"/>
      <c r="D983" s="345"/>
      <c r="E983" s="345"/>
      <c r="F983" s="345"/>
      <c r="G983" s="345"/>
      <c r="H983" s="345"/>
      <c r="I983" s="345"/>
      <c r="J983" s="345"/>
      <c r="K983" s="345"/>
      <c r="L983" s="345"/>
      <c r="M983" s="345"/>
      <c r="N983" s="345"/>
      <c r="O983" s="345"/>
      <c r="P983" s="345"/>
      <c r="Q983" s="345"/>
      <c r="R983" s="345"/>
      <c r="S983" s="345"/>
      <c r="T983" s="345"/>
      <c r="U983" s="345"/>
      <c r="V983" s="345"/>
      <c r="W983" s="345"/>
      <c r="X983" s="345"/>
      <c r="Y983" s="346"/>
      <c r="Z983" s="149"/>
      <c r="AA983" s="149"/>
      <c r="AB983" s="149"/>
      <c r="AC983" s="149"/>
      <c r="AD983" s="149"/>
      <c r="AE983" s="149"/>
      <c r="AF983" s="149"/>
    </row>
    <row r="984" spans="1:32" s="148" customFormat="1" hidden="1">
      <c r="B984" s="347"/>
      <c r="C984" s="348"/>
      <c r="D984" s="348"/>
      <c r="E984" s="348"/>
      <c r="F984" s="348"/>
      <c r="G984" s="348"/>
      <c r="H984" s="348"/>
      <c r="I984" s="348"/>
      <c r="J984" s="348"/>
      <c r="K984" s="348"/>
      <c r="L984" s="348"/>
      <c r="M984" s="348"/>
      <c r="N984" s="348"/>
      <c r="O984" s="348"/>
      <c r="P984" s="348"/>
      <c r="Q984" s="348"/>
      <c r="R984" s="348"/>
      <c r="S984" s="348"/>
      <c r="T984" s="348"/>
      <c r="U984" s="348"/>
      <c r="V984" s="348"/>
      <c r="W984" s="348"/>
      <c r="X984" s="348"/>
      <c r="Y984" s="349"/>
      <c r="Z984" s="149"/>
      <c r="AA984" s="149"/>
      <c r="AB984" s="149"/>
      <c r="AC984" s="149"/>
      <c r="AD984" s="149"/>
      <c r="AE984" s="149"/>
      <c r="AF984" s="149"/>
    </row>
    <row r="985" spans="1:32" s="148" customFormat="1" hidden="1">
      <c r="B985" s="155"/>
      <c r="C985" s="155"/>
      <c r="D985" s="155"/>
      <c r="E985" s="155"/>
      <c r="F985" s="155"/>
      <c r="G985" s="155"/>
      <c r="H985" s="155"/>
      <c r="I985" s="155"/>
      <c r="J985" s="155"/>
      <c r="K985" s="155"/>
      <c r="L985" s="155"/>
      <c r="M985" s="155"/>
      <c r="N985" s="155"/>
      <c r="O985" s="155"/>
      <c r="P985" s="155"/>
      <c r="Q985" s="155"/>
      <c r="R985" s="155"/>
      <c r="S985" s="155"/>
      <c r="T985" s="155"/>
      <c r="U985" s="155"/>
      <c r="V985" s="155"/>
      <c r="W985" s="155"/>
      <c r="X985" s="155"/>
      <c r="Y985" s="155"/>
      <c r="Z985" s="149"/>
      <c r="AA985" s="149"/>
      <c r="AB985" s="149"/>
      <c r="AC985" s="149"/>
      <c r="AD985" s="149"/>
      <c r="AE985" s="149"/>
      <c r="AF985" s="149"/>
    </row>
    <row r="986" spans="1:32" s="148" customFormat="1" hidden="1">
      <c r="B986" s="338" t="str">
        <f>Settings!$N$16</f>
        <v>Actions agreed during this review</v>
      </c>
      <c r="C986" s="339"/>
      <c r="D986" s="339"/>
      <c r="E986" s="339"/>
      <c r="F986" s="339"/>
      <c r="G986" s="339"/>
      <c r="H986" s="339"/>
      <c r="I986" s="339"/>
      <c r="J986" s="339"/>
      <c r="K986" s="339"/>
      <c r="L986" s="339"/>
      <c r="M986" s="339"/>
      <c r="N986" s="339"/>
      <c r="O986" s="339"/>
      <c r="P986" s="339"/>
      <c r="Q986" s="339"/>
      <c r="R986" s="339"/>
      <c r="S986" s="339"/>
      <c r="T986" s="339"/>
      <c r="U986" s="339"/>
      <c r="V986" s="339"/>
      <c r="W986" s="339"/>
      <c r="X986" s="339"/>
      <c r="Y986" s="340"/>
      <c r="Z986" s="149"/>
      <c r="AA986" s="149"/>
      <c r="AB986" s="149"/>
      <c r="AC986" s="149"/>
      <c r="AD986" s="149"/>
      <c r="AE986" s="149"/>
      <c r="AF986" s="149"/>
    </row>
    <row r="987" spans="1:32" s="148" customFormat="1" hidden="1">
      <c r="B987" s="341" t="e">
        <f>IF(INDEX(TblDatabase[Feedback To Improve],MATCH(1,INDEX(($L$4=ListEmployeeNamesInDatabase)*(C950=TblDatabase[Year]),0,1),0))="","",INDEX(TblDatabase[Feedback To Improve],MATCH(1,INDEX(($L$4=ListEmployeeNamesInDatabase)*(C950=TblDatabase[Year]),0,1),0)))</f>
        <v>#N/A</v>
      </c>
      <c r="C987" s="342"/>
      <c r="D987" s="342"/>
      <c r="E987" s="342"/>
      <c r="F987" s="342"/>
      <c r="G987" s="342"/>
      <c r="H987" s="342"/>
      <c r="I987" s="342"/>
      <c r="J987" s="342"/>
      <c r="K987" s="342"/>
      <c r="L987" s="342"/>
      <c r="M987" s="342"/>
      <c r="N987" s="342"/>
      <c r="O987" s="342"/>
      <c r="P987" s="342"/>
      <c r="Q987" s="342"/>
      <c r="R987" s="342"/>
      <c r="S987" s="342"/>
      <c r="T987" s="342"/>
      <c r="U987" s="342"/>
      <c r="V987" s="342"/>
      <c r="W987" s="342"/>
      <c r="X987" s="342"/>
      <c r="Y987" s="343"/>
      <c r="Z987" s="149"/>
      <c r="AA987" s="149"/>
      <c r="AB987" s="149"/>
      <c r="AC987" s="149"/>
      <c r="AD987" s="149"/>
      <c r="AE987" s="149"/>
      <c r="AF987" s="149"/>
    </row>
    <row r="988" spans="1:32" s="148" customFormat="1" hidden="1">
      <c r="B988" s="344"/>
      <c r="C988" s="345"/>
      <c r="D988" s="345"/>
      <c r="E988" s="345"/>
      <c r="F988" s="345"/>
      <c r="G988" s="345"/>
      <c r="H988" s="345"/>
      <c r="I988" s="345"/>
      <c r="J988" s="345"/>
      <c r="K988" s="345"/>
      <c r="L988" s="345"/>
      <c r="M988" s="345"/>
      <c r="N988" s="345"/>
      <c r="O988" s="345"/>
      <c r="P988" s="345"/>
      <c r="Q988" s="345"/>
      <c r="R988" s="345"/>
      <c r="S988" s="345"/>
      <c r="T988" s="345"/>
      <c r="U988" s="345"/>
      <c r="V988" s="345"/>
      <c r="W988" s="345"/>
      <c r="X988" s="345"/>
      <c r="Y988" s="346"/>
      <c r="Z988" s="149"/>
      <c r="AA988" s="149"/>
      <c r="AB988" s="149"/>
      <c r="AC988" s="149"/>
      <c r="AD988" s="149"/>
      <c r="AE988" s="149"/>
      <c r="AF988" s="149"/>
    </row>
    <row r="989" spans="1:32" s="148" customFormat="1" hidden="1">
      <c r="B989" s="347"/>
      <c r="C989" s="348"/>
      <c r="D989" s="348"/>
      <c r="E989" s="348"/>
      <c r="F989" s="348"/>
      <c r="G989" s="348"/>
      <c r="H989" s="348"/>
      <c r="I989" s="348"/>
      <c r="J989" s="348"/>
      <c r="K989" s="348"/>
      <c r="L989" s="348"/>
      <c r="M989" s="348"/>
      <c r="N989" s="348"/>
      <c r="O989" s="348"/>
      <c r="P989" s="348"/>
      <c r="Q989" s="348"/>
      <c r="R989" s="348"/>
      <c r="S989" s="348"/>
      <c r="T989" s="348"/>
      <c r="U989" s="348"/>
      <c r="V989" s="348"/>
      <c r="W989" s="348"/>
      <c r="X989" s="348"/>
      <c r="Y989" s="349"/>
      <c r="Z989" s="149"/>
      <c r="AA989" s="149"/>
      <c r="AB989" s="149"/>
      <c r="AC989" s="149"/>
      <c r="AD989" s="149"/>
      <c r="AE989" s="149"/>
      <c r="AF989" s="149"/>
    </row>
    <row r="990" spans="1:32" s="148" customFormat="1" hidden="1">
      <c r="B990" s="156"/>
      <c r="C990" s="156"/>
      <c r="D990" s="156"/>
      <c r="E990" s="155"/>
      <c r="F990" s="155"/>
      <c r="G990" s="155"/>
      <c r="H990" s="155"/>
      <c r="I990" s="155"/>
      <c r="J990" s="155"/>
      <c r="K990" s="155"/>
      <c r="L990" s="155"/>
      <c r="M990" s="155"/>
      <c r="N990" s="155"/>
      <c r="O990" s="155"/>
      <c r="P990" s="155"/>
      <c r="Q990" s="155"/>
      <c r="R990" s="155"/>
      <c r="S990" s="155"/>
      <c r="T990" s="155"/>
      <c r="U990" s="155"/>
      <c r="V990" s="155"/>
      <c r="W990" s="155"/>
      <c r="X990" s="155"/>
      <c r="Y990" s="155"/>
      <c r="Z990" s="149"/>
      <c r="AA990" s="149"/>
      <c r="AB990" s="149"/>
      <c r="AC990" s="149"/>
      <c r="AD990" s="149"/>
      <c r="AE990" s="149"/>
      <c r="AF990" s="149"/>
    </row>
    <row r="991" spans="1:32" s="148" customFormat="1" hidden="1">
      <c r="A991" s="150">
        <f>A950+1</f>
        <v>24</v>
      </c>
      <c r="B991" s="27" t="s">
        <v>14</v>
      </c>
      <c r="C991" s="333">
        <f>C950-1</f>
        <v>1997</v>
      </c>
      <c r="D991" s="334"/>
      <c r="Y991" s="149"/>
      <c r="Z991" s="149"/>
      <c r="AA991" s="149"/>
      <c r="AB991" s="149"/>
      <c r="AC991" s="149"/>
      <c r="AD991" s="149"/>
      <c r="AE991" s="149"/>
      <c r="AF991" s="149"/>
    </row>
    <row r="992" spans="1:32" s="148" customFormat="1" hidden="1">
      <c r="Y992" s="149"/>
      <c r="Z992" s="149"/>
      <c r="AA992" s="149"/>
      <c r="AB992" s="149"/>
      <c r="AC992" s="149"/>
      <c r="AD992" s="149"/>
      <c r="AE992" s="149"/>
      <c r="AF992" s="149"/>
    </row>
    <row r="993" spans="2:32" s="148" customFormat="1" hidden="1">
      <c r="B993" s="338" t="str">
        <f>Settings!$N$14</f>
        <v>Employee's comments</v>
      </c>
      <c r="C993" s="339"/>
      <c r="D993" s="339"/>
      <c r="E993" s="339"/>
      <c r="F993" s="339"/>
      <c r="G993" s="339"/>
      <c r="H993" s="339"/>
      <c r="I993" s="339"/>
      <c r="J993" s="339"/>
      <c r="K993" s="339"/>
      <c r="L993" s="339"/>
      <c r="M993" s="339"/>
      <c r="N993" s="339"/>
      <c r="O993" s="339"/>
      <c r="P993" s="339"/>
      <c r="Q993" s="339"/>
      <c r="R993" s="339"/>
      <c r="S993" s="339"/>
      <c r="T993" s="339"/>
      <c r="U993" s="339"/>
      <c r="V993" s="339"/>
      <c r="W993" s="339"/>
      <c r="X993" s="339"/>
      <c r="Y993" s="340"/>
      <c r="Z993" s="149"/>
      <c r="AA993" s="149"/>
      <c r="AB993" s="149"/>
      <c r="AC993" s="149"/>
      <c r="AD993" s="149"/>
      <c r="AE993" s="149"/>
      <c r="AF993" s="149"/>
    </row>
    <row r="994" spans="2:32" s="148" customFormat="1" hidden="1">
      <c r="B994" s="341" t="e">
        <f>IF(INDEX(TblDatabase[Feedback Warnings],MATCH(1,INDEX(($L$4=ListEmployeeNamesInDatabase)*(C991=TblDatabase[Year]),0,1),0))="","",INDEX(TblDatabase[Feedback Warnings],MATCH(1,INDEX(($L$4=ListEmployeeNamesInDatabase)*(C991=TblDatabase[Year]),0,1),0)))</f>
        <v>#N/A</v>
      </c>
      <c r="C994" s="342"/>
      <c r="D994" s="342"/>
      <c r="E994" s="342"/>
      <c r="F994" s="342"/>
      <c r="G994" s="342"/>
      <c r="H994" s="342"/>
      <c r="I994" s="342"/>
      <c r="J994" s="342"/>
      <c r="K994" s="342"/>
      <c r="L994" s="342"/>
      <c r="M994" s="342"/>
      <c r="N994" s="342"/>
      <c r="O994" s="342"/>
      <c r="P994" s="342"/>
      <c r="Q994" s="342"/>
      <c r="R994" s="342"/>
      <c r="S994" s="342"/>
      <c r="T994" s="342"/>
      <c r="U994" s="342"/>
      <c r="V994" s="342"/>
      <c r="W994" s="342"/>
      <c r="X994" s="342"/>
      <c r="Y994" s="343"/>
      <c r="Z994" s="149"/>
      <c r="AA994" s="149"/>
      <c r="AB994" s="149"/>
      <c r="AC994" s="149"/>
      <c r="AD994" s="149"/>
      <c r="AE994" s="149"/>
      <c r="AF994" s="149"/>
    </row>
    <row r="995" spans="2:32" s="148" customFormat="1" hidden="1">
      <c r="B995" s="344"/>
      <c r="C995" s="345"/>
      <c r="D995" s="345"/>
      <c r="E995" s="345"/>
      <c r="F995" s="345"/>
      <c r="G995" s="345"/>
      <c r="H995" s="345"/>
      <c r="I995" s="345"/>
      <c r="J995" s="345"/>
      <c r="K995" s="345"/>
      <c r="L995" s="345"/>
      <c r="M995" s="345"/>
      <c r="N995" s="345"/>
      <c r="O995" s="345"/>
      <c r="P995" s="345"/>
      <c r="Q995" s="345"/>
      <c r="R995" s="345"/>
      <c r="S995" s="345"/>
      <c r="T995" s="345"/>
      <c r="U995" s="345"/>
      <c r="V995" s="345"/>
      <c r="W995" s="345"/>
      <c r="X995" s="345"/>
      <c r="Y995" s="346"/>
      <c r="Z995" s="149"/>
      <c r="AA995" s="149"/>
      <c r="AB995" s="149"/>
      <c r="AC995" s="149"/>
      <c r="AD995" s="149"/>
      <c r="AE995" s="149"/>
      <c r="AF995" s="149"/>
    </row>
    <row r="996" spans="2:32" s="148" customFormat="1" hidden="1">
      <c r="B996" s="347"/>
      <c r="C996" s="348"/>
      <c r="D996" s="348"/>
      <c r="E996" s="348"/>
      <c r="F996" s="348"/>
      <c r="G996" s="348"/>
      <c r="H996" s="348"/>
      <c r="I996" s="348"/>
      <c r="J996" s="348"/>
      <c r="K996" s="348"/>
      <c r="L996" s="348"/>
      <c r="M996" s="348"/>
      <c r="N996" s="348"/>
      <c r="O996" s="348"/>
      <c r="P996" s="348"/>
      <c r="Q996" s="348"/>
      <c r="R996" s="348"/>
      <c r="S996" s="348"/>
      <c r="T996" s="348"/>
      <c r="U996" s="348"/>
      <c r="V996" s="348"/>
      <c r="W996" s="348"/>
      <c r="X996" s="348"/>
      <c r="Y996" s="349"/>
      <c r="Z996" s="149"/>
      <c r="AA996" s="149"/>
      <c r="AB996" s="149"/>
      <c r="AC996" s="149"/>
      <c r="AD996" s="149"/>
      <c r="AE996" s="149"/>
      <c r="AF996" s="149"/>
    </row>
    <row r="997" spans="2:32" s="148" customFormat="1" hidden="1">
      <c r="Y997" s="149"/>
      <c r="Z997" s="149"/>
      <c r="AA997" s="149"/>
      <c r="AB997" s="149"/>
      <c r="AC997" s="149"/>
      <c r="AD997" s="149"/>
      <c r="AE997" s="149"/>
      <c r="AF997" s="149"/>
    </row>
    <row r="998" spans="2:32" s="148" customFormat="1" ht="15" hidden="1" customHeight="1">
      <c r="B998" s="320" t="s">
        <v>8</v>
      </c>
      <c r="C998" s="321"/>
      <c r="D998" s="321"/>
      <c r="E998" s="321"/>
      <c r="F998" s="233">
        <f>IF(Settings!$M$4=Settings!$Y$3,Settings!$O$19,1)</f>
        <v>1</v>
      </c>
      <c r="G998" s="234">
        <f>IF(Settings!$M$4=Settings!$Y$3,Settings!$O$19,2)</f>
        <v>2</v>
      </c>
      <c r="H998" s="234">
        <f>IF(Settings!$M$4=Settings!$Y$3,Settings!$O$19,3)</f>
        <v>3</v>
      </c>
      <c r="I998" s="234">
        <f>IF(Settings!$M$4=Settings!$Y$3,Settings!$O$19,4)</f>
        <v>4</v>
      </c>
      <c r="J998" s="234">
        <f>IF(Settings!$M$4=Settings!$Y$3,Settings!$O$20,5)</f>
        <v>5</v>
      </c>
      <c r="K998" s="234">
        <f>IF(Settings!$M$4=Settings!$Y$3,Settings!$O$20,6)</f>
        <v>6</v>
      </c>
      <c r="L998" s="234">
        <f>IF(Settings!$M$4=Settings!$Y$3,Settings!$O$20,7)</f>
        <v>7</v>
      </c>
      <c r="M998" s="234">
        <f>IF(Settings!$M$4=Settings!$Y$3,Settings!$O$20,8)</f>
        <v>8</v>
      </c>
      <c r="N998" s="234">
        <f>IF(Settings!$M$4=Settings!$Y$3,Settings!$O$21,9)</f>
        <v>9</v>
      </c>
      <c r="O998" s="235">
        <f>IF(Settings!$M$4=Settings!$Y$3,Settings!$O$21,10)</f>
        <v>10</v>
      </c>
      <c r="P998" s="22"/>
      <c r="Q998" s="22"/>
      <c r="R998" s="333" t="s">
        <v>24</v>
      </c>
      <c r="S998" s="333"/>
      <c r="T998" s="333"/>
      <c r="U998" s="333"/>
      <c r="V998" s="333"/>
      <c r="W998" s="333"/>
      <c r="X998" s="333"/>
      <c r="Y998" s="334"/>
      <c r="Z998" s="149"/>
      <c r="AA998" s="149"/>
      <c r="AB998" s="149"/>
      <c r="AC998" s="149"/>
      <c r="AD998" s="149"/>
      <c r="AE998" s="149"/>
      <c r="AF998" s="149"/>
    </row>
    <row r="999" spans="2:32" s="148" customFormat="1" ht="15" hidden="1" customHeight="1">
      <c r="B999" s="335" t="str">
        <f t="shared" ref="B999:B1018" si="23">B958</f>
        <v>Quality of Work</v>
      </c>
      <c r="C999" s="336"/>
      <c r="D999" s="336"/>
      <c r="E999" s="337"/>
      <c r="F999" s="162" t="str">
        <f>IF(Settings!$M$4=Settings!$Y$3,IF($AA999=1,"P",""),IF($AA999=1,"P",""))</f>
        <v/>
      </c>
      <c r="G999" s="160" t="str">
        <f>IF(Settings!$M$4=Settings!$Y$3,IF($AA999=1,"P",""),IF($AA999=2,"P",""))</f>
        <v/>
      </c>
      <c r="H999" s="160" t="str">
        <f>IF(Settings!$M$4=Settings!$Y$3,IF($AA999=1,"P",""),IF($AA999=3,"P",""))</f>
        <v/>
      </c>
      <c r="I999" s="160" t="str">
        <f>IF(Settings!$M$4=Settings!$Y$3,IF($AA999=1,"P",""),IF($AA999=4,"P",""))</f>
        <v/>
      </c>
      <c r="J999" s="160" t="str">
        <f>IF(Settings!$M$4=Settings!$Y$3,IF($AA999=2,"P",""),IF($AA999=5,"P",""))</f>
        <v/>
      </c>
      <c r="K999" s="160" t="str">
        <f>IF(Settings!$M$4=Settings!$Y$3,IF($AA999=2,"P",""),IF($AA999=6,"P",""))</f>
        <v/>
      </c>
      <c r="L999" s="160" t="str">
        <f>IF(Settings!$M$4=Settings!$Y$3,IF($AA999=2,"P",""),IF($AA999=7,"P",""))</f>
        <v/>
      </c>
      <c r="M999" s="160" t="str">
        <f>IF(Settings!$M$4=Settings!$Y$3,IF($AA999=2,"P",""),IF($AA999=8,"P",""))</f>
        <v/>
      </c>
      <c r="N999" s="160" t="str">
        <f>IF(Settings!$M$4=Settings!$Y$3,IF($AA999=3,"P",""),IF($AA999=9,"P",""))</f>
        <v/>
      </c>
      <c r="O999" s="161" t="str">
        <f>IF(Settings!$M$4=Settings!$Y$3,IF($AA999=3,"P",""),IF($AA999=10,"P",""))</f>
        <v/>
      </c>
      <c r="P999" s="22"/>
      <c r="Q999" s="22"/>
      <c r="R999" s="367" t="e">
        <f>IF(INDEX(TblDatabase[Comment1],MATCH(1,INDEX(($L$4=ListEmployeeNamesInDatabase)*(C991=TblDatabase[Year]),0,1),0))="","",INDEX(TblDatabase[Comment1],MATCH(1,INDEX(($L$4=ListEmployeeNamesInDatabase)*(C991=TblDatabase[Year]),0,1),0)))</f>
        <v>#N/A</v>
      </c>
      <c r="S999" s="367"/>
      <c r="T999" s="367"/>
      <c r="U999" s="367"/>
      <c r="V999" s="367"/>
      <c r="W999" s="367"/>
      <c r="X999" s="367"/>
      <c r="Y999" s="368"/>
      <c r="Z999" s="149"/>
      <c r="AA999" s="151">
        <f>SUMIFS(TblDatabase[Competency1],ListEmployeeNamesInDatabase,$L$4,TblDatabase[Year],C991)</f>
        <v>0</v>
      </c>
      <c r="AB999" s="149"/>
      <c r="AC999" s="149"/>
      <c r="AD999" s="149"/>
      <c r="AE999" s="149"/>
      <c r="AF999" s="149"/>
    </row>
    <row r="1000" spans="2:32" s="148" customFormat="1" ht="15" hidden="1" customHeight="1">
      <c r="B1000" s="355" t="str">
        <f t="shared" si="23"/>
        <v>CaLL flow</v>
      </c>
      <c r="C1000" s="356"/>
      <c r="D1000" s="356"/>
      <c r="E1000" s="357"/>
      <c r="F1000" s="163" t="str">
        <f>IF(Settings!$M$4=Settings!$Y$3,IF($AA1000=1,"P",""),IF($AA1000=1,"P",""))</f>
        <v/>
      </c>
      <c r="G1000" s="164" t="str">
        <f>IF(Settings!$M$4=Settings!$Y$3,IF($AA1000=1,"P",""),IF($AA1000=2,"P",""))</f>
        <v/>
      </c>
      <c r="H1000" s="164" t="str">
        <f>IF(Settings!$M$4=Settings!$Y$3,IF($AA1000=1,"P",""),IF($AA1000=3,"P",""))</f>
        <v/>
      </c>
      <c r="I1000" s="164" t="str">
        <f>IF(Settings!$M$4=Settings!$Y$3,IF($AA1000=1,"P",""),IF($AA1000=4,"P",""))</f>
        <v/>
      </c>
      <c r="J1000" s="164" t="str">
        <f>IF(Settings!$M$4=Settings!$Y$3,IF($AA1000=2,"P",""),IF($AA1000=5,"P",""))</f>
        <v/>
      </c>
      <c r="K1000" s="164" t="str">
        <f>IF(Settings!$M$4=Settings!$Y$3,IF($AA1000=2,"P",""),IF($AA1000=6,"P",""))</f>
        <v/>
      </c>
      <c r="L1000" s="164" t="str">
        <f>IF(Settings!$M$4=Settings!$Y$3,IF($AA1000=2,"P",""),IF($AA1000=7,"P",""))</f>
        <v/>
      </c>
      <c r="M1000" s="164" t="str">
        <f>IF(Settings!$M$4=Settings!$Y$3,IF($AA1000=2,"P",""),IF($AA1000=8,"P",""))</f>
        <v/>
      </c>
      <c r="N1000" s="164" t="str">
        <f>IF(Settings!$M$4=Settings!$Y$3,IF($AA1000=3,"P",""),IF($AA1000=9,"P",""))</f>
        <v/>
      </c>
      <c r="O1000" s="165" t="str">
        <f>IF(Settings!$M$4=Settings!$Y$3,IF($AA1000=3,"P",""),IF($AA1000=10,"P",""))</f>
        <v/>
      </c>
      <c r="P1000" s="22"/>
      <c r="Q1000" s="22"/>
      <c r="R1000" s="360" t="e">
        <f>IF(INDEX(TblDatabase[Comment2],MATCH(1,INDEX(($L$4=ListEmployeeNamesInDatabase)*(C991=TblDatabase[Year]),0,1),0))="","",INDEX(TblDatabase[Comment2],MATCH(1,INDEX(($L$4=ListEmployeeNamesInDatabase)*(C991=TblDatabase[Year]),0,1),0)))</f>
        <v>#N/A</v>
      </c>
      <c r="S1000" s="360"/>
      <c r="T1000" s="360"/>
      <c r="U1000" s="360"/>
      <c r="V1000" s="360"/>
      <c r="W1000" s="360"/>
      <c r="X1000" s="360"/>
      <c r="Y1000" s="361"/>
      <c r="Z1000" s="149"/>
      <c r="AA1000" s="151">
        <f>SUMIFS(TblDatabase[Competency2],ListEmployeeNamesInDatabase,$L$4,TblDatabase[Year],C991)</f>
        <v>0</v>
      </c>
      <c r="AB1000" s="149"/>
      <c r="AC1000" s="149"/>
      <c r="AD1000" s="149"/>
      <c r="AE1000" s="149"/>
      <c r="AF1000" s="149"/>
    </row>
    <row r="1001" spans="2:32" s="148" customFormat="1" ht="15" hidden="1" customHeight="1">
      <c r="B1001" s="350" t="str">
        <f t="shared" si="23"/>
        <v>Job Knowledge</v>
      </c>
      <c r="C1001" s="351"/>
      <c r="D1001" s="351"/>
      <c r="E1001" s="352"/>
      <c r="F1001" s="157" t="str">
        <f>IF(Settings!$M$4=Settings!$Y$3,IF($AA1001=1,"P",""),IF($AA1001=1,"P",""))</f>
        <v/>
      </c>
      <c r="G1001" s="158" t="str">
        <f>IF(Settings!$M$4=Settings!$Y$3,IF($AA1001=1,"P",""),IF($AA1001=2,"P",""))</f>
        <v/>
      </c>
      <c r="H1001" s="158" t="str">
        <f>IF(Settings!$M$4=Settings!$Y$3,IF($AA1001=1,"P",""),IF($AA1001=3,"P",""))</f>
        <v/>
      </c>
      <c r="I1001" s="158" t="str">
        <f>IF(Settings!$M$4=Settings!$Y$3,IF($AA1001=1,"P",""),IF($AA1001=4,"P",""))</f>
        <v/>
      </c>
      <c r="J1001" s="158" t="str">
        <f>IF(Settings!$M$4=Settings!$Y$3,IF($AA1001=2,"P",""),IF($AA1001=5,"P",""))</f>
        <v/>
      </c>
      <c r="K1001" s="158" t="str">
        <f>IF(Settings!$M$4=Settings!$Y$3,IF($AA1001=2,"P",""),IF($AA1001=6,"P",""))</f>
        <v/>
      </c>
      <c r="L1001" s="158" t="str">
        <f>IF(Settings!$M$4=Settings!$Y$3,IF($AA1001=2,"P",""),IF($AA1001=7,"P",""))</f>
        <v/>
      </c>
      <c r="M1001" s="158" t="str">
        <f>IF(Settings!$M$4=Settings!$Y$3,IF($AA1001=2,"P",""),IF($AA1001=8,"P",""))</f>
        <v/>
      </c>
      <c r="N1001" s="158" t="str">
        <f>IF(Settings!$M$4=Settings!$Y$3,IF($AA1001=3,"P",""),IF($AA1001=9,"P",""))</f>
        <v/>
      </c>
      <c r="O1001" s="159" t="str">
        <f>IF(Settings!$M$4=Settings!$Y$3,IF($AA1001=3,"P",""),IF($AA1001=10,"P",""))</f>
        <v/>
      </c>
      <c r="P1001" s="22"/>
      <c r="Q1001" s="22"/>
      <c r="R1001" s="353" t="e">
        <f>IF(INDEX(TblDatabase[Comment3],MATCH(1,INDEX(($L$4=ListEmployeeNamesInDatabase)*(C991=TblDatabase[Year]),0,1),0))="","",INDEX(TblDatabase[Comment3],MATCH(1,INDEX(($L$4=ListEmployeeNamesInDatabase)*(C991=TblDatabase[Year]),0,1),0)))</f>
        <v>#N/A</v>
      </c>
      <c r="S1001" s="353"/>
      <c r="T1001" s="353"/>
      <c r="U1001" s="353"/>
      <c r="V1001" s="353"/>
      <c r="W1001" s="353"/>
      <c r="X1001" s="353"/>
      <c r="Y1001" s="354"/>
      <c r="Z1001" s="149"/>
      <c r="AA1001" s="151">
        <f>SUMIFS(TblDatabase[Competency3],ListEmployeeNamesInDatabase,$L$4,TblDatabase[Year],C991)</f>
        <v>0</v>
      </c>
      <c r="AB1001" s="149"/>
      <c r="AC1001" s="149"/>
      <c r="AD1001" s="149"/>
      <c r="AE1001" s="149"/>
      <c r="AF1001" s="149"/>
    </row>
    <row r="1002" spans="2:32" s="148" customFormat="1" ht="15" hidden="1" customHeight="1">
      <c r="B1002" s="355" t="str">
        <f t="shared" si="23"/>
        <v>Client Service</v>
      </c>
      <c r="C1002" s="356"/>
      <c r="D1002" s="356"/>
      <c r="E1002" s="357"/>
      <c r="F1002" s="163" t="str">
        <f>IF(Settings!$M$4=Settings!$Y$3,IF($AA1002=1,"P",""),IF($AA1002=1,"P",""))</f>
        <v/>
      </c>
      <c r="G1002" s="164" t="str">
        <f>IF(Settings!$M$4=Settings!$Y$3,IF($AA1002=1,"P",""),IF($AA1002=2,"P",""))</f>
        <v/>
      </c>
      <c r="H1002" s="164" t="str">
        <f>IF(Settings!$M$4=Settings!$Y$3,IF($AA1002=1,"P",""),IF($AA1002=3,"P",""))</f>
        <v/>
      </c>
      <c r="I1002" s="164" t="str">
        <f>IF(Settings!$M$4=Settings!$Y$3,IF($AA1002=1,"P",""),IF($AA1002=4,"P",""))</f>
        <v/>
      </c>
      <c r="J1002" s="164" t="str">
        <f>IF(Settings!$M$4=Settings!$Y$3,IF($AA1002=2,"P",""),IF($AA1002=5,"P",""))</f>
        <v/>
      </c>
      <c r="K1002" s="164" t="str">
        <f>IF(Settings!$M$4=Settings!$Y$3,IF($AA1002=2,"P",""),IF($AA1002=6,"P",""))</f>
        <v/>
      </c>
      <c r="L1002" s="164" t="str">
        <f>IF(Settings!$M$4=Settings!$Y$3,IF($AA1002=2,"P",""),IF($AA1002=7,"P",""))</f>
        <v/>
      </c>
      <c r="M1002" s="164" t="str">
        <f>IF(Settings!$M$4=Settings!$Y$3,IF($AA1002=2,"P",""),IF($AA1002=8,"P",""))</f>
        <v/>
      </c>
      <c r="N1002" s="164" t="str">
        <f>IF(Settings!$M$4=Settings!$Y$3,IF($AA1002=3,"P",""),IF($AA1002=9,"P",""))</f>
        <v/>
      </c>
      <c r="O1002" s="165" t="str">
        <f>IF(Settings!$M$4=Settings!$Y$3,IF($AA1002=3,"P",""),IF($AA1002=10,"P",""))</f>
        <v/>
      </c>
      <c r="P1002" s="22"/>
      <c r="Q1002" s="22"/>
      <c r="R1002" s="360" t="e">
        <f>IF(INDEX(TblDatabase[Comment4],MATCH(1,INDEX(($L$4=ListEmployeeNamesInDatabase)*(C991=TblDatabase[Year]),0,1),0))="","",INDEX(TblDatabase[Comment4],MATCH(1,INDEX(($L$4=ListEmployeeNamesInDatabase)*(C991=TblDatabase[Year]),0,1),0)))</f>
        <v>#N/A</v>
      </c>
      <c r="S1002" s="360"/>
      <c r="T1002" s="360"/>
      <c r="U1002" s="360"/>
      <c r="V1002" s="360"/>
      <c r="W1002" s="360"/>
      <c r="X1002" s="360"/>
      <c r="Y1002" s="361"/>
      <c r="Z1002" s="149"/>
      <c r="AA1002" s="151">
        <f>SUMIFS(TblDatabase[Competency4],ListEmployeeNamesInDatabase,$L$4,TblDatabase[Year],C991)</f>
        <v>0</v>
      </c>
      <c r="AB1002" s="149"/>
      <c r="AC1002" s="149"/>
      <c r="AD1002" s="149"/>
      <c r="AE1002" s="149"/>
      <c r="AF1002" s="149"/>
    </row>
    <row r="1003" spans="2:32" s="148" customFormat="1" ht="15" hidden="1" customHeight="1">
      <c r="B1003" s="350" t="str">
        <f t="shared" si="23"/>
        <v>Teamwork</v>
      </c>
      <c r="C1003" s="351"/>
      <c r="D1003" s="351"/>
      <c r="E1003" s="352"/>
      <c r="F1003" s="157" t="str">
        <f>IF(Settings!$M$4=Settings!$Y$3,IF($AA1003=1,"P",""),IF($AA1003=1,"P",""))</f>
        <v/>
      </c>
      <c r="G1003" s="158" t="str">
        <f>IF(Settings!$M$4=Settings!$Y$3,IF($AA1003=1,"P",""),IF($AA1003=2,"P",""))</f>
        <v/>
      </c>
      <c r="H1003" s="158" t="str">
        <f>IF(Settings!$M$4=Settings!$Y$3,IF($AA1003=1,"P",""),IF($AA1003=3,"P",""))</f>
        <v/>
      </c>
      <c r="I1003" s="158" t="str">
        <f>IF(Settings!$M$4=Settings!$Y$3,IF($AA1003=1,"P",""),IF($AA1003=4,"P",""))</f>
        <v/>
      </c>
      <c r="J1003" s="158" t="str">
        <f>IF(Settings!$M$4=Settings!$Y$3,IF($AA1003=2,"P",""),IF($AA1003=5,"P",""))</f>
        <v/>
      </c>
      <c r="K1003" s="158" t="str">
        <f>IF(Settings!$M$4=Settings!$Y$3,IF($AA1003=2,"P",""),IF($AA1003=6,"P",""))</f>
        <v/>
      </c>
      <c r="L1003" s="158" t="str">
        <f>IF(Settings!$M$4=Settings!$Y$3,IF($AA1003=2,"P",""),IF($AA1003=7,"P",""))</f>
        <v/>
      </c>
      <c r="M1003" s="158" t="str">
        <f>IF(Settings!$M$4=Settings!$Y$3,IF($AA1003=2,"P",""),IF($AA1003=8,"P",""))</f>
        <v/>
      </c>
      <c r="N1003" s="158" t="str">
        <f>IF(Settings!$M$4=Settings!$Y$3,IF($AA1003=3,"P",""),IF($AA1003=9,"P",""))</f>
        <v/>
      </c>
      <c r="O1003" s="159" t="str">
        <f>IF(Settings!$M$4=Settings!$Y$3,IF($AA1003=3,"P",""),IF($AA1003=10,"P",""))</f>
        <v/>
      </c>
      <c r="P1003" s="22"/>
      <c r="Q1003" s="22"/>
      <c r="R1003" s="353" t="e">
        <f>IF(INDEX(TblDatabase[Comment5],MATCH(1,INDEX(($L$4=ListEmployeeNamesInDatabase)*(C991=TblDatabase[Year]),0,1),0))="","",INDEX(TblDatabase[Comment5],MATCH(1,INDEX(($L$4=ListEmployeeNamesInDatabase)*(C991=TblDatabase[Year]),0,1),0)))</f>
        <v>#N/A</v>
      </c>
      <c r="S1003" s="353"/>
      <c r="T1003" s="353"/>
      <c r="U1003" s="353"/>
      <c r="V1003" s="353"/>
      <c r="W1003" s="353"/>
      <c r="X1003" s="353"/>
      <c r="Y1003" s="354"/>
      <c r="Z1003" s="149"/>
      <c r="AA1003" s="151">
        <f>SUMIFS(TblDatabase[Competency5],ListEmployeeNamesInDatabase,$L$4,TblDatabase[Year],C991)</f>
        <v>0</v>
      </c>
      <c r="AB1003" s="149"/>
      <c r="AC1003" s="149"/>
      <c r="AD1003" s="149"/>
      <c r="AE1003" s="149"/>
      <c r="AF1003" s="149"/>
    </row>
    <row r="1004" spans="2:32" s="148" customFormat="1" ht="15" hidden="1" customHeight="1">
      <c r="B1004" s="355" t="str">
        <f t="shared" si="23"/>
        <v>Safety</v>
      </c>
      <c r="C1004" s="356"/>
      <c r="D1004" s="356"/>
      <c r="E1004" s="357"/>
      <c r="F1004" s="163" t="str">
        <f>IF(Settings!$M$4=Settings!$Y$3,IF($AA1004=1,"P",""),IF($AA1004=1,"P",""))</f>
        <v/>
      </c>
      <c r="G1004" s="164" t="str">
        <f>IF(Settings!$M$4=Settings!$Y$3,IF($AA1004=1,"P",""),IF($AA1004=2,"P",""))</f>
        <v/>
      </c>
      <c r="H1004" s="164" t="str">
        <f>IF(Settings!$M$4=Settings!$Y$3,IF($AA1004=1,"P",""),IF($AA1004=3,"P",""))</f>
        <v/>
      </c>
      <c r="I1004" s="164" t="str">
        <f>IF(Settings!$M$4=Settings!$Y$3,IF($AA1004=1,"P",""),IF($AA1004=4,"P",""))</f>
        <v/>
      </c>
      <c r="J1004" s="164" t="str">
        <f>IF(Settings!$M$4=Settings!$Y$3,IF($AA1004=2,"P",""),IF($AA1004=5,"P",""))</f>
        <v/>
      </c>
      <c r="K1004" s="164" t="str">
        <f>IF(Settings!$M$4=Settings!$Y$3,IF($AA1004=2,"P",""),IF($AA1004=6,"P",""))</f>
        <v/>
      </c>
      <c r="L1004" s="164" t="str">
        <f>IF(Settings!$M$4=Settings!$Y$3,IF($AA1004=2,"P",""),IF($AA1004=7,"P",""))</f>
        <v/>
      </c>
      <c r="M1004" s="164" t="str">
        <f>IF(Settings!$M$4=Settings!$Y$3,IF($AA1004=2,"P",""),IF($AA1004=8,"P",""))</f>
        <v/>
      </c>
      <c r="N1004" s="164" t="str">
        <f>IF(Settings!$M$4=Settings!$Y$3,IF($AA1004=3,"P",""),IF($AA1004=9,"P",""))</f>
        <v/>
      </c>
      <c r="O1004" s="165" t="str">
        <f>IF(Settings!$M$4=Settings!$Y$3,IF($AA1004=3,"P",""),IF($AA1004=10,"P",""))</f>
        <v/>
      </c>
      <c r="P1004" s="22"/>
      <c r="Q1004" s="22"/>
      <c r="R1004" s="360" t="e">
        <f>IF(INDEX(TblDatabase[Comment6],MATCH(1,INDEX(($L$4=ListEmployeeNamesInDatabase)*(C991=TblDatabase[Year]),0,1),0))="","",INDEX(TblDatabase[Comment6],MATCH(1,INDEX(($L$4=ListEmployeeNamesInDatabase)*(C991=TblDatabase[Year]),0,1),0)))</f>
        <v>#N/A</v>
      </c>
      <c r="S1004" s="360"/>
      <c r="T1004" s="360"/>
      <c r="U1004" s="360"/>
      <c r="V1004" s="360"/>
      <c r="W1004" s="360"/>
      <c r="X1004" s="360"/>
      <c r="Y1004" s="361"/>
      <c r="Z1004" s="149"/>
      <c r="AA1004" s="151">
        <f>SUMIFS(TblDatabase[Competency6],ListEmployeeNamesInDatabase,$L$4,TblDatabase[Year],C991)</f>
        <v>0</v>
      </c>
      <c r="AB1004" s="149"/>
      <c r="AC1004" s="149"/>
      <c r="AD1004" s="149"/>
      <c r="AE1004" s="149"/>
      <c r="AF1004" s="149"/>
    </row>
    <row r="1005" spans="2:32" s="148" customFormat="1" ht="15" hidden="1" customHeight="1">
      <c r="B1005" s="350" t="str">
        <f t="shared" si="23"/>
        <v>Reliability</v>
      </c>
      <c r="C1005" s="351"/>
      <c r="D1005" s="351"/>
      <c r="E1005" s="352"/>
      <c r="F1005" s="157" t="str">
        <f>IF(Settings!$M$4=Settings!$Y$3,IF($AA1005=1,"P",""),IF($AA1005=1,"P",""))</f>
        <v/>
      </c>
      <c r="G1005" s="158" t="str">
        <f>IF(Settings!$M$4=Settings!$Y$3,IF($AA1005=1,"P",""),IF($AA1005=2,"P",""))</f>
        <v/>
      </c>
      <c r="H1005" s="158" t="str">
        <f>IF(Settings!$M$4=Settings!$Y$3,IF($AA1005=1,"P",""),IF($AA1005=3,"P",""))</f>
        <v/>
      </c>
      <c r="I1005" s="158" t="str">
        <f>IF(Settings!$M$4=Settings!$Y$3,IF($AA1005=1,"P",""),IF($AA1005=4,"P",""))</f>
        <v/>
      </c>
      <c r="J1005" s="158" t="str">
        <f>IF(Settings!$M$4=Settings!$Y$3,IF($AA1005=2,"P",""),IF($AA1005=5,"P",""))</f>
        <v/>
      </c>
      <c r="K1005" s="158" t="str">
        <f>IF(Settings!$M$4=Settings!$Y$3,IF($AA1005=2,"P",""),IF($AA1005=6,"P",""))</f>
        <v/>
      </c>
      <c r="L1005" s="158" t="str">
        <f>IF(Settings!$M$4=Settings!$Y$3,IF($AA1005=2,"P",""),IF($AA1005=7,"P",""))</f>
        <v/>
      </c>
      <c r="M1005" s="158" t="str">
        <f>IF(Settings!$M$4=Settings!$Y$3,IF($AA1005=2,"P",""),IF($AA1005=8,"P",""))</f>
        <v/>
      </c>
      <c r="N1005" s="158" t="str">
        <f>IF(Settings!$M$4=Settings!$Y$3,IF($AA1005=3,"P",""),IF($AA1005=9,"P",""))</f>
        <v/>
      </c>
      <c r="O1005" s="159" t="str">
        <f>IF(Settings!$M$4=Settings!$Y$3,IF($AA1005=3,"P",""),IF($AA1005=10,"P",""))</f>
        <v/>
      </c>
      <c r="P1005" s="22"/>
      <c r="Q1005" s="22"/>
      <c r="R1005" s="353" t="e">
        <f>IF(INDEX(TblDatabase[Comment7],MATCH(1,INDEX(($L$4=ListEmployeeNamesInDatabase)*(C991=TblDatabase[Year]),0,1),0))="","",INDEX(TblDatabase[Comment7],MATCH(1,INDEX(($L$4=ListEmployeeNamesInDatabase)*(C991=TblDatabase[Year]),0,1),0)))</f>
        <v>#N/A</v>
      </c>
      <c r="S1005" s="353"/>
      <c r="T1005" s="353"/>
      <c r="U1005" s="353"/>
      <c r="V1005" s="353"/>
      <c r="W1005" s="353"/>
      <c r="X1005" s="353"/>
      <c r="Y1005" s="354"/>
      <c r="Z1005" s="149"/>
      <c r="AA1005" s="151">
        <f>SUMIFS(TblDatabase[Competency7],ListEmployeeNamesInDatabase,$L$4,TblDatabase[Year],C991)</f>
        <v>0</v>
      </c>
      <c r="AB1005" s="149"/>
      <c r="AC1005" s="149"/>
      <c r="AD1005" s="149"/>
      <c r="AE1005" s="149"/>
      <c r="AF1005" s="149"/>
    </row>
    <row r="1006" spans="2:32" s="148" customFormat="1" ht="15" hidden="1" customHeight="1">
      <c r="B1006" s="355" t="str">
        <f t="shared" si="23"/>
        <v>Initiative/Adaptability</v>
      </c>
      <c r="C1006" s="356"/>
      <c r="D1006" s="356"/>
      <c r="E1006" s="357"/>
      <c r="F1006" s="163" t="str">
        <f>IF(Settings!$M$4=Settings!$Y$3,IF($AA1006=1,"P",""),IF($AA1006=1,"P",""))</f>
        <v/>
      </c>
      <c r="G1006" s="164" t="str">
        <f>IF(Settings!$M$4=Settings!$Y$3,IF($AA1006=1,"P",""),IF($AA1006=2,"P",""))</f>
        <v/>
      </c>
      <c r="H1006" s="164" t="str">
        <f>IF(Settings!$M$4=Settings!$Y$3,IF($AA1006=1,"P",""),IF($AA1006=3,"P",""))</f>
        <v/>
      </c>
      <c r="I1006" s="164" t="str">
        <f>IF(Settings!$M$4=Settings!$Y$3,IF($AA1006=1,"P",""),IF($AA1006=4,"P",""))</f>
        <v/>
      </c>
      <c r="J1006" s="164" t="str">
        <f>IF(Settings!$M$4=Settings!$Y$3,IF($AA1006=2,"P",""),IF($AA1006=5,"P",""))</f>
        <v/>
      </c>
      <c r="K1006" s="164" t="str">
        <f>IF(Settings!$M$4=Settings!$Y$3,IF($AA1006=2,"P",""),IF($AA1006=6,"P",""))</f>
        <v/>
      </c>
      <c r="L1006" s="164" t="str">
        <f>IF(Settings!$M$4=Settings!$Y$3,IF($AA1006=2,"P",""),IF($AA1006=7,"P",""))</f>
        <v/>
      </c>
      <c r="M1006" s="164" t="str">
        <f>IF(Settings!$M$4=Settings!$Y$3,IF($AA1006=2,"P",""),IF($AA1006=8,"P",""))</f>
        <v/>
      </c>
      <c r="N1006" s="164" t="str">
        <f>IF(Settings!$M$4=Settings!$Y$3,IF($AA1006=3,"P",""),IF($AA1006=9,"P",""))</f>
        <v/>
      </c>
      <c r="O1006" s="165" t="str">
        <f>IF(Settings!$M$4=Settings!$Y$3,IF($AA1006=3,"P",""),IF($AA1006=10,"P",""))</f>
        <v/>
      </c>
      <c r="P1006" s="22"/>
      <c r="Q1006" s="22"/>
      <c r="R1006" s="360" t="e">
        <f>IF(INDEX(TblDatabase[Comment8],MATCH(1,INDEX(($L$4=ListEmployeeNamesInDatabase)*(C991=TblDatabase[Year]),0,1),0))="","",INDEX(TblDatabase[Comment8],MATCH(1,INDEX(($L$4=ListEmployeeNamesInDatabase)*(C991=TblDatabase[Year]),0,1),0)))</f>
        <v>#N/A</v>
      </c>
      <c r="S1006" s="360"/>
      <c r="T1006" s="360"/>
      <c r="U1006" s="360"/>
      <c r="V1006" s="360"/>
      <c r="W1006" s="360"/>
      <c r="X1006" s="360"/>
      <c r="Y1006" s="361"/>
      <c r="Z1006" s="149"/>
      <c r="AA1006" s="151">
        <f>SUMIFS(TblDatabase[Competency8],ListEmployeeNamesInDatabase,$L$4,TblDatabase[Year],C991)</f>
        <v>0</v>
      </c>
      <c r="AB1006" s="149"/>
      <c r="AC1006" s="149"/>
      <c r="AD1006" s="149"/>
      <c r="AE1006" s="149"/>
      <c r="AF1006" s="149"/>
    </row>
    <row r="1007" spans="2:32" s="148" customFormat="1" ht="15" hidden="1" customHeight="1">
      <c r="B1007" s="350" t="str">
        <f t="shared" si="23"/>
        <v/>
      </c>
      <c r="C1007" s="351"/>
      <c r="D1007" s="351"/>
      <c r="E1007" s="352"/>
      <c r="F1007" s="157" t="str">
        <f>IF(Settings!$M$4=Settings!$Y$3,IF($AA1007=1,"P",""),IF($AA1007=1,"P",""))</f>
        <v/>
      </c>
      <c r="G1007" s="158" t="str">
        <f>IF(Settings!$M$4=Settings!$Y$3,IF($AA1007=1,"P",""),IF($AA1007=2,"P",""))</f>
        <v/>
      </c>
      <c r="H1007" s="158" t="str">
        <f>IF(Settings!$M$4=Settings!$Y$3,IF($AA1007=1,"P",""),IF($AA1007=3,"P",""))</f>
        <v/>
      </c>
      <c r="I1007" s="158" t="str">
        <f>IF(Settings!$M$4=Settings!$Y$3,IF($AA1007=1,"P",""),IF($AA1007=4,"P",""))</f>
        <v/>
      </c>
      <c r="J1007" s="158" t="str">
        <f>IF(Settings!$M$4=Settings!$Y$3,IF($AA1007=2,"P",""),IF($AA1007=5,"P",""))</f>
        <v/>
      </c>
      <c r="K1007" s="158" t="str">
        <f>IF(Settings!$M$4=Settings!$Y$3,IF($AA1007=2,"P",""),IF($AA1007=6,"P",""))</f>
        <v/>
      </c>
      <c r="L1007" s="158" t="str">
        <f>IF(Settings!$M$4=Settings!$Y$3,IF($AA1007=2,"P",""),IF($AA1007=7,"P",""))</f>
        <v/>
      </c>
      <c r="M1007" s="158" t="str">
        <f>IF(Settings!$M$4=Settings!$Y$3,IF($AA1007=2,"P",""),IF($AA1007=8,"P",""))</f>
        <v/>
      </c>
      <c r="N1007" s="158" t="str">
        <f>IF(Settings!$M$4=Settings!$Y$3,IF($AA1007=3,"P",""),IF($AA1007=9,"P",""))</f>
        <v/>
      </c>
      <c r="O1007" s="159" t="str">
        <f>IF(Settings!$M$4=Settings!$Y$3,IF($AA1007=3,"P",""),IF($AA1007=10,"P",""))</f>
        <v/>
      </c>
      <c r="P1007" s="22"/>
      <c r="Q1007" s="22"/>
      <c r="R1007" s="353" t="e">
        <f>IF(INDEX(TblDatabase[Comment9],MATCH(1,INDEX(($L$4=ListEmployeeNamesInDatabase)*(C991=TblDatabase[Year]),0,1),0))="","",INDEX(TblDatabase[Comment9],MATCH(1,INDEX(($L$4=ListEmployeeNamesInDatabase)*(C991=TblDatabase[Year]),0,1),0)))</f>
        <v>#N/A</v>
      </c>
      <c r="S1007" s="353"/>
      <c r="T1007" s="353"/>
      <c r="U1007" s="353"/>
      <c r="V1007" s="353"/>
      <c r="W1007" s="353"/>
      <c r="X1007" s="353"/>
      <c r="Y1007" s="354"/>
      <c r="Z1007" s="149"/>
      <c r="AA1007" s="151">
        <f>SUMIFS(TblDatabase[Competency9],ListEmployeeNamesInDatabase,$L$4,TblDatabase[Year],C991)</f>
        <v>0</v>
      </c>
      <c r="AB1007" s="149"/>
      <c r="AC1007" s="149"/>
      <c r="AD1007" s="149"/>
      <c r="AE1007" s="149"/>
      <c r="AF1007" s="149"/>
    </row>
    <row r="1008" spans="2:32" s="148" customFormat="1" ht="15" hidden="1" customHeight="1">
      <c r="B1008" s="355" t="str">
        <f t="shared" si="23"/>
        <v/>
      </c>
      <c r="C1008" s="356"/>
      <c r="D1008" s="356"/>
      <c r="E1008" s="357"/>
      <c r="F1008" s="163" t="str">
        <f>IF(Settings!$M$4=Settings!$Y$3,IF($AA1008=1,"P",""),IF($AA1008=1,"P",""))</f>
        <v/>
      </c>
      <c r="G1008" s="164" t="str">
        <f>IF(Settings!$M$4=Settings!$Y$3,IF($AA1008=1,"P",""),IF($AA1008=2,"P",""))</f>
        <v/>
      </c>
      <c r="H1008" s="164" t="str">
        <f>IF(Settings!$M$4=Settings!$Y$3,IF($AA1008=1,"P",""),IF($AA1008=3,"P",""))</f>
        <v/>
      </c>
      <c r="I1008" s="164" t="str">
        <f>IF(Settings!$M$4=Settings!$Y$3,IF($AA1008=1,"P",""),IF($AA1008=4,"P",""))</f>
        <v/>
      </c>
      <c r="J1008" s="164" t="str">
        <f>IF(Settings!$M$4=Settings!$Y$3,IF($AA1008=2,"P",""),IF($AA1008=5,"P",""))</f>
        <v/>
      </c>
      <c r="K1008" s="164" t="str">
        <f>IF(Settings!$M$4=Settings!$Y$3,IF($AA1008=2,"P",""),IF($AA1008=6,"P",""))</f>
        <v/>
      </c>
      <c r="L1008" s="164" t="str">
        <f>IF(Settings!$M$4=Settings!$Y$3,IF($AA1008=2,"P",""),IF($AA1008=7,"P",""))</f>
        <v/>
      </c>
      <c r="M1008" s="164" t="str">
        <f>IF(Settings!$M$4=Settings!$Y$3,IF($AA1008=2,"P",""),IF($AA1008=8,"P",""))</f>
        <v/>
      </c>
      <c r="N1008" s="164" t="str">
        <f>IF(Settings!$M$4=Settings!$Y$3,IF($AA1008=3,"P",""),IF($AA1008=9,"P",""))</f>
        <v/>
      </c>
      <c r="O1008" s="165" t="str">
        <f>IF(Settings!$M$4=Settings!$Y$3,IF($AA1008=3,"P",""),IF($AA1008=10,"P",""))</f>
        <v/>
      </c>
      <c r="P1008" s="22"/>
      <c r="Q1008" s="22"/>
      <c r="R1008" s="360" t="e">
        <f>IF(INDEX(TblDatabase[Comment10],MATCH(1,INDEX(($L$4=ListEmployeeNamesInDatabase)*(C991=TblDatabase[Year]),0,1),0))="","",INDEX(TblDatabase[Comment10],MATCH(1,INDEX(($L$4=ListEmployeeNamesInDatabase)*(C991=TblDatabase[Year]),0,1),0)))</f>
        <v>#N/A</v>
      </c>
      <c r="S1008" s="360"/>
      <c r="T1008" s="360"/>
      <c r="U1008" s="360"/>
      <c r="V1008" s="360"/>
      <c r="W1008" s="360"/>
      <c r="X1008" s="360"/>
      <c r="Y1008" s="361"/>
      <c r="Z1008" s="149"/>
      <c r="AA1008" s="151">
        <f>SUMIFS(TblDatabase[Competency10],ListEmployeeNamesInDatabase,$L$4,TblDatabase[Year],C991)</f>
        <v>0</v>
      </c>
      <c r="AB1008" s="149"/>
      <c r="AC1008" s="149"/>
      <c r="AD1008" s="149"/>
      <c r="AE1008" s="149"/>
      <c r="AF1008" s="149"/>
    </row>
    <row r="1009" spans="2:32" s="148" customFormat="1" ht="15" hidden="1" customHeight="1">
      <c r="B1009" s="350" t="str">
        <f t="shared" si="23"/>
        <v/>
      </c>
      <c r="C1009" s="351"/>
      <c r="D1009" s="351"/>
      <c r="E1009" s="352"/>
      <c r="F1009" s="157" t="str">
        <f>IF(Settings!$M$4=Settings!$Y$3,IF($AA1009=1,"P",""),IF($AA1009=1,"P",""))</f>
        <v/>
      </c>
      <c r="G1009" s="158" t="str">
        <f>IF(Settings!$M$4=Settings!$Y$3,IF($AA1009=1,"P",""),IF($AA1009=2,"P",""))</f>
        <v/>
      </c>
      <c r="H1009" s="158" t="str">
        <f>IF(Settings!$M$4=Settings!$Y$3,IF($AA1009=1,"P",""),IF($AA1009=3,"P",""))</f>
        <v/>
      </c>
      <c r="I1009" s="158" t="str">
        <f>IF(Settings!$M$4=Settings!$Y$3,IF($AA1009=1,"P",""),IF($AA1009=4,"P",""))</f>
        <v/>
      </c>
      <c r="J1009" s="158" t="str">
        <f>IF(Settings!$M$4=Settings!$Y$3,IF($AA1009=2,"P",""),IF($AA1009=5,"P",""))</f>
        <v/>
      </c>
      <c r="K1009" s="158" t="str">
        <f>IF(Settings!$M$4=Settings!$Y$3,IF($AA1009=2,"P",""),IF($AA1009=6,"P",""))</f>
        <v/>
      </c>
      <c r="L1009" s="158" t="str">
        <f>IF(Settings!$M$4=Settings!$Y$3,IF($AA1009=2,"P",""),IF($AA1009=7,"P",""))</f>
        <v/>
      </c>
      <c r="M1009" s="158" t="str">
        <f>IF(Settings!$M$4=Settings!$Y$3,IF($AA1009=2,"P",""),IF($AA1009=8,"P",""))</f>
        <v/>
      </c>
      <c r="N1009" s="158" t="str">
        <f>IF(Settings!$M$4=Settings!$Y$3,IF($AA1009=3,"P",""),IF($AA1009=9,"P",""))</f>
        <v/>
      </c>
      <c r="O1009" s="159" t="str">
        <f>IF(Settings!$M$4=Settings!$Y$3,IF($AA1009=3,"P",""),IF($AA1009=10,"P",""))</f>
        <v/>
      </c>
      <c r="P1009" s="22"/>
      <c r="Q1009" s="22"/>
      <c r="R1009" s="353" t="e">
        <f>IF(INDEX(TblDatabase[Comment11],MATCH(1,INDEX(($L$4=ListEmployeeNamesInDatabase)*(C991=TblDatabase[Year]),0,1),0))="","",INDEX(TblDatabase[Comment11],MATCH(1,INDEX(($L$4=ListEmployeeNamesInDatabase)*(C991=TblDatabase[Year]),0,1),0)))</f>
        <v>#N/A</v>
      </c>
      <c r="S1009" s="353"/>
      <c r="T1009" s="353"/>
      <c r="U1009" s="353"/>
      <c r="V1009" s="353"/>
      <c r="W1009" s="353"/>
      <c r="X1009" s="353"/>
      <c r="Y1009" s="354"/>
      <c r="Z1009" s="149"/>
      <c r="AA1009" s="151">
        <f>SUMIFS(TblDatabase[Competency11],ListEmployeeNamesInDatabase,$L$4,TblDatabase[Year],C991)</f>
        <v>0</v>
      </c>
      <c r="AB1009" s="149"/>
      <c r="AC1009" s="149"/>
      <c r="AD1009" s="149"/>
      <c r="AE1009" s="149"/>
      <c r="AF1009" s="149"/>
    </row>
    <row r="1010" spans="2:32" s="148" customFormat="1" ht="15" hidden="1" customHeight="1">
      <c r="B1010" s="355" t="str">
        <f t="shared" si="23"/>
        <v/>
      </c>
      <c r="C1010" s="356"/>
      <c r="D1010" s="356"/>
      <c r="E1010" s="357"/>
      <c r="F1010" s="163" t="str">
        <f>IF(Settings!$M$4=Settings!$Y$3,IF($AA1010=1,"P",""),IF($AA1010=1,"P",""))</f>
        <v/>
      </c>
      <c r="G1010" s="164" t="str">
        <f>IF(Settings!$M$4=Settings!$Y$3,IF($AA1010=1,"P",""),IF($AA1010=2,"P",""))</f>
        <v/>
      </c>
      <c r="H1010" s="164" t="str">
        <f>IF(Settings!$M$4=Settings!$Y$3,IF($AA1010=1,"P",""),IF($AA1010=3,"P",""))</f>
        <v/>
      </c>
      <c r="I1010" s="164" t="str">
        <f>IF(Settings!$M$4=Settings!$Y$3,IF($AA1010=1,"P",""),IF($AA1010=4,"P",""))</f>
        <v/>
      </c>
      <c r="J1010" s="164" t="str">
        <f>IF(Settings!$M$4=Settings!$Y$3,IF($AA1010=2,"P",""),IF($AA1010=5,"P",""))</f>
        <v/>
      </c>
      <c r="K1010" s="164" t="str">
        <f>IF(Settings!$M$4=Settings!$Y$3,IF($AA1010=2,"P",""),IF($AA1010=6,"P",""))</f>
        <v/>
      </c>
      <c r="L1010" s="164" t="str">
        <f>IF(Settings!$M$4=Settings!$Y$3,IF($AA1010=2,"P",""),IF($AA1010=7,"P",""))</f>
        <v/>
      </c>
      <c r="M1010" s="164" t="str">
        <f>IF(Settings!$M$4=Settings!$Y$3,IF($AA1010=2,"P",""),IF($AA1010=8,"P",""))</f>
        <v/>
      </c>
      <c r="N1010" s="164" t="str">
        <f>IF(Settings!$M$4=Settings!$Y$3,IF($AA1010=3,"P",""),IF($AA1010=9,"P",""))</f>
        <v/>
      </c>
      <c r="O1010" s="165" t="str">
        <f>IF(Settings!$M$4=Settings!$Y$3,IF($AA1010=3,"P",""),IF($AA1010=10,"P",""))</f>
        <v/>
      </c>
      <c r="P1010" s="22"/>
      <c r="Q1010" s="22"/>
      <c r="R1010" s="360" t="e">
        <f>IF(INDEX(TblDatabase[Comment12],MATCH(1,INDEX(($L$4=ListEmployeeNamesInDatabase)*(C991=TblDatabase[Year]),0,1),0))="","",INDEX(TblDatabase[Comment12],MATCH(1,INDEX(($L$4=ListEmployeeNamesInDatabase)*(C991=TblDatabase[Year]),0,1),0)))</f>
        <v>#N/A</v>
      </c>
      <c r="S1010" s="360"/>
      <c r="T1010" s="360"/>
      <c r="U1010" s="360"/>
      <c r="V1010" s="360"/>
      <c r="W1010" s="360"/>
      <c r="X1010" s="360"/>
      <c r="Y1010" s="361"/>
      <c r="Z1010" s="149"/>
      <c r="AA1010" s="151">
        <f>SUMIFS(TblDatabase[Competency12],ListEmployeeNamesInDatabase,$L$4,TblDatabase[Year],C991)</f>
        <v>0</v>
      </c>
      <c r="AB1010" s="149"/>
      <c r="AC1010" s="149"/>
      <c r="AD1010" s="149"/>
      <c r="AE1010" s="149"/>
      <c r="AF1010" s="149"/>
    </row>
    <row r="1011" spans="2:32" s="148" customFormat="1" ht="15" hidden="1" customHeight="1">
      <c r="B1011" s="350" t="str">
        <f t="shared" si="23"/>
        <v/>
      </c>
      <c r="C1011" s="351"/>
      <c r="D1011" s="351"/>
      <c r="E1011" s="352"/>
      <c r="F1011" s="157" t="str">
        <f>IF(Settings!$M$4=Settings!$Y$3,IF($AA1011=1,"P",""),IF($AA1011=1,"P",""))</f>
        <v/>
      </c>
      <c r="G1011" s="158" t="str">
        <f>IF(Settings!$M$4=Settings!$Y$3,IF($AA1011=1,"P",""),IF($AA1011=2,"P",""))</f>
        <v/>
      </c>
      <c r="H1011" s="158" t="str">
        <f>IF(Settings!$M$4=Settings!$Y$3,IF($AA1011=1,"P",""),IF($AA1011=3,"P",""))</f>
        <v/>
      </c>
      <c r="I1011" s="158" t="str">
        <f>IF(Settings!$M$4=Settings!$Y$3,IF($AA1011=1,"P",""),IF($AA1011=4,"P",""))</f>
        <v/>
      </c>
      <c r="J1011" s="158" t="str">
        <f>IF(Settings!$M$4=Settings!$Y$3,IF($AA1011=2,"P",""),IF($AA1011=5,"P",""))</f>
        <v/>
      </c>
      <c r="K1011" s="158" t="str">
        <f>IF(Settings!$M$4=Settings!$Y$3,IF($AA1011=2,"P",""),IF($AA1011=6,"P",""))</f>
        <v/>
      </c>
      <c r="L1011" s="158" t="str">
        <f>IF(Settings!$M$4=Settings!$Y$3,IF($AA1011=2,"P",""),IF($AA1011=7,"P",""))</f>
        <v/>
      </c>
      <c r="M1011" s="158" t="str">
        <f>IF(Settings!$M$4=Settings!$Y$3,IF($AA1011=2,"P",""),IF($AA1011=8,"P",""))</f>
        <v/>
      </c>
      <c r="N1011" s="158" t="str">
        <f>IF(Settings!$M$4=Settings!$Y$3,IF($AA1011=3,"P",""),IF($AA1011=9,"P",""))</f>
        <v/>
      </c>
      <c r="O1011" s="159" t="str">
        <f>IF(Settings!$M$4=Settings!$Y$3,IF($AA1011=3,"P",""),IF($AA1011=10,"P",""))</f>
        <v/>
      </c>
      <c r="P1011" s="22"/>
      <c r="Q1011" s="22"/>
      <c r="R1011" s="353" t="e">
        <f>IF(INDEX(TblDatabase[Comment13],MATCH(1,INDEX(($L$4=ListEmployeeNamesInDatabase)*(C991=TblDatabase[Year]),0,1),0))="","",INDEX(TblDatabase[Comment13],MATCH(1,INDEX(($L$4=ListEmployeeNamesInDatabase)*(C991=TblDatabase[Year]),0,1),0)))</f>
        <v>#N/A</v>
      </c>
      <c r="S1011" s="353"/>
      <c r="T1011" s="353"/>
      <c r="U1011" s="353"/>
      <c r="V1011" s="353"/>
      <c r="W1011" s="353"/>
      <c r="X1011" s="353"/>
      <c r="Y1011" s="354"/>
      <c r="Z1011" s="149"/>
      <c r="AA1011" s="151">
        <f>SUMIFS(TblDatabase[Competency13],ListEmployeeNamesInDatabase,$L$4,TblDatabase[Year],C991)</f>
        <v>0</v>
      </c>
      <c r="AB1011" s="149"/>
      <c r="AC1011" s="149"/>
      <c r="AD1011" s="149"/>
      <c r="AE1011" s="149"/>
      <c r="AF1011" s="149"/>
    </row>
    <row r="1012" spans="2:32" s="148" customFormat="1" ht="15" hidden="1" customHeight="1">
      <c r="B1012" s="355" t="str">
        <f t="shared" si="23"/>
        <v/>
      </c>
      <c r="C1012" s="356"/>
      <c r="D1012" s="356"/>
      <c r="E1012" s="357"/>
      <c r="F1012" s="163" t="str">
        <f>IF(Settings!$M$4=Settings!$Y$3,IF($AA1012=1,"P",""),IF($AA1012=1,"P",""))</f>
        <v/>
      </c>
      <c r="G1012" s="164" t="str">
        <f>IF(Settings!$M$4=Settings!$Y$3,IF($AA1012=1,"P",""),IF($AA1012=2,"P",""))</f>
        <v/>
      </c>
      <c r="H1012" s="164" t="str">
        <f>IF(Settings!$M$4=Settings!$Y$3,IF($AA1012=1,"P",""),IF($AA1012=3,"P",""))</f>
        <v/>
      </c>
      <c r="I1012" s="164" t="str">
        <f>IF(Settings!$M$4=Settings!$Y$3,IF($AA1012=1,"P",""),IF($AA1012=4,"P",""))</f>
        <v/>
      </c>
      <c r="J1012" s="164" t="str">
        <f>IF(Settings!$M$4=Settings!$Y$3,IF($AA1012=2,"P",""),IF($AA1012=5,"P",""))</f>
        <v/>
      </c>
      <c r="K1012" s="164" t="str">
        <f>IF(Settings!$M$4=Settings!$Y$3,IF($AA1012=2,"P",""),IF($AA1012=6,"P",""))</f>
        <v/>
      </c>
      <c r="L1012" s="164" t="str">
        <f>IF(Settings!$M$4=Settings!$Y$3,IF($AA1012=2,"P",""),IF($AA1012=7,"P",""))</f>
        <v/>
      </c>
      <c r="M1012" s="164" t="str">
        <f>IF(Settings!$M$4=Settings!$Y$3,IF($AA1012=2,"P",""),IF($AA1012=8,"P",""))</f>
        <v/>
      </c>
      <c r="N1012" s="164" t="str">
        <f>IF(Settings!$M$4=Settings!$Y$3,IF($AA1012=3,"P",""),IF($AA1012=9,"P",""))</f>
        <v/>
      </c>
      <c r="O1012" s="165" t="str">
        <f>IF(Settings!$M$4=Settings!$Y$3,IF($AA1012=3,"P",""),IF($AA1012=10,"P",""))</f>
        <v/>
      </c>
      <c r="P1012" s="22"/>
      <c r="Q1012" s="22"/>
      <c r="R1012" s="360" t="e">
        <f>IF(INDEX(TblDatabase[Comment14],MATCH(1,INDEX(($L$4=ListEmployeeNamesInDatabase)*(C991=TblDatabase[Year]),0,1),0))="","",INDEX(TblDatabase[Comment14],MATCH(1,INDEX(($L$4=ListEmployeeNamesInDatabase)*(C991=TblDatabase[Year]),0,1),0)))</f>
        <v>#N/A</v>
      </c>
      <c r="S1012" s="360"/>
      <c r="T1012" s="360"/>
      <c r="U1012" s="360"/>
      <c r="V1012" s="360"/>
      <c r="W1012" s="360"/>
      <c r="X1012" s="360"/>
      <c r="Y1012" s="361"/>
      <c r="Z1012" s="149"/>
      <c r="AA1012" s="151">
        <f>SUMIFS(TblDatabase[Competency14],ListEmployeeNamesInDatabase,$L$4,TblDatabase[Year],C991)</f>
        <v>0</v>
      </c>
      <c r="AB1012" s="149"/>
      <c r="AC1012" s="149"/>
      <c r="AD1012" s="149"/>
      <c r="AE1012" s="149"/>
      <c r="AF1012" s="149"/>
    </row>
    <row r="1013" spans="2:32" s="148" customFormat="1" ht="15" hidden="1" customHeight="1">
      <c r="B1013" s="350" t="str">
        <f t="shared" si="23"/>
        <v/>
      </c>
      <c r="C1013" s="351"/>
      <c r="D1013" s="351"/>
      <c r="E1013" s="352"/>
      <c r="F1013" s="157" t="str">
        <f>IF(Settings!$M$4=Settings!$Y$3,IF($AA1013=1,"P",""),IF($AA1013=1,"P",""))</f>
        <v/>
      </c>
      <c r="G1013" s="158" t="str">
        <f>IF(Settings!$M$4=Settings!$Y$3,IF($AA1013=1,"P",""),IF($AA1013=2,"P",""))</f>
        <v/>
      </c>
      <c r="H1013" s="158" t="str">
        <f>IF(Settings!$M$4=Settings!$Y$3,IF($AA1013=1,"P",""),IF($AA1013=3,"P",""))</f>
        <v/>
      </c>
      <c r="I1013" s="158" t="str">
        <f>IF(Settings!$M$4=Settings!$Y$3,IF($AA1013=1,"P",""),IF($AA1013=4,"P",""))</f>
        <v/>
      </c>
      <c r="J1013" s="158" t="str">
        <f>IF(Settings!$M$4=Settings!$Y$3,IF($AA1013=2,"P",""),IF($AA1013=5,"P",""))</f>
        <v/>
      </c>
      <c r="K1013" s="158" t="str">
        <f>IF(Settings!$M$4=Settings!$Y$3,IF($AA1013=2,"P",""),IF($AA1013=6,"P",""))</f>
        <v/>
      </c>
      <c r="L1013" s="158" t="str">
        <f>IF(Settings!$M$4=Settings!$Y$3,IF($AA1013=2,"P",""),IF($AA1013=7,"P",""))</f>
        <v/>
      </c>
      <c r="M1013" s="158" t="str">
        <f>IF(Settings!$M$4=Settings!$Y$3,IF($AA1013=2,"P",""),IF($AA1013=8,"P",""))</f>
        <v/>
      </c>
      <c r="N1013" s="158" t="str">
        <f>IF(Settings!$M$4=Settings!$Y$3,IF($AA1013=3,"P",""),IF($AA1013=9,"P",""))</f>
        <v/>
      </c>
      <c r="O1013" s="159" t="str">
        <f>IF(Settings!$M$4=Settings!$Y$3,IF($AA1013=3,"P",""),IF($AA1013=10,"P",""))</f>
        <v/>
      </c>
      <c r="P1013" s="22"/>
      <c r="Q1013" s="22"/>
      <c r="R1013" s="353" t="e">
        <f>IF(INDEX(TblDatabase[Comment15],MATCH(1,INDEX(($L$4=ListEmployeeNamesInDatabase)*(C991=TblDatabase[Year]),0,1),0))="","",INDEX(TblDatabase[Comment15],MATCH(1,INDEX(($L$4=ListEmployeeNamesInDatabase)*(C991=TblDatabase[Year]),0,1),0)))</f>
        <v>#N/A</v>
      </c>
      <c r="S1013" s="353"/>
      <c r="T1013" s="353"/>
      <c r="U1013" s="353"/>
      <c r="V1013" s="353"/>
      <c r="W1013" s="353"/>
      <c r="X1013" s="353"/>
      <c r="Y1013" s="354"/>
      <c r="Z1013" s="149"/>
      <c r="AA1013" s="151">
        <f>SUMIFS(TblDatabase[Competency15],ListEmployeeNamesInDatabase,$L$4,TblDatabase[Year],C991)</f>
        <v>0</v>
      </c>
      <c r="AB1013" s="149"/>
      <c r="AC1013" s="149"/>
      <c r="AD1013" s="149"/>
      <c r="AE1013" s="149"/>
      <c r="AF1013" s="149"/>
    </row>
    <row r="1014" spans="2:32" s="148" customFormat="1" ht="15" hidden="1" customHeight="1">
      <c r="B1014" s="355" t="str">
        <f t="shared" si="23"/>
        <v/>
      </c>
      <c r="C1014" s="356"/>
      <c r="D1014" s="356"/>
      <c r="E1014" s="357"/>
      <c r="F1014" s="163" t="str">
        <f>IF(Settings!$M$4=Settings!$Y$3,IF($AA1014=1,"P",""),IF($AA1014=1,"P",""))</f>
        <v/>
      </c>
      <c r="G1014" s="164" t="str">
        <f>IF(Settings!$M$4=Settings!$Y$3,IF($AA1014=1,"P",""),IF($AA1014=2,"P",""))</f>
        <v/>
      </c>
      <c r="H1014" s="164" t="str">
        <f>IF(Settings!$M$4=Settings!$Y$3,IF($AA1014=1,"P",""),IF($AA1014=3,"P",""))</f>
        <v/>
      </c>
      <c r="I1014" s="164" t="str">
        <f>IF(Settings!$M$4=Settings!$Y$3,IF($AA1014=1,"P",""),IF($AA1014=4,"P",""))</f>
        <v/>
      </c>
      <c r="J1014" s="164" t="str">
        <f>IF(Settings!$M$4=Settings!$Y$3,IF($AA1014=2,"P",""),IF($AA1014=5,"P",""))</f>
        <v/>
      </c>
      <c r="K1014" s="164" t="str">
        <f>IF(Settings!$M$4=Settings!$Y$3,IF($AA1014=2,"P",""),IF($AA1014=6,"P",""))</f>
        <v/>
      </c>
      <c r="L1014" s="164" t="str">
        <f>IF(Settings!$M$4=Settings!$Y$3,IF($AA1014=2,"P",""),IF($AA1014=7,"P",""))</f>
        <v/>
      </c>
      <c r="M1014" s="164" t="str">
        <f>IF(Settings!$M$4=Settings!$Y$3,IF($AA1014=2,"P",""),IF($AA1014=8,"P",""))</f>
        <v/>
      </c>
      <c r="N1014" s="164" t="str">
        <f>IF(Settings!$M$4=Settings!$Y$3,IF($AA1014=3,"P",""),IF($AA1014=9,"P",""))</f>
        <v/>
      </c>
      <c r="O1014" s="165" t="str">
        <f>IF(Settings!$M$4=Settings!$Y$3,IF($AA1014=3,"P",""),IF($AA1014=10,"P",""))</f>
        <v/>
      </c>
      <c r="P1014" s="22"/>
      <c r="Q1014" s="22"/>
      <c r="R1014" s="360" t="e">
        <f>IF(INDEX(TblDatabase[Comment16],MATCH(1,INDEX(($L$4=ListEmployeeNamesInDatabase)*(C991=TblDatabase[Year]),0,1),0))="","",INDEX(TblDatabase[Comment16],MATCH(1,INDEX(($L$4=ListEmployeeNamesInDatabase)*(C991=TblDatabase[Year]),0,1),0)))</f>
        <v>#N/A</v>
      </c>
      <c r="S1014" s="360"/>
      <c r="T1014" s="360"/>
      <c r="U1014" s="360"/>
      <c r="V1014" s="360"/>
      <c r="W1014" s="360"/>
      <c r="X1014" s="360"/>
      <c r="Y1014" s="361"/>
      <c r="Z1014" s="149"/>
      <c r="AA1014" s="151">
        <f>SUMIFS(TblDatabase[Competency16],ListEmployeeNamesInDatabase,$L$4,TblDatabase[Year],C991)</f>
        <v>0</v>
      </c>
      <c r="AB1014" s="149"/>
      <c r="AC1014" s="149"/>
      <c r="AD1014" s="149"/>
      <c r="AE1014" s="149"/>
      <c r="AF1014" s="149"/>
    </row>
    <row r="1015" spans="2:32" s="148" customFormat="1" ht="15" hidden="1" customHeight="1">
      <c r="B1015" s="350" t="str">
        <f t="shared" si="23"/>
        <v/>
      </c>
      <c r="C1015" s="351"/>
      <c r="D1015" s="351"/>
      <c r="E1015" s="352"/>
      <c r="F1015" s="157" t="str">
        <f>IF(Settings!$M$4=Settings!$Y$3,IF($AA1015=1,"P",""),IF($AA1015=1,"P",""))</f>
        <v/>
      </c>
      <c r="G1015" s="158" t="str">
        <f>IF(Settings!$M$4=Settings!$Y$3,IF($AA1015=1,"P",""),IF($AA1015=2,"P",""))</f>
        <v/>
      </c>
      <c r="H1015" s="158" t="str">
        <f>IF(Settings!$M$4=Settings!$Y$3,IF($AA1015=1,"P",""),IF($AA1015=3,"P",""))</f>
        <v/>
      </c>
      <c r="I1015" s="158" t="str">
        <f>IF(Settings!$M$4=Settings!$Y$3,IF($AA1015=1,"P",""),IF($AA1015=4,"P",""))</f>
        <v/>
      </c>
      <c r="J1015" s="158" t="str">
        <f>IF(Settings!$M$4=Settings!$Y$3,IF($AA1015=2,"P",""),IF($AA1015=5,"P",""))</f>
        <v/>
      </c>
      <c r="K1015" s="158" t="str">
        <f>IF(Settings!$M$4=Settings!$Y$3,IF($AA1015=2,"P",""),IF($AA1015=6,"P",""))</f>
        <v/>
      </c>
      <c r="L1015" s="158" t="str">
        <f>IF(Settings!$M$4=Settings!$Y$3,IF($AA1015=2,"P",""),IF($AA1015=7,"P",""))</f>
        <v/>
      </c>
      <c r="M1015" s="158" t="str">
        <f>IF(Settings!$M$4=Settings!$Y$3,IF($AA1015=2,"P",""),IF($AA1015=8,"P",""))</f>
        <v/>
      </c>
      <c r="N1015" s="158" t="str">
        <f>IF(Settings!$M$4=Settings!$Y$3,IF($AA1015=3,"P",""),IF($AA1015=9,"P",""))</f>
        <v/>
      </c>
      <c r="O1015" s="159" t="str">
        <f>IF(Settings!$M$4=Settings!$Y$3,IF($AA1015=3,"P",""),IF($AA1015=10,"P",""))</f>
        <v/>
      </c>
      <c r="P1015" s="22"/>
      <c r="Q1015" s="22"/>
      <c r="R1015" s="353" t="e">
        <f>IF(INDEX(TblDatabase[Comment17],MATCH(1,INDEX(($L$4=ListEmployeeNamesInDatabase)*(C991=TblDatabase[Year]),0,1),0))="","",INDEX(TblDatabase[Comment17],MATCH(1,INDEX(($L$4=ListEmployeeNamesInDatabase)*(C991=TblDatabase[Year]),0,1),0)))</f>
        <v>#N/A</v>
      </c>
      <c r="S1015" s="353"/>
      <c r="T1015" s="353"/>
      <c r="U1015" s="353"/>
      <c r="V1015" s="353"/>
      <c r="W1015" s="353"/>
      <c r="X1015" s="353"/>
      <c r="Y1015" s="354"/>
      <c r="Z1015" s="149"/>
      <c r="AA1015" s="151">
        <f>SUMIFS(TblDatabase[Competency17],ListEmployeeNamesInDatabase,$L$4,TblDatabase[Year],C991)</f>
        <v>0</v>
      </c>
      <c r="AB1015" s="149"/>
      <c r="AC1015" s="149"/>
      <c r="AD1015" s="149"/>
      <c r="AE1015" s="149"/>
      <c r="AF1015" s="149"/>
    </row>
    <row r="1016" spans="2:32" s="148" customFormat="1" ht="15" hidden="1" customHeight="1">
      <c r="B1016" s="355" t="str">
        <f t="shared" si="23"/>
        <v/>
      </c>
      <c r="C1016" s="356"/>
      <c r="D1016" s="356"/>
      <c r="E1016" s="357"/>
      <c r="F1016" s="163" t="str">
        <f>IF(Settings!$M$4=Settings!$Y$3,IF($AA1016=1,"P",""),IF($AA1016=1,"P",""))</f>
        <v/>
      </c>
      <c r="G1016" s="164" t="str">
        <f>IF(Settings!$M$4=Settings!$Y$3,IF($AA1016=1,"P",""),IF($AA1016=2,"P",""))</f>
        <v/>
      </c>
      <c r="H1016" s="164" t="str">
        <f>IF(Settings!$M$4=Settings!$Y$3,IF($AA1016=1,"P",""),IF($AA1016=3,"P",""))</f>
        <v/>
      </c>
      <c r="I1016" s="164" t="str">
        <f>IF(Settings!$M$4=Settings!$Y$3,IF($AA1016=1,"P",""),IF($AA1016=4,"P",""))</f>
        <v/>
      </c>
      <c r="J1016" s="164" t="str">
        <f>IF(Settings!$M$4=Settings!$Y$3,IF($AA1016=2,"P",""),IF($AA1016=5,"P",""))</f>
        <v/>
      </c>
      <c r="K1016" s="164" t="str">
        <f>IF(Settings!$M$4=Settings!$Y$3,IF($AA1016=2,"P",""),IF($AA1016=6,"P",""))</f>
        <v/>
      </c>
      <c r="L1016" s="164" t="str">
        <f>IF(Settings!$M$4=Settings!$Y$3,IF($AA1016=2,"P",""),IF($AA1016=7,"P",""))</f>
        <v/>
      </c>
      <c r="M1016" s="164" t="str">
        <f>IF(Settings!$M$4=Settings!$Y$3,IF($AA1016=2,"P",""),IF($AA1016=8,"P",""))</f>
        <v/>
      </c>
      <c r="N1016" s="164" t="str">
        <f>IF(Settings!$M$4=Settings!$Y$3,IF($AA1016=3,"P",""),IF($AA1016=9,"P",""))</f>
        <v/>
      </c>
      <c r="O1016" s="165" t="str">
        <f>IF(Settings!$M$4=Settings!$Y$3,IF($AA1016=3,"P",""),IF($AA1016=10,"P",""))</f>
        <v/>
      </c>
      <c r="P1016" s="22"/>
      <c r="Q1016" s="22"/>
      <c r="R1016" s="360" t="e">
        <f>IF(INDEX(TblDatabase[Comment18],MATCH(1,INDEX(($L$4=ListEmployeeNamesInDatabase)*(C991=TblDatabase[Year]),0,1),0))="","",INDEX(TblDatabase[Comment18],MATCH(1,INDEX(($L$4=ListEmployeeNamesInDatabase)*(C991=TblDatabase[Year]),0,1),0)))</f>
        <v>#N/A</v>
      </c>
      <c r="S1016" s="360"/>
      <c r="T1016" s="360"/>
      <c r="U1016" s="360"/>
      <c r="V1016" s="360"/>
      <c r="W1016" s="360"/>
      <c r="X1016" s="360"/>
      <c r="Y1016" s="361"/>
      <c r="Z1016" s="149"/>
      <c r="AA1016" s="151">
        <f>SUMIFS(TblDatabase[Competency18],ListEmployeeNamesInDatabase,$L$4,TblDatabase[Year],C991)</f>
        <v>0</v>
      </c>
      <c r="AB1016" s="149"/>
      <c r="AC1016" s="149"/>
      <c r="AD1016" s="149"/>
      <c r="AE1016" s="149"/>
      <c r="AF1016" s="149"/>
    </row>
    <row r="1017" spans="2:32" s="148" customFormat="1" ht="15" hidden="1" customHeight="1">
      <c r="B1017" s="350" t="str">
        <f t="shared" si="23"/>
        <v/>
      </c>
      <c r="C1017" s="351"/>
      <c r="D1017" s="351"/>
      <c r="E1017" s="352"/>
      <c r="F1017" s="157" t="str">
        <f>IF(Settings!$M$4=Settings!$Y$3,IF($AA1017=1,"P",""),IF($AA1017=1,"P",""))</f>
        <v/>
      </c>
      <c r="G1017" s="158" t="str">
        <f>IF(Settings!$M$4=Settings!$Y$3,IF($AA1017=1,"P",""),IF($AA1017=2,"P",""))</f>
        <v/>
      </c>
      <c r="H1017" s="158" t="str">
        <f>IF(Settings!$M$4=Settings!$Y$3,IF($AA1017=1,"P",""),IF($AA1017=3,"P",""))</f>
        <v/>
      </c>
      <c r="I1017" s="158" t="str">
        <f>IF(Settings!$M$4=Settings!$Y$3,IF($AA1017=1,"P",""),IF($AA1017=4,"P",""))</f>
        <v/>
      </c>
      <c r="J1017" s="158" t="str">
        <f>IF(Settings!$M$4=Settings!$Y$3,IF($AA1017=2,"P",""),IF($AA1017=5,"P",""))</f>
        <v/>
      </c>
      <c r="K1017" s="158" t="str">
        <f>IF(Settings!$M$4=Settings!$Y$3,IF($AA1017=2,"P",""),IF($AA1017=6,"P",""))</f>
        <v/>
      </c>
      <c r="L1017" s="158" t="str">
        <f>IF(Settings!$M$4=Settings!$Y$3,IF($AA1017=2,"P",""),IF($AA1017=7,"P",""))</f>
        <v/>
      </c>
      <c r="M1017" s="158" t="str">
        <f>IF(Settings!$M$4=Settings!$Y$3,IF($AA1017=2,"P",""),IF($AA1017=8,"P",""))</f>
        <v/>
      </c>
      <c r="N1017" s="158" t="str">
        <f>IF(Settings!$M$4=Settings!$Y$3,IF($AA1017=3,"P",""),IF($AA1017=9,"P",""))</f>
        <v/>
      </c>
      <c r="O1017" s="159" t="str">
        <f>IF(Settings!$M$4=Settings!$Y$3,IF($AA1017=3,"P",""),IF($AA1017=10,"P",""))</f>
        <v/>
      </c>
      <c r="P1017" s="22"/>
      <c r="Q1017" s="22"/>
      <c r="R1017" s="353" t="e">
        <f>IF(INDEX(TblDatabase[Comment19],MATCH(1,INDEX(($L$4=ListEmployeeNamesInDatabase)*(C991=TblDatabase[Year]),0,1),0))="","",INDEX(TblDatabase[Comment19],MATCH(1,INDEX(($L$4=ListEmployeeNamesInDatabase)*(C991=TblDatabase[Year]),0,1),0)))</f>
        <v>#N/A</v>
      </c>
      <c r="S1017" s="353"/>
      <c r="T1017" s="353"/>
      <c r="U1017" s="353"/>
      <c r="V1017" s="353"/>
      <c r="W1017" s="353"/>
      <c r="X1017" s="353"/>
      <c r="Y1017" s="354"/>
      <c r="Z1017" s="149"/>
      <c r="AA1017" s="151">
        <f>SUMIFS(TblDatabase[Competency19],ListEmployeeNamesInDatabase,$L$4,TblDatabase[Year],C991)</f>
        <v>0</v>
      </c>
      <c r="AB1017" s="149"/>
      <c r="AC1017" s="149"/>
      <c r="AD1017" s="149"/>
      <c r="AE1017" s="149"/>
      <c r="AF1017" s="149"/>
    </row>
    <row r="1018" spans="2:32" s="148" customFormat="1" ht="15" hidden="1" customHeight="1">
      <c r="B1018" s="362" t="str">
        <f t="shared" si="23"/>
        <v/>
      </c>
      <c r="C1018" s="363"/>
      <c r="D1018" s="363"/>
      <c r="E1018" s="364"/>
      <c r="F1018" s="166" t="str">
        <f>IF(Settings!$M$4=Settings!$Y$3,IF($AA1018=1,"P",""),IF($AA1018=1,"P",""))</f>
        <v/>
      </c>
      <c r="G1018" s="167" t="str">
        <f>IF(Settings!$M$4=Settings!$Y$3,IF($AA1018=1,"P",""),IF($AA1018=2,"P",""))</f>
        <v/>
      </c>
      <c r="H1018" s="167" t="str">
        <f>IF(Settings!$M$4=Settings!$Y$3,IF($AA1018=1,"P",""),IF($AA1018=3,"P",""))</f>
        <v/>
      </c>
      <c r="I1018" s="167" t="str">
        <f>IF(Settings!$M$4=Settings!$Y$3,IF($AA1018=1,"P",""),IF($AA1018=4,"P",""))</f>
        <v/>
      </c>
      <c r="J1018" s="167" t="str">
        <f>IF(Settings!$M$4=Settings!$Y$3,IF($AA1018=2,"P",""),IF($AA1018=5,"P",""))</f>
        <v/>
      </c>
      <c r="K1018" s="167" t="str">
        <f>IF(Settings!$M$4=Settings!$Y$3,IF($AA1018=2,"P",""),IF($AA1018=6,"P",""))</f>
        <v/>
      </c>
      <c r="L1018" s="167" t="str">
        <f>IF(Settings!$M$4=Settings!$Y$3,IF($AA1018=2,"P",""),IF($AA1018=7,"P",""))</f>
        <v/>
      </c>
      <c r="M1018" s="167" t="str">
        <f>IF(Settings!$M$4=Settings!$Y$3,IF($AA1018=2,"P",""),IF($AA1018=8,"P",""))</f>
        <v/>
      </c>
      <c r="N1018" s="167" t="str">
        <f>IF(Settings!$M$4=Settings!$Y$3,IF($AA1018=3,"P",""),IF($AA1018=9,"P",""))</f>
        <v/>
      </c>
      <c r="O1018" s="168" t="str">
        <f>IF(Settings!$M$4=Settings!$Y$3,IF($AA1018=3,"P",""),IF($AA1018=10,"P",""))</f>
        <v/>
      </c>
      <c r="P1018" s="22"/>
      <c r="Q1018" s="22"/>
      <c r="R1018" s="365" t="e">
        <f>IF(INDEX(TblDatabase[Comment20],MATCH(1,INDEX(($L$4=ListEmployeeNamesInDatabase)*(C991=TblDatabase[Year]),0,1),0))="","",INDEX(TblDatabase[Comment20],MATCH(1,INDEX(($L$4=ListEmployeeNamesInDatabase)*(C991=TblDatabase[Year]),0,1),0)))</f>
        <v>#N/A</v>
      </c>
      <c r="S1018" s="365"/>
      <c r="T1018" s="365"/>
      <c r="U1018" s="365"/>
      <c r="V1018" s="365"/>
      <c r="W1018" s="365"/>
      <c r="X1018" s="365"/>
      <c r="Y1018" s="366"/>
      <c r="Z1018" s="149"/>
      <c r="AA1018" s="151">
        <f>SUMIFS(TblDatabase[Competency20],ListEmployeeNamesInDatabase,$L$4,TblDatabase[Year],C991)</f>
        <v>0</v>
      </c>
      <c r="AB1018" s="149"/>
      <c r="AC1018" s="149"/>
      <c r="AD1018" s="149"/>
      <c r="AE1018" s="149"/>
      <c r="AF1018" s="149"/>
    </row>
    <row r="1019" spans="2:32" s="148" customFormat="1" hidden="1">
      <c r="B1019" s="414" t="s">
        <v>26</v>
      </c>
      <c r="C1019" s="415"/>
      <c r="D1019" s="415"/>
      <c r="E1019" s="371">
        <f ca="1">SUM(OFFSET(AA999,0,0,NumberOfCompetencies))</f>
        <v>0</v>
      </c>
      <c r="F1019" s="372"/>
      <c r="G1019" s="152"/>
      <c r="H1019" s="152"/>
      <c r="I1019" s="152"/>
      <c r="J1019" s="152"/>
      <c r="K1019" s="152"/>
      <c r="L1019" s="152"/>
      <c r="M1019" s="152"/>
      <c r="N1019" s="152"/>
      <c r="O1019" s="152"/>
      <c r="P1019" s="152"/>
      <c r="Q1019" s="152"/>
      <c r="R1019" s="152"/>
      <c r="S1019" s="152"/>
      <c r="T1019" s="152"/>
      <c r="U1019" s="152"/>
      <c r="V1019" s="152"/>
      <c r="W1019" s="152"/>
      <c r="X1019" s="152"/>
      <c r="Y1019" s="152"/>
      <c r="Z1019" s="149"/>
      <c r="AA1019" s="149"/>
      <c r="AB1019" s="149"/>
      <c r="AC1019" s="149"/>
      <c r="AD1019" s="149"/>
      <c r="AE1019" s="149"/>
      <c r="AF1019" s="149"/>
    </row>
    <row r="1020" spans="2:32" s="148" customFormat="1" hidden="1">
      <c r="B1020" s="369" t="s">
        <v>27</v>
      </c>
      <c r="C1020" s="370"/>
      <c r="D1020" s="370"/>
      <c r="E1020" s="358">
        <f ca="1">E1019/NumberOfCompetencies</f>
        <v>0</v>
      </c>
      <c r="F1020" s="359"/>
      <c r="G1020" s="153"/>
      <c r="H1020" s="153"/>
      <c r="I1020" s="153"/>
      <c r="J1020" s="153"/>
      <c r="K1020" s="153"/>
      <c r="L1020" s="153"/>
      <c r="M1020" s="153"/>
      <c r="N1020" s="153"/>
      <c r="O1020" s="153"/>
      <c r="P1020" s="153"/>
      <c r="Q1020" s="153"/>
      <c r="R1020" s="153"/>
      <c r="S1020" s="153"/>
      <c r="T1020" s="153"/>
      <c r="U1020" s="153"/>
      <c r="V1020" s="153"/>
      <c r="W1020" s="153"/>
      <c r="X1020" s="153"/>
      <c r="Y1020" s="153"/>
      <c r="Z1020" s="149"/>
      <c r="AA1020" s="149"/>
      <c r="AB1020" s="149"/>
      <c r="AC1020" s="149"/>
      <c r="AD1020" s="149"/>
      <c r="AE1020" s="149"/>
      <c r="AF1020" s="149"/>
    </row>
    <row r="1021" spans="2:32" s="148" customFormat="1" hidden="1">
      <c r="B1021" s="154"/>
      <c r="C1021" s="154"/>
      <c r="D1021" s="154"/>
      <c r="E1021" s="154"/>
      <c r="F1021" s="154"/>
      <c r="G1021" s="154"/>
      <c r="H1021" s="154"/>
      <c r="I1021" s="154"/>
      <c r="J1021" s="154"/>
      <c r="K1021" s="154"/>
      <c r="L1021" s="154"/>
      <c r="M1021" s="154"/>
      <c r="N1021" s="154"/>
      <c r="O1021" s="154"/>
      <c r="P1021" s="154"/>
      <c r="Q1021" s="154"/>
      <c r="R1021" s="154"/>
      <c r="S1021" s="154"/>
      <c r="T1021" s="154"/>
      <c r="U1021" s="154"/>
      <c r="V1021" s="154"/>
      <c r="W1021" s="154"/>
      <c r="X1021" s="154"/>
      <c r="Y1021" s="154"/>
      <c r="Z1021" s="149"/>
      <c r="AA1021" s="149"/>
      <c r="AB1021" s="149"/>
      <c r="AC1021" s="149"/>
      <c r="AD1021" s="149"/>
      <c r="AE1021" s="149"/>
      <c r="AF1021" s="149"/>
    </row>
    <row r="1022" spans="2:32" s="148" customFormat="1" hidden="1">
      <c r="B1022" s="338" t="str">
        <f>Settings!$N$15</f>
        <v>Previously agreed actions</v>
      </c>
      <c r="C1022" s="339"/>
      <c r="D1022" s="339"/>
      <c r="E1022" s="339"/>
      <c r="F1022" s="339"/>
      <c r="G1022" s="339"/>
      <c r="H1022" s="339"/>
      <c r="I1022" s="339"/>
      <c r="J1022" s="339"/>
      <c r="K1022" s="339"/>
      <c r="L1022" s="339"/>
      <c r="M1022" s="339"/>
      <c r="N1022" s="339"/>
      <c r="O1022" s="339"/>
      <c r="P1022" s="339"/>
      <c r="Q1022" s="339"/>
      <c r="R1022" s="339"/>
      <c r="S1022" s="339"/>
      <c r="T1022" s="339"/>
      <c r="U1022" s="339"/>
      <c r="V1022" s="339"/>
      <c r="W1022" s="339"/>
      <c r="X1022" s="339"/>
      <c r="Y1022" s="340"/>
      <c r="Z1022" s="149"/>
      <c r="AA1022" s="149"/>
      <c r="AB1022" s="149"/>
      <c r="AC1022" s="149"/>
      <c r="AD1022" s="149"/>
      <c r="AE1022" s="149"/>
      <c r="AF1022" s="149"/>
    </row>
    <row r="1023" spans="2:32" s="148" customFormat="1" hidden="1">
      <c r="B1023" s="341" t="e">
        <f>IF(INDEX(TblDatabase[Feedback Does Well],MATCH(1,INDEX(($L$4=ListEmployeeNamesInDatabase)*(C991=TblDatabase[Year]),0,1),0))="","",INDEX(TblDatabase[Feedback Does Well],MATCH(1,INDEX(($L$4=ListEmployeeNamesInDatabase)*(C991=TblDatabase[Year]),0,1),0)))</f>
        <v>#N/A</v>
      </c>
      <c r="C1023" s="342"/>
      <c r="D1023" s="342"/>
      <c r="E1023" s="342"/>
      <c r="F1023" s="342"/>
      <c r="G1023" s="342"/>
      <c r="H1023" s="342"/>
      <c r="I1023" s="342"/>
      <c r="J1023" s="342"/>
      <c r="K1023" s="342"/>
      <c r="L1023" s="342"/>
      <c r="M1023" s="342"/>
      <c r="N1023" s="342"/>
      <c r="O1023" s="342"/>
      <c r="P1023" s="342"/>
      <c r="Q1023" s="342"/>
      <c r="R1023" s="342"/>
      <c r="S1023" s="342"/>
      <c r="T1023" s="342"/>
      <c r="U1023" s="342"/>
      <c r="V1023" s="342"/>
      <c r="W1023" s="342"/>
      <c r="X1023" s="342"/>
      <c r="Y1023" s="343"/>
      <c r="Z1023" s="149"/>
      <c r="AA1023" s="149"/>
      <c r="AB1023" s="149"/>
      <c r="AC1023" s="149"/>
      <c r="AD1023" s="149"/>
      <c r="AE1023" s="149"/>
      <c r="AF1023" s="149"/>
    </row>
    <row r="1024" spans="2:32" s="148" customFormat="1" hidden="1">
      <c r="B1024" s="344"/>
      <c r="C1024" s="345"/>
      <c r="D1024" s="345"/>
      <c r="E1024" s="345"/>
      <c r="F1024" s="345"/>
      <c r="G1024" s="345"/>
      <c r="H1024" s="345"/>
      <c r="I1024" s="345"/>
      <c r="J1024" s="345"/>
      <c r="K1024" s="345"/>
      <c r="L1024" s="345"/>
      <c r="M1024" s="345"/>
      <c r="N1024" s="345"/>
      <c r="O1024" s="345"/>
      <c r="P1024" s="345"/>
      <c r="Q1024" s="345"/>
      <c r="R1024" s="345"/>
      <c r="S1024" s="345"/>
      <c r="T1024" s="345"/>
      <c r="U1024" s="345"/>
      <c r="V1024" s="345"/>
      <c r="W1024" s="345"/>
      <c r="X1024" s="345"/>
      <c r="Y1024" s="346"/>
      <c r="Z1024" s="149"/>
      <c r="AA1024" s="149"/>
      <c r="AB1024" s="149"/>
      <c r="AC1024" s="149"/>
      <c r="AD1024" s="149"/>
      <c r="AE1024" s="149"/>
      <c r="AF1024" s="149"/>
    </row>
    <row r="1025" spans="1:32" s="148" customFormat="1" hidden="1">
      <c r="B1025" s="347"/>
      <c r="C1025" s="348"/>
      <c r="D1025" s="348"/>
      <c r="E1025" s="348"/>
      <c r="F1025" s="348"/>
      <c r="G1025" s="348"/>
      <c r="H1025" s="348"/>
      <c r="I1025" s="348"/>
      <c r="J1025" s="348"/>
      <c r="K1025" s="348"/>
      <c r="L1025" s="348"/>
      <c r="M1025" s="348"/>
      <c r="N1025" s="348"/>
      <c r="O1025" s="348"/>
      <c r="P1025" s="348"/>
      <c r="Q1025" s="348"/>
      <c r="R1025" s="348"/>
      <c r="S1025" s="348"/>
      <c r="T1025" s="348"/>
      <c r="U1025" s="348"/>
      <c r="V1025" s="348"/>
      <c r="W1025" s="348"/>
      <c r="X1025" s="348"/>
      <c r="Y1025" s="349"/>
      <c r="Z1025" s="149"/>
      <c r="AA1025" s="149"/>
      <c r="AB1025" s="149"/>
      <c r="AC1025" s="149"/>
      <c r="AD1025" s="149"/>
      <c r="AE1025" s="149"/>
      <c r="AF1025" s="149"/>
    </row>
    <row r="1026" spans="1:32" s="148" customFormat="1" hidden="1">
      <c r="B1026" s="155"/>
      <c r="C1026" s="155"/>
      <c r="D1026" s="155"/>
      <c r="E1026" s="155"/>
      <c r="F1026" s="155"/>
      <c r="G1026" s="155"/>
      <c r="H1026" s="155"/>
      <c r="I1026" s="155"/>
      <c r="J1026" s="155"/>
      <c r="K1026" s="155"/>
      <c r="L1026" s="155"/>
      <c r="M1026" s="155"/>
      <c r="N1026" s="155"/>
      <c r="O1026" s="155"/>
      <c r="P1026" s="155"/>
      <c r="Q1026" s="155"/>
      <c r="R1026" s="155"/>
      <c r="S1026" s="155"/>
      <c r="T1026" s="155"/>
      <c r="U1026" s="155"/>
      <c r="V1026" s="155"/>
      <c r="W1026" s="155"/>
      <c r="X1026" s="155"/>
      <c r="Y1026" s="155"/>
      <c r="Z1026" s="149"/>
      <c r="AA1026" s="149"/>
      <c r="AB1026" s="149"/>
      <c r="AC1026" s="149"/>
      <c r="AD1026" s="149"/>
      <c r="AE1026" s="149"/>
      <c r="AF1026" s="149"/>
    </row>
    <row r="1027" spans="1:32" s="148" customFormat="1" hidden="1">
      <c r="B1027" s="338" t="str">
        <f>Settings!$N$16</f>
        <v>Actions agreed during this review</v>
      </c>
      <c r="C1027" s="339"/>
      <c r="D1027" s="339"/>
      <c r="E1027" s="339"/>
      <c r="F1027" s="339"/>
      <c r="G1027" s="339"/>
      <c r="H1027" s="339"/>
      <c r="I1027" s="339"/>
      <c r="J1027" s="339"/>
      <c r="K1027" s="339"/>
      <c r="L1027" s="339"/>
      <c r="M1027" s="339"/>
      <c r="N1027" s="339"/>
      <c r="O1027" s="339"/>
      <c r="P1027" s="339"/>
      <c r="Q1027" s="339"/>
      <c r="R1027" s="339"/>
      <c r="S1027" s="339"/>
      <c r="T1027" s="339"/>
      <c r="U1027" s="339"/>
      <c r="V1027" s="339"/>
      <c r="W1027" s="339"/>
      <c r="X1027" s="339"/>
      <c r="Y1027" s="340"/>
      <c r="Z1027" s="149"/>
      <c r="AA1027" s="149"/>
      <c r="AB1027" s="149"/>
      <c r="AC1027" s="149"/>
      <c r="AD1027" s="149"/>
      <c r="AE1027" s="149"/>
      <c r="AF1027" s="149"/>
    </row>
    <row r="1028" spans="1:32" s="148" customFormat="1" hidden="1">
      <c r="B1028" s="341" t="e">
        <f>IF(INDEX(TblDatabase[Feedback To Improve],MATCH(1,INDEX(($L$4=ListEmployeeNamesInDatabase)*(C991=TblDatabase[Year]),0,1),0))="","",INDEX(TblDatabase[Feedback To Improve],MATCH(1,INDEX(($L$4=ListEmployeeNamesInDatabase)*(C991=TblDatabase[Year]),0,1),0)))</f>
        <v>#N/A</v>
      </c>
      <c r="C1028" s="342"/>
      <c r="D1028" s="342"/>
      <c r="E1028" s="342"/>
      <c r="F1028" s="342"/>
      <c r="G1028" s="342"/>
      <c r="H1028" s="342"/>
      <c r="I1028" s="342"/>
      <c r="J1028" s="342"/>
      <c r="K1028" s="342"/>
      <c r="L1028" s="342"/>
      <c r="M1028" s="342"/>
      <c r="N1028" s="342"/>
      <c r="O1028" s="342"/>
      <c r="P1028" s="342"/>
      <c r="Q1028" s="342"/>
      <c r="R1028" s="342"/>
      <c r="S1028" s="342"/>
      <c r="T1028" s="342"/>
      <c r="U1028" s="342"/>
      <c r="V1028" s="342"/>
      <c r="W1028" s="342"/>
      <c r="X1028" s="342"/>
      <c r="Y1028" s="343"/>
      <c r="Z1028" s="149"/>
      <c r="AA1028" s="149"/>
      <c r="AB1028" s="149"/>
      <c r="AC1028" s="149"/>
      <c r="AD1028" s="149"/>
      <c r="AE1028" s="149"/>
      <c r="AF1028" s="149"/>
    </row>
    <row r="1029" spans="1:32" s="148" customFormat="1" hidden="1">
      <c r="B1029" s="344"/>
      <c r="C1029" s="345"/>
      <c r="D1029" s="345"/>
      <c r="E1029" s="345"/>
      <c r="F1029" s="345"/>
      <c r="G1029" s="345"/>
      <c r="H1029" s="345"/>
      <c r="I1029" s="345"/>
      <c r="J1029" s="345"/>
      <c r="K1029" s="345"/>
      <c r="L1029" s="345"/>
      <c r="M1029" s="345"/>
      <c r="N1029" s="345"/>
      <c r="O1029" s="345"/>
      <c r="P1029" s="345"/>
      <c r="Q1029" s="345"/>
      <c r="R1029" s="345"/>
      <c r="S1029" s="345"/>
      <c r="T1029" s="345"/>
      <c r="U1029" s="345"/>
      <c r="V1029" s="345"/>
      <c r="W1029" s="345"/>
      <c r="X1029" s="345"/>
      <c r="Y1029" s="346"/>
      <c r="Z1029" s="149"/>
      <c r="AA1029" s="149"/>
      <c r="AB1029" s="149"/>
      <c r="AC1029" s="149"/>
      <c r="AD1029" s="149"/>
      <c r="AE1029" s="149"/>
      <c r="AF1029" s="149"/>
    </row>
    <row r="1030" spans="1:32" s="148" customFormat="1" hidden="1">
      <c r="B1030" s="347"/>
      <c r="C1030" s="348"/>
      <c r="D1030" s="348"/>
      <c r="E1030" s="348"/>
      <c r="F1030" s="348"/>
      <c r="G1030" s="348"/>
      <c r="H1030" s="348"/>
      <c r="I1030" s="348"/>
      <c r="J1030" s="348"/>
      <c r="K1030" s="348"/>
      <c r="L1030" s="348"/>
      <c r="M1030" s="348"/>
      <c r="N1030" s="348"/>
      <c r="O1030" s="348"/>
      <c r="P1030" s="348"/>
      <c r="Q1030" s="348"/>
      <c r="R1030" s="348"/>
      <c r="S1030" s="348"/>
      <c r="T1030" s="348"/>
      <c r="U1030" s="348"/>
      <c r="V1030" s="348"/>
      <c r="W1030" s="348"/>
      <c r="X1030" s="348"/>
      <c r="Y1030" s="349"/>
      <c r="Z1030" s="149"/>
      <c r="AA1030" s="149"/>
      <c r="AB1030" s="149"/>
      <c r="AC1030" s="149"/>
      <c r="AD1030" s="149"/>
      <c r="AE1030" s="149"/>
      <c r="AF1030" s="149"/>
    </row>
    <row r="1031" spans="1:32" s="148" customFormat="1" hidden="1">
      <c r="B1031" s="156"/>
      <c r="C1031" s="156"/>
      <c r="D1031" s="156"/>
      <c r="E1031" s="155"/>
      <c r="F1031" s="155"/>
      <c r="G1031" s="155"/>
      <c r="H1031" s="155"/>
      <c r="I1031" s="155"/>
      <c r="J1031" s="155"/>
      <c r="K1031" s="155"/>
      <c r="L1031" s="155"/>
      <c r="M1031" s="155"/>
      <c r="N1031" s="155"/>
      <c r="O1031" s="155"/>
      <c r="P1031" s="155"/>
      <c r="Q1031" s="155"/>
      <c r="R1031" s="155"/>
      <c r="S1031" s="155"/>
      <c r="T1031" s="155"/>
      <c r="U1031" s="155"/>
      <c r="V1031" s="155"/>
      <c r="W1031" s="155"/>
      <c r="X1031" s="155"/>
      <c r="Y1031" s="155"/>
      <c r="Z1031" s="149"/>
      <c r="AA1031" s="149"/>
      <c r="AB1031" s="149"/>
      <c r="AC1031" s="149"/>
      <c r="AD1031" s="149"/>
      <c r="AE1031" s="149"/>
      <c r="AF1031" s="149"/>
    </row>
    <row r="1032" spans="1:32" s="148" customFormat="1" hidden="1">
      <c r="A1032" s="150">
        <f>A991+1</f>
        <v>25</v>
      </c>
      <c r="B1032" s="27" t="s">
        <v>14</v>
      </c>
      <c r="C1032" s="333">
        <f>C991-1</f>
        <v>1996</v>
      </c>
      <c r="D1032" s="334"/>
      <c r="Y1032" s="149"/>
      <c r="Z1032" s="149"/>
      <c r="AA1032" s="149"/>
      <c r="AB1032" s="149"/>
      <c r="AC1032" s="149"/>
      <c r="AD1032" s="149"/>
      <c r="AE1032" s="149"/>
      <c r="AF1032" s="149"/>
    </row>
    <row r="1033" spans="1:32" s="148" customFormat="1" hidden="1">
      <c r="Y1033" s="149"/>
      <c r="Z1033" s="149"/>
      <c r="AA1033" s="149"/>
      <c r="AB1033" s="149"/>
      <c r="AC1033" s="149"/>
      <c r="AD1033" s="149"/>
      <c r="AE1033" s="149"/>
      <c r="AF1033" s="149"/>
    </row>
    <row r="1034" spans="1:32" s="148" customFormat="1" hidden="1">
      <c r="B1034" s="338" t="str">
        <f>Settings!$N$14</f>
        <v>Employee's comments</v>
      </c>
      <c r="C1034" s="339"/>
      <c r="D1034" s="339"/>
      <c r="E1034" s="339"/>
      <c r="F1034" s="339"/>
      <c r="G1034" s="339"/>
      <c r="H1034" s="339"/>
      <c r="I1034" s="339"/>
      <c r="J1034" s="339"/>
      <c r="K1034" s="339"/>
      <c r="L1034" s="339"/>
      <c r="M1034" s="339"/>
      <c r="N1034" s="339"/>
      <c r="O1034" s="339"/>
      <c r="P1034" s="339"/>
      <c r="Q1034" s="339"/>
      <c r="R1034" s="339"/>
      <c r="S1034" s="339"/>
      <c r="T1034" s="339"/>
      <c r="U1034" s="339"/>
      <c r="V1034" s="339"/>
      <c r="W1034" s="339"/>
      <c r="X1034" s="339"/>
      <c r="Y1034" s="340"/>
      <c r="Z1034" s="149"/>
      <c r="AA1034" s="149"/>
      <c r="AB1034" s="149"/>
      <c r="AC1034" s="149"/>
      <c r="AD1034" s="149"/>
      <c r="AE1034" s="149"/>
      <c r="AF1034" s="149"/>
    </row>
    <row r="1035" spans="1:32" s="148" customFormat="1" hidden="1">
      <c r="B1035" s="341" t="e">
        <f>IF(INDEX(TblDatabase[Feedback Warnings],MATCH(1,INDEX(($L$4=ListEmployeeNamesInDatabase)*(C1032=TblDatabase[Year]),0,1),0))="","",INDEX(TblDatabase[Feedback Warnings],MATCH(1,INDEX(($L$4=ListEmployeeNamesInDatabase)*(C1032=TblDatabase[Year]),0,1),0)))</f>
        <v>#N/A</v>
      </c>
      <c r="C1035" s="342"/>
      <c r="D1035" s="342"/>
      <c r="E1035" s="342"/>
      <c r="F1035" s="342"/>
      <c r="G1035" s="342"/>
      <c r="H1035" s="342"/>
      <c r="I1035" s="342"/>
      <c r="J1035" s="342"/>
      <c r="K1035" s="342"/>
      <c r="L1035" s="342"/>
      <c r="M1035" s="342"/>
      <c r="N1035" s="342"/>
      <c r="O1035" s="342"/>
      <c r="P1035" s="342"/>
      <c r="Q1035" s="342"/>
      <c r="R1035" s="342"/>
      <c r="S1035" s="342"/>
      <c r="T1035" s="342"/>
      <c r="U1035" s="342"/>
      <c r="V1035" s="342"/>
      <c r="W1035" s="342"/>
      <c r="X1035" s="342"/>
      <c r="Y1035" s="343"/>
      <c r="Z1035" s="149"/>
      <c r="AA1035" s="149"/>
      <c r="AB1035" s="149"/>
      <c r="AC1035" s="149"/>
      <c r="AD1035" s="149"/>
      <c r="AE1035" s="149"/>
      <c r="AF1035" s="149"/>
    </row>
    <row r="1036" spans="1:32" s="148" customFormat="1" hidden="1">
      <c r="B1036" s="344"/>
      <c r="C1036" s="345"/>
      <c r="D1036" s="345"/>
      <c r="E1036" s="345"/>
      <c r="F1036" s="345"/>
      <c r="G1036" s="345"/>
      <c r="H1036" s="345"/>
      <c r="I1036" s="345"/>
      <c r="J1036" s="345"/>
      <c r="K1036" s="345"/>
      <c r="L1036" s="345"/>
      <c r="M1036" s="345"/>
      <c r="N1036" s="345"/>
      <c r="O1036" s="345"/>
      <c r="P1036" s="345"/>
      <c r="Q1036" s="345"/>
      <c r="R1036" s="345"/>
      <c r="S1036" s="345"/>
      <c r="T1036" s="345"/>
      <c r="U1036" s="345"/>
      <c r="V1036" s="345"/>
      <c r="W1036" s="345"/>
      <c r="X1036" s="345"/>
      <c r="Y1036" s="346"/>
      <c r="Z1036" s="149"/>
      <c r="AA1036" s="149"/>
      <c r="AB1036" s="149"/>
      <c r="AC1036" s="149"/>
      <c r="AD1036" s="149"/>
      <c r="AE1036" s="149"/>
      <c r="AF1036" s="149"/>
    </row>
    <row r="1037" spans="1:32" s="148" customFormat="1" hidden="1">
      <c r="B1037" s="347"/>
      <c r="C1037" s="348"/>
      <c r="D1037" s="348"/>
      <c r="E1037" s="348"/>
      <c r="F1037" s="348"/>
      <c r="G1037" s="348"/>
      <c r="H1037" s="348"/>
      <c r="I1037" s="348"/>
      <c r="J1037" s="348"/>
      <c r="K1037" s="348"/>
      <c r="L1037" s="348"/>
      <c r="M1037" s="348"/>
      <c r="N1037" s="348"/>
      <c r="O1037" s="348"/>
      <c r="P1037" s="348"/>
      <c r="Q1037" s="348"/>
      <c r="R1037" s="348"/>
      <c r="S1037" s="348"/>
      <c r="T1037" s="348"/>
      <c r="U1037" s="348"/>
      <c r="V1037" s="348"/>
      <c r="W1037" s="348"/>
      <c r="X1037" s="348"/>
      <c r="Y1037" s="349"/>
      <c r="Z1037" s="149"/>
      <c r="AA1037" s="149"/>
      <c r="AB1037" s="149"/>
      <c r="AC1037" s="149"/>
      <c r="AD1037" s="149"/>
      <c r="AE1037" s="149"/>
      <c r="AF1037" s="149"/>
    </row>
    <row r="1038" spans="1:32" s="148" customFormat="1" hidden="1">
      <c r="Y1038" s="149"/>
      <c r="Z1038" s="149"/>
      <c r="AA1038" s="149"/>
      <c r="AB1038" s="149"/>
      <c r="AC1038" s="149"/>
      <c r="AD1038" s="149"/>
      <c r="AE1038" s="149"/>
      <c r="AF1038" s="149"/>
    </row>
    <row r="1039" spans="1:32" s="148" customFormat="1" ht="15" hidden="1" customHeight="1">
      <c r="B1039" s="320" t="s">
        <v>8</v>
      </c>
      <c r="C1039" s="321"/>
      <c r="D1039" s="321"/>
      <c r="E1039" s="321"/>
      <c r="F1039" s="233">
        <f>IF(Settings!$M$4=Settings!$Y$3,Settings!$O$19,1)</f>
        <v>1</v>
      </c>
      <c r="G1039" s="234">
        <f>IF(Settings!$M$4=Settings!$Y$3,Settings!$O$19,2)</f>
        <v>2</v>
      </c>
      <c r="H1039" s="234">
        <f>IF(Settings!$M$4=Settings!$Y$3,Settings!$O$19,3)</f>
        <v>3</v>
      </c>
      <c r="I1039" s="234">
        <f>IF(Settings!$M$4=Settings!$Y$3,Settings!$O$19,4)</f>
        <v>4</v>
      </c>
      <c r="J1039" s="234">
        <f>IF(Settings!$M$4=Settings!$Y$3,Settings!$O$20,5)</f>
        <v>5</v>
      </c>
      <c r="K1039" s="234">
        <f>IF(Settings!$M$4=Settings!$Y$3,Settings!$O$20,6)</f>
        <v>6</v>
      </c>
      <c r="L1039" s="234">
        <f>IF(Settings!$M$4=Settings!$Y$3,Settings!$O$20,7)</f>
        <v>7</v>
      </c>
      <c r="M1039" s="234">
        <f>IF(Settings!$M$4=Settings!$Y$3,Settings!$O$20,8)</f>
        <v>8</v>
      </c>
      <c r="N1039" s="234">
        <f>IF(Settings!$M$4=Settings!$Y$3,Settings!$O$21,9)</f>
        <v>9</v>
      </c>
      <c r="O1039" s="235">
        <f>IF(Settings!$M$4=Settings!$Y$3,Settings!$O$21,10)</f>
        <v>10</v>
      </c>
      <c r="P1039" s="22"/>
      <c r="Q1039" s="22"/>
      <c r="R1039" s="333" t="s">
        <v>24</v>
      </c>
      <c r="S1039" s="333"/>
      <c r="T1039" s="333"/>
      <c r="U1039" s="333"/>
      <c r="V1039" s="333"/>
      <c r="W1039" s="333"/>
      <c r="X1039" s="333"/>
      <c r="Y1039" s="334"/>
      <c r="Z1039" s="149"/>
      <c r="AA1039" s="149"/>
      <c r="AB1039" s="149"/>
      <c r="AC1039" s="149"/>
      <c r="AD1039" s="149"/>
      <c r="AE1039" s="149"/>
      <c r="AF1039" s="149"/>
    </row>
    <row r="1040" spans="1:32" s="148" customFormat="1" ht="15" hidden="1" customHeight="1">
      <c r="B1040" s="335" t="str">
        <f t="shared" ref="B1040:B1059" si="24">B999</f>
        <v>Quality of Work</v>
      </c>
      <c r="C1040" s="336"/>
      <c r="D1040" s="336"/>
      <c r="E1040" s="337"/>
      <c r="F1040" s="162" t="str">
        <f>IF(Settings!$M$4=Settings!$Y$3,IF($AA1040=1,"P",""),IF($AA1040=1,"P",""))</f>
        <v/>
      </c>
      <c r="G1040" s="160" t="str">
        <f>IF(Settings!$M$4=Settings!$Y$3,IF($AA1040=1,"P",""),IF($AA1040=2,"P",""))</f>
        <v/>
      </c>
      <c r="H1040" s="160" t="str">
        <f>IF(Settings!$M$4=Settings!$Y$3,IF($AA1040=1,"P",""),IF($AA1040=3,"P",""))</f>
        <v/>
      </c>
      <c r="I1040" s="160" t="str">
        <f>IF(Settings!$M$4=Settings!$Y$3,IF($AA1040=1,"P",""),IF($AA1040=4,"P",""))</f>
        <v/>
      </c>
      <c r="J1040" s="160" t="str">
        <f>IF(Settings!$M$4=Settings!$Y$3,IF($AA1040=2,"P",""),IF($AA1040=5,"P",""))</f>
        <v/>
      </c>
      <c r="K1040" s="160" t="str">
        <f>IF(Settings!$M$4=Settings!$Y$3,IF($AA1040=2,"P",""),IF($AA1040=6,"P",""))</f>
        <v/>
      </c>
      <c r="L1040" s="160" t="str">
        <f>IF(Settings!$M$4=Settings!$Y$3,IF($AA1040=2,"P",""),IF($AA1040=7,"P",""))</f>
        <v/>
      </c>
      <c r="M1040" s="160" t="str">
        <f>IF(Settings!$M$4=Settings!$Y$3,IF($AA1040=2,"P",""),IF($AA1040=8,"P",""))</f>
        <v/>
      </c>
      <c r="N1040" s="160" t="str">
        <f>IF(Settings!$M$4=Settings!$Y$3,IF($AA1040=3,"P",""),IF($AA1040=9,"P",""))</f>
        <v/>
      </c>
      <c r="O1040" s="161" t="str">
        <f>IF(Settings!$M$4=Settings!$Y$3,IF($AA1040=3,"P",""),IF($AA1040=10,"P",""))</f>
        <v/>
      </c>
      <c r="P1040" s="22"/>
      <c r="Q1040" s="22"/>
      <c r="R1040" s="367" t="e">
        <f>IF(INDEX(TblDatabase[Comment1],MATCH(1,INDEX(($L$4=ListEmployeeNamesInDatabase)*(C1032=TblDatabase[Year]),0,1),0))="","",INDEX(TblDatabase[Comment1],MATCH(1,INDEX(($L$4=ListEmployeeNamesInDatabase)*(C1032=TblDatabase[Year]),0,1),0)))</f>
        <v>#N/A</v>
      </c>
      <c r="S1040" s="367"/>
      <c r="T1040" s="367"/>
      <c r="U1040" s="367"/>
      <c r="V1040" s="367"/>
      <c r="W1040" s="367"/>
      <c r="X1040" s="367"/>
      <c r="Y1040" s="368"/>
      <c r="Z1040" s="149"/>
      <c r="AA1040" s="151">
        <f>SUMIFS(TblDatabase[Competency1],ListEmployeeNamesInDatabase,$L$4,TblDatabase[Year],C1032)</f>
        <v>0</v>
      </c>
      <c r="AB1040" s="149"/>
      <c r="AC1040" s="149"/>
      <c r="AD1040" s="149"/>
      <c r="AE1040" s="149"/>
      <c r="AF1040" s="149"/>
    </row>
    <row r="1041" spans="2:32" s="148" customFormat="1" ht="15" hidden="1" customHeight="1">
      <c r="B1041" s="355" t="str">
        <f t="shared" si="24"/>
        <v>CaLL flow</v>
      </c>
      <c r="C1041" s="356"/>
      <c r="D1041" s="356"/>
      <c r="E1041" s="357"/>
      <c r="F1041" s="163" t="str">
        <f>IF(Settings!$M$4=Settings!$Y$3,IF($AA1041=1,"P",""),IF($AA1041=1,"P",""))</f>
        <v/>
      </c>
      <c r="G1041" s="164" t="str">
        <f>IF(Settings!$M$4=Settings!$Y$3,IF($AA1041=1,"P",""),IF($AA1041=2,"P",""))</f>
        <v/>
      </c>
      <c r="H1041" s="164" t="str">
        <f>IF(Settings!$M$4=Settings!$Y$3,IF($AA1041=1,"P",""),IF($AA1041=3,"P",""))</f>
        <v/>
      </c>
      <c r="I1041" s="164" t="str">
        <f>IF(Settings!$M$4=Settings!$Y$3,IF($AA1041=1,"P",""),IF($AA1041=4,"P",""))</f>
        <v/>
      </c>
      <c r="J1041" s="164" t="str">
        <f>IF(Settings!$M$4=Settings!$Y$3,IF($AA1041=2,"P",""),IF($AA1041=5,"P",""))</f>
        <v/>
      </c>
      <c r="K1041" s="164" t="str">
        <f>IF(Settings!$M$4=Settings!$Y$3,IF($AA1041=2,"P",""),IF($AA1041=6,"P",""))</f>
        <v/>
      </c>
      <c r="L1041" s="164" t="str">
        <f>IF(Settings!$M$4=Settings!$Y$3,IF($AA1041=2,"P",""),IF($AA1041=7,"P",""))</f>
        <v/>
      </c>
      <c r="M1041" s="164" t="str">
        <f>IF(Settings!$M$4=Settings!$Y$3,IF($AA1041=2,"P",""),IF($AA1041=8,"P",""))</f>
        <v/>
      </c>
      <c r="N1041" s="164" t="str">
        <f>IF(Settings!$M$4=Settings!$Y$3,IF($AA1041=3,"P",""),IF($AA1041=9,"P",""))</f>
        <v/>
      </c>
      <c r="O1041" s="165" t="str">
        <f>IF(Settings!$M$4=Settings!$Y$3,IF($AA1041=3,"P",""),IF($AA1041=10,"P",""))</f>
        <v/>
      </c>
      <c r="P1041" s="22"/>
      <c r="Q1041" s="22"/>
      <c r="R1041" s="360" t="e">
        <f>IF(INDEX(TblDatabase[Comment2],MATCH(1,INDEX(($L$4=ListEmployeeNamesInDatabase)*(C1032=TblDatabase[Year]),0,1),0))="","",INDEX(TblDatabase[Comment2],MATCH(1,INDEX(($L$4=ListEmployeeNamesInDatabase)*(C1032=TblDatabase[Year]),0,1),0)))</f>
        <v>#N/A</v>
      </c>
      <c r="S1041" s="360"/>
      <c r="T1041" s="360"/>
      <c r="U1041" s="360"/>
      <c r="V1041" s="360"/>
      <c r="W1041" s="360"/>
      <c r="X1041" s="360"/>
      <c r="Y1041" s="361"/>
      <c r="Z1041" s="149"/>
      <c r="AA1041" s="151">
        <f>SUMIFS(TblDatabase[Competency2],ListEmployeeNamesInDatabase,$L$4,TblDatabase[Year],C1032)</f>
        <v>0</v>
      </c>
      <c r="AB1041" s="149"/>
      <c r="AC1041" s="149"/>
      <c r="AD1041" s="149"/>
      <c r="AE1041" s="149"/>
      <c r="AF1041" s="149"/>
    </row>
    <row r="1042" spans="2:32" s="148" customFormat="1" ht="15" hidden="1" customHeight="1">
      <c r="B1042" s="350" t="str">
        <f t="shared" si="24"/>
        <v>Job Knowledge</v>
      </c>
      <c r="C1042" s="351"/>
      <c r="D1042" s="351"/>
      <c r="E1042" s="352"/>
      <c r="F1042" s="157" t="str">
        <f>IF(Settings!$M$4=Settings!$Y$3,IF($AA1042=1,"P",""),IF($AA1042=1,"P",""))</f>
        <v/>
      </c>
      <c r="G1042" s="158" t="str">
        <f>IF(Settings!$M$4=Settings!$Y$3,IF($AA1042=1,"P",""),IF($AA1042=2,"P",""))</f>
        <v/>
      </c>
      <c r="H1042" s="158" t="str">
        <f>IF(Settings!$M$4=Settings!$Y$3,IF($AA1042=1,"P",""),IF($AA1042=3,"P",""))</f>
        <v/>
      </c>
      <c r="I1042" s="158" t="str">
        <f>IF(Settings!$M$4=Settings!$Y$3,IF($AA1042=1,"P",""),IF($AA1042=4,"P",""))</f>
        <v/>
      </c>
      <c r="J1042" s="158" t="str">
        <f>IF(Settings!$M$4=Settings!$Y$3,IF($AA1042=2,"P",""),IF($AA1042=5,"P",""))</f>
        <v/>
      </c>
      <c r="K1042" s="158" t="str">
        <f>IF(Settings!$M$4=Settings!$Y$3,IF($AA1042=2,"P",""),IF($AA1042=6,"P",""))</f>
        <v/>
      </c>
      <c r="L1042" s="158" t="str">
        <f>IF(Settings!$M$4=Settings!$Y$3,IF($AA1042=2,"P",""),IF($AA1042=7,"P",""))</f>
        <v/>
      </c>
      <c r="M1042" s="158" t="str">
        <f>IF(Settings!$M$4=Settings!$Y$3,IF($AA1042=2,"P",""),IF($AA1042=8,"P",""))</f>
        <v/>
      </c>
      <c r="N1042" s="158" t="str">
        <f>IF(Settings!$M$4=Settings!$Y$3,IF($AA1042=3,"P",""),IF($AA1042=9,"P",""))</f>
        <v/>
      </c>
      <c r="O1042" s="159" t="str">
        <f>IF(Settings!$M$4=Settings!$Y$3,IF($AA1042=3,"P",""),IF($AA1042=10,"P",""))</f>
        <v/>
      </c>
      <c r="P1042" s="22"/>
      <c r="Q1042" s="22"/>
      <c r="R1042" s="353" t="e">
        <f>IF(INDEX(TblDatabase[Comment3],MATCH(1,INDEX(($L$4=ListEmployeeNamesInDatabase)*(C1032=TblDatabase[Year]),0,1),0))="","",INDEX(TblDatabase[Comment3],MATCH(1,INDEX(($L$4=ListEmployeeNamesInDatabase)*(C1032=TblDatabase[Year]),0,1),0)))</f>
        <v>#N/A</v>
      </c>
      <c r="S1042" s="353"/>
      <c r="T1042" s="353"/>
      <c r="U1042" s="353"/>
      <c r="V1042" s="353"/>
      <c r="W1042" s="353"/>
      <c r="X1042" s="353"/>
      <c r="Y1042" s="354"/>
      <c r="Z1042" s="149"/>
      <c r="AA1042" s="151">
        <f>SUMIFS(TblDatabase[Competency3],ListEmployeeNamesInDatabase,$L$4,TblDatabase[Year],C1032)</f>
        <v>0</v>
      </c>
      <c r="AB1042" s="149"/>
      <c r="AC1042" s="149"/>
      <c r="AD1042" s="149"/>
      <c r="AE1042" s="149"/>
      <c r="AF1042" s="149"/>
    </row>
    <row r="1043" spans="2:32" s="148" customFormat="1" ht="15" hidden="1" customHeight="1">
      <c r="B1043" s="355" t="str">
        <f t="shared" si="24"/>
        <v>Client Service</v>
      </c>
      <c r="C1043" s="356"/>
      <c r="D1043" s="356"/>
      <c r="E1043" s="357"/>
      <c r="F1043" s="163" t="str">
        <f>IF(Settings!$M$4=Settings!$Y$3,IF($AA1043=1,"P",""),IF($AA1043=1,"P",""))</f>
        <v/>
      </c>
      <c r="G1043" s="164" t="str">
        <f>IF(Settings!$M$4=Settings!$Y$3,IF($AA1043=1,"P",""),IF($AA1043=2,"P",""))</f>
        <v/>
      </c>
      <c r="H1043" s="164" t="str">
        <f>IF(Settings!$M$4=Settings!$Y$3,IF($AA1043=1,"P",""),IF($AA1043=3,"P",""))</f>
        <v/>
      </c>
      <c r="I1043" s="164" t="str">
        <f>IF(Settings!$M$4=Settings!$Y$3,IF($AA1043=1,"P",""),IF($AA1043=4,"P",""))</f>
        <v/>
      </c>
      <c r="J1043" s="164" t="str">
        <f>IF(Settings!$M$4=Settings!$Y$3,IF($AA1043=2,"P",""),IF($AA1043=5,"P",""))</f>
        <v/>
      </c>
      <c r="K1043" s="164" t="str">
        <f>IF(Settings!$M$4=Settings!$Y$3,IF($AA1043=2,"P",""),IF($AA1043=6,"P",""))</f>
        <v/>
      </c>
      <c r="L1043" s="164" t="str">
        <f>IF(Settings!$M$4=Settings!$Y$3,IF($AA1043=2,"P",""),IF($AA1043=7,"P",""))</f>
        <v/>
      </c>
      <c r="M1043" s="164" t="str">
        <f>IF(Settings!$M$4=Settings!$Y$3,IF($AA1043=2,"P",""),IF($AA1043=8,"P",""))</f>
        <v/>
      </c>
      <c r="N1043" s="164" t="str">
        <f>IF(Settings!$M$4=Settings!$Y$3,IF($AA1043=3,"P",""),IF($AA1043=9,"P",""))</f>
        <v/>
      </c>
      <c r="O1043" s="165" t="str">
        <f>IF(Settings!$M$4=Settings!$Y$3,IF($AA1043=3,"P",""),IF($AA1043=10,"P",""))</f>
        <v/>
      </c>
      <c r="P1043" s="22"/>
      <c r="Q1043" s="22"/>
      <c r="R1043" s="360" t="e">
        <f>IF(INDEX(TblDatabase[Comment4],MATCH(1,INDEX(($L$4=ListEmployeeNamesInDatabase)*(C1032=TblDatabase[Year]),0,1),0))="","",INDEX(TblDatabase[Comment4],MATCH(1,INDEX(($L$4=ListEmployeeNamesInDatabase)*(C1032=TblDatabase[Year]),0,1),0)))</f>
        <v>#N/A</v>
      </c>
      <c r="S1043" s="360"/>
      <c r="T1043" s="360"/>
      <c r="U1043" s="360"/>
      <c r="V1043" s="360"/>
      <c r="W1043" s="360"/>
      <c r="X1043" s="360"/>
      <c r="Y1043" s="361"/>
      <c r="Z1043" s="149"/>
      <c r="AA1043" s="151">
        <f>SUMIFS(TblDatabase[Competency4],ListEmployeeNamesInDatabase,$L$4,TblDatabase[Year],C1032)</f>
        <v>0</v>
      </c>
      <c r="AB1043" s="149"/>
      <c r="AC1043" s="149"/>
      <c r="AD1043" s="149"/>
      <c r="AE1043" s="149"/>
      <c r="AF1043" s="149"/>
    </row>
    <row r="1044" spans="2:32" s="148" customFormat="1" ht="15" hidden="1" customHeight="1">
      <c r="B1044" s="350" t="str">
        <f t="shared" si="24"/>
        <v>Teamwork</v>
      </c>
      <c r="C1044" s="351"/>
      <c r="D1044" s="351"/>
      <c r="E1044" s="352"/>
      <c r="F1044" s="157" t="str">
        <f>IF(Settings!$M$4=Settings!$Y$3,IF($AA1044=1,"P",""),IF($AA1044=1,"P",""))</f>
        <v/>
      </c>
      <c r="G1044" s="158" t="str">
        <f>IF(Settings!$M$4=Settings!$Y$3,IF($AA1044=1,"P",""),IF($AA1044=2,"P",""))</f>
        <v/>
      </c>
      <c r="H1044" s="158" t="str">
        <f>IF(Settings!$M$4=Settings!$Y$3,IF($AA1044=1,"P",""),IF($AA1044=3,"P",""))</f>
        <v/>
      </c>
      <c r="I1044" s="158" t="str">
        <f>IF(Settings!$M$4=Settings!$Y$3,IF($AA1044=1,"P",""),IF($AA1044=4,"P",""))</f>
        <v/>
      </c>
      <c r="J1044" s="158" t="str">
        <f>IF(Settings!$M$4=Settings!$Y$3,IF($AA1044=2,"P",""),IF($AA1044=5,"P",""))</f>
        <v/>
      </c>
      <c r="K1044" s="158" t="str">
        <f>IF(Settings!$M$4=Settings!$Y$3,IF($AA1044=2,"P",""),IF($AA1044=6,"P",""))</f>
        <v/>
      </c>
      <c r="L1044" s="158" t="str">
        <f>IF(Settings!$M$4=Settings!$Y$3,IF($AA1044=2,"P",""),IF($AA1044=7,"P",""))</f>
        <v/>
      </c>
      <c r="M1044" s="158" t="str">
        <f>IF(Settings!$M$4=Settings!$Y$3,IF($AA1044=2,"P",""),IF($AA1044=8,"P",""))</f>
        <v/>
      </c>
      <c r="N1044" s="158" t="str">
        <f>IF(Settings!$M$4=Settings!$Y$3,IF($AA1044=3,"P",""),IF($AA1044=9,"P",""))</f>
        <v/>
      </c>
      <c r="O1044" s="159" t="str">
        <f>IF(Settings!$M$4=Settings!$Y$3,IF($AA1044=3,"P",""),IF($AA1044=10,"P",""))</f>
        <v/>
      </c>
      <c r="P1044" s="22"/>
      <c r="Q1044" s="22"/>
      <c r="R1044" s="353" t="e">
        <f>IF(INDEX(TblDatabase[Comment5],MATCH(1,INDEX(($L$4=ListEmployeeNamesInDatabase)*(C1032=TblDatabase[Year]),0,1),0))="","",INDEX(TblDatabase[Comment5],MATCH(1,INDEX(($L$4=ListEmployeeNamesInDatabase)*(C1032=TblDatabase[Year]),0,1),0)))</f>
        <v>#N/A</v>
      </c>
      <c r="S1044" s="353"/>
      <c r="T1044" s="353"/>
      <c r="U1044" s="353"/>
      <c r="V1044" s="353"/>
      <c r="W1044" s="353"/>
      <c r="X1044" s="353"/>
      <c r="Y1044" s="354"/>
      <c r="Z1044" s="149"/>
      <c r="AA1044" s="151">
        <f>SUMIFS(TblDatabase[Competency5],ListEmployeeNamesInDatabase,$L$4,TblDatabase[Year],C1032)</f>
        <v>0</v>
      </c>
      <c r="AB1044" s="149"/>
      <c r="AC1044" s="149"/>
      <c r="AD1044" s="149"/>
      <c r="AE1044" s="149"/>
      <c r="AF1044" s="149"/>
    </row>
    <row r="1045" spans="2:32" s="148" customFormat="1" ht="15" hidden="1" customHeight="1">
      <c r="B1045" s="355" t="str">
        <f t="shared" si="24"/>
        <v>Safety</v>
      </c>
      <c r="C1045" s="356"/>
      <c r="D1045" s="356"/>
      <c r="E1045" s="357"/>
      <c r="F1045" s="163" t="str">
        <f>IF(Settings!$M$4=Settings!$Y$3,IF($AA1045=1,"P",""),IF($AA1045=1,"P",""))</f>
        <v/>
      </c>
      <c r="G1045" s="164" t="str">
        <f>IF(Settings!$M$4=Settings!$Y$3,IF($AA1045=1,"P",""),IF($AA1045=2,"P",""))</f>
        <v/>
      </c>
      <c r="H1045" s="164" t="str">
        <f>IF(Settings!$M$4=Settings!$Y$3,IF($AA1045=1,"P",""),IF($AA1045=3,"P",""))</f>
        <v/>
      </c>
      <c r="I1045" s="164" t="str">
        <f>IF(Settings!$M$4=Settings!$Y$3,IF($AA1045=1,"P",""),IF($AA1045=4,"P",""))</f>
        <v/>
      </c>
      <c r="J1045" s="164" t="str">
        <f>IF(Settings!$M$4=Settings!$Y$3,IF($AA1045=2,"P",""),IF($AA1045=5,"P",""))</f>
        <v/>
      </c>
      <c r="K1045" s="164" t="str">
        <f>IF(Settings!$M$4=Settings!$Y$3,IF($AA1045=2,"P",""),IF($AA1045=6,"P",""))</f>
        <v/>
      </c>
      <c r="L1045" s="164" t="str">
        <f>IF(Settings!$M$4=Settings!$Y$3,IF($AA1045=2,"P",""),IF($AA1045=7,"P",""))</f>
        <v/>
      </c>
      <c r="M1045" s="164" t="str">
        <f>IF(Settings!$M$4=Settings!$Y$3,IF($AA1045=2,"P",""),IF($AA1045=8,"P",""))</f>
        <v/>
      </c>
      <c r="N1045" s="164" t="str">
        <f>IF(Settings!$M$4=Settings!$Y$3,IF($AA1045=3,"P",""),IF($AA1045=9,"P",""))</f>
        <v/>
      </c>
      <c r="O1045" s="165" t="str">
        <f>IF(Settings!$M$4=Settings!$Y$3,IF($AA1045=3,"P",""),IF($AA1045=10,"P",""))</f>
        <v/>
      </c>
      <c r="P1045" s="22"/>
      <c r="Q1045" s="22"/>
      <c r="R1045" s="360" t="e">
        <f>IF(INDEX(TblDatabase[Comment6],MATCH(1,INDEX(($L$4=ListEmployeeNamesInDatabase)*(C1032=TblDatabase[Year]),0,1),0))="","",INDEX(TblDatabase[Comment6],MATCH(1,INDEX(($L$4=ListEmployeeNamesInDatabase)*(C1032=TblDatabase[Year]),0,1),0)))</f>
        <v>#N/A</v>
      </c>
      <c r="S1045" s="360"/>
      <c r="T1045" s="360"/>
      <c r="U1045" s="360"/>
      <c r="V1045" s="360"/>
      <c r="W1045" s="360"/>
      <c r="X1045" s="360"/>
      <c r="Y1045" s="361"/>
      <c r="Z1045" s="149"/>
      <c r="AA1045" s="151">
        <f>SUMIFS(TblDatabase[Competency6],ListEmployeeNamesInDatabase,$L$4,TblDatabase[Year],C1032)</f>
        <v>0</v>
      </c>
      <c r="AB1045" s="149"/>
      <c r="AC1045" s="149"/>
      <c r="AD1045" s="149"/>
      <c r="AE1045" s="149"/>
      <c r="AF1045" s="149"/>
    </row>
    <row r="1046" spans="2:32" s="148" customFormat="1" ht="15" hidden="1" customHeight="1">
      <c r="B1046" s="350" t="str">
        <f t="shared" si="24"/>
        <v>Reliability</v>
      </c>
      <c r="C1046" s="351"/>
      <c r="D1046" s="351"/>
      <c r="E1046" s="352"/>
      <c r="F1046" s="157" t="str">
        <f>IF(Settings!$M$4=Settings!$Y$3,IF($AA1046=1,"P",""),IF($AA1046=1,"P",""))</f>
        <v/>
      </c>
      <c r="G1046" s="158" t="str">
        <f>IF(Settings!$M$4=Settings!$Y$3,IF($AA1046=1,"P",""),IF($AA1046=2,"P",""))</f>
        <v/>
      </c>
      <c r="H1046" s="158" t="str">
        <f>IF(Settings!$M$4=Settings!$Y$3,IF($AA1046=1,"P",""),IF($AA1046=3,"P",""))</f>
        <v/>
      </c>
      <c r="I1046" s="158" t="str">
        <f>IF(Settings!$M$4=Settings!$Y$3,IF($AA1046=1,"P",""),IF($AA1046=4,"P",""))</f>
        <v/>
      </c>
      <c r="J1046" s="158" t="str">
        <f>IF(Settings!$M$4=Settings!$Y$3,IF($AA1046=2,"P",""),IF($AA1046=5,"P",""))</f>
        <v/>
      </c>
      <c r="K1046" s="158" t="str">
        <f>IF(Settings!$M$4=Settings!$Y$3,IF($AA1046=2,"P",""),IF($AA1046=6,"P",""))</f>
        <v/>
      </c>
      <c r="L1046" s="158" t="str">
        <f>IF(Settings!$M$4=Settings!$Y$3,IF($AA1046=2,"P",""),IF($AA1046=7,"P",""))</f>
        <v/>
      </c>
      <c r="M1046" s="158" t="str">
        <f>IF(Settings!$M$4=Settings!$Y$3,IF($AA1046=2,"P",""),IF($AA1046=8,"P",""))</f>
        <v/>
      </c>
      <c r="N1046" s="158" t="str">
        <f>IF(Settings!$M$4=Settings!$Y$3,IF($AA1046=3,"P",""),IF($AA1046=9,"P",""))</f>
        <v/>
      </c>
      <c r="O1046" s="159" t="str">
        <f>IF(Settings!$M$4=Settings!$Y$3,IF($AA1046=3,"P",""),IF($AA1046=10,"P",""))</f>
        <v/>
      </c>
      <c r="P1046" s="22"/>
      <c r="Q1046" s="22"/>
      <c r="R1046" s="353" t="e">
        <f>IF(INDEX(TblDatabase[Comment7],MATCH(1,INDEX(($L$4=ListEmployeeNamesInDatabase)*(C1032=TblDatabase[Year]),0,1),0))="","",INDEX(TblDatabase[Comment7],MATCH(1,INDEX(($L$4=ListEmployeeNamesInDatabase)*(C1032=TblDatabase[Year]),0,1),0)))</f>
        <v>#N/A</v>
      </c>
      <c r="S1046" s="353"/>
      <c r="T1046" s="353"/>
      <c r="U1046" s="353"/>
      <c r="V1046" s="353"/>
      <c r="W1046" s="353"/>
      <c r="X1046" s="353"/>
      <c r="Y1046" s="354"/>
      <c r="Z1046" s="149"/>
      <c r="AA1046" s="151">
        <f>SUMIFS(TblDatabase[Competency7],ListEmployeeNamesInDatabase,$L$4,TblDatabase[Year],C1032)</f>
        <v>0</v>
      </c>
      <c r="AB1046" s="149"/>
      <c r="AC1046" s="149"/>
      <c r="AD1046" s="149"/>
      <c r="AE1046" s="149"/>
      <c r="AF1046" s="149"/>
    </row>
    <row r="1047" spans="2:32" s="148" customFormat="1" ht="15" hidden="1" customHeight="1">
      <c r="B1047" s="355" t="str">
        <f t="shared" si="24"/>
        <v>Initiative/Adaptability</v>
      </c>
      <c r="C1047" s="356"/>
      <c r="D1047" s="356"/>
      <c r="E1047" s="357"/>
      <c r="F1047" s="163" t="str">
        <f>IF(Settings!$M$4=Settings!$Y$3,IF($AA1047=1,"P",""),IF($AA1047=1,"P",""))</f>
        <v/>
      </c>
      <c r="G1047" s="164" t="str">
        <f>IF(Settings!$M$4=Settings!$Y$3,IF($AA1047=1,"P",""),IF($AA1047=2,"P",""))</f>
        <v/>
      </c>
      <c r="H1047" s="164" t="str">
        <f>IF(Settings!$M$4=Settings!$Y$3,IF($AA1047=1,"P",""),IF($AA1047=3,"P",""))</f>
        <v/>
      </c>
      <c r="I1047" s="164" t="str">
        <f>IF(Settings!$M$4=Settings!$Y$3,IF($AA1047=1,"P",""),IF($AA1047=4,"P",""))</f>
        <v/>
      </c>
      <c r="J1047" s="164" t="str">
        <f>IF(Settings!$M$4=Settings!$Y$3,IF($AA1047=2,"P",""),IF($AA1047=5,"P",""))</f>
        <v/>
      </c>
      <c r="K1047" s="164" t="str">
        <f>IF(Settings!$M$4=Settings!$Y$3,IF($AA1047=2,"P",""),IF($AA1047=6,"P",""))</f>
        <v/>
      </c>
      <c r="L1047" s="164" t="str">
        <f>IF(Settings!$M$4=Settings!$Y$3,IF($AA1047=2,"P",""),IF($AA1047=7,"P",""))</f>
        <v/>
      </c>
      <c r="M1047" s="164" t="str">
        <f>IF(Settings!$M$4=Settings!$Y$3,IF($AA1047=2,"P",""),IF($AA1047=8,"P",""))</f>
        <v/>
      </c>
      <c r="N1047" s="164" t="str">
        <f>IF(Settings!$M$4=Settings!$Y$3,IF($AA1047=3,"P",""),IF($AA1047=9,"P",""))</f>
        <v/>
      </c>
      <c r="O1047" s="165" t="str">
        <f>IF(Settings!$M$4=Settings!$Y$3,IF($AA1047=3,"P",""),IF($AA1047=10,"P",""))</f>
        <v/>
      </c>
      <c r="P1047" s="22"/>
      <c r="Q1047" s="22"/>
      <c r="R1047" s="360" t="e">
        <f>IF(INDEX(TblDatabase[Comment8],MATCH(1,INDEX(($L$4=ListEmployeeNamesInDatabase)*(C1032=TblDatabase[Year]),0,1),0))="","",INDEX(TblDatabase[Comment8],MATCH(1,INDEX(($L$4=ListEmployeeNamesInDatabase)*(C1032=TblDatabase[Year]),0,1),0)))</f>
        <v>#N/A</v>
      </c>
      <c r="S1047" s="360"/>
      <c r="T1047" s="360"/>
      <c r="U1047" s="360"/>
      <c r="V1047" s="360"/>
      <c r="W1047" s="360"/>
      <c r="X1047" s="360"/>
      <c r="Y1047" s="361"/>
      <c r="Z1047" s="149"/>
      <c r="AA1047" s="151">
        <f>SUMIFS(TblDatabase[Competency8],ListEmployeeNamesInDatabase,$L$4,TblDatabase[Year],C1032)</f>
        <v>0</v>
      </c>
      <c r="AB1047" s="149"/>
      <c r="AC1047" s="149"/>
      <c r="AD1047" s="149"/>
      <c r="AE1047" s="149"/>
      <c r="AF1047" s="149"/>
    </row>
    <row r="1048" spans="2:32" s="148" customFormat="1" ht="15" hidden="1" customHeight="1">
      <c r="B1048" s="350" t="str">
        <f t="shared" si="24"/>
        <v/>
      </c>
      <c r="C1048" s="351"/>
      <c r="D1048" s="351"/>
      <c r="E1048" s="352"/>
      <c r="F1048" s="157" t="str">
        <f>IF(Settings!$M$4=Settings!$Y$3,IF($AA1048=1,"P",""),IF($AA1048=1,"P",""))</f>
        <v/>
      </c>
      <c r="G1048" s="158" t="str">
        <f>IF(Settings!$M$4=Settings!$Y$3,IF($AA1048=1,"P",""),IF($AA1048=2,"P",""))</f>
        <v/>
      </c>
      <c r="H1048" s="158" t="str">
        <f>IF(Settings!$M$4=Settings!$Y$3,IF($AA1048=1,"P",""),IF($AA1048=3,"P",""))</f>
        <v/>
      </c>
      <c r="I1048" s="158" t="str">
        <f>IF(Settings!$M$4=Settings!$Y$3,IF($AA1048=1,"P",""),IF($AA1048=4,"P",""))</f>
        <v/>
      </c>
      <c r="J1048" s="158" t="str">
        <f>IF(Settings!$M$4=Settings!$Y$3,IF($AA1048=2,"P",""),IF($AA1048=5,"P",""))</f>
        <v/>
      </c>
      <c r="K1048" s="158" t="str">
        <f>IF(Settings!$M$4=Settings!$Y$3,IF($AA1048=2,"P",""),IF($AA1048=6,"P",""))</f>
        <v/>
      </c>
      <c r="L1048" s="158" t="str">
        <f>IF(Settings!$M$4=Settings!$Y$3,IF($AA1048=2,"P",""),IF($AA1048=7,"P",""))</f>
        <v/>
      </c>
      <c r="M1048" s="158" t="str">
        <f>IF(Settings!$M$4=Settings!$Y$3,IF($AA1048=2,"P",""),IF($AA1048=8,"P",""))</f>
        <v/>
      </c>
      <c r="N1048" s="158" t="str">
        <f>IF(Settings!$M$4=Settings!$Y$3,IF($AA1048=3,"P",""),IF($AA1048=9,"P",""))</f>
        <v/>
      </c>
      <c r="O1048" s="159" t="str">
        <f>IF(Settings!$M$4=Settings!$Y$3,IF($AA1048=3,"P",""),IF($AA1048=10,"P",""))</f>
        <v/>
      </c>
      <c r="P1048" s="22"/>
      <c r="Q1048" s="22"/>
      <c r="R1048" s="353" t="e">
        <f>IF(INDEX(TblDatabase[Comment9],MATCH(1,INDEX(($L$4=ListEmployeeNamesInDatabase)*(C1032=TblDatabase[Year]),0,1),0))="","",INDEX(TblDatabase[Comment9],MATCH(1,INDEX(($L$4=ListEmployeeNamesInDatabase)*(C1032=TblDatabase[Year]),0,1),0)))</f>
        <v>#N/A</v>
      </c>
      <c r="S1048" s="353"/>
      <c r="T1048" s="353"/>
      <c r="U1048" s="353"/>
      <c r="V1048" s="353"/>
      <c r="W1048" s="353"/>
      <c r="X1048" s="353"/>
      <c r="Y1048" s="354"/>
      <c r="Z1048" s="149"/>
      <c r="AA1048" s="151">
        <f>SUMIFS(TblDatabase[Competency9],ListEmployeeNamesInDatabase,$L$4,TblDatabase[Year],C1032)</f>
        <v>0</v>
      </c>
      <c r="AB1048" s="149"/>
      <c r="AC1048" s="149"/>
      <c r="AD1048" s="149"/>
      <c r="AE1048" s="149"/>
      <c r="AF1048" s="149"/>
    </row>
    <row r="1049" spans="2:32" s="148" customFormat="1" ht="15" hidden="1" customHeight="1">
      <c r="B1049" s="355" t="str">
        <f t="shared" si="24"/>
        <v/>
      </c>
      <c r="C1049" s="356"/>
      <c r="D1049" s="356"/>
      <c r="E1049" s="357"/>
      <c r="F1049" s="163" t="str">
        <f>IF(Settings!$M$4=Settings!$Y$3,IF($AA1049=1,"P",""),IF($AA1049=1,"P",""))</f>
        <v/>
      </c>
      <c r="G1049" s="164" t="str">
        <f>IF(Settings!$M$4=Settings!$Y$3,IF($AA1049=1,"P",""),IF($AA1049=2,"P",""))</f>
        <v/>
      </c>
      <c r="H1049" s="164" t="str">
        <f>IF(Settings!$M$4=Settings!$Y$3,IF($AA1049=1,"P",""),IF($AA1049=3,"P",""))</f>
        <v/>
      </c>
      <c r="I1049" s="164" t="str">
        <f>IF(Settings!$M$4=Settings!$Y$3,IF($AA1049=1,"P",""),IF($AA1049=4,"P",""))</f>
        <v/>
      </c>
      <c r="J1049" s="164" t="str">
        <f>IF(Settings!$M$4=Settings!$Y$3,IF($AA1049=2,"P",""),IF($AA1049=5,"P",""))</f>
        <v/>
      </c>
      <c r="K1049" s="164" t="str">
        <f>IF(Settings!$M$4=Settings!$Y$3,IF($AA1049=2,"P",""),IF($AA1049=6,"P",""))</f>
        <v/>
      </c>
      <c r="L1049" s="164" t="str">
        <f>IF(Settings!$M$4=Settings!$Y$3,IF($AA1049=2,"P",""),IF($AA1049=7,"P",""))</f>
        <v/>
      </c>
      <c r="M1049" s="164" t="str">
        <f>IF(Settings!$M$4=Settings!$Y$3,IF($AA1049=2,"P",""),IF($AA1049=8,"P",""))</f>
        <v/>
      </c>
      <c r="N1049" s="164" t="str">
        <f>IF(Settings!$M$4=Settings!$Y$3,IF($AA1049=3,"P",""),IF($AA1049=9,"P",""))</f>
        <v/>
      </c>
      <c r="O1049" s="165" t="str">
        <f>IF(Settings!$M$4=Settings!$Y$3,IF($AA1049=3,"P",""),IF($AA1049=10,"P",""))</f>
        <v/>
      </c>
      <c r="P1049" s="22"/>
      <c r="Q1049" s="22"/>
      <c r="R1049" s="360" t="e">
        <f>IF(INDEX(TblDatabase[Comment10],MATCH(1,INDEX(($L$4=ListEmployeeNamesInDatabase)*(C1032=TblDatabase[Year]),0,1),0))="","",INDEX(TblDatabase[Comment10],MATCH(1,INDEX(($L$4=ListEmployeeNamesInDatabase)*(C1032=TblDatabase[Year]),0,1),0)))</f>
        <v>#N/A</v>
      </c>
      <c r="S1049" s="360"/>
      <c r="T1049" s="360"/>
      <c r="U1049" s="360"/>
      <c r="V1049" s="360"/>
      <c r="W1049" s="360"/>
      <c r="X1049" s="360"/>
      <c r="Y1049" s="361"/>
      <c r="Z1049" s="149"/>
      <c r="AA1049" s="151">
        <f>SUMIFS(TblDatabase[Competency10],ListEmployeeNamesInDatabase,$L$4,TblDatabase[Year],C1032)</f>
        <v>0</v>
      </c>
      <c r="AB1049" s="149"/>
      <c r="AC1049" s="149"/>
      <c r="AD1049" s="149"/>
      <c r="AE1049" s="149"/>
      <c r="AF1049" s="149"/>
    </row>
    <row r="1050" spans="2:32" s="148" customFormat="1" ht="15" hidden="1" customHeight="1">
      <c r="B1050" s="350" t="str">
        <f t="shared" si="24"/>
        <v/>
      </c>
      <c r="C1050" s="351"/>
      <c r="D1050" s="351"/>
      <c r="E1050" s="352"/>
      <c r="F1050" s="157" t="str">
        <f>IF(Settings!$M$4=Settings!$Y$3,IF($AA1050=1,"P",""),IF($AA1050=1,"P",""))</f>
        <v/>
      </c>
      <c r="G1050" s="158" t="str">
        <f>IF(Settings!$M$4=Settings!$Y$3,IF($AA1050=1,"P",""),IF($AA1050=2,"P",""))</f>
        <v/>
      </c>
      <c r="H1050" s="158" t="str">
        <f>IF(Settings!$M$4=Settings!$Y$3,IF($AA1050=1,"P",""),IF($AA1050=3,"P",""))</f>
        <v/>
      </c>
      <c r="I1050" s="158" t="str">
        <f>IF(Settings!$M$4=Settings!$Y$3,IF($AA1050=1,"P",""),IF($AA1050=4,"P",""))</f>
        <v/>
      </c>
      <c r="J1050" s="158" t="str">
        <f>IF(Settings!$M$4=Settings!$Y$3,IF($AA1050=2,"P",""),IF($AA1050=5,"P",""))</f>
        <v/>
      </c>
      <c r="K1050" s="158" t="str">
        <f>IF(Settings!$M$4=Settings!$Y$3,IF($AA1050=2,"P",""),IF($AA1050=6,"P",""))</f>
        <v/>
      </c>
      <c r="L1050" s="158" t="str">
        <f>IF(Settings!$M$4=Settings!$Y$3,IF($AA1050=2,"P",""),IF($AA1050=7,"P",""))</f>
        <v/>
      </c>
      <c r="M1050" s="158" t="str">
        <f>IF(Settings!$M$4=Settings!$Y$3,IF($AA1050=2,"P",""),IF($AA1050=8,"P",""))</f>
        <v/>
      </c>
      <c r="N1050" s="158" t="str">
        <f>IF(Settings!$M$4=Settings!$Y$3,IF($AA1050=3,"P",""),IF($AA1050=9,"P",""))</f>
        <v/>
      </c>
      <c r="O1050" s="159" t="str">
        <f>IF(Settings!$M$4=Settings!$Y$3,IF($AA1050=3,"P",""),IF($AA1050=10,"P",""))</f>
        <v/>
      </c>
      <c r="P1050" s="22"/>
      <c r="Q1050" s="22"/>
      <c r="R1050" s="353" t="e">
        <f>IF(INDEX(TblDatabase[Comment11],MATCH(1,INDEX(($L$4=ListEmployeeNamesInDatabase)*(C1032=TblDatabase[Year]),0,1),0))="","",INDEX(TblDatabase[Comment11],MATCH(1,INDEX(($L$4=ListEmployeeNamesInDatabase)*(C1032=TblDatabase[Year]),0,1),0)))</f>
        <v>#N/A</v>
      </c>
      <c r="S1050" s="353"/>
      <c r="T1050" s="353"/>
      <c r="U1050" s="353"/>
      <c r="V1050" s="353"/>
      <c r="W1050" s="353"/>
      <c r="X1050" s="353"/>
      <c r="Y1050" s="354"/>
      <c r="Z1050" s="149"/>
      <c r="AA1050" s="151">
        <f>SUMIFS(TblDatabase[Competency11],ListEmployeeNamesInDatabase,$L$4,TblDatabase[Year],C1032)</f>
        <v>0</v>
      </c>
      <c r="AB1050" s="149"/>
      <c r="AC1050" s="149"/>
      <c r="AD1050" s="149"/>
      <c r="AE1050" s="149"/>
      <c r="AF1050" s="149"/>
    </row>
    <row r="1051" spans="2:32" s="148" customFormat="1" ht="15" hidden="1" customHeight="1">
      <c r="B1051" s="355" t="str">
        <f t="shared" si="24"/>
        <v/>
      </c>
      <c r="C1051" s="356"/>
      <c r="D1051" s="356"/>
      <c r="E1051" s="357"/>
      <c r="F1051" s="163" t="str">
        <f>IF(Settings!$M$4=Settings!$Y$3,IF($AA1051=1,"P",""),IF($AA1051=1,"P",""))</f>
        <v/>
      </c>
      <c r="G1051" s="164" t="str">
        <f>IF(Settings!$M$4=Settings!$Y$3,IF($AA1051=1,"P",""),IF($AA1051=2,"P",""))</f>
        <v/>
      </c>
      <c r="H1051" s="164" t="str">
        <f>IF(Settings!$M$4=Settings!$Y$3,IF($AA1051=1,"P",""),IF($AA1051=3,"P",""))</f>
        <v/>
      </c>
      <c r="I1051" s="164" t="str">
        <f>IF(Settings!$M$4=Settings!$Y$3,IF($AA1051=1,"P",""),IF($AA1051=4,"P",""))</f>
        <v/>
      </c>
      <c r="J1051" s="164" t="str">
        <f>IF(Settings!$M$4=Settings!$Y$3,IF($AA1051=2,"P",""),IF($AA1051=5,"P",""))</f>
        <v/>
      </c>
      <c r="K1051" s="164" t="str">
        <f>IF(Settings!$M$4=Settings!$Y$3,IF($AA1051=2,"P",""),IF($AA1051=6,"P",""))</f>
        <v/>
      </c>
      <c r="L1051" s="164" t="str">
        <f>IF(Settings!$M$4=Settings!$Y$3,IF($AA1051=2,"P",""),IF($AA1051=7,"P",""))</f>
        <v/>
      </c>
      <c r="M1051" s="164" t="str">
        <f>IF(Settings!$M$4=Settings!$Y$3,IF($AA1051=2,"P",""),IF($AA1051=8,"P",""))</f>
        <v/>
      </c>
      <c r="N1051" s="164" t="str">
        <f>IF(Settings!$M$4=Settings!$Y$3,IF($AA1051=3,"P",""),IF($AA1051=9,"P",""))</f>
        <v/>
      </c>
      <c r="O1051" s="165" t="str">
        <f>IF(Settings!$M$4=Settings!$Y$3,IF($AA1051=3,"P",""),IF($AA1051=10,"P",""))</f>
        <v/>
      </c>
      <c r="P1051" s="22"/>
      <c r="Q1051" s="22"/>
      <c r="R1051" s="360" t="e">
        <f>IF(INDEX(TblDatabase[Comment12],MATCH(1,INDEX(($L$4=ListEmployeeNamesInDatabase)*(C1032=TblDatabase[Year]),0,1),0))="","",INDEX(TblDatabase[Comment12],MATCH(1,INDEX(($L$4=ListEmployeeNamesInDatabase)*(C1032=TblDatabase[Year]),0,1),0)))</f>
        <v>#N/A</v>
      </c>
      <c r="S1051" s="360"/>
      <c r="T1051" s="360"/>
      <c r="U1051" s="360"/>
      <c r="V1051" s="360"/>
      <c r="W1051" s="360"/>
      <c r="X1051" s="360"/>
      <c r="Y1051" s="361"/>
      <c r="Z1051" s="149"/>
      <c r="AA1051" s="151">
        <f>SUMIFS(TblDatabase[Competency12],ListEmployeeNamesInDatabase,$L$4,TblDatabase[Year],C1032)</f>
        <v>0</v>
      </c>
      <c r="AB1051" s="149"/>
      <c r="AC1051" s="149"/>
      <c r="AD1051" s="149"/>
      <c r="AE1051" s="149"/>
      <c r="AF1051" s="149"/>
    </row>
    <row r="1052" spans="2:32" s="148" customFormat="1" ht="15" hidden="1" customHeight="1">
      <c r="B1052" s="350" t="str">
        <f t="shared" si="24"/>
        <v/>
      </c>
      <c r="C1052" s="351"/>
      <c r="D1052" s="351"/>
      <c r="E1052" s="352"/>
      <c r="F1052" s="157" t="str">
        <f>IF(Settings!$M$4=Settings!$Y$3,IF($AA1052=1,"P",""),IF($AA1052=1,"P",""))</f>
        <v/>
      </c>
      <c r="G1052" s="158" t="str">
        <f>IF(Settings!$M$4=Settings!$Y$3,IF($AA1052=1,"P",""),IF($AA1052=2,"P",""))</f>
        <v/>
      </c>
      <c r="H1052" s="158" t="str">
        <f>IF(Settings!$M$4=Settings!$Y$3,IF($AA1052=1,"P",""),IF($AA1052=3,"P",""))</f>
        <v/>
      </c>
      <c r="I1052" s="158" t="str">
        <f>IF(Settings!$M$4=Settings!$Y$3,IF($AA1052=1,"P",""),IF($AA1052=4,"P",""))</f>
        <v/>
      </c>
      <c r="J1052" s="158" t="str">
        <f>IF(Settings!$M$4=Settings!$Y$3,IF($AA1052=2,"P",""),IF($AA1052=5,"P",""))</f>
        <v/>
      </c>
      <c r="K1052" s="158" t="str">
        <f>IF(Settings!$M$4=Settings!$Y$3,IF($AA1052=2,"P",""),IF($AA1052=6,"P",""))</f>
        <v/>
      </c>
      <c r="L1052" s="158" t="str">
        <f>IF(Settings!$M$4=Settings!$Y$3,IF($AA1052=2,"P",""),IF($AA1052=7,"P",""))</f>
        <v/>
      </c>
      <c r="M1052" s="158" t="str">
        <f>IF(Settings!$M$4=Settings!$Y$3,IF($AA1052=2,"P",""),IF($AA1052=8,"P",""))</f>
        <v/>
      </c>
      <c r="N1052" s="158" t="str">
        <f>IF(Settings!$M$4=Settings!$Y$3,IF($AA1052=3,"P",""),IF($AA1052=9,"P",""))</f>
        <v/>
      </c>
      <c r="O1052" s="159" t="str">
        <f>IF(Settings!$M$4=Settings!$Y$3,IF($AA1052=3,"P",""),IF($AA1052=10,"P",""))</f>
        <v/>
      </c>
      <c r="P1052" s="22"/>
      <c r="Q1052" s="22"/>
      <c r="R1052" s="353" t="e">
        <f>IF(INDEX(TblDatabase[Comment13],MATCH(1,INDEX(($L$4=ListEmployeeNamesInDatabase)*(C1032=TblDatabase[Year]),0,1),0))="","",INDEX(TblDatabase[Comment13],MATCH(1,INDEX(($L$4=ListEmployeeNamesInDatabase)*(C1032=TblDatabase[Year]),0,1),0)))</f>
        <v>#N/A</v>
      </c>
      <c r="S1052" s="353"/>
      <c r="T1052" s="353"/>
      <c r="U1052" s="353"/>
      <c r="V1052" s="353"/>
      <c r="W1052" s="353"/>
      <c r="X1052" s="353"/>
      <c r="Y1052" s="354"/>
      <c r="Z1052" s="149"/>
      <c r="AA1052" s="151">
        <f>SUMIFS(TblDatabase[Competency13],ListEmployeeNamesInDatabase,$L$4,TblDatabase[Year],C1032)</f>
        <v>0</v>
      </c>
      <c r="AB1052" s="149"/>
      <c r="AC1052" s="149"/>
      <c r="AD1052" s="149"/>
      <c r="AE1052" s="149"/>
      <c r="AF1052" s="149"/>
    </row>
    <row r="1053" spans="2:32" s="148" customFormat="1" ht="15" hidden="1" customHeight="1">
      <c r="B1053" s="355" t="str">
        <f t="shared" si="24"/>
        <v/>
      </c>
      <c r="C1053" s="356"/>
      <c r="D1053" s="356"/>
      <c r="E1053" s="357"/>
      <c r="F1053" s="163" t="str">
        <f>IF(Settings!$M$4=Settings!$Y$3,IF($AA1053=1,"P",""),IF($AA1053=1,"P",""))</f>
        <v/>
      </c>
      <c r="G1053" s="164" t="str">
        <f>IF(Settings!$M$4=Settings!$Y$3,IF($AA1053=1,"P",""),IF($AA1053=2,"P",""))</f>
        <v/>
      </c>
      <c r="H1053" s="164" t="str">
        <f>IF(Settings!$M$4=Settings!$Y$3,IF($AA1053=1,"P",""),IF($AA1053=3,"P",""))</f>
        <v/>
      </c>
      <c r="I1053" s="164" t="str">
        <f>IF(Settings!$M$4=Settings!$Y$3,IF($AA1053=1,"P",""),IF($AA1053=4,"P",""))</f>
        <v/>
      </c>
      <c r="J1053" s="164" t="str">
        <f>IF(Settings!$M$4=Settings!$Y$3,IF($AA1053=2,"P",""),IF($AA1053=5,"P",""))</f>
        <v/>
      </c>
      <c r="K1053" s="164" t="str">
        <f>IF(Settings!$M$4=Settings!$Y$3,IF($AA1053=2,"P",""),IF($AA1053=6,"P",""))</f>
        <v/>
      </c>
      <c r="L1053" s="164" t="str">
        <f>IF(Settings!$M$4=Settings!$Y$3,IF($AA1053=2,"P",""),IF($AA1053=7,"P",""))</f>
        <v/>
      </c>
      <c r="M1053" s="164" t="str">
        <f>IF(Settings!$M$4=Settings!$Y$3,IF($AA1053=2,"P",""),IF($AA1053=8,"P",""))</f>
        <v/>
      </c>
      <c r="N1053" s="164" t="str">
        <f>IF(Settings!$M$4=Settings!$Y$3,IF($AA1053=3,"P",""),IF($AA1053=9,"P",""))</f>
        <v/>
      </c>
      <c r="O1053" s="165" t="str">
        <f>IF(Settings!$M$4=Settings!$Y$3,IF($AA1053=3,"P",""),IF($AA1053=10,"P",""))</f>
        <v/>
      </c>
      <c r="P1053" s="22"/>
      <c r="Q1053" s="22"/>
      <c r="R1053" s="360" t="e">
        <f>IF(INDEX(TblDatabase[Comment14],MATCH(1,INDEX(($L$4=ListEmployeeNamesInDatabase)*(C1032=TblDatabase[Year]),0,1),0))="","",INDEX(TblDatabase[Comment14],MATCH(1,INDEX(($L$4=ListEmployeeNamesInDatabase)*(C1032=TblDatabase[Year]),0,1),0)))</f>
        <v>#N/A</v>
      </c>
      <c r="S1053" s="360"/>
      <c r="T1053" s="360"/>
      <c r="U1053" s="360"/>
      <c r="V1053" s="360"/>
      <c r="W1053" s="360"/>
      <c r="X1053" s="360"/>
      <c r="Y1053" s="361"/>
      <c r="Z1053" s="149"/>
      <c r="AA1053" s="151">
        <f>SUMIFS(TblDatabase[Competency14],ListEmployeeNamesInDatabase,$L$4,TblDatabase[Year],C1032)</f>
        <v>0</v>
      </c>
      <c r="AB1053" s="149"/>
      <c r="AC1053" s="149"/>
      <c r="AD1053" s="149"/>
      <c r="AE1053" s="149"/>
      <c r="AF1053" s="149"/>
    </row>
    <row r="1054" spans="2:32" s="148" customFormat="1" ht="15" hidden="1" customHeight="1">
      <c r="B1054" s="350" t="str">
        <f t="shared" si="24"/>
        <v/>
      </c>
      <c r="C1054" s="351"/>
      <c r="D1054" s="351"/>
      <c r="E1054" s="352"/>
      <c r="F1054" s="157" t="str">
        <f>IF(Settings!$M$4=Settings!$Y$3,IF($AA1054=1,"P",""),IF($AA1054=1,"P",""))</f>
        <v/>
      </c>
      <c r="G1054" s="158" t="str">
        <f>IF(Settings!$M$4=Settings!$Y$3,IF($AA1054=1,"P",""),IF($AA1054=2,"P",""))</f>
        <v/>
      </c>
      <c r="H1054" s="158" t="str">
        <f>IF(Settings!$M$4=Settings!$Y$3,IF($AA1054=1,"P",""),IF($AA1054=3,"P",""))</f>
        <v/>
      </c>
      <c r="I1054" s="158" t="str">
        <f>IF(Settings!$M$4=Settings!$Y$3,IF($AA1054=1,"P",""),IF($AA1054=4,"P",""))</f>
        <v/>
      </c>
      <c r="J1054" s="158" t="str">
        <f>IF(Settings!$M$4=Settings!$Y$3,IF($AA1054=2,"P",""),IF($AA1054=5,"P",""))</f>
        <v/>
      </c>
      <c r="K1054" s="158" t="str">
        <f>IF(Settings!$M$4=Settings!$Y$3,IF($AA1054=2,"P",""),IF($AA1054=6,"P",""))</f>
        <v/>
      </c>
      <c r="L1054" s="158" t="str">
        <f>IF(Settings!$M$4=Settings!$Y$3,IF($AA1054=2,"P",""),IF($AA1054=7,"P",""))</f>
        <v/>
      </c>
      <c r="M1054" s="158" t="str">
        <f>IF(Settings!$M$4=Settings!$Y$3,IF($AA1054=2,"P",""),IF($AA1054=8,"P",""))</f>
        <v/>
      </c>
      <c r="N1054" s="158" t="str">
        <f>IF(Settings!$M$4=Settings!$Y$3,IF($AA1054=3,"P",""),IF($AA1054=9,"P",""))</f>
        <v/>
      </c>
      <c r="O1054" s="159" t="str">
        <f>IF(Settings!$M$4=Settings!$Y$3,IF($AA1054=3,"P",""),IF($AA1054=10,"P",""))</f>
        <v/>
      </c>
      <c r="P1054" s="22"/>
      <c r="Q1054" s="22"/>
      <c r="R1054" s="353" t="e">
        <f>IF(INDEX(TblDatabase[Comment15],MATCH(1,INDEX(($L$4=ListEmployeeNamesInDatabase)*(C1032=TblDatabase[Year]),0,1),0))="","",INDEX(TblDatabase[Comment15],MATCH(1,INDEX(($L$4=ListEmployeeNamesInDatabase)*(C1032=TblDatabase[Year]),0,1),0)))</f>
        <v>#N/A</v>
      </c>
      <c r="S1054" s="353"/>
      <c r="T1054" s="353"/>
      <c r="U1054" s="353"/>
      <c r="V1054" s="353"/>
      <c r="W1054" s="353"/>
      <c r="X1054" s="353"/>
      <c r="Y1054" s="354"/>
      <c r="Z1054" s="149"/>
      <c r="AA1054" s="151">
        <f>SUMIFS(TblDatabase[Competency15],ListEmployeeNamesInDatabase,$L$4,TblDatabase[Year],C1032)</f>
        <v>0</v>
      </c>
      <c r="AB1054" s="149"/>
      <c r="AC1054" s="149"/>
      <c r="AD1054" s="149"/>
      <c r="AE1054" s="149"/>
      <c r="AF1054" s="149"/>
    </row>
    <row r="1055" spans="2:32" s="148" customFormat="1" ht="15" hidden="1" customHeight="1">
      <c r="B1055" s="355" t="str">
        <f t="shared" si="24"/>
        <v/>
      </c>
      <c r="C1055" s="356"/>
      <c r="D1055" s="356"/>
      <c r="E1055" s="357"/>
      <c r="F1055" s="163" t="str">
        <f>IF(Settings!$M$4=Settings!$Y$3,IF($AA1055=1,"P",""),IF($AA1055=1,"P",""))</f>
        <v/>
      </c>
      <c r="G1055" s="164" t="str">
        <f>IF(Settings!$M$4=Settings!$Y$3,IF($AA1055=1,"P",""),IF($AA1055=2,"P",""))</f>
        <v/>
      </c>
      <c r="H1055" s="164" t="str">
        <f>IF(Settings!$M$4=Settings!$Y$3,IF($AA1055=1,"P",""),IF($AA1055=3,"P",""))</f>
        <v/>
      </c>
      <c r="I1055" s="164" t="str">
        <f>IF(Settings!$M$4=Settings!$Y$3,IF($AA1055=1,"P",""),IF($AA1055=4,"P",""))</f>
        <v/>
      </c>
      <c r="J1055" s="164" t="str">
        <f>IF(Settings!$M$4=Settings!$Y$3,IF($AA1055=2,"P",""),IF($AA1055=5,"P",""))</f>
        <v/>
      </c>
      <c r="K1055" s="164" t="str">
        <f>IF(Settings!$M$4=Settings!$Y$3,IF($AA1055=2,"P",""),IF($AA1055=6,"P",""))</f>
        <v/>
      </c>
      <c r="L1055" s="164" t="str">
        <f>IF(Settings!$M$4=Settings!$Y$3,IF($AA1055=2,"P",""),IF($AA1055=7,"P",""))</f>
        <v/>
      </c>
      <c r="M1055" s="164" t="str">
        <f>IF(Settings!$M$4=Settings!$Y$3,IF($AA1055=2,"P",""),IF($AA1055=8,"P",""))</f>
        <v/>
      </c>
      <c r="N1055" s="164" t="str">
        <f>IF(Settings!$M$4=Settings!$Y$3,IF($AA1055=3,"P",""),IF($AA1055=9,"P",""))</f>
        <v/>
      </c>
      <c r="O1055" s="165" t="str">
        <f>IF(Settings!$M$4=Settings!$Y$3,IF($AA1055=3,"P",""),IF($AA1055=10,"P",""))</f>
        <v/>
      </c>
      <c r="P1055" s="22"/>
      <c r="Q1055" s="22"/>
      <c r="R1055" s="360" t="e">
        <f>IF(INDEX(TblDatabase[Comment16],MATCH(1,INDEX(($L$4=ListEmployeeNamesInDatabase)*(C1032=TblDatabase[Year]),0,1),0))="","",INDEX(TblDatabase[Comment16],MATCH(1,INDEX(($L$4=ListEmployeeNamesInDatabase)*(C1032=TblDatabase[Year]),0,1),0)))</f>
        <v>#N/A</v>
      </c>
      <c r="S1055" s="360"/>
      <c r="T1055" s="360"/>
      <c r="U1055" s="360"/>
      <c r="V1055" s="360"/>
      <c r="W1055" s="360"/>
      <c r="X1055" s="360"/>
      <c r="Y1055" s="361"/>
      <c r="Z1055" s="149"/>
      <c r="AA1055" s="151">
        <f>SUMIFS(TblDatabase[Competency16],ListEmployeeNamesInDatabase,$L$4,TblDatabase[Year],C1032)</f>
        <v>0</v>
      </c>
      <c r="AB1055" s="149"/>
      <c r="AC1055" s="149"/>
      <c r="AD1055" s="149"/>
      <c r="AE1055" s="149"/>
      <c r="AF1055" s="149"/>
    </row>
    <row r="1056" spans="2:32" s="148" customFormat="1" ht="15" hidden="1" customHeight="1">
      <c r="B1056" s="350" t="str">
        <f t="shared" si="24"/>
        <v/>
      </c>
      <c r="C1056" s="351"/>
      <c r="D1056" s="351"/>
      <c r="E1056" s="352"/>
      <c r="F1056" s="157" t="str">
        <f>IF(Settings!$M$4=Settings!$Y$3,IF($AA1056=1,"P",""),IF($AA1056=1,"P",""))</f>
        <v/>
      </c>
      <c r="G1056" s="158" t="str">
        <f>IF(Settings!$M$4=Settings!$Y$3,IF($AA1056=1,"P",""),IF($AA1056=2,"P",""))</f>
        <v/>
      </c>
      <c r="H1056" s="158" t="str">
        <f>IF(Settings!$M$4=Settings!$Y$3,IF($AA1056=1,"P",""),IF($AA1056=3,"P",""))</f>
        <v/>
      </c>
      <c r="I1056" s="158" t="str">
        <f>IF(Settings!$M$4=Settings!$Y$3,IF($AA1056=1,"P",""),IF($AA1056=4,"P",""))</f>
        <v/>
      </c>
      <c r="J1056" s="158" t="str">
        <f>IF(Settings!$M$4=Settings!$Y$3,IF($AA1056=2,"P",""),IF($AA1056=5,"P",""))</f>
        <v/>
      </c>
      <c r="K1056" s="158" t="str">
        <f>IF(Settings!$M$4=Settings!$Y$3,IF($AA1056=2,"P",""),IF($AA1056=6,"P",""))</f>
        <v/>
      </c>
      <c r="L1056" s="158" t="str">
        <f>IF(Settings!$M$4=Settings!$Y$3,IF($AA1056=2,"P",""),IF($AA1056=7,"P",""))</f>
        <v/>
      </c>
      <c r="M1056" s="158" t="str">
        <f>IF(Settings!$M$4=Settings!$Y$3,IF($AA1056=2,"P",""),IF($AA1056=8,"P",""))</f>
        <v/>
      </c>
      <c r="N1056" s="158" t="str">
        <f>IF(Settings!$M$4=Settings!$Y$3,IF($AA1056=3,"P",""),IF($AA1056=9,"P",""))</f>
        <v/>
      </c>
      <c r="O1056" s="159" t="str">
        <f>IF(Settings!$M$4=Settings!$Y$3,IF($AA1056=3,"P",""),IF($AA1056=10,"P",""))</f>
        <v/>
      </c>
      <c r="P1056" s="22"/>
      <c r="Q1056" s="22"/>
      <c r="R1056" s="353" t="e">
        <f>IF(INDEX(TblDatabase[Comment17],MATCH(1,INDEX(($L$4=ListEmployeeNamesInDatabase)*(C1032=TblDatabase[Year]),0,1),0))="","",INDEX(TblDatabase[Comment17],MATCH(1,INDEX(($L$4=ListEmployeeNamesInDatabase)*(C1032=TblDatabase[Year]),0,1),0)))</f>
        <v>#N/A</v>
      </c>
      <c r="S1056" s="353"/>
      <c r="T1056" s="353"/>
      <c r="U1056" s="353"/>
      <c r="V1056" s="353"/>
      <c r="W1056" s="353"/>
      <c r="X1056" s="353"/>
      <c r="Y1056" s="354"/>
      <c r="Z1056" s="149"/>
      <c r="AA1056" s="151">
        <f>SUMIFS(TblDatabase[Competency17],ListEmployeeNamesInDatabase,$L$4,TblDatabase[Year],C1032)</f>
        <v>0</v>
      </c>
      <c r="AB1056" s="149"/>
      <c r="AC1056" s="149"/>
      <c r="AD1056" s="149"/>
      <c r="AE1056" s="149"/>
      <c r="AF1056" s="149"/>
    </row>
    <row r="1057" spans="2:32" s="148" customFormat="1" ht="15" hidden="1" customHeight="1">
      <c r="B1057" s="355" t="str">
        <f t="shared" si="24"/>
        <v/>
      </c>
      <c r="C1057" s="356"/>
      <c r="D1057" s="356"/>
      <c r="E1057" s="357"/>
      <c r="F1057" s="163" t="str">
        <f>IF(Settings!$M$4=Settings!$Y$3,IF($AA1057=1,"P",""),IF($AA1057=1,"P",""))</f>
        <v/>
      </c>
      <c r="G1057" s="164" t="str">
        <f>IF(Settings!$M$4=Settings!$Y$3,IF($AA1057=1,"P",""),IF($AA1057=2,"P",""))</f>
        <v/>
      </c>
      <c r="H1057" s="164" t="str">
        <f>IF(Settings!$M$4=Settings!$Y$3,IF($AA1057=1,"P",""),IF($AA1057=3,"P",""))</f>
        <v/>
      </c>
      <c r="I1057" s="164" t="str">
        <f>IF(Settings!$M$4=Settings!$Y$3,IF($AA1057=1,"P",""),IF($AA1057=4,"P",""))</f>
        <v/>
      </c>
      <c r="J1057" s="164" t="str">
        <f>IF(Settings!$M$4=Settings!$Y$3,IF($AA1057=2,"P",""),IF($AA1057=5,"P",""))</f>
        <v/>
      </c>
      <c r="K1057" s="164" t="str">
        <f>IF(Settings!$M$4=Settings!$Y$3,IF($AA1057=2,"P",""),IF($AA1057=6,"P",""))</f>
        <v/>
      </c>
      <c r="L1057" s="164" t="str">
        <f>IF(Settings!$M$4=Settings!$Y$3,IF($AA1057=2,"P",""),IF($AA1057=7,"P",""))</f>
        <v/>
      </c>
      <c r="M1057" s="164" t="str">
        <f>IF(Settings!$M$4=Settings!$Y$3,IF($AA1057=2,"P",""),IF($AA1057=8,"P",""))</f>
        <v/>
      </c>
      <c r="N1057" s="164" t="str">
        <f>IF(Settings!$M$4=Settings!$Y$3,IF($AA1057=3,"P",""),IF($AA1057=9,"P",""))</f>
        <v/>
      </c>
      <c r="O1057" s="165" t="str">
        <f>IF(Settings!$M$4=Settings!$Y$3,IF($AA1057=3,"P",""),IF($AA1057=10,"P",""))</f>
        <v/>
      </c>
      <c r="P1057" s="22"/>
      <c r="Q1057" s="22"/>
      <c r="R1057" s="360" t="e">
        <f>IF(INDEX(TblDatabase[Comment18],MATCH(1,INDEX(($L$4=ListEmployeeNamesInDatabase)*(C1032=TblDatabase[Year]),0,1),0))="","",INDEX(TblDatabase[Comment18],MATCH(1,INDEX(($L$4=ListEmployeeNamesInDatabase)*(C1032=TblDatabase[Year]),0,1),0)))</f>
        <v>#N/A</v>
      </c>
      <c r="S1057" s="360"/>
      <c r="T1057" s="360"/>
      <c r="U1057" s="360"/>
      <c r="V1057" s="360"/>
      <c r="W1057" s="360"/>
      <c r="X1057" s="360"/>
      <c r="Y1057" s="361"/>
      <c r="Z1057" s="149"/>
      <c r="AA1057" s="151">
        <f>SUMIFS(TblDatabase[Competency18],ListEmployeeNamesInDatabase,$L$4,TblDatabase[Year],C1032)</f>
        <v>0</v>
      </c>
      <c r="AB1057" s="149"/>
      <c r="AC1057" s="149"/>
      <c r="AD1057" s="149"/>
      <c r="AE1057" s="149"/>
      <c r="AF1057" s="149"/>
    </row>
    <row r="1058" spans="2:32" s="148" customFormat="1" ht="15" hidden="1" customHeight="1">
      <c r="B1058" s="350" t="str">
        <f t="shared" si="24"/>
        <v/>
      </c>
      <c r="C1058" s="351"/>
      <c r="D1058" s="351"/>
      <c r="E1058" s="352"/>
      <c r="F1058" s="157" t="str">
        <f>IF(Settings!$M$4=Settings!$Y$3,IF($AA1058=1,"P",""),IF($AA1058=1,"P",""))</f>
        <v/>
      </c>
      <c r="G1058" s="158" t="str">
        <f>IF(Settings!$M$4=Settings!$Y$3,IF($AA1058=1,"P",""),IF($AA1058=2,"P",""))</f>
        <v/>
      </c>
      <c r="H1058" s="158" t="str">
        <f>IF(Settings!$M$4=Settings!$Y$3,IF($AA1058=1,"P",""),IF($AA1058=3,"P",""))</f>
        <v/>
      </c>
      <c r="I1058" s="158" t="str">
        <f>IF(Settings!$M$4=Settings!$Y$3,IF($AA1058=1,"P",""),IF($AA1058=4,"P",""))</f>
        <v/>
      </c>
      <c r="J1058" s="158" t="str">
        <f>IF(Settings!$M$4=Settings!$Y$3,IF($AA1058=2,"P",""),IF($AA1058=5,"P",""))</f>
        <v/>
      </c>
      <c r="K1058" s="158" t="str">
        <f>IF(Settings!$M$4=Settings!$Y$3,IF($AA1058=2,"P",""),IF($AA1058=6,"P",""))</f>
        <v/>
      </c>
      <c r="L1058" s="158" t="str">
        <f>IF(Settings!$M$4=Settings!$Y$3,IF($AA1058=2,"P",""),IF($AA1058=7,"P",""))</f>
        <v/>
      </c>
      <c r="M1058" s="158" t="str">
        <f>IF(Settings!$M$4=Settings!$Y$3,IF($AA1058=2,"P",""),IF($AA1058=8,"P",""))</f>
        <v/>
      </c>
      <c r="N1058" s="158" t="str">
        <f>IF(Settings!$M$4=Settings!$Y$3,IF($AA1058=3,"P",""),IF($AA1058=9,"P",""))</f>
        <v/>
      </c>
      <c r="O1058" s="159" t="str">
        <f>IF(Settings!$M$4=Settings!$Y$3,IF($AA1058=3,"P",""),IF($AA1058=10,"P",""))</f>
        <v/>
      </c>
      <c r="P1058" s="22"/>
      <c r="Q1058" s="22"/>
      <c r="R1058" s="353" t="e">
        <f>IF(INDEX(TblDatabase[Comment19],MATCH(1,INDEX(($L$4=ListEmployeeNamesInDatabase)*(C1032=TblDatabase[Year]),0,1),0))="","",INDEX(TblDatabase[Comment19],MATCH(1,INDEX(($L$4=ListEmployeeNamesInDatabase)*(C1032=TblDatabase[Year]),0,1),0)))</f>
        <v>#N/A</v>
      </c>
      <c r="S1058" s="353"/>
      <c r="T1058" s="353"/>
      <c r="U1058" s="353"/>
      <c r="V1058" s="353"/>
      <c r="W1058" s="353"/>
      <c r="X1058" s="353"/>
      <c r="Y1058" s="354"/>
      <c r="Z1058" s="149"/>
      <c r="AA1058" s="151">
        <f>SUMIFS(TblDatabase[Competency19],ListEmployeeNamesInDatabase,$L$4,TblDatabase[Year],C1032)</f>
        <v>0</v>
      </c>
      <c r="AB1058" s="149"/>
      <c r="AC1058" s="149"/>
      <c r="AD1058" s="149"/>
      <c r="AE1058" s="149"/>
      <c r="AF1058" s="149"/>
    </row>
    <row r="1059" spans="2:32" s="148" customFormat="1" ht="15" hidden="1" customHeight="1">
      <c r="B1059" s="362" t="str">
        <f t="shared" si="24"/>
        <v/>
      </c>
      <c r="C1059" s="363"/>
      <c r="D1059" s="363"/>
      <c r="E1059" s="364"/>
      <c r="F1059" s="166" t="str">
        <f>IF(Settings!$M$4=Settings!$Y$3,IF($AA1059=1,"P",""),IF($AA1059=1,"P",""))</f>
        <v/>
      </c>
      <c r="G1059" s="167" t="str">
        <f>IF(Settings!$M$4=Settings!$Y$3,IF($AA1059=1,"P",""),IF($AA1059=2,"P",""))</f>
        <v/>
      </c>
      <c r="H1059" s="167" t="str">
        <f>IF(Settings!$M$4=Settings!$Y$3,IF($AA1059=1,"P",""),IF($AA1059=3,"P",""))</f>
        <v/>
      </c>
      <c r="I1059" s="167" t="str">
        <f>IF(Settings!$M$4=Settings!$Y$3,IF($AA1059=1,"P",""),IF($AA1059=4,"P",""))</f>
        <v/>
      </c>
      <c r="J1059" s="167" t="str">
        <f>IF(Settings!$M$4=Settings!$Y$3,IF($AA1059=2,"P",""),IF($AA1059=5,"P",""))</f>
        <v/>
      </c>
      <c r="K1059" s="167" t="str">
        <f>IF(Settings!$M$4=Settings!$Y$3,IF($AA1059=2,"P",""),IF($AA1059=6,"P",""))</f>
        <v/>
      </c>
      <c r="L1059" s="167" t="str">
        <f>IF(Settings!$M$4=Settings!$Y$3,IF($AA1059=2,"P",""),IF($AA1059=7,"P",""))</f>
        <v/>
      </c>
      <c r="M1059" s="167" t="str">
        <f>IF(Settings!$M$4=Settings!$Y$3,IF($AA1059=2,"P",""),IF($AA1059=8,"P",""))</f>
        <v/>
      </c>
      <c r="N1059" s="167" t="str">
        <f>IF(Settings!$M$4=Settings!$Y$3,IF($AA1059=3,"P",""),IF($AA1059=9,"P",""))</f>
        <v/>
      </c>
      <c r="O1059" s="168" t="str">
        <f>IF(Settings!$M$4=Settings!$Y$3,IF($AA1059=3,"P",""),IF($AA1059=10,"P",""))</f>
        <v/>
      </c>
      <c r="P1059" s="22"/>
      <c r="Q1059" s="22"/>
      <c r="R1059" s="365" t="e">
        <f>IF(INDEX(TblDatabase[Comment20],MATCH(1,INDEX(($L$4=ListEmployeeNamesInDatabase)*(C1032=TblDatabase[Year]),0,1),0))="","",INDEX(TblDatabase[Comment20],MATCH(1,INDEX(($L$4=ListEmployeeNamesInDatabase)*(C1032=TblDatabase[Year]),0,1),0)))</f>
        <v>#N/A</v>
      </c>
      <c r="S1059" s="365"/>
      <c r="T1059" s="365"/>
      <c r="U1059" s="365"/>
      <c r="V1059" s="365"/>
      <c r="W1059" s="365"/>
      <c r="X1059" s="365"/>
      <c r="Y1059" s="366"/>
      <c r="Z1059" s="149"/>
      <c r="AA1059" s="151">
        <f>SUMIFS(TblDatabase[Competency20],ListEmployeeNamesInDatabase,$L$4,TblDatabase[Year],C1032)</f>
        <v>0</v>
      </c>
      <c r="AB1059" s="149"/>
      <c r="AC1059" s="149"/>
      <c r="AD1059" s="149"/>
      <c r="AE1059" s="149"/>
      <c r="AF1059" s="149"/>
    </row>
    <row r="1060" spans="2:32" s="148" customFormat="1" hidden="1">
      <c r="B1060" s="414" t="s">
        <v>26</v>
      </c>
      <c r="C1060" s="415"/>
      <c r="D1060" s="415"/>
      <c r="E1060" s="371">
        <f ca="1">SUM(OFFSET(AA1040,0,0,NumberOfCompetencies))</f>
        <v>0</v>
      </c>
      <c r="F1060" s="372"/>
      <c r="G1060" s="152"/>
      <c r="H1060" s="152"/>
      <c r="I1060" s="152"/>
      <c r="J1060" s="152"/>
      <c r="K1060" s="152"/>
      <c r="L1060" s="152"/>
      <c r="M1060" s="152"/>
      <c r="N1060" s="152"/>
      <c r="O1060" s="152"/>
      <c r="P1060" s="152"/>
      <c r="Q1060" s="152"/>
      <c r="R1060" s="152"/>
      <c r="S1060" s="152"/>
      <c r="T1060" s="152"/>
      <c r="U1060" s="152"/>
      <c r="V1060" s="152"/>
      <c r="W1060" s="152"/>
      <c r="X1060" s="152"/>
      <c r="Y1060" s="152"/>
      <c r="Z1060" s="149"/>
      <c r="AA1060" s="149"/>
      <c r="AB1060" s="149"/>
      <c r="AC1060" s="149"/>
      <c r="AD1060" s="149"/>
      <c r="AE1060" s="149"/>
      <c r="AF1060" s="149"/>
    </row>
    <row r="1061" spans="2:32" s="148" customFormat="1" hidden="1">
      <c r="B1061" s="369" t="s">
        <v>27</v>
      </c>
      <c r="C1061" s="370"/>
      <c r="D1061" s="370"/>
      <c r="E1061" s="358">
        <f ca="1">E1060/NumberOfCompetencies</f>
        <v>0</v>
      </c>
      <c r="F1061" s="359"/>
      <c r="G1061" s="153"/>
      <c r="H1061" s="153"/>
      <c r="I1061" s="153"/>
      <c r="J1061" s="153"/>
      <c r="K1061" s="153"/>
      <c r="L1061" s="153"/>
      <c r="M1061" s="153"/>
      <c r="N1061" s="153"/>
      <c r="O1061" s="153"/>
      <c r="P1061" s="153"/>
      <c r="Q1061" s="153"/>
      <c r="R1061" s="153"/>
      <c r="S1061" s="153"/>
      <c r="T1061" s="153"/>
      <c r="U1061" s="153"/>
      <c r="V1061" s="153"/>
      <c r="W1061" s="153"/>
      <c r="X1061" s="153"/>
      <c r="Y1061" s="153"/>
      <c r="Z1061" s="149"/>
      <c r="AA1061" s="149"/>
      <c r="AB1061" s="149"/>
      <c r="AC1061" s="149"/>
      <c r="AD1061" s="149"/>
      <c r="AE1061" s="149"/>
      <c r="AF1061" s="149"/>
    </row>
    <row r="1062" spans="2:32" s="148" customFormat="1" hidden="1">
      <c r="B1062" s="154"/>
      <c r="C1062" s="154"/>
      <c r="D1062" s="154"/>
      <c r="E1062" s="154"/>
      <c r="F1062" s="154"/>
      <c r="G1062" s="154"/>
      <c r="H1062" s="154"/>
      <c r="I1062" s="154"/>
      <c r="J1062" s="154"/>
      <c r="K1062" s="154"/>
      <c r="L1062" s="154"/>
      <c r="M1062" s="154"/>
      <c r="N1062" s="154"/>
      <c r="O1062" s="154"/>
      <c r="P1062" s="154"/>
      <c r="Q1062" s="154"/>
      <c r="R1062" s="154"/>
      <c r="S1062" s="154"/>
      <c r="T1062" s="154"/>
      <c r="U1062" s="154"/>
      <c r="V1062" s="154"/>
      <c r="W1062" s="154"/>
      <c r="X1062" s="154"/>
      <c r="Y1062" s="154"/>
      <c r="Z1062" s="149"/>
      <c r="AA1062" s="149"/>
      <c r="AB1062" s="149"/>
      <c r="AC1062" s="149"/>
      <c r="AD1062" s="149"/>
      <c r="AE1062" s="149"/>
      <c r="AF1062" s="149"/>
    </row>
    <row r="1063" spans="2:32" s="148" customFormat="1" hidden="1">
      <c r="B1063" s="338" t="str">
        <f>Settings!$N$15</f>
        <v>Previously agreed actions</v>
      </c>
      <c r="C1063" s="339"/>
      <c r="D1063" s="339"/>
      <c r="E1063" s="339"/>
      <c r="F1063" s="339"/>
      <c r="G1063" s="339"/>
      <c r="H1063" s="339"/>
      <c r="I1063" s="339"/>
      <c r="J1063" s="339"/>
      <c r="K1063" s="339"/>
      <c r="L1063" s="339"/>
      <c r="M1063" s="339"/>
      <c r="N1063" s="339"/>
      <c r="O1063" s="339"/>
      <c r="P1063" s="339"/>
      <c r="Q1063" s="339"/>
      <c r="R1063" s="339"/>
      <c r="S1063" s="339"/>
      <c r="T1063" s="339"/>
      <c r="U1063" s="339"/>
      <c r="V1063" s="339"/>
      <c r="W1063" s="339"/>
      <c r="X1063" s="339"/>
      <c r="Y1063" s="340"/>
      <c r="Z1063" s="149"/>
      <c r="AA1063" s="149"/>
      <c r="AB1063" s="149"/>
      <c r="AC1063" s="149"/>
      <c r="AD1063" s="149"/>
      <c r="AE1063" s="149"/>
      <c r="AF1063" s="149"/>
    </row>
    <row r="1064" spans="2:32" s="148" customFormat="1" hidden="1">
      <c r="B1064" s="341" t="e">
        <f>IF(INDEX(TblDatabase[Feedback Does Well],MATCH(1,INDEX(($L$4=ListEmployeeNamesInDatabase)*(C1032=TblDatabase[Year]),0,1),0))="","",INDEX(TblDatabase[Feedback Does Well],MATCH(1,INDEX(($L$4=ListEmployeeNamesInDatabase)*(C1032=TblDatabase[Year]),0,1),0)))</f>
        <v>#N/A</v>
      </c>
      <c r="C1064" s="342"/>
      <c r="D1064" s="342"/>
      <c r="E1064" s="342"/>
      <c r="F1064" s="342"/>
      <c r="G1064" s="342"/>
      <c r="H1064" s="342"/>
      <c r="I1064" s="342"/>
      <c r="J1064" s="342"/>
      <c r="K1064" s="342"/>
      <c r="L1064" s="342"/>
      <c r="M1064" s="342"/>
      <c r="N1064" s="342"/>
      <c r="O1064" s="342"/>
      <c r="P1064" s="342"/>
      <c r="Q1064" s="342"/>
      <c r="R1064" s="342"/>
      <c r="S1064" s="342"/>
      <c r="T1064" s="342"/>
      <c r="U1064" s="342"/>
      <c r="V1064" s="342"/>
      <c r="W1064" s="342"/>
      <c r="X1064" s="342"/>
      <c r="Y1064" s="343"/>
      <c r="Z1064" s="149"/>
      <c r="AA1064" s="149"/>
      <c r="AB1064" s="149"/>
      <c r="AC1064" s="149"/>
      <c r="AD1064" s="149"/>
      <c r="AE1064" s="149"/>
      <c r="AF1064" s="149"/>
    </row>
    <row r="1065" spans="2:32" s="148" customFormat="1" hidden="1">
      <c r="B1065" s="344"/>
      <c r="C1065" s="345"/>
      <c r="D1065" s="345"/>
      <c r="E1065" s="345"/>
      <c r="F1065" s="345"/>
      <c r="G1065" s="345"/>
      <c r="H1065" s="345"/>
      <c r="I1065" s="345"/>
      <c r="J1065" s="345"/>
      <c r="K1065" s="345"/>
      <c r="L1065" s="345"/>
      <c r="M1065" s="345"/>
      <c r="N1065" s="345"/>
      <c r="O1065" s="345"/>
      <c r="P1065" s="345"/>
      <c r="Q1065" s="345"/>
      <c r="R1065" s="345"/>
      <c r="S1065" s="345"/>
      <c r="T1065" s="345"/>
      <c r="U1065" s="345"/>
      <c r="V1065" s="345"/>
      <c r="W1065" s="345"/>
      <c r="X1065" s="345"/>
      <c r="Y1065" s="346"/>
      <c r="Z1065" s="149"/>
      <c r="AA1065" s="149"/>
      <c r="AB1065" s="149"/>
      <c r="AC1065" s="149"/>
      <c r="AD1065" s="149"/>
      <c r="AE1065" s="149"/>
      <c r="AF1065" s="149"/>
    </row>
    <row r="1066" spans="2:32" s="148" customFormat="1" hidden="1">
      <c r="B1066" s="347"/>
      <c r="C1066" s="348"/>
      <c r="D1066" s="348"/>
      <c r="E1066" s="348"/>
      <c r="F1066" s="348"/>
      <c r="G1066" s="348"/>
      <c r="H1066" s="348"/>
      <c r="I1066" s="348"/>
      <c r="J1066" s="348"/>
      <c r="K1066" s="348"/>
      <c r="L1066" s="348"/>
      <c r="M1066" s="348"/>
      <c r="N1066" s="348"/>
      <c r="O1066" s="348"/>
      <c r="P1066" s="348"/>
      <c r="Q1066" s="348"/>
      <c r="R1066" s="348"/>
      <c r="S1066" s="348"/>
      <c r="T1066" s="348"/>
      <c r="U1066" s="348"/>
      <c r="V1066" s="348"/>
      <c r="W1066" s="348"/>
      <c r="X1066" s="348"/>
      <c r="Y1066" s="349"/>
      <c r="Z1066" s="149"/>
      <c r="AA1066" s="149"/>
      <c r="AB1066" s="149"/>
      <c r="AC1066" s="149"/>
      <c r="AD1066" s="149"/>
      <c r="AE1066" s="149"/>
      <c r="AF1066" s="149"/>
    </row>
    <row r="1067" spans="2:32" s="148" customFormat="1" hidden="1">
      <c r="B1067" s="155"/>
      <c r="C1067" s="155"/>
      <c r="D1067" s="155"/>
      <c r="E1067" s="155"/>
      <c r="F1067" s="155"/>
      <c r="G1067" s="155"/>
      <c r="H1067" s="155"/>
      <c r="I1067" s="155"/>
      <c r="J1067" s="155"/>
      <c r="K1067" s="155"/>
      <c r="L1067" s="155"/>
      <c r="M1067" s="155"/>
      <c r="N1067" s="155"/>
      <c r="O1067" s="155"/>
      <c r="P1067" s="155"/>
      <c r="Q1067" s="155"/>
      <c r="R1067" s="155"/>
      <c r="S1067" s="155"/>
      <c r="T1067" s="155"/>
      <c r="U1067" s="155"/>
      <c r="V1067" s="155"/>
      <c r="W1067" s="155"/>
      <c r="X1067" s="155"/>
      <c r="Y1067" s="155"/>
      <c r="Z1067" s="149"/>
      <c r="AA1067" s="149"/>
      <c r="AB1067" s="149"/>
      <c r="AC1067" s="149"/>
      <c r="AD1067" s="149"/>
      <c r="AE1067" s="149"/>
      <c r="AF1067" s="149"/>
    </row>
    <row r="1068" spans="2:32" s="148" customFormat="1" hidden="1">
      <c r="B1068" s="338" t="str">
        <f>Settings!$N$16</f>
        <v>Actions agreed during this review</v>
      </c>
      <c r="C1068" s="339"/>
      <c r="D1068" s="339"/>
      <c r="E1068" s="339"/>
      <c r="F1068" s="339"/>
      <c r="G1068" s="339"/>
      <c r="H1068" s="339"/>
      <c r="I1068" s="339"/>
      <c r="J1068" s="339"/>
      <c r="K1068" s="339"/>
      <c r="L1068" s="339"/>
      <c r="M1068" s="339"/>
      <c r="N1068" s="339"/>
      <c r="O1068" s="339"/>
      <c r="P1068" s="339"/>
      <c r="Q1068" s="339"/>
      <c r="R1068" s="339"/>
      <c r="S1068" s="339"/>
      <c r="T1068" s="339"/>
      <c r="U1068" s="339"/>
      <c r="V1068" s="339"/>
      <c r="W1068" s="339"/>
      <c r="X1068" s="339"/>
      <c r="Y1068" s="340"/>
      <c r="Z1068" s="149"/>
      <c r="AA1068" s="149"/>
      <c r="AB1068" s="149"/>
      <c r="AC1068" s="149"/>
      <c r="AD1068" s="149"/>
      <c r="AE1068" s="149"/>
      <c r="AF1068" s="149"/>
    </row>
    <row r="1069" spans="2:32" s="148" customFormat="1" hidden="1">
      <c r="B1069" s="341" t="e">
        <f>IF(INDEX(TblDatabase[Feedback To Improve],MATCH(1,INDEX(($L$4=ListEmployeeNamesInDatabase)*(C1032=TblDatabase[Year]),0,1),0))="","",INDEX(TblDatabase[Feedback To Improve],MATCH(1,INDEX(($L$4=ListEmployeeNamesInDatabase)*(C1032=TblDatabase[Year]),0,1),0)))</f>
        <v>#N/A</v>
      </c>
      <c r="C1069" s="342"/>
      <c r="D1069" s="342"/>
      <c r="E1069" s="342"/>
      <c r="F1069" s="342"/>
      <c r="G1069" s="342"/>
      <c r="H1069" s="342"/>
      <c r="I1069" s="342"/>
      <c r="J1069" s="342"/>
      <c r="K1069" s="342"/>
      <c r="L1069" s="342"/>
      <c r="M1069" s="342"/>
      <c r="N1069" s="342"/>
      <c r="O1069" s="342"/>
      <c r="P1069" s="342"/>
      <c r="Q1069" s="342"/>
      <c r="R1069" s="342"/>
      <c r="S1069" s="342"/>
      <c r="T1069" s="342"/>
      <c r="U1069" s="342"/>
      <c r="V1069" s="342"/>
      <c r="W1069" s="342"/>
      <c r="X1069" s="342"/>
      <c r="Y1069" s="343"/>
      <c r="Z1069" s="149"/>
      <c r="AA1069" s="149"/>
      <c r="AB1069" s="149"/>
      <c r="AC1069" s="149"/>
      <c r="AD1069" s="149"/>
      <c r="AE1069" s="149"/>
      <c r="AF1069" s="149"/>
    </row>
    <row r="1070" spans="2:32" s="148" customFormat="1" hidden="1">
      <c r="B1070" s="344"/>
      <c r="C1070" s="345"/>
      <c r="D1070" s="345"/>
      <c r="E1070" s="345"/>
      <c r="F1070" s="345"/>
      <c r="G1070" s="345"/>
      <c r="H1070" s="345"/>
      <c r="I1070" s="345"/>
      <c r="J1070" s="345"/>
      <c r="K1070" s="345"/>
      <c r="L1070" s="345"/>
      <c r="M1070" s="345"/>
      <c r="N1070" s="345"/>
      <c r="O1070" s="345"/>
      <c r="P1070" s="345"/>
      <c r="Q1070" s="345"/>
      <c r="R1070" s="345"/>
      <c r="S1070" s="345"/>
      <c r="T1070" s="345"/>
      <c r="U1070" s="345"/>
      <c r="V1070" s="345"/>
      <c r="W1070" s="345"/>
      <c r="X1070" s="345"/>
      <c r="Y1070" s="346"/>
      <c r="Z1070" s="149"/>
      <c r="AA1070" s="149"/>
      <c r="AB1070" s="149"/>
      <c r="AC1070" s="149"/>
      <c r="AD1070" s="149"/>
      <c r="AE1070" s="149"/>
      <c r="AF1070" s="149"/>
    </row>
    <row r="1071" spans="2:32" s="148" customFormat="1" hidden="1">
      <c r="B1071" s="347"/>
      <c r="C1071" s="348"/>
      <c r="D1071" s="348"/>
      <c r="E1071" s="348"/>
      <c r="F1071" s="348"/>
      <c r="G1071" s="348"/>
      <c r="H1071" s="348"/>
      <c r="I1071" s="348"/>
      <c r="J1071" s="348"/>
      <c r="K1071" s="348"/>
      <c r="L1071" s="348"/>
      <c r="M1071" s="348"/>
      <c r="N1071" s="348"/>
      <c r="O1071" s="348"/>
      <c r="P1071" s="348"/>
      <c r="Q1071" s="348"/>
      <c r="R1071" s="348"/>
      <c r="S1071" s="348"/>
      <c r="T1071" s="348"/>
      <c r="U1071" s="348"/>
      <c r="V1071" s="348"/>
      <c r="W1071" s="348"/>
      <c r="X1071" s="348"/>
      <c r="Y1071" s="349"/>
      <c r="Z1071" s="149"/>
      <c r="AA1071" s="149"/>
      <c r="AB1071" s="149"/>
      <c r="AC1071" s="149"/>
      <c r="AD1071" s="149"/>
      <c r="AE1071" s="149"/>
      <c r="AF1071" s="149"/>
    </row>
    <row r="1072" spans="2:32" s="148" customFormat="1" hidden="1">
      <c r="B1072" s="156"/>
      <c r="C1072" s="156"/>
      <c r="D1072" s="156"/>
      <c r="E1072" s="155"/>
      <c r="F1072" s="155"/>
      <c r="G1072" s="155"/>
      <c r="H1072" s="155"/>
      <c r="I1072" s="155"/>
      <c r="J1072" s="155"/>
      <c r="K1072" s="155"/>
      <c r="L1072" s="155"/>
      <c r="M1072" s="155"/>
      <c r="N1072" s="155"/>
      <c r="O1072" s="155"/>
      <c r="P1072" s="155"/>
      <c r="Q1072" s="155"/>
      <c r="R1072" s="155"/>
      <c r="S1072" s="155"/>
      <c r="T1072" s="155"/>
      <c r="U1072" s="155"/>
      <c r="V1072" s="155"/>
      <c r="W1072" s="155"/>
      <c r="X1072" s="155"/>
      <c r="Y1072" s="155"/>
      <c r="Z1072" s="149"/>
      <c r="AA1072" s="149"/>
      <c r="AB1072" s="149"/>
      <c r="AC1072" s="149"/>
      <c r="AD1072" s="149"/>
      <c r="AE1072" s="149"/>
      <c r="AF1072" s="149"/>
    </row>
    <row r="1073" spans="1:32" s="148" customFormat="1" hidden="1">
      <c r="A1073" s="150">
        <f>A1032+1</f>
        <v>26</v>
      </c>
      <c r="B1073" s="27" t="s">
        <v>14</v>
      </c>
      <c r="C1073" s="333">
        <f>C1032-1</f>
        <v>1995</v>
      </c>
      <c r="D1073" s="334"/>
      <c r="Y1073" s="149"/>
      <c r="Z1073" s="149"/>
      <c r="AA1073" s="149"/>
      <c r="AB1073" s="149"/>
      <c r="AC1073" s="149"/>
      <c r="AD1073" s="149"/>
      <c r="AE1073" s="149"/>
      <c r="AF1073" s="149"/>
    </row>
    <row r="1074" spans="1:32" s="148" customFormat="1" hidden="1">
      <c r="Y1074" s="149"/>
      <c r="Z1074" s="149"/>
      <c r="AA1074" s="149"/>
      <c r="AB1074" s="149"/>
      <c r="AC1074" s="149"/>
      <c r="AD1074" s="149"/>
      <c r="AE1074" s="149"/>
      <c r="AF1074" s="149"/>
    </row>
    <row r="1075" spans="1:32" s="148" customFormat="1" hidden="1">
      <c r="B1075" s="338" t="str">
        <f>Settings!$N$14</f>
        <v>Employee's comments</v>
      </c>
      <c r="C1075" s="339"/>
      <c r="D1075" s="339"/>
      <c r="E1075" s="339"/>
      <c r="F1075" s="339"/>
      <c r="G1075" s="339"/>
      <c r="H1075" s="339"/>
      <c r="I1075" s="339"/>
      <c r="J1075" s="339"/>
      <c r="K1075" s="339"/>
      <c r="L1075" s="339"/>
      <c r="M1075" s="339"/>
      <c r="N1075" s="339"/>
      <c r="O1075" s="339"/>
      <c r="P1075" s="339"/>
      <c r="Q1075" s="339"/>
      <c r="R1075" s="339"/>
      <c r="S1075" s="339"/>
      <c r="T1075" s="339"/>
      <c r="U1075" s="339"/>
      <c r="V1075" s="339"/>
      <c r="W1075" s="339"/>
      <c r="X1075" s="339"/>
      <c r="Y1075" s="340"/>
      <c r="Z1075" s="149"/>
      <c r="AA1075" s="149"/>
      <c r="AB1075" s="149"/>
      <c r="AC1075" s="149"/>
      <c r="AD1075" s="149"/>
      <c r="AE1075" s="149"/>
      <c r="AF1075" s="149"/>
    </row>
    <row r="1076" spans="1:32" s="148" customFormat="1" hidden="1">
      <c r="B1076" s="341" t="e">
        <f>IF(INDEX(TblDatabase[Feedback Warnings],MATCH(1,INDEX(($L$4=ListEmployeeNamesInDatabase)*(C1073=TblDatabase[Year]),0,1),0))="","",INDEX(TblDatabase[Feedback Warnings],MATCH(1,INDEX(($L$4=ListEmployeeNamesInDatabase)*(C1073=TblDatabase[Year]),0,1),0)))</f>
        <v>#N/A</v>
      </c>
      <c r="C1076" s="342"/>
      <c r="D1076" s="342"/>
      <c r="E1076" s="342"/>
      <c r="F1076" s="342"/>
      <c r="G1076" s="342"/>
      <c r="H1076" s="342"/>
      <c r="I1076" s="342"/>
      <c r="J1076" s="342"/>
      <c r="K1076" s="342"/>
      <c r="L1076" s="342"/>
      <c r="M1076" s="342"/>
      <c r="N1076" s="342"/>
      <c r="O1076" s="342"/>
      <c r="P1076" s="342"/>
      <c r="Q1076" s="342"/>
      <c r="R1076" s="342"/>
      <c r="S1076" s="342"/>
      <c r="T1076" s="342"/>
      <c r="U1076" s="342"/>
      <c r="V1076" s="342"/>
      <c r="W1076" s="342"/>
      <c r="X1076" s="342"/>
      <c r="Y1076" s="343"/>
      <c r="Z1076" s="149"/>
      <c r="AA1076" s="149"/>
      <c r="AB1076" s="149"/>
      <c r="AC1076" s="149"/>
      <c r="AD1076" s="149"/>
      <c r="AE1076" s="149"/>
      <c r="AF1076" s="149"/>
    </row>
    <row r="1077" spans="1:32" s="148" customFormat="1" hidden="1">
      <c r="B1077" s="344"/>
      <c r="C1077" s="345"/>
      <c r="D1077" s="345"/>
      <c r="E1077" s="345"/>
      <c r="F1077" s="345"/>
      <c r="G1077" s="345"/>
      <c r="H1077" s="345"/>
      <c r="I1077" s="345"/>
      <c r="J1077" s="345"/>
      <c r="K1077" s="345"/>
      <c r="L1077" s="345"/>
      <c r="M1077" s="345"/>
      <c r="N1077" s="345"/>
      <c r="O1077" s="345"/>
      <c r="P1077" s="345"/>
      <c r="Q1077" s="345"/>
      <c r="R1077" s="345"/>
      <c r="S1077" s="345"/>
      <c r="T1077" s="345"/>
      <c r="U1077" s="345"/>
      <c r="V1077" s="345"/>
      <c r="W1077" s="345"/>
      <c r="X1077" s="345"/>
      <c r="Y1077" s="346"/>
      <c r="Z1077" s="149"/>
      <c r="AA1077" s="149"/>
      <c r="AB1077" s="149"/>
      <c r="AC1077" s="149"/>
      <c r="AD1077" s="149"/>
      <c r="AE1077" s="149"/>
      <c r="AF1077" s="149"/>
    </row>
    <row r="1078" spans="1:32" s="148" customFormat="1" hidden="1">
      <c r="B1078" s="347"/>
      <c r="C1078" s="348"/>
      <c r="D1078" s="348"/>
      <c r="E1078" s="348"/>
      <c r="F1078" s="348"/>
      <c r="G1078" s="348"/>
      <c r="H1078" s="348"/>
      <c r="I1078" s="348"/>
      <c r="J1078" s="348"/>
      <c r="K1078" s="348"/>
      <c r="L1078" s="348"/>
      <c r="M1078" s="348"/>
      <c r="N1078" s="348"/>
      <c r="O1078" s="348"/>
      <c r="P1078" s="348"/>
      <c r="Q1078" s="348"/>
      <c r="R1078" s="348"/>
      <c r="S1078" s="348"/>
      <c r="T1078" s="348"/>
      <c r="U1078" s="348"/>
      <c r="V1078" s="348"/>
      <c r="W1078" s="348"/>
      <c r="X1078" s="348"/>
      <c r="Y1078" s="349"/>
      <c r="Z1078" s="149"/>
      <c r="AA1078" s="149"/>
      <c r="AB1078" s="149"/>
      <c r="AC1078" s="149"/>
      <c r="AD1078" s="149"/>
      <c r="AE1078" s="149"/>
      <c r="AF1078" s="149"/>
    </row>
    <row r="1079" spans="1:32" s="148" customFormat="1" hidden="1">
      <c r="Y1079" s="149"/>
      <c r="Z1079" s="149"/>
      <c r="AA1079" s="149"/>
      <c r="AB1079" s="149"/>
      <c r="AC1079" s="149"/>
      <c r="AD1079" s="149"/>
      <c r="AE1079" s="149"/>
      <c r="AF1079" s="149"/>
    </row>
    <row r="1080" spans="1:32" s="148" customFormat="1" ht="15" hidden="1" customHeight="1">
      <c r="B1080" s="320" t="s">
        <v>8</v>
      </c>
      <c r="C1080" s="321"/>
      <c r="D1080" s="321"/>
      <c r="E1080" s="321"/>
      <c r="F1080" s="233">
        <f>IF(Settings!$M$4=Settings!$Y$3,Settings!$O$19,1)</f>
        <v>1</v>
      </c>
      <c r="G1080" s="234">
        <f>IF(Settings!$M$4=Settings!$Y$3,Settings!$O$19,2)</f>
        <v>2</v>
      </c>
      <c r="H1080" s="234">
        <f>IF(Settings!$M$4=Settings!$Y$3,Settings!$O$19,3)</f>
        <v>3</v>
      </c>
      <c r="I1080" s="234">
        <f>IF(Settings!$M$4=Settings!$Y$3,Settings!$O$19,4)</f>
        <v>4</v>
      </c>
      <c r="J1080" s="234">
        <f>IF(Settings!$M$4=Settings!$Y$3,Settings!$O$20,5)</f>
        <v>5</v>
      </c>
      <c r="K1080" s="234">
        <f>IF(Settings!$M$4=Settings!$Y$3,Settings!$O$20,6)</f>
        <v>6</v>
      </c>
      <c r="L1080" s="234">
        <f>IF(Settings!$M$4=Settings!$Y$3,Settings!$O$20,7)</f>
        <v>7</v>
      </c>
      <c r="M1080" s="234">
        <f>IF(Settings!$M$4=Settings!$Y$3,Settings!$O$20,8)</f>
        <v>8</v>
      </c>
      <c r="N1080" s="234">
        <f>IF(Settings!$M$4=Settings!$Y$3,Settings!$O$21,9)</f>
        <v>9</v>
      </c>
      <c r="O1080" s="235">
        <f>IF(Settings!$M$4=Settings!$Y$3,Settings!$O$21,10)</f>
        <v>10</v>
      </c>
      <c r="P1080" s="22"/>
      <c r="Q1080" s="22"/>
      <c r="R1080" s="333" t="s">
        <v>24</v>
      </c>
      <c r="S1080" s="333"/>
      <c r="T1080" s="333"/>
      <c r="U1080" s="333"/>
      <c r="V1080" s="333"/>
      <c r="W1080" s="333"/>
      <c r="X1080" s="333"/>
      <c r="Y1080" s="334"/>
      <c r="Z1080" s="149"/>
      <c r="AA1080" s="149"/>
      <c r="AB1080" s="149"/>
      <c r="AC1080" s="149"/>
      <c r="AD1080" s="149"/>
      <c r="AE1080" s="149"/>
      <c r="AF1080" s="149"/>
    </row>
    <row r="1081" spans="1:32" s="148" customFormat="1" ht="15" hidden="1" customHeight="1">
      <c r="B1081" s="335" t="str">
        <f t="shared" ref="B1081:B1100" si="25">B1040</f>
        <v>Quality of Work</v>
      </c>
      <c r="C1081" s="336"/>
      <c r="D1081" s="336"/>
      <c r="E1081" s="337"/>
      <c r="F1081" s="162" t="str">
        <f>IF(Settings!$M$4=Settings!$Y$3,IF($AA1081=1,"P",""),IF($AA1081=1,"P",""))</f>
        <v/>
      </c>
      <c r="G1081" s="160" t="str">
        <f>IF(Settings!$M$4=Settings!$Y$3,IF($AA1081=1,"P",""),IF($AA1081=2,"P",""))</f>
        <v/>
      </c>
      <c r="H1081" s="160" t="str">
        <f>IF(Settings!$M$4=Settings!$Y$3,IF($AA1081=1,"P",""),IF($AA1081=3,"P",""))</f>
        <v/>
      </c>
      <c r="I1081" s="160" t="str">
        <f>IF(Settings!$M$4=Settings!$Y$3,IF($AA1081=1,"P",""),IF($AA1081=4,"P",""))</f>
        <v/>
      </c>
      <c r="J1081" s="160" t="str">
        <f>IF(Settings!$M$4=Settings!$Y$3,IF($AA1081=2,"P",""),IF($AA1081=5,"P",""))</f>
        <v/>
      </c>
      <c r="K1081" s="160" t="str">
        <f>IF(Settings!$M$4=Settings!$Y$3,IF($AA1081=2,"P",""),IF($AA1081=6,"P",""))</f>
        <v/>
      </c>
      <c r="L1081" s="160" t="str">
        <f>IF(Settings!$M$4=Settings!$Y$3,IF($AA1081=2,"P",""),IF($AA1081=7,"P",""))</f>
        <v/>
      </c>
      <c r="M1081" s="160" t="str">
        <f>IF(Settings!$M$4=Settings!$Y$3,IF($AA1081=2,"P",""),IF($AA1081=8,"P",""))</f>
        <v/>
      </c>
      <c r="N1081" s="160" t="str">
        <f>IF(Settings!$M$4=Settings!$Y$3,IF($AA1081=3,"P",""),IF($AA1081=9,"P",""))</f>
        <v/>
      </c>
      <c r="O1081" s="161" t="str">
        <f>IF(Settings!$M$4=Settings!$Y$3,IF($AA1081=3,"P",""),IF($AA1081=10,"P",""))</f>
        <v/>
      </c>
      <c r="P1081" s="22"/>
      <c r="Q1081" s="22"/>
      <c r="R1081" s="367" t="e">
        <f>IF(INDEX(TblDatabase[Comment1],MATCH(1,INDEX(($L$4=ListEmployeeNamesInDatabase)*(C1073=TblDatabase[Year]),0,1),0))="","",INDEX(TblDatabase[Comment1],MATCH(1,INDEX(($L$4=ListEmployeeNamesInDatabase)*(C1073=TblDatabase[Year]),0,1),0)))</f>
        <v>#N/A</v>
      </c>
      <c r="S1081" s="367"/>
      <c r="T1081" s="367"/>
      <c r="U1081" s="367"/>
      <c r="V1081" s="367"/>
      <c r="W1081" s="367"/>
      <c r="X1081" s="367"/>
      <c r="Y1081" s="368"/>
      <c r="Z1081" s="149"/>
      <c r="AA1081" s="151">
        <f>SUMIFS(TblDatabase[Competency1],ListEmployeeNamesInDatabase,$L$4,TblDatabase[Year],C1073)</f>
        <v>0</v>
      </c>
      <c r="AB1081" s="149"/>
      <c r="AC1081" s="149"/>
      <c r="AD1081" s="149"/>
      <c r="AE1081" s="149"/>
      <c r="AF1081" s="149"/>
    </row>
    <row r="1082" spans="1:32" s="148" customFormat="1" ht="15" hidden="1" customHeight="1">
      <c r="B1082" s="355" t="str">
        <f t="shared" si="25"/>
        <v>CaLL flow</v>
      </c>
      <c r="C1082" s="356"/>
      <c r="D1082" s="356"/>
      <c r="E1082" s="357"/>
      <c r="F1082" s="163" t="str">
        <f>IF(Settings!$M$4=Settings!$Y$3,IF($AA1082=1,"P",""),IF($AA1082=1,"P",""))</f>
        <v/>
      </c>
      <c r="G1082" s="164" t="str">
        <f>IF(Settings!$M$4=Settings!$Y$3,IF($AA1082=1,"P",""),IF($AA1082=2,"P",""))</f>
        <v/>
      </c>
      <c r="H1082" s="164" t="str">
        <f>IF(Settings!$M$4=Settings!$Y$3,IF($AA1082=1,"P",""),IF($AA1082=3,"P",""))</f>
        <v/>
      </c>
      <c r="I1082" s="164" t="str">
        <f>IF(Settings!$M$4=Settings!$Y$3,IF($AA1082=1,"P",""),IF($AA1082=4,"P",""))</f>
        <v/>
      </c>
      <c r="J1082" s="164" t="str">
        <f>IF(Settings!$M$4=Settings!$Y$3,IF($AA1082=2,"P",""),IF($AA1082=5,"P",""))</f>
        <v/>
      </c>
      <c r="K1082" s="164" t="str">
        <f>IF(Settings!$M$4=Settings!$Y$3,IF($AA1082=2,"P",""),IF($AA1082=6,"P",""))</f>
        <v/>
      </c>
      <c r="L1082" s="164" t="str">
        <f>IF(Settings!$M$4=Settings!$Y$3,IF($AA1082=2,"P",""),IF($AA1082=7,"P",""))</f>
        <v/>
      </c>
      <c r="M1082" s="164" t="str">
        <f>IF(Settings!$M$4=Settings!$Y$3,IF($AA1082=2,"P",""),IF($AA1082=8,"P",""))</f>
        <v/>
      </c>
      <c r="N1082" s="164" t="str">
        <f>IF(Settings!$M$4=Settings!$Y$3,IF($AA1082=3,"P",""),IF($AA1082=9,"P",""))</f>
        <v/>
      </c>
      <c r="O1082" s="165" t="str">
        <f>IF(Settings!$M$4=Settings!$Y$3,IF($AA1082=3,"P",""),IF($AA1082=10,"P",""))</f>
        <v/>
      </c>
      <c r="P1082" s="22"/>
      <c r="Q1082" s="22"/>
      <c r="R1082" s="360" t="e">
        <f>IF(INDEX(TblDatabase[Comment2],MATCH(1,INDEX(($L$4=ListEmployeeNamesInDatabase)*(C1073=TblDatabase[Year]),0,1),0))="","",INDEX(TblDatabase[Comment2],MATCH(1,INDEX(($L$4=ListEmployeeNamesInDatabase)*(C1073=TblDatabase[Year]),0,1),0)))</f>
        <v>#N/A</v>
      </c>
      <c r="S1082" s="360"/>
      <c r="T1082" s="360"/>
      <c r="U1082" s="360"/>
      <c r="V1082" s="360"/>
      <c r="W1082" s="360"/>
      <c r="X1082" s="360"/>
      <c r="Y1082" s="361"/>
      <c r="Z1082" s="149"/>
      <c r="AA1082" s="151">
        <f>SUMIFS(TblDatabase[Competency2],ListEmployeeNamesInDatabase,$L$4,TblDatabase[Year],C1073)</f>
        <v>0</v>
      </c>
      <c r="AB1082" s="149"/>
      <c r="AC1082" s="149"/>
      <c r="AD1082" s="149"/>
      <c r="AE1082" s="149"/>
      <c r="AF1082" s="149"/>
    </row>
    <row r="1083" spans="1:32" s="148" customFormat="1" ht="15" hidden="1" customHeight="1">
      <c r="B1083" s="350" t="str">
        <f t="shared" si="25"/>
        <v>Job Knowledge</v>
      </c>
      <c r="C1083" s="351"/>
      <c r="D1083" s="351"/>
      <c r="E1083" s="352"/>
      <c r="F1083" s="157" t="str">
        <f>IF(Settings!$M$4=Settings!$Y$3,IF($AA1083=1,"P",""),IF($AA1083=1,"P",""))</f>
        <v/>
      </c>
      <c r="G1083" s="158" t="str">
        <f>IF(Settings!$M$4=Settings!$Y$3,IF($AA1083=1,"P",""),IF($AA1083=2,"P",""))</f>
        <v/>
      </c>
      <c r="H1083" s="158" t="str">
        <f>IF(Settings!$M$4=Settings!$Y$3,IF($AA1083=1,"P",""),IF($AA1083=3,"P",""))</f>
        <v/>
      </c>
      <c r="I1083" s="158" t="str">
        <f>IF(Settings!$M$4=Settings!$Y$3,IF($AA1083=1,"P",""),IF($AA1083=4,"P",""))</f>
        <v/>
      </c>
      <c r="J1083" s="158" t="str">
        <f>IF(Settings!$M$4=Settings!$Y$3,IF($AA1083=2,"P",""),IF($AA1083=5,"P",""))</f>
        <v/>
      </c>
      <c r="K1083" s="158" t="str">
        <f>IF(Settings!$M$4=Settings!$Y$3,IF($AA1083=2,"P",""),IF($AA1083=6,"P",""))</f>
        <v/>
      </c>
      <c r="L1083" s="158" t="str">
        <f>IF(Settings!$M$4=Settings!$Y$3,IF($AA1083=2,"P",""),IF($AA1083=7,"P",""))</f>
        <v/>
      </c>
      <c r="M1083" s="158" t="str">
        <f>IF(Settings!$M$4=Settings!$Y$3,IF($AA1083=2,"P",""),IF($AA1083=8,"P",""))</f>
        <v/>
      </c>
      <c r="N1083" s="158" t="str">
        <f>IF(Settings!$M$4=Settings!$Y$3,IF($AA1083=3,"P",""),IF($AA1083=9,"P",""))</f>
        <v/>
      </c>
      <c r="O1083" s="159" t="str">
        <f>IF(Settings!$M$4=Settings!$Y$3,IF($AA1083=3,"P",""),IF($AA1083=10,"P",""))</f>
        <v/>
      </c>
      <c r="P1083" s="22"/>
      <c r="Q1083" s="22"/>
      <c r="R1083" s="353" t="e">
        <f>IF(INDEX(TblDatabase[Comment3],MATCH(1,INDEX(($L$4=ListEmployeeNamesInDatabase)*(C1073=TblDatabase[Year]),0,1),0))="","",INDEX(TblDatabase[Comment3],MATCH(1,INDEX(($L$4=ListEmployeeNamesInDatabase)*(C1073=TblDatabase[Year]),0,1),0)))</f>
        <v>#N/A</v>
      </c>
      <c r="S1083" s="353"/>
      <c r="T1083" s="353"/>
      <c r="U1083" s="353"/>
      <c r="V1083" s="353"/>
      <c r="W1083" s="353"/>
      <c r="X1083" s="353"/>
      <c r="Y1083" s="354"/>
      <c r="Z1083" s="149"/>
      <c r="AA1083" s="151">
        <f>SUMIFS(TblDatabase[Competency3],ListEmployeeNamesInDatabase,$L$4,TblDatabase[Year],C1073)</f>
        <v>0</v>
      </c>
      <c r="AB1083" s="149"/>
      <c r="AC1083" s="149"/>
      <c r="AD1083" s="149"/>
      <c r="AE1083" s="149"/>
      <c r="AF1083" s="149"/>
    </row>
    <row r="1084" spans="1:32" s="148" customFormat="1" ht="15" hidden="1" customHeight="1">
      <c r="B1084" s="355" t="str">
        <f t="shared" si="25"/>
        <v>Client Service</v>
      </c>
      <c r="C1084" s="356"/>
      <c r="D1084" s="356"/>
      <c r="E1084" s="357"/>
      <c r="F1084" s="163" t="str">
        <f>IF(Settings!$M$4=Settings!$Y$3,IF($AA1084=1,"P",""),IF($AA1084=1,"P",""))</f>
        <v/>
      </c>
      <c r="G1084" s="164" t="str">
        <f>IF(Settings!$M$4=Settings!$Y$3,IF($AA1084=1,"P",""),IF($AA1084=2,"P",""))</f>
        <v/>
      </c>
      <c r="H1084" s="164" t="str">
        <f>IF(Settings!$M$4=Settings!$Y$3,IF($AA1084=1,"P",""),IF($AA1084=3,"P",""))</f>
        <v/>
      </c>
      <c r="I1084" s="164" t="str">
        <f>IF(Settings!$M$4=Settings!$Y$3,IF($AA1084=1,"P",""),IF($AA1084=4,"P",""))</f>
        <v/>
      </c>
      <c r="J1084" s="164" t="str">
        <f>IF(Settings!$M$4=Settings!$Y$3,IF($AA1084=2,"P",""),IF($AA1084=5,"P",""))</f>
        <v/>
      </c>
      <c r="K1084" s="164" t="str">
        <f>IF(Settings!$M$4=Settings!$Y$3,IF($AA1084=2,"P",""),IF($AA1084=6,"P",""))</f>
        <v/>
      </c>
      <c r="L1084" s="164" t="str">
        <f>IF(Settings!$M$4=Settings!$Y$3,IF($AA1084=2,"P",""),IF($AA1084=7,"P",""))</f>
        <v/>
      </c>
      <c r="M1084" s="164" t="str">
        <f>IF(Settings!$M$4=Settings!$Y$3,IF($AA1084=2,"P",""),IF($AA1084=8,"P",""))</f>
        <v/>
      </c>
      <c r="N1084" s="164" t="str">
        <f>IF(Settings!$M$4=Settings!$Y$3,IF($AA1084=3,"P",""),IF($AA1084=9,"P",""))</f>
        <v/>
      </c>
      <c r="O1084" s="165" t="str">
        <f>IF(Settings!$M$4=Settings!$Y$3,IF($AA1084=3,"P",""),IF($AA1084=10,"P",""))</f>
        <v/>
      </c>
      <c r="P1084" s="22"/>
      <c r="Q1084" s="22"/>
      <c r="R1084" s="360" t="e">
        <f>IF(INDEX(TblDatabase[Comment4],MATCH(1,INDEX(($L$4=ListEmployeeNamesInDatabase)*(C1073=TblDatabase[Year]),0,1),0))="","",INDEX(TblDatabase[Comment4],MATCH(1,INDEX(($L$4=ListEmployeeNamesInDatabase)*(C1073=TblDatabase[Year]),0,1),0)))</f>
        <v>#N/A</v>
      </c>
      <c r="S1084" s="360"/>
      <c r="T1084" s="360"/>
      <c r="U1084" s="360"/>
      <c r="V1084" s="360"/>
      <c r="W1084" s="360"/>
      <c r="X1084" s="360"/>
      <c r="Y1084" s="361"/>
      <c r="Z1084" s="149"/>
      <c r="AA1084" s="151">
        <f>SUMIFS(TblDatabase[Competency4],ListEmployeeNamesInDatabase,$L$4,TblDatabase[Year],C1073)</f>
        <v>0</v>
      </c>
      <c r="AB1084" s="149"/>
      <c r="AC1084" s="149"/>
      <c r="AD1084" s="149"/>
      <c r="AE1084" s="149"/>
      <c r="AF1084" s="149"/>
    </row>
    <row r="1085" spans="1:32" s="148" customFormat="1" ht="15" hidden="1" customHeight="1">
      <c r="B1085" s="350" t="str">
        <f t="shared" si="25"/>
        <v>Teamwork</v>
      </c>
      <c r="C1085" s="351"/>
      <c r="D1085" s="351"/>
      <c r="E1085" s="352"/>
      <c r="F1085" s="157" t="str">
        <f>IF(Settings!$M$4=Settings!$Y$3,IF($AA1085=1,"P",""),IF($AA1085=1,"P",""))</f>
        <v/>
      </c>
      <c r="G1085" s="158" t="str">
        <f>IF(Settings!$M$4=Settings!$Y$3,IF($AA1085=1,"P",""),IF($AA1085=2,"P",""))</f>
        <v/>
      </c>
      <c r="H1085" s="158" t="str">
        <f>IF(Settings!$M$4=Settings!$Y$3,IF($AA1085=1,"P",""),IF($AA1085=3,"P",""))</f>
        <v/>
      </c>
      <c r="I1085" s="158" t="str">
        <f>IF(Settings!$M$4=Settings!$Y$3,IF($AA1085=1,"P",""),IF($AA1085=4,"P",""))</f>
        <v/>
      </c>
      <c r="J1085" s="158" t="str">
        <f>IF(Settings!$M$4=Settings!$Y$3,IF($AA1085=2,"P",""),IF($AA1085=5,"P",""))</f>
        <v/>
      </c>
      <c r="K1085" s="158" t="str">
        <f>IF(Settings!$M$4=Settings!$Y$3,IF($AA1085=2,"P",""),IF($AA1085=6,"P",""))</f>
        <v/>
      </c>
      <c r="L1085" s="158" t="str">
        <f>IF(Settings!$M$4=Settings!$Y$3,IF($AA1085=2,"P",""),IF($AA1085=7,"P",""))</f>
        <v/>
      </c>
      <c r="M1085" s="158" t="str">
        <f>IF(Settings!$M$4=Settings!$Y$3,IF($AA1085=2,"P",""),IF($AA1085=8,"P",""))</f>
        <v/>
      </c>
      <c r="N1085" s="158" t="str">
        <f>IF(Settings!$M$4=Settings!$Y$3,IF($AA1085=3,"P",""),IF($AA1085=9,"P",""))</f>
        <v/>
      </c>
      <c r="O1085" s="159" t="str">
        <f>IF(Settings!$M$4=Settings!$Y$3,IF($AA1085=3,"P",""),IF($AA1085=10,"P",""))</f>
        <v/>
      </c>
      <c r="P1085" s="22"/>
      <c r="Q1085" s="22"/>
      <c r="R1085" s="353" t="e">
        <f>IF(INDEX(TblDatabase[Comment5],MATCH(1,INDEX(($L$4=ListEmployeeNamesInDatabase)*(C1073=TblDatabase[Year]),0,1),0))="","",INDEX(TblDatabase[Comment5],MATCH(1,INDEX(($L$4=ListEmployeeNamesInDatabase)*(C1073=TblDatabase[Year]),0,1),0)))</f>
        <v>#N/A</v>
      </c>
      <c r="S1085" s="353"/>
      <c r="T1085" s="353"/>
      <c r="U1085" s="353"/>
      <c r="V1085" s="353"/>
      <c r="W1085" s="353"/>
      <c r="X1085" s="353"/>
      <c r="Y1085" s="354"/>
      <c r="Z1085" s="149"/>
      <c r="AA1085" s="151">
        <f>SUMIFS(TblDatabase[Competency5],ListEmployeeNamesInDatabase,$L$4,TblDatabase[Year],C1073)</f>
        <v>0</v>
      </c>
      <c r="AB1085" s="149"/>
      <c r="AC1085" s="149"/>
      <c r="AD1085" s="149"/>
      <c r="AE1085" s="149"/>
      <c r="AF1085" s="149"/>
    </row>
    <row r="1086" spans="1:32" s="148" customFormat="1" ht="15" hidden="1" customHeight="1">
      <c r="B1086" s="355" t="str">
        <f t="shared" si="25"/>
        <v>Safety</v>
      </c>
      <c r="C1086" s="356"/>
      <c r="D1086" s="356"/>
      <c r="E1086" s="357"/>
      <c r="F1086" s="163" t="str">
        <f>IF(Settings!$M$4=Settings!$Y$3,IF($AA1086=1,"P",""),IF($AA1086=1,"P",""))</f>
        <v/>
      </c>
      <c r="G1086" s="164" t="str">
        <f>IF(Settings!$M$4=Settings!$Y$3,IF($AA1086=1,"P",""),IF($AA1086=2,"P",""))</f>
        <v/>
      </c>
      <c r="H1086" s="164" t="str">
        <f>IF(Settings!$M$4=Settings!$Y$3,IF($AA1086=1,"P",""),IF($AA1086=3,"P",""))</f>
        <v/>
      </c>
      <c r="I1086" s="164" t="str">
        <f>IF(Settings!$M$4=Settings!$Y$3,IF($AA1086=1,"P",""),IF($AA1086=4,"P",""))</f>
        <v/>
      </c>
      <c r="J1086" s="164" t="str">
        <f>IF(Settings!$M$4=Settings!$Y$3,IF($AA1086=2,"P",""),IF($AA1086=5,"P",""))</f>
        <v/>
      </c>
      <c r="K1086" s="164" t="str">
        <f>IF(Settings!$M$4=Settings!$Y$3,IF($AA1086=2,"P",""),IF($AA1086=6,"P",""))</f>
        <v/>
      </c>
      <c r="L1086" s="164" t="str">
        <f>IF(Settings!$M$4=Settings!$Y$3,IF($AA1086=2,"P",""),IF($AA1086=7,"P",""))</f>
        <v/>
      </c>
      <c r="M1086" s="164" t="str">
        <f>IF(Settings!$M$4=Settings!$Y$3,IF($AA1086=2,"P",""),IF($AA1086=8,"P",""))</f>
        <v/>
      </c>
      <c r="N1086" s="164" t="str">
        <f>IF(Settings!$M$4=Settings!$Y$3,IF($AA1086=3,"P",""),IF($AA1086=9,"P",""))</f>
        <v/>
      </c>
      <c r="O1086" s="165" t="str">
        <f>IF(Settings!$M$4=Settings!$Y$3,IF($AA1086=3,"P",""),IF($AA1086=10,"P",""))</f>
        <v/>
      </c>
      <c r="P1086" s="22"/>
      <c r="Q1086" s="22"/>
      <c r="R1086" s="360" t="e">
        <f>IF(INDEX(TblDatabase[Comment6],MATCH(1,INDEX(($L$4=ListEmployeeNamesInDatabase)*(C1073=TblDatabase[Year]),0,1),0))="","",INDEX(TblDatabase[Comment6],MATCH(1,INDEX(($L$4=ListEmployeeNamesInDatabase)*(C1073=TblDatabase[Year]),0,1),0)))</f>
        <v>#N/A</v>
      </c>
      <c r="S1086" s="360"/>
      <c r="T1086" s="360"/>
      <c r="U1086" s="360"/>
      <c r="V1086" s="360"/>
      <c r="W1086" s="360"/>
      <c r="X1086" s="360"/>
      <c r="Y1086" s="361"/>
      <c r="Z1086" s="149"/>
      <c r="AA1086" s="151">
        <f>SUMIFS(TblDatabase[Competency6],ListEmployeeNamesInDatabase,$L$4,TblDatabase[Year],C1073)</f>
        <v>0</v>
      </c>
      <c r="AB1086" s="149"/>
      <c r="AC1086" s="149"/>
      <c r="AD1086" s="149"/>
      <c r="AE1086" s="149"/>
      <c r="AF1086" s="149"/>
    </row>
    <row r="1087" spans="1:32" s="148" customFormat="1" ht="15" hidden="1" customHeight="1">
      <c r="B1087" s="350" t="str">
        <f t="shared" si="25"/>
        <v>Reliability</v>
      </c>
      <c r="C1087" s="351"/>
      <c r="D1087" s="351"/>
      <c r="E1087" s="352"/>
      <c r="F1087" s="157" t="str">
        <f>IF(Settings!$M$4=Settings!$Y$3,IF($AA1087=1,"P",""),IF($AA1087=1,"P",""))</f>
        <v/>
      </c>
      <c r="G1087" s="158" t="str">
        <f>IF(Settings!$M$4=Settings!$Y$3,IF($AA1087=1,"P",""),IF($AA1087=2,"P",""))</f>
        <v/>
      </c>
      <c r="H1087" s="158" t="str">
        <f>IF(Settings!$M$4=Settings!$Y$3,IF($AA1087=1,"P",""),IF($AA1087=3,"P",""))</f>
        <v/>
      </c>
      <c r="I1087" s="158" t="str">
        <f>IF(Settings!$M$4=Settings!$Y$3,IF($AA1087=1,"P",""),IF($AA1087=4,"P",""))</f>
        <v/>
      </c>
      <c r="J1087" s="158" t="str">
        <f>IF(Settings!$M$4=Settings!$Y$3,IF($AA1087=2,"P",""),IF($AA1087=5,"P",""))</f>
        <v/>
      </c>
      <c r="K1087" s="158" t="str">
        <f>IF(Settings!$M$4=Settings!$Y$3,IF($AA1087=2,"P",""),IF($AA1087=6,"P",""))</f>
        <v/>
      </c>
      <c r="L1087" s="158" t="str">
        <f>IF(Settings!$M$4=Settings!$Y$3,IF($AA1087=2,"P",""),IF($AA1087=7,"P",""))</f>
        <v/>
      </c>
      <c r="M1087" s="158" t="str">
        <f>IF(Settings!$M$4=Settings!$Y$3,IF($AA1087=2,"P",""),IF($AA1087=8,"P",""))</f>
        <v/>
      </c>
      <c r="N1087" s="158" t="str">
        <f>IF(Settings!$M$4=Settings!$Y$3,IF($AA1087=3,"P",""),IF($AA1087=9,"P",""))</f>
        <v/>
      </c>
      <c r="O1087" s="159" t="str">
        <f>IF(Settings!$M$4=Settings!$Y$3,IF($AA1087=3,"P",""),IF($AA1087=10,"P",""))</f>
        <v/>
      </c>
      <c r="P1087" s="22"/>
      <c r="Q1087" s="22"/>
      <c r="R1087" s="353" t="e">
        <f>IF(INDEX(TblDatabase[Comment7],MATCH(1,INDEX(($L$4=ListEmployeeNamesInDatabase)*(C1073=TblDatabase[Year]),0,1),0))="","",INDEX(TblDatabase[Comment7],MATCH(1,INDEX(($L$4=ListEmployeeNamesInDatabase)*(C1073=TblDatabase[Year]),0,1),0)))</f>
        <v>#N/A</v>
      </c>
      <c r="S1087" s="353"/>
      <c r="T1087" s="353"/>
      <c r="U1087" s="353"/>
      <c r="V1087" s="353"/>
      <c r="W1087" s="353"/>
      <c r="X1087" s="353"/>
      <c r="Y1087" s="354"/>
      <c r="Z1087" s="149"/>
      <c r="AA1087" s="151">
        <f>SUMIFS(TblDatabase[Competency7],ListEmployeeNamesInDatabase,$L$4,TblDatabase[Year],C1073)</f>
        <v>0</v>
      </c>
      <c r="AB1087" s="149"/>
      <c r="AC1087" s="149"/>
      <c r="AD1087" s="149"/>
      <c r="AE1087" s="149"/>
      <c r="AF1087" s="149"/>
    </row>
    <row r="1088" spans="1:32" s="148" customFormat="1" ht="15" hidden="1" customHeight="1">
      <c r="B1088" s="355" t="str">
        <f t="shared" si="25"/>
        <v>Initiative/Adaptability</v>
      </c>
      <c r="C1088" s="356"/>
      <c r="D1088" s="356"/>
      <c r="E1088" s="357"/>
      <c r="F1088" s="163" t="str">
        <f>IF(Settings!$M$4=Settings!$Y$3,IF($AA1088=1,"P",""),IF($AA1088=1,"P",""))</f>
        <v/>
      </c>
      <c r="G1088" s="164" t="str">
        <f>IF(Settings!$M$4=Settings!$Y$3,IF($AA1088=1,"P",""),IF($AA1088=2,"P",""))</f>
        <v/>
      </c>
      <c r="H1088" s="164" t="str">
        <f>IF(Settings!$M$4=Settings!$Y$3,IF($AA1088=1,"P",""),IF($AA1088=3,"P",""))</f>
        <v/>
      </c>
      <c r="I1088" s="164" t="str">
        <f>IF(Settings!$M$4=Settings!$Y$3,IF($AA1088=1,"P",""),IF($AA1088=4,"P",""))</f>
        <v/>
      </c>
      <c r="J1088" s="164" t="str">
        <f>IF(Settings!$M$4=Settings!$Y$3,IF($AA1088=2,"P",""),IF($AA1088=5,"P",""))</f>
        <v/>
      </c>
      <c r="K1088" s="164" t="str">
        <f>IF(Settings!$M$4=Settings!$Y$3,IF($AA1088=2,"P",""),IF($AA1088=6,"P",""))</f>
        <v/>
      </c>
      <c r="L1088" s="164" t="str">
        <f>IF(Settings!$M$4=Settings!$Y$3,IF($AA1088=2,"P",""),IF($AA1088=7,"P",""))</f>
        <v/>
      </c>
      <c r="M1088" s="164" t="str">
        <f>IF(Settings!$M$4=Settings!$Y$3,IF($AA1088=2,"P",""),IF($AA1088=8,"P",""))</f>
        <v/>
      </c>
      <c r="N1088" s="164" t="str">
        <f>IF(Settings!$M$4=Settings!$Y$3,IF($AA1088=3,"P",""),IF($AA1088=9,"P",""))</f>
        <v/>
      </c>
      <c r="O1088" s="165" t="str">
        <f>IF(Settings!$M$4=Settings!$Y$3,IF($AA1088=3,"P",""),IF($AA1088=10,"P",""))</f>
        <v/>
      </c>
      <c r="P1088" s="22"/>
      <c r="Q1088" s="22"/>
      <c r="R1088" s="360" t="e">
        <f>IF(INDEX(TblDatabase[Comment8],MATCH(1,INDEX(($L$4=ListEmployeeNamesInDatabase)*(C1073=TblDatabase[Year]),0,1),0))="","",INDEX(TblDatabase[Comment8],MATCH(1,INDEX(($L$4=ListEmployeeNamesInDatabase)*(C1073=TblDatabase[Year]),0,1),0)))</f>
        <v>#N/A</v>
      </c>
      <c r="S1088" s="360"/>
      <c r="T1088" s="360"/>
      <c r="U1088" s="360"/>
      <c r="V1088" s="360"/>
      <c r="W1088" s="360"/>
      <c r="X1088" s="360"/>
      <c r="Y1088" s="361"/>
      <c r="Z1088" s="149"/>
      <c r="AA1088" s="151">
        <f>SUMIFS(TblDatabase[Competency8],ListEmployeeNamesInDatabase,$L$4,TblDatabase[Year],C1073)</f>
        <v>0</v>
      </c>
      <c r="AB1088" s="149"/>
      <c r="AC1088" s="149"/>
      <c r="AD1088" s="149"/>
      <c r="AE1088" s="149"/>
      <c r="AF1088" s="149"/>
    </row>
    <row r="1089" spans="2:32" s="148" customFormat="1" ht="15" hidden="1" customHeight="1">
      <c r="B1089" s="350" t="str">
        <f t="shared" si="25"/>
        <v/>
      </c>
      <c r="C1089" s="351"/>
      <c r="D1089" s="351"/>
      <c r="E1089" s="352"/>
      <c r="F1089" s="157" t="str">
        <f>IF(Settings!$M$4=Settings!$Y$3,IF($AA1089=1,"P",""),IF($AA1089=1,"P",""))</f>
        <v/>
      </c>
      <c r="G1089" s="158" t="str">
        <f>IF(Settings!$M$4=Settings!$Y$3,IF($AA1089=1,"P",""),IF($AA1089=2,"P",""))</f>
        <v/>
      </c>
      <c r="H1089" s="158" t="str">
        <f>IF(Settings!$M$4=Settings!$Y$3,IF($AA1089=1,"P",""),IF($AA1089=3,"P",""))</f>
        <v/>
      </c>
      <c r="I1089" s="158" t="str">
        <f>IF(Settings!$M$4=Settings!$Y$3,IF($AA1089=1,"P",""),IF($AA1089=4,"P",""))</f>
        <v/>
      </c>
      <c r="J1089" s="158" t="str">
        <f>IF(Settings!$M$4=Settings!$Y$3,IF($AA1089=2,"P",""),IF($AA1089=5,"P",""))</f>
        <v/>
      </c>
      <c r="K1089" s="158" t="str">
        <f>IF(Settings!$M$4=Settings!$Y$3,IF($AA1089=2,"P",""),IF($AA1089=6,"P",""))</f>
        <v/>
      </c>
      <c r="L1089" s="158" t="str">
        <f>IF(Settings!$M$4=Settings!$Y$3,IF($AA1089=2,"P",""),IF($AA1089=7,"P",""))</f>
        <v/>
      </c>
      <c r="M1089" s="158" t="str">
        <f>IF(Settings!$M$4=Settings!$Y$3,IF($AA1089=2,"P",""),IF($AA1089=8,"P",""))</f>
        <v/>
      </c>
      <c r="N1089" s="158" t="str">
        <f>IF(Settings!$M$4=Settings!$Y$3,IF($AA1089=3,"P",""),IF($AA1089=9,"P",""))</f>
        <v/>
      </c>
      <c r="O1089" s="159" t="str">
        <f>IF(Settings!$M$4=Settings!$Y$3,IF($AA1089=3,"P",""),IF($AA1089=10,"P",""))</f>
        <v/>
      </c>
      <c r="P1089" s="22"/>
      <c r="Q1089" s="22"/>
      <c r="R1089" s="353" t="e">
        <f>IF(INDEX(TblDatabase[Comment9],MATCH(1,INDEX(($L$4=ListEmployeeNamesInDatabase)*(C1073=TblDatabase[Year]),0,1),0))="","",INDEX(TblDatabase[Comment9],MATCH(1,INDEX(($L$4=ListEmployeeNamesInDatabase)*(C1073=TblDatabase[Year]),0,1),0)))</f>
        <v>#N/A</v>
      </c>
      <c r="S1089" s="353"/>
      <c r="T1089" s="353"/>
      <c r="U1089" s="353"/>
      <c r="V1089" s="353"/>
      <c r="W1089" s="353"/>
      <c r="X1089" s="353"/>
      <c r="Y1089" s="354"/>
      <c r="Z1089" s="149"/>
      <c r="AA1089" s="151">
        <f>SUMIFS(TblDatabase[Competency9],ListEmployeeNamesInDatabase,$L$4,TblDatabase[Year],C1073)</f>
        <v>0</v>
      </c>
      <c r="AB1089" s="149"/>
      <c r="AC1089" s="149"/>
      <c r="AD1089" s="149"/>
      <c r="AE1089" s="149"/>
      <c r="AF1089" s="149"/>
    </row>
    <row r="1090" spans="2:32" s="148" customFormat="1" ht="15" hidden="1" customHeight="1">
      <c r="B1090" s="355" t="str">
        <f t="shared" si="25"/>
        <v/>
      </c>
      <c r="C1090" s="356"/>
      <c r="D1090" s="356"/>
      <c r="E1090" s="357"/>
      <c r="F1090" s="163" t="str">
        <f>IF(Settings!$M$4=Settings!$Y$3,IF($AA1090=1,"P",""),IF($AA1090=1,"P",""))</f>
        <v/>
      </c>
      <c r="G1090" s="164" t="str">
        <f>IF(Settings!$M$4=Settings!$Y$3,IF($AA1090=1,"P",""),IF($AA1090=2,"P",""))</f>
        <v/>
      </c>
      <c r="H1090" s="164" t="str">
        <f>IF(Settings!$M$4=Settings!$Y$3,IF($AA1090=1,"P",""),IF($AA1090=3,"P",""))</f>
        <v/>
      </c>
      <c r="I1090" s="164" t="str">
        <f>IF(Settings!$M$4=Settings!$Y$3,IF($AA1090=1,"P",""),IF($AA1090=4,"P",""))</f>
        <v/>
      </c>
      <c r="J1090" s="164" t="str">
        <f>IF(Settings!$M$4=Settings!$Y$3,IF($AA1090=2,"P",""),IF($AA1090=5,"P",""))</f>
        <v/>
      </c>
      <c r="K1090" s="164" t="str">
        <f>IF(Settings!$M$4=Settings!$Y$3,IF($AA1090=2,"P",""),IF($AA1090=6,"P",""))</f>
        <v/>
      </c>
      <c r="L1090" s="164" t="str">
        <f>IF(Settings!$M$4=Settings!$Y$3,IF($AA1090=2,"P",""),IF($AA1090=7,"P",""))</f>
        <v/>
      </c>
      <c r="M1090" s="164" t="str">
        <f>IF(Settings!$M$4=Settings!$Y$3,IF($AA1090=2,"P",""),IF($AA1090=8,"P",""))</f>
        <v/>
      </c>
      <c r="N1090" s="164" t="str">
        <f>IF(Settings!$M$4=Settings!$Y$3,IF($AA1090=3,"P",""),IF($AA1090=9,"P",""))</f>
        <v/>
      </c>
      <c r="O1090" s="165" t="str">
        <f>IF(Settings!$M$4=Settings!$Y$3,IF($AA1090=3,"P",""),IF($AA1090=10,"P",""))</f>
        <v/>
      </c>
      <c r="P1090" s="22"/>
      <c r="Q1090" s="22"/>
      <c r="R1090" s="360" t="e">
        <f>IF(INDEX(TblDatabase[Comment10],MATCH(1,INDEX(($L$4=ListEmployeeNamesInDatabase)*(C1073=TblDatabase[Year]),0,1),0))="","",INDEX(TblDatabase[Comment10],MATCH(1,INDEX(($L$4=ListEmployeeNamesInDatabase)*(C1073=TblDatabase[Year]),0,1),0)))</f>
        <v>#N/A</v>
      </c>
      <c r="S1090" s="360"/>
      <c r="T1090" s="360"/>
      <c r="U1090" s="360"/>
      <c r="V1090" s="360"/>
      <c r="W1090" s="360"/>
      <c r="X1090" s="360"/>
      <c r="Y1090" s="361"/>
      <c r="Z1090" s="149"/>
      <c r="AA1090" s="151">
        <f>SUMIFS(TblDatabase[Competency10],ListEmployeeNamesInDatabase,$L$4,TblDatabase[Year],C1073)</f>
        <v>0</v>
      </c>
      <c r="AB1090" s="149"/>
      <c r="AC1090" s="149"/>
      <c r="AD1090" s="149"/>
      <c r="AE1090" s="149"/>
      <c r="AF1090" s="149"/>
    </row>
    <row r="1091" spans="2:32" s="148" customFormat="1" ht="15" hidden="1" customHeight="1">
      <c r="B1091" s="350" t="str">
        <f t="shared" si="25"/>
        <v/>
      </c>
      <c r="C1091" s="351"/>
      <c r="D1091" s="351"/>
      <c r="E1091" s="352"/>
      <c r="F1091" s="157" t="str">
        <f>IF(Settings!$M$4=Settings!$Y$3,IF($AA1091=1,"P",""),IF($AA1091=1,"P",""))</f>
        <v/>
      </c>
      <c r="G1091" s="158" t="str">
        <f>IF(Settings!$M$4=Settings!$Y$3,IF($AA1091=1,"P",""),IF($AA1091=2,"P",""))</f>
        <v/>
      </c>
      <c r="H1091" s="158" t="str">
        <f>IF(Settings!$M$4=Settings!$Y$3,IF($AA1091=1,"P",""),IF($AA1091=3,"P",""))</f>
        <v/>
      </c>
      <c r="I1091" s="158" t="str">
        <f>IF(Settings!$M$4=Settings!$Y$3,IF($AA1091=1,"P",""),IF($AA1091=4,"P",""))</f>
        <v/>
      </c>
      <c r="J1091" s="158" t="str">
        <f>IF(Settings!$M$4=Settings!$Y$3,IF($AA1091=2,"P",""),IF($AA1091=5,"P",""))</f>
        <v/>
      </c>
      <c r="K1091" s="158" t="str">
        <f>IF(Settings!$M$4=Settings!$Y$3,IF($AA1091=2,"P",""),IF($AA1091=6,"P",""))</f>
        <v/>
      </c>
      <c r="L1091" s="158" t="str">
        <f>IF(Settings!$M$4=Settings!$Y$3,IF($AA1091=2,"P",""),IF($AA1091=7,"P",""))</f>
        <v/>
      </c>
      <c r="M1091" s="158" t="str">
        <f>IF(Settings!$M$4=Settings!$Y$3,IF($AA1091=2,"P",""),IF($AA1091=8,"P",""))</f>
        <v/>
      </c>
      <c r="N1091" s="158" t="str">
        <f>IF(Settings!$M$4=Settings!$Y$3,IF($AA1091=3,"P",""),IF($AA1091=9,"P",""))</f>
        <v/>
      </c>
      <c r="O1091" s="159" t="str">
        <f>IF(Settings!$M$4=Settings!$Y$3,IF($AA1091=3,"P",""),IF($AA1091=10,"P",""))</f>
        <v/>
      </c>
      <c r="P1091" s="22"/>
      <c r="Q1091" s="22"/>
      <c r="R1091" s="353" t="e">
        <f>IF(INDEX(TblDatabase[Comment11],MATCH(1,INDEX(($L$4=ListEmployeeNamesInDatabase)*(C1073=TblDatabase[Year]),0,1),0))="","",INDEX(TblDatabase[Comment11],MATCH(1,INDEX(($L$4=ListEmployeeNamesInDatabase)*(C1073=TblDatabase[Year]),0,1),0)))</f>
        <v>#N/A</v>
      </c>
      <c r="S1091" s="353"/>
      <c r="T1091" s="353"/>
      <c r="U1091" s="353"/>
      <c r="V1091" s="353"/>
      <c r="W1091" s="353"/>
      <c r="X1091" s="353"/>
      <c r="Y1091" s="354"/>
      <c r="Z1091" s="149"/>
      <c r="AA1091" s="151">
        <f>SUMIFS(TblDatabase[Competency11],ListEmployeeNamesInDatabase,$L$4,TblDatabase[Year],C1073)</f>
        <v>0</v>
      </c>
      <c r="AB1091" s="149"/>
      <c r="AC1091" s="149"/>
      <c r="AD1091" s="149"/>
      <c r="AE1091" s="149"/>
      <c r="AF1091" s="149"/>
    </row>
    <row r="1092" spans="2:32" s="148" customFormat="1" ht="15" hidden="1" customHeight="1">
      <c r="B1092" s="355" t="str">
        <f t="shared" si="25"/>
        <v/>
      </c>
      <c r="C1092" s="356"/>
      <c r="D1092" s="356"/>
      <c r="E1092" s="357"/>
      <c r="F1092" s="163" t="str">
        <f>IF(Settings!$M$4=Settings!$Y$3,IF($AA1092=1,"P",""),IF($AA1092=1,"P",""))</f>
        <v/>
      </c>
      <c r="G1092" s="164" t="str">
        <f>IF(Settings!$M$4=Settings!$Y$3,IF($AA1092=1,"P",""),IF($AA1092=2,"P",""))</f>
        <v/>
      </c>
      <c r="H1092" s="164" t="str">
        <f>IF(Settings!$M$4=Settings!$Y$3,IF($AA1092=1,"P",""),IF($AA1092=3,"P",""))</f>
        <v/>
      </c>
      <c r="I1092" s="164" t="str">
        <f>IF(Settings!$M$4=Settings!$Y$3,IF($AA1092=1,"P",""),IF($AA1092=4,"P",""))</f>
        <v/>
      </c>
      <c r="J1092" s="164" t="str">
        <f>IF(Settings!$M$4=Settings!$Y$3,IF($AA1092=2,"P",""),IF($AA1092=5,"P",""))</f>
        <v/>
      </c>
      <c r="K1092" s="164" t="str">
        <f>IF(Settings!$M$4=Settings!$Y$3,IF($AA1092=2,"P",""),IF($AA1092=6,"P",""))</f>
        <v/>
      </c>
      <c r="L1092" s="164" t="str">
        <f>IF(Settings!$M$4=Settings!$Y$3,IF($AA1092=2,"P",""),IF($AA1092=7,"P",""))</f>
        <v/>
      </c>
      <c r="M1092" s="164" t="str">
        <f>IF(Settings!$M$4=Settings!$Y$3,IF($AA1092=2,"P",""),IF($AA1092=8,"P",""))</f>
        <v/>
      </c>
      <c r="N1092" s="164" t="str">
        <f>IF(Settings!$M$4=Settings!$Y$3,IF($AA1092=3,"P",""),IF($AA1092=9,"P",""))</f>
        <v/>
      </c>
      <c r="O1092" s="165" t="str">
        <f>IF(Settings!$M$4=Settings!$Y$3,IF($AA1092=3,"P",""),IF($AA1092=10,"P",""))</f>
        <v/>
      </c>
      <c r="P1092" s="22"/>
      <c r="Q1092" s="22"/>
      <c r="R1092" s="360" t="e">
        <f>IF(INDEX(TblDatabase[Comment12],MATCH(1,INDEX(($L$4=ListEmployeeNamesInDatabase)*(C1073=TblDatabase[Year]),0,1),0))="","",INDEX(TblDatabase[Comment12],MATCH(1,INDEX(($L$4=ListEmployeeNamesInDatabase)*(C1073=TblDatabase[Year]),0,1),0)))</f>
        <v>#N/A</v>
      </c>
      <c r="S1092" s="360"/>
      <c r="T1092" s="360"/>
      <c r="U1092" s="360"/>
      <c r="V1092" s="360"/>
      <c r="W1092" s="360"/>
      <c r="X1092" s="360"/>
      <c r="Y1092" s="361"/>
      <c r="Z1092" s="149"/>
      <c r="AA1092" s="151">
        <f>SUMIFS(TblDatabase[Competency12],ListEmployeeNamesInDatabase,$L$4,TblDatabase[Year],C1073)</f>
        <v>0</v>
      </c>
      <c r="AB1092" s="149"/>
      <c r="AC1092" s="149"/>
      <c r="AD1092" s="149"/>
      <c r="AE1092" s="149"/>
      <c r="AF1092" s="149"/>
    </row>
    <row r="1093" spans="2:32" s="148" customFormat="1" ht="15" hidden="1" customHeight="1">
      <c r="B1093" s="350" t="str">
        <f t="shared" si="25"/>
        <v/>
      </c>
      <c r="C1093" s="351"/>
      <c r="D1093" s="351"/>
      <c r="E1093" s="352"/>
      <c r="F1093" s="157" t="str">
        <f>IF(Settings!$M$4=Settings!$Y$3,IF($AA1093=1,"P",""),IF($AA1093=1,"P",""))</f>
        <v/>
      </c>
      <c r="G1093" s="158" t="str">
        <f>IF(Settings!$M$4=Settings!$Y$3,IF($AA1093=1,"P",""),IF($AA1093=2,"P",""))</f>
        <v/>
      </c>
      <c r="H1093" s="158" t="str">
        <f>IF(Settings!$M$4=Settings!$Y$3,IF($AA1093=1,"P",""),IF($AA1093=3,"P",""))</f>
        <v/>
      </c>
      <c r="I1093" s="158" t="str">
        <f>IF(Settings!$M$4=Settings!$Y$3,IF($AA1093=1,"P",""),IF($AA1093=4,"P",""))</f>
        <v/>
      </c>
      <c r="J1093" s="158" t="str">
        <f>IF(Settings!$M$4=Settings!$Y$3,IF($AA1093=2,"P",""),IF($AA1093=5,"P",""))</f>
        <v/>
      </c>
      <c r="K1093" s="158" t="str">
        <f>IF(Settings!$M$4=Settings!$Y$3,IF($AA1093=2,"P",""),IF($AA1093=6,"P",""))</f>
        <v/>
      </c>
      <c r="L1093" s="158" t="str">
        <f>IF(Settings!$M$4=Settings!$Y$3,IF($AA1093=2,"P",""),IF($AA1093=7,"P",""))</f>
        <v/>
      </c>
      <c r="M1093" s="158" t="str">
        <f>IF(Settings!$M$4=Settings!$Y$3,IF($AA1093=2,"P",""),IF($AA1093=8,"P",""))</f>
        <v/>
      </c>
      <c r="N1093" s="158" t="str">
        <f>IF(Settings!$M$4=Settings!$Y$3,IF($AA1093=3,"P",""),IF($AA1093=9,"P",""))</f>
        <v/>
      </c>
      <c r="O1093" s="159" t="str">
        <f>IF(Settings!$M$4=Settings!$Y$3,IF($AA1093=3,"P",""),IF($AA1093=10,"P",""))</f>
        <v/>
      </c>
      <c r="P1093" s="22"/>
      <c r="Q1093" s="22"/>
      <c r="R1093" s="353" t="e">
        <f>IF(INDEX(TblDatabase[Comment13],MATCH(1,INDEX(($L$4=ListEmployeeNamesInDatabase)*(C1073=TblDatabase[Year]),0,1),0))="","",INDEX(TblDatabase[Comment13],MATCH(1,INDEX(($L$4=ListEmployeeNamesInDatabase)*(C1073=TblDatabase[Year]),0,1),0)))</f>
        <v>#N/A</v>
      </c>
      <c r="S1093" s="353"/>
      <c r="T1093" s="353"/>
      <c r="U1093" s="353"/>
      <c r="V1093" s="353"/>
      <c r="W1093" s="353"/>
      <c r="X1093" s="353"/>
      <c r="Y1093" s="354"/>
      <c r="Z1093" s="149"/>
      <c r="AA1093" s="151">
        <f>SUMIFS(TblDatabase[Competency13],ListEmployeeNamesInDatabase,$L$4,TblDatabase[Year],C1073)</f>
        <v>0</v>
      </c>
      <c r="AB1093" s="149"/>
      <c r="AC1093" s="149"/>
      <c r="AD1093" s="149"/>
      <c r="AE1093" s="149"/>
      <c r="AF1093" s="149"/>
    </row>
    <row r="1094" spans="2:32" s="148" customFormat="1" ht="15" hidden="1" customHeight="1">
      <c r="B1094" s="355" t="str">
        <f t="shared" si="25"/>
        <v/>
      </c>
      <c r="C1094" s="356"/>
      <c r="D1094" s="356"/>
      <c r="E1094" s="357"/>
      <c r="F1094" s="163" t="str">
        <f>IF(Settings!$M$4=Settings!$Y$3,IF($AA1094=1,"P",""),IF($AA1094=1,"P",""))</f>
        <v/>
      </c>
      <c r="G1094" s="164" t="str">
        <f>IF(Settings!$M$4=Settings!$Y$3,IF($AA1094=1,"P",""),IF($AA1094=2,"P",""))</f>
        <v/>
      </c>
      <c r="H1094" s="164" t="str">
        <f>IF(Settings!$M$4=Settings!$Y$3,IF($AA1094=1,"P",""),IF($AA1094=3,"P",""))</f>
        <v/>
      </c>
      <c r="I1094" s="164" t="str">
        <f>IF(Settings!$M$4=Settings!$Y$3,IF($AA1094=1,"P",""),IF($AA1094=4,"P",""))</f>
        <v/>
      </c>
      <c r="J1094" s="164" t="str">
        <f>IF(Settings!$M$4=Settings!$Y$3,IF($AA1094=2,"P",""),IF($AA1094=5,"P",""))</f>
        <v/>
      </c>
      <c r="K1094" s="164" t="str">
        <f>IF(Settings!$M$4=Settings!$Y$3,IF($AA1094=2,"P",""),IF($AA1094=6,"P",""))</f>
        <v/>
      </c>
      <c r="L1094" s="164" t="str">
        <f>IF(Settings!$M$4=Settings!$Y$3,IF($AA1094=2,"P",""),IF($AA1094=7,"P",""))</f>
        <v/>
      </c>
      <c r="M1094" s="164" t="str">
        <f>IF(Settings!$M$4=Settings!$Y$3,IF($AA1094=2,"P",""),IF($AA1094=8,"P",""))</f>
        <v/>
      </c>
      <c r="N1094" s="164" t="str">
        <f>IF(Settings!$M$4=Settings!$Y$3,IF($AA1094=3,"P",""),IF($AA1094=9,"P",""))</f>
        <v/>
      </c>
      <c r="O1094" s="165" t="str">
        <f>IF(Settings!$M$4=Settings!$Y$3,IF($AA1094=3,"P",""),IF($AA1094=10,"P",""))</f>
        <v/>
      </c>
      <c r="P1094" s="22"/>
      <c r="Q1094" s="22"/>
      <c r="R1094" s="360" t="e">
        <f>IF(INDEX(TblDatabase[Comment14],MATCH(1,INDEX(($L$4=ListEmployeeNamesInDatabase)*(C1073=TblDatabase[Year]),0,1),0))="","",INDEX(TblDatabase[Comment14],MATCH(1,INDEX(($L$4=ListEmployeeNamesInDatabase)*(C1073=TblDatabase[Year]),0,1),0)))</f>
        <v>#N/A</v>
      </c>
      <c r="S1094" s="360"/>
      <c r="T1094" s="360"/>
      <c r="U1094" s="360"/>
      <c r="V1094" s="360"/>
      <c r="W1094" s="360"/>
      <c r="X1094" s="360"/>
      <c r="Y1094" s="361"/>
      <c r="Z1094" s="149"/>
      <c r="AA1094" s="151">
        <f>SUMIFS(TblDatabase[Competency14],ListEmployeeNamesInDatabase,$L$4,TblDatabase[Year],C1073)</f>
        <v>0</v>
      </c>
      <c r="AB1094" s="149"/>
      <c r="AC1094" s="149"/>
      <c r="AD1094" s="149"/>
      <c r="AE1094" s="149"/>
      <c r="AF1094" s="149"/>
    </row>
    <row r="1095" spans="2:32" s="148" customFormat="1" ht="15" hidden="1" customHeight="1">
      <c r="B1095" s="350" t="str">
        <f t="shared" si="25"/>
        <v/>
      </c>
      <c r="C1095" s="351"/>
      <c r="D1095" s="351"/>
      <c r="E1095" s="352"/>
      <c r="F1095" s="157" t="str">
        <f>IF(Settings!$M$4=Settings!$Y$3,IF($AA1095=1,"P",""),IF($AA1095=1,"P",""))</f>
        <v/>
      </c>
      <c r="G1095" s="158" t="str">
        <f>IF(Settings!$M$4=Settings!$Y$3,IF($AA1095=1,"P",""),IF($AA1095=2,"P",""))</f>
        <v/>
      </c>
      <c r="H1095" s="158" t="str">
        <f>IF(Settings!$M$4=Settings!$Y$3,IF($AA1095=1,"P",""),IF($AA1095=3,"P",""))</f>
        <v/>
      </c>
      <c r="I1095" s="158" t="str">
        <f>IF(Settings!$M$4=Settings!$Y$3,IF($AA1095=1,"P",""),IF($AA1095=4,"P",""))</f>
        <v/>
      </c>
      <c r="J1095" s="158" t="str">
        <f>IF(Settings!$M$4=Settings!$Y$3,IF($AA1095=2,"P",""),IF($AA1095=5,"P",""))</f>
        <v/>
      </c>
      <c r="K1095" s="158" t="str">
        <f>IF(Settings!$M$4=Settings!$Y$3,IF($AA1095=2,"P",""),IF($AA1095=6,"P",""))</f>
        <v/>
      </c>
      <c r="L1095" s="158" t="str">
        <f>IF(Settings!$M$4=Settings!$Y$3,IF($AA1095=2,"P",""),IF($AA1095=7,"P",""))</f>
        <v/>
      </c>
      <c r="M1095" s="158" t="str">
        <f>IF(Settings!$M$4=Settings!$Y$3,IF($AA1095=2,"P",""),IF($AA1095=8,"P",""))</f>
        <v/>
      </c>
      <c r="N1095" s="158" t="str">
        <f>IF(Settings!$M$4=Settings!$Y$3,IF($AA1095=3,"P",""),IF($AA1095=9,"P",""))</f>
        <v/>
      </c>
      <c r="O1095" s="159" t="str">
        <f>IF(Settings!$M$4=Settings!$Y$3,IF($AA1095=3,"P",""),IF($AA1095=10,"P",""))</f>
        <v/>
      </c>
      <c r="P1095" s="22"/>
      <c r="Q1095" s="22"/>
      <c r="R1095" s="353" t="e">
        <f>IF(INDEX(TblDatabase[Comment15],MATCH(1,INDEX(($L$4=ListEmployeeNamesInDatabase)*(C1073=TblDatabase[Year]),0,1),0))="","",INDEX(TblDatabase[Comment15],MATCH(1,INDEX(($L$4=ListEmployeeNamesInDatabase)*(C1073=TblDatabase[Year]),0,1),0)))</f>
        <v>#N/A</v>
      </c>
      <c r="S1095" s="353"/>
      <c r="T1095" s="353"/>
      <c r="U1095" s="353"/>
      <c r="V1095" s="353"/>
      <c r="W1095" s="353"/>
      <c r="X1095" s="353"/>
      <c r="Y1095" s="354"/>
      <c r="Z1095" s="149"/>
      <c r="AA1095" s="151">
        <f>SUMIFS(TblDatabase[Competency15],ListEmployeeNamesInDatabase,$L$4,TblDatabase[Year],C1073)</f>
        <v>0</v>
      </c>
      <c r="AB1095" s="149"/>
      <c r="AC1095" s="149"/>
      <c r="AD1095" s="149"/>
      <c r="AE1095" s="149"/>
      <c r="AF1095" s="149"/>
    </row>
    <row r="1096" spans="2:32" s="148" customFormat="1" ht="15" hidden="1" customHeight="1">
      <c r="B1096" s="355" t="str">
        <f t="shared" si="25"/>
        <v/>
      </c>
      <c r="C1096" s="356"/>
      <c r="D1096" s="356"/>
      <c r="E1096" s="357"/>
      <c r="F1096" s="163" t="str">
        <f>IF(Settings!$M$4=Settings!$Y$3,IF($AA1096=1,"P",""),IF($AA1096=1,"P",""))</f>
        <v/>
      </c>
      <c r="G1096" s="164" t="str">
        <f>IF(Settings!$M$4=Settings!$Y$3,IF($AA1096=1,"P",""),IF($AA1096=2,"P",""))</f>
        <v/>
      </c>
      <c r="H1096" s="164" t="str">
        <f>IF(Settings!$M$4=Settings!$Y$3,IF($AA1096=1,"P",""),IF($AA1096=3,"P",""))</f>
        <v/>
      </c>
      <c r="I1096" s="164" t="str">
        <f>IF(Settings!$M$4=Settings!$Y$3,IF($AA1096=1,"P",""),IF($AA1096=4,"P",""))</f>
        <v/>
      </c>
      <c r="J1096" s="164" t="str">
        <f>IF(Settings!$M$4=Settings!$Y$3,IF($AA1096=2,"P",""),IF($AA1096=5,"P",""))</f>
        <v/>
      </c>
      <c r="K1096" s="164" t="str">
        <f>IF(Settings!$M$4=Settings!$Y$3,IF($AA1096=2,"P",""),IF($AA1096=6,"P",""))</f>
        <v/>
      </c>
      <c r="L1096" s="164" t="str">
        <f>IF(Settings!$M$4=Settings!$Y$3,IF($AA1096=2,"P",""),IF($AA1096=7,"P",""))</f>
        <v/>
      </c>
      <c r="M1096" s="164" t="str">
        <f>IF(Settings!$M$4=Settings!$Y$3,IF($AA1096=2,"P",""),IF($AA1096=8,"P",""))</f>
        <v/>
      </c>
      <c r="N1096" s="164" t="str">
        <f>IF(Settings!$M$4=Settings!$Y$3,IF($AA1096=3,"P",""),IF($AA1096=9,"P",""))</f>
        <v/>
      </c>
      <c r="O1096" s="165" t="str">
        <f>IF(Settings!$M$4=Settings!$Y$3,IF($AA1096=3,"P",""),IF($AA1096=10,"P",""))</f>
        <v/>
      </c>
      <c r="P1096" s="22"/>
      <c r="Q1096" s="22"/>
      <c r="R1096" s="360" t="e">
        <f>IF(INDEX(TblDatabase[Comment16],MATCH(1,INDEX(($L$4=ListEmployeeNamesInDatabase)*(C1073=TblDatabase[Year]),0,1),0))="","",INDEX(TblDatabase[Comment16],MATCH(1,INDEX(($L$4=ListEmployeeNamesInDatabase)*(C1073=TblDatabase[Year]),0,1),0)))</f>
        <v>#N/A</v>
      </c>
      <c r="S1096" s="360"/>
      <c r="T1096" s="360"/>
      <c r="U1096" s="360"/>
      <c r="V1096" s="360"/>
      <c r="W1096" s="360"/>
      <c r="X1096" s="360"/>
      <c r="Y1096" s="361"/>
      <c r="Z1096" s="149"/>
      <c r="AA1096" s="151">
        <f>SUMIFS(TblDatabase[Competency16],ListEmployeeNamesInDatabase,$L$4,TblDatabase[Year],C1073)</f>
        <v>0</v>
      </c>
      <c r="AB1096" s="149"/>
      <c r="AC1096" s="149"/>
      <c r="AD1096" s="149"/>
      <c r="AE1096" s="149"/>
      <c r="AF1096" s="149"/>
    </row>
    <row r="1097" spans="2:32" s="148" customFormat="1" ht="15" hidden="1" customHeight="1">
      <c r="B1097" s="350" t="str">
        <f t="shared" si="25"/>
        <v/>
      </c>
      <c r="C1097" s="351"/>
      <c r="D1097" s="351"/>
      <c r="E1097" s="352"/>
      <c r="F1097" s="157" t="str">
        <f>IF(Settings!$M$4=Settings!$Y$3,IF($AA1097=1,"P",""),IF($AA1097=1,"P",""))</f>
        <v/>
      </c>
      <c r="G1097" s="158" t="str">
        <f>IF(Settings!$M$4=Settings!$Y$3,IF($AA1097=1,"P",""),IF($AA1097=2,"P",""))</f>
        <v/>
      </c>
      <c r="H1097" s="158" t="str">
        <f>IF(Settings!$M$4=Settings!$Y$3,IF($AA1097=1,"P",""),IF($AA1097=3,"P",""))</f>
        <v/>
      </c>
      <c r="I1097" s="158" t="str">
        <f>IF(Settings!$M$4=Settings!$Y$3,IF($AA1097=1,"P",""),IF($AA1097=4,"P",""))</f>
        <v/>
      </c>
      <c r="J1097" s="158" t="str">
        <f>IF(Settings!$M$4=Settings!$Y$3,IF($AA1097=2,"P",""),IF($AA1097=5,"P",""))</f>
        <v/>
      </c>
      <c r="K1097" s="158" t="str">
        <f>IF(Settings!$M$4=Settings!$Y$3,IF($AA1097=2,"P",""),IF($AA1097=6,"P",""))</f>
        <v/>
      </c>
      <c r="L1097" s="158" t="str">
        <f>IF(Settings!$M$4=Settings!$Y$3,IF($AA1097=2,"P",""),IF($AA1097=7,"P",""))</f>
        <v/>
      </c>
      <c r="M1097" s="158" t="str">
        <f>IF(Settings!$M$4=Settings!$Y$3,IF($AA1097=2,"P",""),IF($AA1097=8,"P",""))</f>
        <v/>
      </c>
      <c r="N1097" s="158" t="str">
        <f>IF(Settings!$M$4=Settings!$Y$3,IF($AA1097=3,"P",""),IF($AA1097=9,"P",""))</f>
        <v/>
      </c>
      <c r="O1097" s="159" t="str">
        <f>IF(Settings!$M$4=Settings!$Y$3,IF($AA1097=3,"P",""),IF($AA1097=10,"P",""))</f>
        <v/>
      </c>
      <c r="P1097" s="22"/>
      <c r="Q1097" s="22"/>
      <c r="R1097" s="353" t="e">
        <f>IF(INDEX(TblDatabase[Comment17],MATCH(1,INDEX(($L$4=ListEmployeeNamesInDatabase)*(C1073=TblDatabase[Year]),0,1),0))="","",INDEX(TblDatabase[Comment17],MATCH(1,INDEX(($L$4=ListEmployeeNamesInDatabase)*(C1073=TblDatabase[Year]),0,1),0)))</f>
        <v>#N/A</v>
      </c>
      <c r="S1097" s="353"/>
      <c r="T1097" s="353"/>
      <c r="U1097" s="353"/>
      <c r="V1097" s="353"/>
      <c r="W1097" s="353"/>
      <c r="X1097" s="353"/>
      <c r="Y1097" s="354"/>
      <c r="Z1097" s="149"/>
      <c r="AA1097" s="151">
        <f>SUMIFS(TblDatabase[Competency17],ListEmployeeNamesInDatabase,$L$4,TblDatabase[Year],C1073)</f>
        <v>0</v>
      </c>
      <c r="AB1097" s="149"/>
      <c r="AC1097" s="149"/>
      <c r="AD1097" s="149"/>
      <c r="AE1097" s="149"/>
      <c r="AF1097" s="149"/>
    </row>
    <row r="1098" spans="2:32" s="148" customFormat="1" ht="15" hidden="1" customHeight="1">
      <c r="B1098" s="355" t="str">
        <f t="shared" si="25"/>
        <v/>
      </c>
      <c r="C1098" s="356"/>
      <c r="D1098" s="356"/>
      <c r="E1098" s="357"/>
      <c r="F1098" s="163" t="str">
        <f>IF(Settings!$M$4=Settings!$Y$3,IF($AA1098=1,"P",""),IF($AA1098=1,"P",""))</f>
        <v/>
      </c>
      <c r="G1098" s="164" t="str">
        <f>IF(Settings!$M$4=Settings!$Y$3,IF($AA1098=1,"P",""),IF($AA1098=2,"P",""))</f>
        <v/>
      </c>
      <c r="H1098" s="164" t="str">
        <f>IF(Settings!$M$4=Settings!$Y$3,IF($AA1098=1,"P",""),IF($AA1098=3,"P",""))</f>
        <v/>
      </c>
      <c r="I1098" s="164" t="str">
        <f>IF(Settings!$M$4=Settings!$Y$3,IF($AA1098=1,"P",""),IF($AA1098=4,"P",""))</f>
        <v/>
      </c>
      <c r="J1098" s="164" t="str">
        <f>IF(Settings!$M$4=Settings!$Y$3,IF($AA1098=2,"P",""),IF($AA1098=5,"P",""))</f>
        <v/>
      </c>
      <c r="K1098" s="164" t="str">
        <f>IF(Settings!$M$4=Settings!$Y$3,IF($AA1098=2,"P",""),IF($AA1098=6,"P",""))</f>
        <v/>
      </c>
      <c r="L1098" s="164" t="str">
        <f>IF(Settings!$M$4=Settings!$Y$3,IF($AA1098=2,"P",""),IF($AA1098=7,"P",""))</f>
        <v/>
      </c>
      <c r="M1098" s="164" t="str">
        <f>IF(Settings!$M$4=Settings!$Y$3,IF($AA1098=2,"P",""),IF($AA1098=8,"P",""))</f>
        <v/>
      </c>
      <c r="N1098" s="164" t="str">
        <f>IF(Settings!$M$4=Settings!$Y$3,IF($AA1098=3,"P",""),IF($AA1098=9,"P",""))</f>
        <v/>
      </c>
      <c r="O1098" s="165" t="str">
        <f>IF(Settings!$M$4=Settings!$Y$3,IF($AA1098=3,"P",""),IF($AA1098=10,"P",""))</f>
        <v/>
      </c>
      <c r="P1098" s="22"/>
      <c r="Q1098" s="22"/>
      <c r="R1098" s="360" t="e">
        <f>IF(INDEX(TblDatabase[Comment18],MATCH(1,INDEX(($L$4=ListEmployeeNamesInDatabase)*(C1073=TblDatabase[Year]),0,1),0))="","",INDEX(TblDatabase[Comment18],MATCH(1,INDEX(($L$4=ListEmployeeNamesInDatabase)*(C1073=TblDatabase[Year]),0,1),0)))</f>
        <v>#N/A</v>
      </c>
      <c r="S1098" s="360"/>
      <c r="T1098" s="360"/>
      <c r="U1098" s="360"/>
      <c r="V1098" s="360"/>
      <c r="W1098" s="360"/>
      <c r="X1098" s="360"/>
      <c r="Y1098" s="361"/>
      <c r="Z1098" s="149"/>
      <c r="AA1098" s="151">
        <f>SUMIFS(TblDatabase[Competency18],ListEmployeeNamesInDatabase,$L$4,TblDatabase[Year],C1073)</f>
        <v>0</v>
      </c>
      <c r="AB1098" s="149"/>
      <c r="AC1098" s="149"/>
      <c r="AD1098" s="149"/>
      <c r="AE1098" s="149"/>
      <c r="AF1098" s="149"/>
    </row>
    <row r="1099" spans="2:32" s="148" customFormat="1" ht="15" hidden="1" customHeight="1">
      <c r="B1099" s="350" t="str">
        <f t="shared" si="25"/>
        <v/>
      </c>
      <c r="C1099" s="351"/>
      <c r="D1099" s="351"/>
      <c r="E1099" s="352"/>
      <c r="F1099" s="157" t="str">
        <f>IF(Settings!$M$4=Settings!$Y$3,IF($AA1099=1,"P",""),IF($AA1099=1,"P",""))</f>
        <v/>
      </c>
      <c r="G1099" s="158" t="str">
        <f>IF(Settings!$M$4=Settings!$Y$3,IF($AA1099=1,"P",""),IF($AA1099=2,"P",""))</f>
        <v/>
      </c>
      <c r="H1099" s="158" t="str">
        <f>IF(Settings!$M$4=Settings!$Y$3,IF($AA1099=1,"P",""),IF($AA1099=3,"P",""))</f>
        <v/>
      </c>
      <c r="I1099" s="158" t="str">
        <f>IF(Settings!$M$4=Settings!$Y$3,IF($AA1099=1,"P",""),IF($AA1099=4,"P",""))</f>
        <v/>
      </c>
      <c r="J1099" s="158" t="str">
        <f>IF(Settings!$M$4=Settings!$Y$3,IF($AA1099=2,"P",""),IF($AA1099=5,"P",""))</f>
        <v/>
      </c>
      <c r="K1099" s="158" t="str">
        <f>IF(Settings!$M$4=Settings!$Y$3,IF($AA1099=2,"P",""),IF($AA1099=6,"P",""))</f>
        <v/>
      </c>
      <c r="L1099" s="158" t="str">
        <f>IF(Settings!$M$4=Settings!$Y$3,IF($AA1099=2,"P",""),IF($AA1099=7,"P",""))</f>
        <v/>
      </c>
      <c r="M1099" s="158" t="str">
        <f>IF(Settings!$M$4=Settings!$Y$3,IF($AA1099=2,"P",""),IF($AA1099=8,"P",""))</f>
        <v/>
      </c>
      <c r="N1099" s="158" t="str">
        <f>IF(Settings!$M$4=Settings!$Y$3,IF($AA1099=3,"P",""),IF($AA1099=9,"P",""))</f>
        <v/>
      </c>
      <c r="O1099" s="159" t="str">
        <f>IF(Settings!$M$4=Settings!$Y$3,IF($AA1099=3,"P",""),IF($AA1099=10,"P",""))</f>
        <v/>
      </c>
      <c r="P1099" s="22"/>
      <c r="Q1099" s="22"/>
      <c r="R1099" s="353" t="e">
        <f>IF(INDEX(TblDatabase[Comment19],MATCH(1,INDEX(($L$4=ListEmployeeNamesInDatabase)*(C1073=TblDatabase[Year]),0,1),0))="","",INDEX(TblDatabase[Comment19],MATCH(1,INDEX(($L$4=ListEmployeeNamesInDatabase)*(C1073=TblDatabase[Year]),0,1),0)))</f>
        <v>#N/A</v>
      </c>
      <c r="S1099" s="353"/>
      <c r="T1099" s="353"/>
      <c r="U1099" s="353"/>
      <c r="V1099" s="353"/>
      <c r="W1099" s="353"/>
      <c r="X1099" s="353"/>
      <c r="Y1099" s="354"/>
      <c r="Z1099" s="149"/>
      <c r="AA1099" s="151">
        <f>SUMIFS(TblDatabase[Competency19],ListEmployeeNamesInDatabase,$L$4,TblDatabase[Year],C1073)</f>
        <v>0</v>
      </c>
      <c r="AB1099" s="149"/>
      <c r="AC1099" s="149"/>
      <c r="AD1099" s="149"/>
      <c r="AE1099" s="149"/>
      <c r="AF1099" s="149"/>
    </row>
    <row r="1100" spans="2:32" s="148" customFormat="1" ht="15" hidden="1" customHeight="1">
      <c r="B1100" s="362" t="str">
        <f t="shared" si="25"/>
        <v/>
      </c>
      <c r="C1100" s="363"/>
      <c r="D1100" s="363"/>
      <c r="E1100" s="364"/>
      <c r="F1100" s="166" t="str">
        <f>IF(Settings!$M$4=Settings!$Y$3,IF($AA1100=1,"P",""),IF($AA1100=1,"P",""))</f>
        <v/>
      </c>
      <c r="G1100" s="167" t="str">
        <f>IF(Settings!$M$4=Settings!$Y$3,IF($AA1100=1,"P",""),IF($AA1100=2,"P",""))</f>
        <v/>
      </c>
      <c r="H1100" s="167" t="str">
        <f>IF(Settings!$M$4=Settings!$Y$3,IF($AA1100=1,"P",""),IF($AA1100=3,"P",""))</f>
        <v/>
      </c>
      <c r="I1100" s="167" t="str">
        <f>IF(Settings!$M$4=Settings!$Y$3,IF($AA1100=1,"P",""),IF($AA1100=4,"P",""))</f>
        <v/>
      </c>
      <c r="J1100" s="167" t="str">
        <f>IF(Settings!$M$4=Settings!$Y$3,IF($AA1100=2,"P",""),IF($AA1100=5,"P",""))</f>
        <v/>
      </c>
      <c r="K1100" s="167" t="str">
        <f>IF(Settings!$M$4=Settings!$Y$3,IF($AA1100=2,"P",""),IF($AA1100=6,"P",""))</f>
        <v/>
      </c>
      <c r="L1100" s="167" t="str">
        <f>IF(Settings!$M$4=Settings!$Y$3,IF($AA1100=2,"P",""),IF($AA1100=7,"P",""))</f>
        <v/>
      </c>
      <c r="M1100" s="167" t="str">
        <f>IF(Settings!$M$4=Settings!$Y$3,IF($AA1100=2,"P",""),IF($AA1100=8,"P",""))</f>
        <v/>
      </c>
      <c r="N1100" s="167" t="str">
        <f>IF(Settings!$M$4=Settings!$Y$3,IF($AA1100=3,"P",""),IF($AA1100=9,"P",""))</f>
        <v/>
      </c>
      <c r="O1100" s="168" t="str">
        <f>IF(Settings!$M$4=Settings!$Y$3,IF($AA1100=3,"P",""),IF($AA1100=10,"P",""))</f>
        <v/>
      </c>
      <c r="P1100" s="22"/>
      <c r="Q1100" s="22"/>
      <c r="R1100" s="365" t="e">
        <f>IF(INDEX(TblDatabase[Comment20],MATCH(1,INDEX(($L$4=ListEmployeeNamesInDatabase)*(C1073=TblDatabase[Year]),0,1),0))="","",INDEX(TblDatabase[Comment20],MATCH(1,INDEX(($L$4=ListEmployeeNamesInDatabase)*(C1073=TblDatabase[Year]),0,1),0)))</f>
        <v>#N/A</v>
      </c>
      <c r="S1100" s="365"/>
      <c r="T1100" s="365"/>
      <c r="U1100" s="365"/>
      <c r="V1100" s="365"/>
      <c r="W1100" s="365"/>
      <c r="X1100" s="365"/>
      <c r="Y1100" s="366"/>
      <c r="Z1100" s="149"/>
      <c r="AA1100" s="151">
        <f>SUMIFS(TblDatabase[Competency20],ListEmployeeNamesInDatabase,$L$4,TblDatabase[Year],C1073)</f>
        <v>0</v>
      </c>
      <c r="AB1100" s="149"/>
      <c r="AC1100" s="149"/>
      <c r="AD1100" s="149"/>
      <c r="AE1100" s="149"/>
      <c r="AF1100" s="149"/>
    </row>
    <row r="1101" spans="2:32" s="148" customFormat="1" hidden="1">
      <c r="B1101" s="414" t="s">
        <v>26</v>
      </c>
      <c r="C1101" s="415"/>
      <c r="D1101" s="415"/>
      <c r="E1101" s="371">
        <f ca="1">SUM(OFFSET(AA1081,0,0,NumberOfCompetencies))</f>
        <v>0</v>
      </c>
      <c r="F1101" s="372"/>
      <c r="G1101" s="152"/>
      <c r="H1101" s="152"/>
      <c r="I1101" s="152"/>
      <c r="J1101" s="152"/>
      <c r="K1101" s="152"/>
      <c r="L1101" s="152"/>
      <c r="M1101" s="152"/>
      <c r="N1101" s="152"/>
      <c r="O1101" s="152"/>
      <c r="P1101" s="152"/>
      <c r="Q1101" s="152"/>
      <c r="R1101" s="152"/>
      <c r="S1101" s="152"/>
      <c r="T1101" s="152"/>
      <c r="U1101" s="152"/>
      <c r="V1101" s="152"/>
      <c r="W1101" s="152"/>
      <c r="X1101" s="152"/>
      <c r="Y1101" s="152"/>
      <c r="Z1101" s="149"/>
      <c r="AA1101" s="149"/>
      <c r="AB1101" s="149"/>
      <c r="AC1101" s="149"/>
      <c r="AD1101" s="149"/>
      <c r="AE1101" s="149"/>
      <c r="AF1101" s="149"/>
    </row>
    <row r="1102" spans="2:32" s="148" customFormat="1" hidden="1">
      <c r="B1102" s="369" t="s">
        <v>27</v>
      </c>
      <c r="C1102" s="370"/>
      <c r="D1102" s="370"/>
      <c r="E1102" s="358">
        <f ca="1">E1101/NumberOfCompetencies</f>
        <v>0</v>
      </c>
      <c r="F1102" s="359"/>
      <c r="G1102" s="153"/>
      <c r="H1102" s="153"/>
      <c r="I1102" s="153"/>
      <c r="J1102" s="153"/>
      <c r="K1102" s="153"/>
      <c r="L1102" s="153"/>
      <c r="M1102" s="153"/>
      <c r="N1102" s="153"/>
      <c r="O1102" s="153"/>
      <c r="P1102" s="153"/>
      <c r="Q1102" s="153"/>
      <c r="R1102" s="153"/>
      <c r="S1102" s="153"/>
      <c r="T1102" s="153"/>
      <c r="U1102" s="153"/>
      <c r="V1102" s="153"/>
      <c r="W1102" s="153"/>
      <c r="X1102" s="153"/>
      <c r="Y1102" s="153"/>
      <c r="Z1102" s="149"/>
      <c r="AA1102" s="149"/>
      <c r="AB1102" s="149"/>
      <c r="AC1102" s="149"/>
      <c r="AD1102" s="149"/>
      <c r="AE1102" s="149"/>
      <c r="AF1102" s="149"/>
    </row>
    <row r="1103" spans="2:32" s="148" customFormat="1" hidden="1">
      <c r="B1103" s="154"/>
      <c r="C1103" s="154"/>
      <c r="D1103" s="154"/>
      <c r="E1103" s="154"/>
      <c r="F1103" s="154"/>
      <c r="G1103" s="154"/>
      <c r="H1103" s="154"/>
      <c r="I1103" s="154"/>
      <c r="J1103" s="154"/>
      <c r="K1103" s="154"/>
      <c r="L1103" s="154"/>
      <c r="M1103" s="154"/>
      <c r="N1103" s="154"/>
      <c r="O1103" s="154"/>
      <c r="P1103" s="154"/>
      <c r="Q1103" s="154"/>
      <c r="R1103" s="154"/>
      <c r="S1103" s="154"/>
      <c r="T1103" s="154"/>
      <c r="U1103" s="154"/>
      <c r="V1103" s="154"/>
      <c r="W1103" s="154"/>
      <c r="X1103" s="154"/>
      <c r="Y1103" s="154"/>
      <c r="Z1103" s="149"/>
      <c r="AA1103" s="149"/>
      <c r="AB1103" s="149"/>
      <c r="AC1103" s="149"/>
      <c r="AD1103" s="149"/>
      <c r="AE1103" s="149"/>
      <c r="AF1103" s="149"/>
    </row>
    <row r="1104" spans="2:32" s="148" customFormat="1" hidden="1">
      <c r="B1104" s="338" t="str">
        <f>Settings!$N$15</f>
        <v>Previously agreed actions</v>
      </c>
      <c r="C1104" s="339"/>
      <c r="D1104" s="339"/>
      <c r="E1104" s="339"/>
      <c r="F1104" s="339"/>
      <c r="G1104" s="339"/>
      <c r="H1104" s="339"/>
      <c r="I1104" s="339"/>
      <c r="J1104" s="339"/>
      <c r="K1104" s="339"/>
      <c r="L1104" s="339"/>
      <c r="M1104" s="339"/>
      <c r="N1104" s="339"/>
      <c r="O1104" s="339"/>
      <c r="P1104" s="339"/>
      <c r="Q1104" s="339"/>
      <c r="R1104" s="339"/>
      <c r="S1104" s="339"/>
      <c r="T1104" s="339"/>
      <c r="U1104" s="339"/>
      <c r="V1104" s="339"/>
      <c r="W1104" s="339"/>
      <c r="X1104" s="339"/>
      <c r="Y1104" s="340"/>
      <c r="Z1104" s="149"/>
      <c r="AA1104" s="149"/>
      <c r="AB1104" s="149"/>
      <c r="AC1104" s="149"/>
      <c r="AD1104" s="149"/>
      <c r="AE1104" s="149"/>
      <c r="AF1104" s="149"/>
    </row>
    <row r="1105" spans="1:32" s="148" customFormat="1" hidden="1">
      <c r="B1105" s="341" t="e">
        <f>IF(INDEX(TblDatabase[Feedback Does Well],MATCH(1,INDEX(($L$4=ListEmployeeNamesInDatabase)*(C1073=TblDatabase[Year]),0,1),0))="","",INDEX(TblDatabase[Feedback Does Well],MATCH(1,INDEX(($L$4=ListEmployeeNamesInDatabase)*(C1073=TblDatabase[Year]),0,1),0)))</f>
        <v>#N/A</v>
      </c>
      <c r="C1105" s="342"/>
      <c r="D1105" s="342"/>
      <c r="E1105" s="342"/>
      <c r="F1105" s="342"/>
      <c r="G1105" s="342"/>
      <c r="H1105" s="342"/>
      <c r="I1105" s="342"/>
      <c r="J1105" s="342"/>
      <c r="K1105" s="342"/>
      <c r="L1105" s="342"/>
      <c r="M1105" s="342"/>
      <c r="N1105" s="342"/>
      <c r="O1105" s="342"/>
      <c r="P1105" s="342"/>
      <c r="Q1105" s="342"/>
      <c r="R1105" s="342"/>
      <c r="S1105" s="342"/>
      <c r="T1105" s="342"/>
      <c r="U1105" s="342"/>
      <c r="V1105" s="342"/>
      <c r="W1105" s="342"/>
      <c r="X1105" s="342"/>
      <c r="Y1105" s="343"/>
      <c r="Z1105" s="149"/>
      <c r="AA1105" s="149"/>
      <c r="AB1105" s="149"/>
      <c r="AC1105" s="149"/>
      <c r="AD1105" s="149"/>
      <c r="AE1105" s="149"/>
      <c r="AF1105" s="149"/>
    </row>
    <row r="1106" spans="1:32" s="148" customFormat="1" hidden="1">
      <c r="B1106" s="344"/>
      <c r="C1106" s="345"/>
      <c r="D1106" s="345"/>
      <c r="E1106" s="345"/>
      <c r="F1106" s="345"/>
      <c r="G1106" s="345"/>
      <c r="H1106" s="345"/>
      <c r="I1106" s="345"/>
      <c r="J1106" s="345"/>
      <c r="K1106" s="345"/>
      <c r="L1106" s="345"/>
      <c r="M1106" s="345"/>
      <c r="N1106" s="345"/>
      <c r="O1106" s="345"/>
      <c r="P1106" s="345"/>
      <c r="Q1106" s="345"/>
      <c r="R1106" s="345"/>
      <c r="S1106" s="345"/>
      <c r="T1106" s="345"/>
      <c r="U1106" s="345"/>
      <c r="V1106" s="345"/>
      <c r="W1106" s="345"/>
      <c r="X1106" s="345"/>
      <c r="Y1106" s="346"/>
      <c r="Z1106" s="149"/>
      <c r="AA1106" s="149"/>
      <c r="AB1106" s="149"/>
      <c r="AC1106" s="149"/>
      <c r="AD1106" s="149"/>
      <c r="AE1106" s="149"/>
      <c r="AF1106" s="149"/>
    </row>
    <row r="1107" spans="1:32" s="148" customFormat="1" hidden="1">
      <c r="B1107" s="347"/>
      <c r="C1107" s="348"/>
      <c r="D1107" s="348"/>
      <c r="E1107" s="348"/>
      <c r="F1107" s="348"/>
      <c r="G1107" s="348"/>
      <c r="H1107" s="348"/>
      <c r="I1107" s="348"/>
      <c r="J1107" s="348"/>
      <c r="K1107" s="348"/>
      <c r="L1107" s="348"/>
      <c r="M1107" s="348"/>
      <c r="N1107" s="348"/>
      <c r="O1107" s="348"/>
      <c r="P1107" s="348"/>
      <c r="Q1107" s="348"/>
      <c r="R1107" s="348"/>
      <c r="S1107" s="348"/>
      <c r="T1107" s="348"/>
      <c r="U1107" s="348"/>
      <c r="V1107" s="348"/>
      <c r="W1107" s="348"/>
      <c r="X1107" s="348"/>
      <c r="Y1107" s="349"/>
      <c r="Z1107" s="149"/>
      <c r="AA1107" s="149"/>
      <c r="AB1107" s="149"/>
      <c r="AC1107" s="149"/>
      <c r="AD1107" s="149"/>
      <c r="AE1107" s="149"/>
      <c r="AF1107" s="149"/>
    </row>
    <row r="1108" spans="1:32" s="148" customFormat="1" hidden="1">
      <c r="B1108" s="155"/>
      <c r="C1108" s="155"/>
      <c r="D1108" s="155"/>
      <c r="E1108" s="155"/>
      <c r="F1108" s="155"/>
      <c r="G1108" s="155"/>
      <c r="H1108" s="155"/>
      <c r="I1108" s="155"/>
      <c r="J1108" s="155"/>
      <c r="K1108" s="155"/>
      <c r="L1108" s="155"/>
      <c r="M1108" s="155"/>
      <c r="N1108" s="155"/>
      <c r="O1108" s="155"/>
      <c r="P1108" s="155"/>
      <c r="Q1108" s="155"/>
      <c r="R1108" s="155"/>
      <c r="S1108" s="155"/>
      <c r="T1108" s="155"/>
      <c r="U1108" s="155"/>
      <c r="V1108" s="155"/>
      <c r="W1108" s="155"/>
      <c r="X1108" s="155"/>
      <c r="Y1108" s="155"/>
      <c r="Z1108" s="149"/>
      <c r="AA1108" s="149"/>
      <c r="AB1108" s="149"/>
      <c r="AC1108" s="149"/>
      <c r="AD1108" s="149"/>
      <c r="AE1108" s="149"/>
      <c r="AF1108" s="149"/>
    </row>
    <row r="1109" spans="1:32" s="148" customFormat="1" hidden="1">
      <c r="B1109" s="338" t="str">
        <f>Settings!$N$16</f>
        <v>Actions agreed during this review</v>
      </c>
      <c r="C1109" s="339"/>
      <c r="D1109" s="339"/>
      <c r="E1109" s="339"/>
      <c r="F1109" s="339"/>
      <c r="G1109" s="339"/>
      <c r="H1109" s="339"/>
      <c r="I1109" s="339"/>
      <c r="J1109" s="339"/>
      <c r="K1109" s="339"/>
      <c r="L1109" s="339"/>
      <c r="M1109" s="339"/>
      <c r="N1109" s="339"/>
      <c r="O1109" s="339"/>
      <c r="P1109" s="339"/>
      <c r="Q1109" s="339"/>
      <c r="R1109" s="339"/>
      <c r="S1109" s="339"/>
      <c r="T1109" s="339"/>
      <c r="U1109" s="339"/>
      <c r="V1109" s="339"/>
      <c r="W1109" s="339"/>
      <c r="X1109" s="339"/>
      <c r="Y1109" s="340"/>
      <c r="Z1109" s="149"/>
      <c r="AA1109" s="149"/>
      <c r="AB1109" s="149"/>
      <c r="AC1109" s="149"/>
      <c r="AD1109" s="149"/>
      <c r="AE1109" s="149"/>
      <c r="AF1109" s="149"/>
    </row>
    <row r="1110" spans="1:32" s="148" customFormat="1" hidden="1">
      <c r="B1110" s="341" t="e">
        <f>IF(INDEX(TblDatabase[Feedback To Improve],MATCH(1,INDEX(($L$4=ListEmployeeNamesInDatabase)*(C1073=TblDatabase[Year]),0,1),0))="","",INDEX(TblDatabase[Feedback To Improve],MATCH(1,INDEX(($L$4=ListEmployeeNamesInDatabase)*(C1073=TblDatabase[Year]),0,1),0)))</f>
        <v>#N/A</v>
      </c>
      <c r="C1110" s="342"/>
      <c r="D1110" s="342"/>
      <c r="E1110" s="342"/>
      <c r="F1110" s="342"/>
      <c r="G1110" s="342"/>
      <c r="H1110" s="342"/>
      <c r="I1110" s="342"/>
      <c r="J1110" s="342"/>
      <c r="K1110" s="342"/>
      <c r="L1110" s="342"/>
      <c r="M1110" s="342"/>
      <c r="N1110" s="342"/>
      <c r="O1110" s="342"/>
      <c r="P1110" s="342"/>
      <c r="Q1110" s="342"/>
      <c r="R1110" s="342"/>
      <c r="S1110" s="342"/>
      <c r="T1110" s="342"/>
      <c r="U1110" s="342"/>
      <c r="V1110" s="342"/>
      <c r="W1110" s="342"/>
      <c r="X1110" s="342"/>
      <c r="Y1110" s="343"/>
      <c r="Z1110" s="149"/>
      <c r="AA1110" s="149"/>
      <c r="AB1110" s="149"/>
      <c r="AC1110" s="149"/>
      <c r="AD1110" s="149"/>
      <c r="AE1110" s="149"/>
      <c r="AF1110" s="149"/>
    </row>
    <row r="1111" spans="1:32" s="148" customFormat="1" hidden="1">
      <c r="B1111" s="344"/>
      <c r="C1111" s="345"/>
      <c r="D1111" s="345"/>
      <c r="E1111" s="345"/>
      <c r="F1111" s="345"/>
      <c r="G1111" s="345"/>
      <c r="H1111" s="345"/>
      <c r="I1111" s="345"/>
      <c r="J1111" s="345"/>
      <c r="K1111" s="345"/>
      <c r="L1111" s="345"/>
      <c r="M1111" s="345"/>
      <c r="N1111" s="345"/>
      <c r="O1111" s="345"/>
      <c r="P1111" s="345"/>
      <c r="Q1111" s="345"/>
      <c r="R1111" s="345"/>
      <c r="S1111" s="345"/>
      <c r="T1111" s="345"/>
      <c r="U1111" s="345"/>
      <c r="V1111" s="345"/>
      <c r="W1111" s="345"/>
      <c r="X1111" s="345"/>
      <c r="Y1111" s="346"/>
      <c r="Z1111" s="149"/>
      <c r="AA1111" s="149"/>
      <c r="AB1111" s="149"/>
      <c r="AC1111" s="149"/>
      <c r="AD1111" s="149"/>
      <c r="AE1111" s="149"/>
      <c r="AF1111" s="149"/>
    </row>
    <row r="1112" spans="1:32" s="148" customFormat="1" hidden="1">
      <c r="B1112" s="347"/>
      <c r="C1112" s="348"/>
      <c r="D1112" s="348"/>
      <c r="E1112" s="348"/>
      <c r="F1112" s="348"/>
      <c r="G1112" s="348"/>
      <c r="H1112" s="348"/>
      <c r="I1112" s="348"/>
      <c r="J1112" s="348"/>
      <c r="K1112" s="348"/>
      <c r="L1112" s="348"/>
      <c r="M1112" s="348"/>
      <c r="N1112" s="348"/>
      <c r="O1112" s="348"/>
      <c r="P1112" s="348"/>
      <c r="Q1112" s="348"/>
      <c r="R1112" s="348"/>
      <c r="S1112" s="348"/>
      <c r="T1112" s="348"/>
      <c r="U1112" s="348"/>
      <c r="V1112" s="348"/>
      <c r="W1112" s="348"/>
      <c r="X1112" s="348"/>
      <c r="Y1112" s="349"/>
      <c r="Z1112" s="149"/>
      <c r="AA1112" s="149"/>
      <c r="AB1112" s="149"/>
      <c r="AC1112" s="149"/>
      <c r="AD1112" s="149"/>
      <c r="AE1112" s="149"/>
      <c r="AF1112" s="149"/>
    </row>
    <row r="1113" spans="1:32" s="148" customFormat="1" hidden="1">
      <c r="B1113" s="156"/>
      <c r="C1113" s="156"/>
      <c r="D1113" s="156"/>
      <c r="E1113" s="155"/>
      <c r="F1113" s="155"/>
      <c r="G1113" s="155"/>
      <c r="H1113" s="155"/>
      <c r="I1113" s="155"/>
      <c r="J1113" s="155"/>
      <c r="K1113" s="155"/>
      <c r="L1113" s="155"/>
      <c r="M1113" s="155"/>
      <c r="N1113" s="155"/>
      <c r="O1113" s="155"/>
      <c r="P1113" s="155"/>
      <c r="Q1113" s="155"/>
      <c r="R1113" s="155"/>
      <c r="S1113" s="155"/>
      <c r="T1113" s="155"/>
      <c r="U1113" s="155"/>
      <c r="V1113" s="155"/>
      <c r="W1113" s="155"/>
      <c r="X1113" s="155"/>
      <c r="Y1113" s="155"/>
      <c r="Z1113" s="149"/>
      <c r="AA1113" s="149"/>
      <c r="AB1113" s="149"/>
      <c r="AC1113" s="149"/>
      <c r="AD1113" s="149"/>
      <c r="AE1113" s="149"/>
      <c r="AF1113" s="149"/>
    </row>
    <row r="1114" spans="1:32" s="148" customFormat="1" hidden="1">
      <c r="A1114" s="150">
        <f>A1073+1</f>
        <v>27</v>
      </c>
      <c r="B1114" s="27" t="s">
        <v>14</v>
      </c>
      <c r="C1114" s="333">
        <f>C1073-1</f>
        <v>1994</v>
      </c>
      <c r="D1114" s="334"/>
      <c r="Y1114" s="149"/>
      <c r="Z1114" s="149"/>
      <c r="AA1114" s="149"/>
      <c r="AB1114" s="149"/>
      <c r="AC1114" s="149"/>
      <c r="AD1114" s="149"/>
      <c r="AE1114" s="149"/>
      <c r="AF1114" s="149"/>
    </row>
    <row r="1115" spans="1:32" s="148" customFormat="1" hidden="1">
      <c r="Y1115" s="149"/>
      <c r="Z1115" s="149"/>
      <c r="AA1115" s="149"/>
      <c r="AB1115" s="149"/>
      <c r="AC1115" s="149"/>
      <c r="AD1115" s="149"/>
      <c r="AE1115" s="149"/>
      <c r="AF1115" s="149"/>
    </row>
    <row r="1116" spans="1:32" s="148" customFormat="1" hidden="1">
      <c r="B1116" s="338" t="str">
        <f>Settings!$N$14</f>
        <v>Employee's comments</v>
      </c>
      <c r="C1116" s="339"/>
      <c r="D1116" s="339"/>
      <c r="E1116" s="339"/>
      <c r="F1116" s="339"/>
      <c r="G1116" s="339"/>
      <c r="H1116" s="339"/>
      <c r="I1116" s="339"/>
      <c r="J1116" s="339"/>
      <c r="K1116" s="339"/>
      <c r="L1116" s="339"/>
      <c r="M1116" s="339"/>
      <c r="N1116" s="339"/>
      <c r="O1116" s="339"/>
      <c r="P1116" s="339"/>
      <c r="Q1116" s="339"/>
      <c r="R1116" s="339"/>
      <c r="S1116" s="339"/>
      <c r="T1116" s="339"/>
      <c r="U1116" s="339"/>
      <c r="V1116" s="339"/>
      <c r="W1116" s="339"/>
      <c r="X1116" s="339"/>
      <c r="Y1116" s="340"/>
      <c r="Z1116" s="149"/>
      <c r="AA1116" s="149"/>
      <c r="AB1116" s="149"/>
      <c r="AC1116" s="149"/>
      <c r="AD1116" s="149"/>
      <c r="AE1116" s="149"/>
      <c r="AF1116" s="149"/>
    </row>
    <row r="1117" spans="1:32" s="148" customFormat="1" hidden="1">
      <c r="B1117" s="341" t="e">
        <f>IF(INDEX(TblDatabase[Feedback Warnings],MATCH(1,INDEX(($L$4=ListEmployeeNamesInDatabase)*(C1114=TblDatabase[Year]),0,1),0))="","",INDEX(TblDatabase[Feedback Warnings],MATCH(1,INDEX(($L$4=ListEmployeeNamesInDatabase)*(C1114=TblDatabase[Year]),0,1),0)))</f>
        <v>#N/A</v>
      </c>
      <c r="C1117" s="342"/>
      <c r="D1117" s="342"/>
      <c r="E1117" s="342"/>
      <c r="F1117" s="342"/>
      <c r="G1117" s="342"/>
      <c r="H1117" s="342"/>
      <c r="I1117" s="342"/>
      <c r="J1117" s="342"/>
      <c r="K1117" s="342"/>
      <c r="L1117" s="342"/>
      <c r="M1117" s="342"/>
      <c r="N1117" s="342"/>
      <c r="O1117" s="342"/>
      <c r="P1117" s="342"/>
      <c r="Q1117" s="342"/>
      <c r="R1117" s="342"/>
      <c r="S1117" s="342"/>
      <c r="T1117" s="342"/>
      <c r="U1117" s="342"/>
      <c r="V1117" s="342"/>
      <c r="W1117" s="342"/>
      <c r="X1117" s="342"/>
      <c r="Y1117" s="343"/>
      <c r="Z1117" s="149"/>
      <c r="AA1117" s="149"/>
      <c r="AB1117" s="149"/>
      <c r="AC1117" s="149"/>
      <c r="AD1117" s="149"/>
      <c r="AE1117" s="149"/>
      <c r="AF1117" s="149"/>
    </row>
    <row r="1118" spans="1:32" s="148" customFormat="1" hidden="1">
      <c r="B1118" s="344"/>
      <c r="C1118" s="345"/>
      <c r="D1118" s="345"/>
      <c r="E1118" s="345"/>
      <c r="F1118" s="345"/>
      <c r="G1118" s="345"/>
      <c r="H1118" s="345"/>
      <c r="I1118" s="345"/>
      <c r="J1118" s="345"/>
      <c r="K1118" s="345"/>
      <c r="L1118" s="345"/>
      <c r="M1118" s="345"/>
      <c r="N1118" s="345"/>
      <c r="O1118" s="345"/>
      <c r="P1118" s="345"/>
      <c r="Q1118" s="345"/>
      <c r="R1118" s="345"/>
      <c r="S1118" s="345"/>
      <c r="T1118" s="345"/>
      <c r="U1118" s="345"/>
      <c r="V1118" s="345"/>
      <c r="W1118" s="345"/>
      <c r="X1118" s="345"/>
      <c r="Y1118" s="346"/>
      <c r="Z1118" s="149"/>
      <c r="AA1118" s="149"/>
      <c r="AB1118" s="149"/>
      <c r="AC1118" s="149"/>
      <c r="AD1118" s="149"/>
      <c r="AE1118" s="149"/>
      <c r="AF1118" s="149"/>
    </row>
    <row r="1119" spans="1:32" s="148" customFormat="1" hidden="1">
      <c r="B1119" s="347"/>
      <c r="C1119" s="348"/>
      <c r="D1119" s="348"/>
      <c r="E1119" s="348"/>
      <c r="F1119" s="348"/>
      <c r="G1119" s="348"/>
      <c r="H1119" s="348"/>
      <c r="I1119" s="348"/>
      <c r="J1119" s="348"/>
      <c r="K1119" s="348"/>
      <c r="L1119" s="348"/>
      <c r="M1119" s="348"/>
      <c r="N1119" s="348"/>
      <c r="O1119" s="348"/>
      <c r="P1119" s="348"/>
      <c r="Q1119" s="348"/>
      <c r="R1119" s="348"/>
      <c r="S1119" s="348"/>
      <c r="T1119" s="348"/>
      <c r="U1119" s="348"/>
      <c r="V1119" s="348"/>
      <c r="W1119" s="348"/>
      <c r="X1119" s="348"/>
      <c r="Y1119" s="349"/>
      <c r="Z1119" s="149"/>
      <c r="AA1119" s="149"/>
      <c r="AB1119" s="149"/>
      <c r="AC1119" s="149"/>
      <c r="AD1119" s="149"/>
      <c r="AE1119" s="149"/>
      <c r="AF1119" s="149"/>
    </row>
    <row r="1120" spans="1:32" s="148" customFormat="1" hidden="1">
      <c r="Y1120" s="149"/>
      <c r="Z1120" s="149"/>
      <c r="AA1120" s="149"/>
      <c r="AB1120" s="149"/>
      <c r="AC1120" s="149"/>
      <c r="AD1120" s="149"/>
      <c r="AE1120" s="149"/>
      <c r="AF1120" s="149"/>
    </row>
    <row r="1121" spans="2:32" s="148" customFormat="1" ht="15" hidden="1" customHeight="1">
      <c r="B1121" s="320" t="s">
        <v>8</v>
      </c>
      <c r="C1121" s="321"/>
      <c r="D1121" s="321"/>
      <c r="E1121" s="321"/>
      <c r="F1121" s="233">
        <f>IF(Settings!$M$4=Settings!$Y$3,Settings!$O$19,1)</f>
        <v>1</v>
      </c>
      <c r="G1121" s="234">
        <f>IF(Settings!$M$4=Settings!$Y$3,Settings!$O$19,2)</f>
        <v>2</v>
      </c>
      <c r="H1121" s="234">
        <f>IF(Settings!$M$4=Settings!$Y$3,Settings!$O$19,3)</f>
        <v>3</v>
      </c>
      <c r="I1121" s="234">
        <f>IF(Settings!$M$4=Settings!$Y$3,Settings!$O$19,4)</f>
        <v>4</v>
      </c>
      <c r="J1121" s="234">
        <f>IF(Settings!$M$4=Settings!$Y$3,Settings!$O$20,5)</f>
        <v>5</v>
      </c>
      <c r="K1121" s="234">
        <f>IF(Settings!$M$4=Settings!$Y$3,Settings!$O$20,6)</f>
        <v>6</v>
      </c>
      <c r="L1121" s="234">
        <f>IF(Settings!$M$4=Settings!$Y$3,Settings!$O$20,7)</f>
        <v>7</v>
      </c>
      <c r="M1121" s="234">
        <f>IF(Settings!$M$4=Settings!$Y$3,Settings!$O$20,8)</f>
        <v>8</v>
      </c>
      <c r="N1121" s="234">
        <f>IF(Settings!$M$4=Settings!$Y$3,Settings!$O$21,9)</f>
        <v>9</v>
      </c>
      <c r="O1121" s="235">
        <f>IF(Settings!$M$4=Settings!$Y$3,Settings!$O$21,10)</f>
        <v>10</v>
      </c>
      <c r="P1121" s="22"/>
      <c r="Q1121" s="22"/>
      <c r="R1121" s="333" t="s">
        <v>24</v>
      </c>
      <c r="S1121" s="333"/>
      <c r="T1121" s="333"/>
      <c r="U1121" s="333"/>
      <c r="V1121" s="333"/>
      <c r="W1121" s="333"/>
      <c r="X1121" s="333"/>
      <c r="Y1121" s="334"/>
      <c r="Z1121" s="149"/>
      <c r="AA1121" s="149"/>
      <c r="AB1121" s="149"/>
      <c r="AC1121" s="149"/>
      <c r="AD1121" s="149"/>
      <c r="AE1121" s="149"/>
      <c r="AF1121" s="149"/>
    </row>
    <row r="1122" spans="2:32" s="148" customFormat="1" ht="15" hidden="1" customHeight="1">
      <c r="B1122" s="335" t="str">
        <f t="shared" ref="B1122:B1141" si="26">B1081</f>
        <v>Quality of Work</v>
      </c>
      <c r="C1122" s="336"/>
      <c r="D1122" s="336"/>
      <c r="E1122" s="337"/>
      <c r="F1122" s="162" t="str">
        <f>IF(Settings!$M$4=Settings!$Y$3,IF($AA1122=1,"P",""),IF($AA1122=1,"P",""))</f>
        <v/>
      </c>
      <c r="G1122" s="160" t="str">
        <f>IF(Settings!$M$4=Settings!$Y$3,IF($AA1122=1,"P",""),IF($AA1122=2,"P",""))</f>
        <v/>
      </c>
      <c r="H1122" s="160" t="str">
        <f>IF(Settings!$M$4=Settings!$Y$3,IF($AA1122=1,"P",""),IF($AA1122=3,"P",""))</f>
        <v/>
      </c>
      <c r="I1122" s="160" t="str">
        <f>IF(Settings!$M$4=Settings!$Y$3,IF($AA1122=1,"P",""),IF($AA1122=4,"P",""))</f>
        <v/>
      </c>
      <c r="J1122" s="160" t="str">
        <f>IF(Settings!$M$4=Settings!$Y$3,IF($AA1122=2,"P",""),IF($AA1122=5,"P",""))</f>
        <v/>
      </c>
      <c r="K1122" s="160" t="str">
        <f>IF(Settings!$M$4=Settings!$Y$3,IF($AA1122=2,"P",""),IF($AA1122=6,"P",""))</f>
        <v/>
      </c>
      <c r="L1122" s="160" t="str">
        <f>IF(Settings!$M$4=Settings!$Y$3,IF($AA1122=2,"P",""),IF($AA1122=7,"P",""))</f>
        <v/>
      </c>
      <c r="M1122" s="160" t="str">
        <f>IF(Settings!$M$4=Settings!$Y$3,IF($AA1122=2,"P",""),IF($AA1122=8,"P",""))</f>
        <v/>
      </c>
      <c r="N1122" s="160" t="str">
        <f>IF(Settings!$M$4=Settings!$Y$3,IF($AA1122=3,"P",""),IF($AA1122=9,"P",""))</f>
        <v/>
      </c>
      <c r="O1122" s="161" t="str">
        <f>IF(Settings!$M$4=Settings!$Y$3,IF($AA1122=3,"P",""),IF($AA1122=10,"P",""))</f>
        <v/>
      </c>
      <c r="P1122" s="22"/>
      <c r="Q1122" s="22"/>
      <c r="R1122" s="367" t="e">
        <f>IF(INDEX(TblDatabase[Comment1],MATCH(1,INDEX(($L$4=ListEmployeeNamesInDatabase)*(C1114=TblDatabase[Year]),0,1),0))="","",INDEX(TblDatabase[Comment1],MATCH(1,INDEX(($L$4=ListEmployeeNamesInDatabase)*(C1114=TblDatabase[Year]),0,1),0)))</f>
        <v>#N/A</v>
      </c>
      <c r="S1122" s="367"/>
      <c r="T1122" s="367"/>
      <c r="U1122" s="367"/>
      <c r="V1122" s="367"/>
      <c r="W1122" s="367"/>
      <c r="X1122" s="367"/>
      <c r="Y1122" s="368"/>
      <c r="Z1122" s="149"/>
      <c r="AA1122" s="151">
        <f>SUMIFS(TblDatabase[Competency1],ListEmployeeNamesInDatabase,$L$4,TblDatabase[Year],C1114)</f>
        <v>0</v>
      </c>
      <c r="AB1122" s="149"/>
      <c r="AC1122" s="149"/>
      <c r="AD1122" s="149"/>
      <c r="AE1122" s="149"/>
      <c r="AF1122" s="149"/>
    </row>
    <row r="1123" spans="2:32" s="148" customFormat="1" ht="15" hidden="1" customHeight="1">
      <c r="B1123" s="355" t="str">
        <f t="shared" si="26"/>
        <v>CaLL flow</v>
      </c>
      <c r="C1123" s="356"/>
      <c r="D1123" s="356"/>
      <c r="E1123" s="357"/>
      <c r="F1123" s="163" t="str">
        <f>IF(Settings!$M$4=Settings!$Y$3,IF($AA1123=1,"P",""),IF($AA1123=1,"P",""))</f>
        <v/>
      </c>
      <c r="G1123" s="164" t="str">
        <f>IF(Settings!$M$4=Settings!$Y$3,IF($AA1123=1,"P",""),IF($AA1123=2,"P",""))</f>
        <v/>
      </c>
      <c r="H1123" s="164" t="str">
        <f>IF(Settings!$M$4=Settings!$Y$3,IF($AA1123=1,"P",""),IF($AA1123=3,"P",""))</f>
        <v/>
      </c>
      <c r="I1123" s="164" t="str">
        <f>IF(Settings!$M$4=Settings!$Y$3,IF($AA1123=1,"P",""),IF($AA1123=4,"P",""))</f>
        <v/>
      </c>
      <c r="J1123" s="164" t="str">
        <f>IF(Settings!$M$4=Settings!$Y$3,IF($AA1123=2,"P",""),IF($AA1123=5,"P",""))</f>
        <v/>
      </c>
      <c r="K1123" s="164" t="str">
        <f>IF(Settings!$M$4=Settings!$Y$3,IF($AA1123=2,"P",""),IF($AA1123=6,"P",""))</f>
        <v/>
      </c>
      <c r="L1123" s="164" t="str">
        <f>IF(Settings!$M$4=Settings!$Y$3,IF($AA1123=2,"P",""),IF($AA1123=7,"P",""))</f>
        <v/>
      </c>
      <c r="M1123" s="164" t="str">
        <f>IF(Settings!$M$4=Settings!$Y$3,IF($AA1123=2,"P",""),IF($AA1123=8,"P",""))</f>
        <v/>
      </c>
      <c r="N1123" s="164" t="str">
        <f>IF(Settings!$M$4=Settings!$Y$3,IF($AA1123=3,"P",""),IF($AA1123=9,"P",""))</f>
        <v/>
      </c>
      <c r="O1123" s="165" t="str">
        <f>IF(Settings!$M$4=Settings!$Y$3,IF($AA1123=3,"P",""),IF($AA1123=10,"P",""))</f>
        <v/>
      </c>
      <c r="P1123" s="22"/>
      <c r="Q1123" s="22"/>
      <c r="R1123" s="360" t="e">
        <f>IF(INDEX(TblDatabase[Comment2],MATCH(1,INDEX(($L$4=ListEmployeeNamesInDatabase)*(C1114=TblDatabase[Year]),0,1),0))="","",INDEX(TblDatabase[Comment2],MATCH(1,INDEX(($L$4=ListEmployeeNamesInDatabase)*(C1114=TblDatabase[Year]),0,1),0)))</f>
        <v>#N/A</v>
      </c>
      <c r="S1123" s="360"/>
      <c r="T1123" s="360"/>
      <c r="U1123" s="360"/>
      <c r="V1123" s="360"/>
      <c r="W1123" s="360"/>
      <c r="X1123" s="360"/>
      <c r="Y1123" s="361"/>
      <c r="Z1123" s="149"/>
      <c r="AA1123" s="151">
        <f>SUMIFS(TblDatabase[Competency2],ListEmployeeNamesInDatabase,$L$4,TblDatabase[Year],C1114)</f>
        <v>0</v>
      </c>
      <c r="AB1123" s="149"/>
      <c r="AC1123" s="149"/>
      <c r="AD1123" s="149"/>
      <c r="AE1123" s="149"/>
      <c r="AF1123" s="149"/>
    </row>
    <row r="1124" spans="2:32" s="148" customFormat="1" ht="15" hidden="1" customHeight="1">
      <c r="B1124" s="350" t="str">
        <f t="shared" si="26"/>
        <v>Job Knowledge</v>
      </c>
      <c r="C1124" s="351"/>
      <c r="D1124" s="351"/>
      <c r="E1124" s="352"/>
      <c r="F1124" s="157" t="str">
        <f>IF(Settings!$M$4=Settings!$Y$3,IF($AA1124=1,"P",""),IF($AA1124=1,"P",""))</f>
        <v/>
      </c>
      <c r="G1124" s="158" t="str">
        <f>IF(Settings!$M$4=Settings!$Y$3,IF($AA1124=1,"P",""),IF($AA1124=2,"P",""))</f>
        <v/>
      </c>
      <c r="H1124" s="158" t="str">
        <f>IF(Settings!$M$4=Settings!$Y$3,IF($AA1124=1,"P",""),IF($AA1124=3,"P",""))</f>
        <v/>
      </c>
      <c r="I1124" s="158" t="str">
        <f>IF(Settings!$M$4=Settings!$Y$3,IF($AA1124=1,"P",""),IF($AA1124=4,"P",""))</f>
        <v/>
      </c>
      <c r="J1124" s="158" t="str">
        <f>IF(Settings!$M$4=Settings!$Y$3,IF($AA1124=2,"P",""),IF($AA1124=5,"P",""))</f>
        <v/>
      </c>
      <c r="K1124" s="158" t="str">
        <f>IF(Settings!$M$4=Settings!$Y$3,IF($AA1124=2,"P",""),IF($AA1124=6,"P",""))</f>
        <v/>
      </c>
      <c r="L1124" s="158" t="str">
        <f>IF(Settings!$M$4=Settings!$Y$3,IF($AA1124=2,"P",""),IF($AA1124=7,"P",""))</f>
        <v/>
      </c>
      <c r="M1124" s="158" t="str">
        <f>IF(Settings!$M$4=Settings!$Y$3,IF($AA1124=2,"P",""),IF($AA1124=8,"P",""))</f>
        <v/>
      </c>
      <c r="N1124" s="158" t="str">
        <f>IF(Settings!$M$4=Settings!$Y$3,IF($AA1124=3,"P",""),IF($AA1124=9,"P",""))</f>
        <v/>
      </c>
      <c r="O1124" s="159" t="str">
        <f>IF(Settings!$M$4=Settings!$Y$3,IF($AA1124=3,"P",""),IF($AA1124=10,"P",""))</f>
        <v/>
      </c>
      <c r="P1124" s="22"/>
      <c r="Q1124" s="22"/>
      <c r="R1124" s="353" t="e">
        <f>IF(INDEX(TblDatabase[Comment3],MATCH(1,INDEX(($L$4=ListEmployeeNamesInDatabase)*(C1114=TblDatabase[Year]),0,1),0))="","",INDEX(TblDatabase[Comment3],MATCH(1,INDEX(($L$4=ListEmployeeNamesInDatabase)*(C1114=TblDatabase[Year]),0,1),0)))</f>
        <v>#N/A</v>
      </c>
      <c r="S1124" s="353"/>
      <c r="T1124" s="353"/>
      <c r="U1124" s="353"/>
      <c r="V1124" s="353"/>
      <c r="W1124" s="353"/>
      <c r="X1124" s="353"/>
      <c r="Y1124" s="354"/>
      <c r="Z1124" s="149"/>
      <c r="AA1124" s="151">
        <f>SUMIFS(TblDatabase[Competency3],ListEmployeeNamesInDatabase,$L$4,TblDatabase[Year],C1114)</f>
        <v>0</v>
      </c>
      <c r="AB1124" s="149"/>
      <c r="AC1124" s="149"/>
      <c r="AD1124" s="149"/>
      <c r="AE1124" s="149"/>
      <c r="AF1124" s="149"/>
    </row>
    <row r="1125" spans="2:32" s="148" customFormat="1" ht="15" hidden="1" customHeight="1">
      <c r="B1125" s="355" t="str">
        <f t="shared" si="26"/>
        <v>Client Service</v>
      </c>
      <c r="C1125" s="356"/>
      <c r="D1125" s="356"/>
      <c r="E1125" s="357"/>
      <c r="F1125" s="163" t="str">
        <f>IF(Settings!$M$4=Settings!$Y$3,IF($AA1125=1,"P",""),IF($AA1125=1,"P",""))</f>
        <v/>
      </c>
      <c r="G1125" s="164" t="str">
        <f>IF(Settings!$M$4=Settings!$Y$3,IF($AA1125=1,"P",""),IF($AA1125=2,"P",""))</f>
        <v/>
      </c>
      <c r="H1125" s="164" t="str">
        <f>IF(Settings!$M$4=Settings!$Y$3,IF($AA1125=1,"P",""),IF($AA1125=3,"P",""))</f>
        <v/>
      </c>
      <c r="I1125" s="164" t="str">
        <f>IF(Settings!$M$4=Settings!$Y$3,IF($AA1125=1,"P",""),IF($AA1125=4,"P",""))</f>
        <v/>
      </c>
      <c r="J1125" s="164" t="str">
        <f>IF(Settings!$M$4=Settings!$Y$3,IF($AA1125=2,"P",""),IF($AA1125=5,"P",""))</f>
        <v/>
      </c>
      <c r="K1125" s="164" t="str">
        <f>IF(Settings!$M$4=Settings!$Y$3,IF($AA1125=2,"P",""),IF($AA1125=6,"P",""))</f>
        <v/>
      </c>
      <c r="L1125" s="164" t="str">
        <f>IF(Settings!$M$4=Settings!$Y$3,IF($AA1125=2,"P",""),IF($AA1125=7,"P",""))</f>
        <v/>
      </c>
      <c r="M1125" s="164" t="str">
        <f>IF(Settings!$M$4=Settings!$Y$3,IF($AA1125=2,"P",""),IF($AA1125=8,"P",""))</f>
        <v/>
      </c>
      <c r="N1125" s="164" t="str">
        <f>IF(Settings!$M$4=Settings!$Y$3,IF($AA1125=3,"P",""),IF($AA1125=9,"P",""))</f>
        <v/>
      </c>
      <c r="O1125" s="165" t="str">
        <f>IF(Settings!$M$4=Settings!$Y$3,IF($AA1125=3,"P",""),IF($AA1125=10,"P",""))</f>
        <v/>
      </c>
      <c r="P1125" s="22"/>
      <c r="Q1125" s="22"/>
      <c r="R1125" s="360" t="e">
        <f>IF(INDEX(TblDatabase[Comment4],MATCH(1,INDEX(($L$4=ListEmployeeNamesInDatabase)*(C1114=TblDatabase[Year]),0,1),0))="","",INDEX(TblDatabase[Comment4],MATCH(1,INDEX(($L$4=ListEmployeeNamesInDatabase)*(C1114=TblDatabase[Year]),0,1),0)))</f>
        <v>#N/A</v>
      </c>
      <c r="S1125" s="360"/>
      <c r="T1125" s="360"/>
      <c r="U1125" s="360"/>
      <c r="V1125" s="360"/>
      <c r="W1125" s="360"/>
      <c r="X1125" s="360"/>
      <c r="Y1125" s="361"/>
      <c r="Z1125" s="149"/>
      <c r="AA1125" s="151">
        <f>SUMIFS(TblDatabase[Competency4],ListEmployeeNamesInDatabase,$L$4,TblDatabase[Year],C1114)</f>
        <v>0</v>
      </c>
      <c r="AB1125" s="149"/>
      <c r="AC1125" s="149"/>
      <c r="AD1125" s="149"/>
      <c r="AE1125" s="149"/>
      <c r="AF1125" s="149"/>
    </row>
    <row r="1126" spans="2:32" s="148" customFormat="1" ht="15" hidden="1" customHeight="1">
      <c r="B1126" s="350" t="str">
        <f t="shared" si="26"/>
        <v>Teamwork</v>
      </c>
      <c r="C1126" s="351"/>
      <c r="D1126" s="351"/>
      <c r="E1126" s="352"/>
      <c r="F1126" s="157" t="str">
        <f>IF(Settings!$M$4=Settings!$Y$3,IF($AA1126=1,"P",""),IF($AA1126=1,"P",""))</f>
        <v/>
      </c>
      <c r="G1126" s="158" t="str">
        <f>IF(Settings!$M$4=Settings!$Y$3,IF($AA1126=1,"P",""),IF($AA1126=2,"P",""))</f>
        <v/>
      </c>
      <c r="H1126" s="158" t="str">
        <f>IF(Settings!$M$4=Settings!$Y$3,IF($AA1126=1,"P",""),IF($AA1126=3,"P",""))</f>
        <v/>
      </c>
      <c r="I1126" s="158" t="str">
        <f>IF(Settings!$M$4=Settings!$Y$3,IF($AA1126=1,"P",""),IF($AA1126=4,"P",""))</f>
        <v/>
      </c>
      <c r="J1126" s="158" t="str">
        <f>IF(Settings!$M$4=Settings!$Y$3,IF($AA1126=2,"P",""),IF($AA1126=5,"P",""))</f>
        <v/>
      </c>
      <c r="K1126" s="158" t="str">
        <f>IF(Settings!$M$4=Settings!$Y$3,IF($AA1126=2,"P",""),IF($AA1126=6,"P",""))</f>
        <v/>
      </c>
      <c r="L1126" s="158" t="str">
        <f>IF(Settings!$M$4=Settings!$Y$3,IF($AA1126=2,"P",""),IF($AA1126=7,"P",""))</f>
        <v/>
      </c>
      <c r="M1126" s="158" t="str">
        <f>IF(Settings!$M$4=Settings!$Y$3,IF($AA1126=2,"P",""),IF($AA1126=8,"P",""))</f>
        <v/>
      </c>
      <c r="N1126" s="158" t="str">
        <f>IF(Settings!$M$4=Settings!$Y$3,IF($AA1126=3,"P",""),IF($AA1126=9,"P",""))</f>
        <v/>
      </c>
      <c r="O1126" s="159" t="str">
        <f>IF(Settings!$M$4=Settings!$Y$3,IF($AA1126=3,"P",""),IF($AA1126=10,"P",""))</f>
        <v/>
      </c>
      <c r="P1126" s="22"/>
      <c r="Q1126" s="22"/>
      <c r="R1126" s="353" t="e">
        <f>IF(INDEX(TblDatabase[Comment5],MATCH(1,INDEX(($L$4=ListEmployeeNamesInDatabase)*(C1114=TblDatabase[Year]),0,1),0))="","",INDEX(TblDatabase[Comment5],MATCH(1,INDEX(($L$4=ListEmployeeNamesInDatabase)*(C1114=TblDatabase[Year]),0,1),0)))</f>
        <v>#N/A</v>
      </c>
      <c r="S1126" s="353"/>
      <c r="T1126" s="353"/>
      <c r="U1126" s="353"/>
      <c r="V1126" s="353"/>
      <c r="W1126" s="353"/>
      <c r="X1126" s="353"/>
      <c r="Y1126" s="354"/>
      <c r="Z1126" s="149"/>
      <c r="AA1126" s="151">
        <f>SUMIFS(TblDatabase[Competency5],ListEmployeeNamesInDatabase,$L$4,TblDatabase[Year],C1114)</f>
        <v>0</v>
      </c>
      <c r="AB1126" s="149"/>
      <c r="AC1126" s="149"/>
      <c r="AD1126" s="149"/>
      <c r="AE1126" s="149"/>
      <c r="AF1126" s="149"/>
    </row>
    <row r="1127" spans="2:32" s="148" customFormat="1" ht="15" hidden="1" customHeight="1">
      <c r="B1127" s="355" t="str">
        <f t="shared" si="26"/>
        <v>Safety</v>
      </c>
      <c r="C1127" s="356"/>
      <c r="D1127" s="356"/>
      <c r="E1127" s="357"/>
      <c r="F1127" s="163" t="str">
        <f>IF(Settings!$M$4=Settings!$Y$3,IF($AA1127=1,"P",""),IF($AA1127=1,"P",""))</f>
        <v/>
      </c>
      <c r="G1127" s="164" t="str">
        <f>IF(Settings!$M$4=Settings!$Y$3,IF($AA1127=1,"P",""),IF($AA1127=2,"P",""))</f>
        <v/>
      </c>
      <c r="H1127" s="164" t="str">
        <f>IF(Settings!$M$4=Settings!$Y$3,IF($AA1127=1,"P",""),IF($AA1127=3,"P",""))</f>
        <v/>
      </c>
      <c r="I1127" s="164" t="str">
        <f>IF(Settings!$M$4=Settings!$Y$3,IF($AA1127=1,"P",""),IF($AA1127=4,"P",""))</f>
        <v/>
      </c>
      <c r="J1127" s="164" t="str">
        <f>IF(Settings!$M$4=Settings!$Y$3,IF($AA1127=2,"P",""),IF($AA1127=5,"P",""))</f>
        <v/>
      </c>
      <c r="K1127" s="164" t="str">
        <f>IF(Settings!$M$4=Settings!$Y$3,IF($AA1127=2,"P",""),IF($AA1127=6,"P",""))</f>
        <v/>
      </c>
      <c r="L1127" s="164" t="str">
        <f>IF(Settings!$M$4=Settings!$Y$3,IF($AA1127=2,"P",""),IF($AA1127=7,"P",""))</f>
        <v/>
      </c>
      <c r="M1127" s="164" t="str">
        <f>IF(Settings!$M$4=Settings!$Y$3,IF($AA1127=2,"P",""),IF($AA1127=8,"P",""))</f>
        <v/>
      </c>
      <c r="N1127" s="164" t="str">
        <f>IF(Settings!$M$4=Settings!$Y$3,IF($AA1127=3,"P",""),IF($AA1127=9,"P",""))</f>
        <v/>
      </c>
      <c r="O1127" s="165" t="str">
        <f>IF(Settings!$M$4=Settings!$Y$3,IF($AA1127=3,"P",""),IF($AA1127=10,"P",""))</f>
        <v/>
      </c>
      <c r="P1127" s="22"/>
      <c r="Q1127" s="22"/>
      <c r="R1127" s="360" t="e">
        <f>IF(INDEX(TblDatabase[Comment6],MATCH(1,INDEX(($L$4=ListEmployeeNamesInDatabase)*(C1114=TblDatabase[Year]),0,1),0))="","",INDEX(TblDatabase[Comment6],MATCH(1,INDEX(($L$4=ListEmployeeNamesInDatabase)*(C1114=TblDatabase[Year]),0,1),0)))</f>
        <v>#N/A</v>
      </c>
      <c r="S1127" s="360"/>
      <c r="T1127" s="360"/>
      <c r="U1127" s="360"/>
      <c r="V1127" s="360"/>
      <c r="W1127" s="360"/>
      <c r="X1127" s="360"/>
      <c r="Y1127" s="361"/>
      <c r="Z1127" s="149"/>
      <c r="AA1127" s="151">
        <f>SUMIFS(TblDatabase[Competency6],ListEmployeeNamesInDatabase,$L$4,TblDatabase[Year],C1114)</f>
        <v>0</v>
      </c>
      <c r="AB1127" s="149"/>
      <c r="AC1127" s="149"/>
      <c r="AD1127" s="149"/>
      <c r="AE1127" s="149"/>
      <c r="AF1127" s="149"/>
    </row>
    <row r="1128" spans="2:32" s="148" customFormat="1" ht="15" hidden="1" customHeight="1">
      <c r="B1128" s="350" t="str">
        <f t="shared" si="26"/>
        <v>Reliability</v>
      </c>
      <c r="C1128" s="351"/>
      <c r="D1128" s="351"/>
      <c r="E1128" s="352"/>
      <c r="F1128" s="157" t="str">
        <f>IF(Settings!$M$4=Settings!$Y$3,IF($AA1128=1,"P",""),IF($AA1128=1,"P",""))</f>
        <v/>
      </c>
      <c r="G1128" s="158" t="str">
        <f>IF(Settings!$M$4=Settings!$Y$3,IF($AA1128=1,"P",""),IF($AA1128=2,"P",""))</f>
        <v/>
      </c>
      <c r="H1128" s="158" t="str">
        <f>IF(Settings!$M$4=Settings!$Y$3,IF($AA1128=1,"P",""),IF($AA1128=3,"P",""))</f>
        <v/>
      </c>
      <c r="I1128" s="158" t="str">
        <f>IF(Settings!$M$4=Settings!$Y$3,IF($AA1128=1,"P",""),IF($AA1128=4,"P",""))</f>
        <v/>
      </c>
      <c r="J1128" s="158" t="str">
        <f>IF(Settings!$M$4=Settings!$Y$3,IF($AA1128=2,"P",""),IF($AA1128=5,"P",""))</f>
        <v/>
      </c>
      <c r="K1128" s="158" t="str">
        <f>IF(Settings!$M$4=Settings!$Y$3,IF($AA1128=2,"P",""),IF($AA1128=6,"P",""))</f>
        <v/>
      </c>
      <c r="L1128" s="158" t="str">
        <f>IF(Settings!$M$4=Settings!$Y$3,IF($AA1128=2,"P",""),IF($AA1128=7,"P",""))</f>
        <v/>
      </c>
      <c r="M1128" s="158" t="str">
        <f>IF(Settings!$M$4=Settings!$Y$3,IF($AA1128=2,"P",""),IF($AA1128=8,"P",""))</f>
        <v/>
      </c>
      <c r="N1128" s="158" t="str">
        <f>IF(Settings!$M$4=Settings!$Y$3,IF($AA1128=3,"P",""),IF($AA1128=9,"P",""))</f>
        <v/>
      </c>
      <c r="O1128" s="159" t="str">
        <f>IF(Settings!$M$4=Settings!$Y$3,IF($AA1128=3,"P",""),IF($AA1128=10,"P",""))</f>
        <v/>
      </c>
      <c r="P1128" s="22"/>
      <c r="Q1128" s="22"/>
      <c r="R1128" s="353" t="e">
        <f>IF(INDEX(TblDatabase[Comment7],MATCH(1,INDEX(($L$4=ListEmployeeNamesInDatabase)*(C1114=TblDatabase[Year]),0,1),0))="","",INDEX(TblDatabase[Comment7],MATCH(1,INDEX(($L$4=ListEmployeeNamesInDatabase)*(C1114=TblDatabase[Year]),0,1),0)))</f>
        <v>#N/A</v>
      </c>
      <c r="S1128" s="353"/>
      <c r="T1128" s="353"/>
      <c r="U1128" s="353"/>
      <c r="V1128" s="353"/>
      <c r="W1128" s="353"/>
      <c r="X1128" s="353"/>
      <c r="Y1128" s="354"/>
      <c r="Z1128" s="149"/>
      <c r="AA1128" s="151">
        <f>SUMIFS(TblDatabase[Competency7],ListEmployeeNamesInDatabase,$L$4,TblDatabase[Year],C1114)</f>
        <v>0</v>
      </c>
      <c r="AB1128" s="149"/>
      <c r="AC1128" s="149"/>
      <c r="AD1128" s="149"/>
      <c r="AE1128" s="149"/>
      <c r="AF1128" s="149"/>
    </row>
    <row r="1129" spans="2:32" s="148" customFormat="1" ht="15" hidden="1" customHeight="1">
      <c r="B1129" s="355" t="str">
        <f t="shared" si="26"/>
        <v>Initiative/Adaptability</v>
      </c>
      <c r="C1129" s="356"/>
      <c r="D1129" s="356"/>
      <c r="E1129" s="357"/>
      <c r="F1129" s="163" t="str">
        <f>IF(Settings!$M$4=Settings!$Y$3,IF($AA1129=1,"P",""),IF($AA1129=1,"P",""))</f>
        <v/>
      </c>
      <c r="G1129" s="164" t="str">
        <f>IF(Settings!$M$4=Settings!$Y$3,IF($AA1129=1,"P",""),IF($AA1129=2,"P",""))</f>
        <v/>
      </c>
      <c r="H1129" s="164" t="str">
        <f>IF(Settings!$M$4=Settings!$Y$3,IF($AA1129=1,"P",""),IF($AA1129=3,"P",""))</f>
        <v/>
      </c>
      <c r="I1129" s="164" t="str">
        <f>IF(Settings!$M$4=Settings!$Y$3,IF($AA1129=1,"P",""),IF($AA1129=4,"P",""))</f>
        <v/>
      </c>
      <c r="J1129" s="164" t="str">
        <f>IF(Settings!$M$4=Settings!$Y$3,IF($AA1129=2,"P",""),IF($AA1129=5,"P",""))</f>
        <v/>
      </c>
      <c r="K1129" s="164" t="str">
        <f>IF(Settings!$M$4=Settings!$Y$3,IF($AA1129=2,"P",""),IF($AA1129=6,"P",""))</f>
        <v/>
      </c>
      <c r="L1129" s="164" t="str">
        <f>IF(Settings!$M$4=Settings!$Y$3,IF($AA1129=2,"P",""),IF($AA1129=7,"P",""))</f>
        <v/>
      </c>
      <c r="M1129" s="164" t="str">
        <f>IF(Settings!$M$4=Settings!$Y$3,IF($AA1129=2,"P",""),IF($AA1129=8,"P",""))</f>
        <v/>
      </c>
      <c r="N1129" s="164" t="str">
        <f>IF(Settings!$M$4=Settings!$Y$3,IF($AA1129=3,"P",""),IF($AA1129=9,"P",""))</f>
        <v/>
      </c>
      <c r="O1129" s="165" t="str">
        <f>IF(Settings!$M$4=Settings!$Y$3,IF($AA1129=3,"P",""),IF($AA1129=10,"P",""))</f>
        <v/>
      </c>
      <c r="P1129" s="22"/>
      <c r="Q1129" s="22"/>
      <c r="R1129" s="360" t="e">
        <f>IF(INDEX(TblDatabase[Comment8],MATCH(1,INDEX(($L$4=ListEmployeeNamesInDatabase)*(C1114=TblDatabase[Year]),0,1),0))="","",INDEX(TblDatabase[Comment8],MATCH(1,INDEX(($L$4=ListEmployeeNamesInDatabase)*(C1114=TblDatabase[Year]),0,1),0)))</f>
        <v>#N/A</v>
      </c>
      <c r="S1129" s="360"/>
      <c r="T1129" s="360"/>
      <c r="U1129" s="360"/>
      <c r="V1129" s="360"/>
      <c r="W1129" s="360"/>
      <c r="X1129" s="360"/>
      <c r="Y1129" s="361"/>
      <c r="Z1129" s="149"/>
      <c r="AA1129" s="151">
        <f>SUMIFS(TblDatabase[Competency8],ListEmployeeNamesInDatabase,$L$4,TblDatabase[Year],C1114)</f>
        <v>0</v>
      </c>
      <c r="AB1129" s="149"/>
      <c r="AC1129" s="149"/>
      <c r="AD1129" s="149"/>
      <c r="AE1129" s="149"/>
      <c r="AF1129" s="149"/>
    </row>
    <row r="1130" spans="2:32" s="148" customFormat="1" ht="15" hidden="1" customHeight="1">
      <c r="B1130" s="350" t="str">
        <f t="shared" si="26"/>
        <v/>
      </c>
      <c r="C1130" s="351"/>
      <c r="D1130" s="351"/>
      <c r="E1130" s="352"/>
      <c r="F1130" s="157" t="str">
        <f>IF(Settings!$M$4=Settings!$Y$3,IF($AA1130=1,"P",""),IF($AA1130=1,"P",""))</f>
        <v/>
      </c>
      <c r="G1130" s="158" t="str">
        <f>IF(Settings!$M$4=Settings!$Y$3,IF($AA1130=1,"P",""),IF($AA1130=2,"P",""))</f>
        <v/>
      </c>
      <c r="H1130" s="158" t="str">
        <f>IF(Settings!$M$4=Settings!$Y$3,IF($AA1130=1,"P",""),IF($AA1130=3,"P",""))</f>
        <v/>
      </c>
      <c r="I1130" s="158" t="str">
        <f>IF(Settings!$M$4=Settings!$Y$3,IF($AA1130=1,"P",""),IF($AA1130=4,"P",""))</f>
        <v/>
      </c>
      <c r="J1130" s="158" t="str">
        <f>IF(Settings!$M$4=Settings!$Y$3,IF($AA1130=2,"P",""),IF($AA1130=5,"P",""))</f>
        <v/>
      </c>
      <c r="K1130" s="158" t="str">
        <f>IF(Settings!$M$4=Settings!$Y$3,IF($AA1130=2,"P",""),IF($AA1130=6,"P",""))</f>
        <v/>
      </c>
      <c r="L1130" s="158" t="str">
        <f>IF(Settings!$M$4=Settings!$Y$3,IF($AA1130=2,"P",""),IF($AA1130=7,"P",""))</f>
        <v/>
      </c>
      <c r="M1130" s="158" t="str">
        <f>IF(Settings!$M$4=Settings!$Y$3,IF($AA1130=2,"P",""),IF($AA1130=8,"P",""))</f>
        <v/>
      </c>
      <c r="N1130" s="158" t="str">
        <f>IF(Settings!$M$4=Settings!$Y$3,IF($AA1130=3,"P",""),IF($AA1130=9,"P",""))</f>
        <v/>
      </c>
      <c r="O1130" s="159" t="str">
        <f>IF(Settings!$M$4=Settings!$Y$3,IF($AA1130=3,"P",""),IF($AA1130=10,"P",""))</f>
        <v/>
      </c>
      <c r="P1130" s="22"/>
      <c r="Q1130" s="22"/>
      <c r="R1130" s="353" t="e">
        <f>IF(INDEX(TblDatabase[Comment9],MATCH(1,INDEX(($L$4=ListEmployeeNamesInDatabase)*(C1114=TblDatabase[Year]),0,1),0))="","",INDEX(TblDatabase[Comment9],MATCH(1,INDEX(($L$4=ListEmployeeNamesInDatabase)*(C1114=TblDatabase[Year]),0,1),0)))</f>
        <v>#N/A</v>
      </c>
      <c r="S1130" s="353"/>
      <c r="T1130" s="353"/>
      <c r="U1130" s="353"/>
      <c r="V1130" s="353"/>
      <c r="W1130" s="353"/>
      <c r="X1130" s="353"/>
      <c r="Y1130" s="354"/>
      <c r="Z1130" s="149"/>
      <c r="AA1130" s="151">
        <f>SUMIFS(TblDatabase[Competency9],ListEmployeeNamesInDatabase,$L$4,TblDatabase[Year],C1114)</f>
        <v>0</v>
      </c>
      <c r="AB1130" s="149"/>
      <c r="AC1130" s="149"/>
      <c r="AD1130" s="149"/>
      <c r="AE1130" s="149"/>
      <c r="AF1130" s="149"/>
    </row>
    <row r="1131" spans="2:32" s="148" customFormat="1" ht="15" hidden="1" customHeight="1">
      <c r="B1131" s="355" t="str">
        <f t="shared" si="26"/>
        <v/>
      </c>
      <c r="C1131" s="356"/>
      <c r="D1131" s="356"/>
      <c r="E1131" s="357"/>
      <c r="F1131" s="163" t="str">
        <f>IF(Settings!$M$4=Settings!$Y$3,IF($AA1131=1,"P",""),IF($AA1131=1,"P",""))</f>
        <v/>
      </c>
      <c r="G1131" s="164" t="str">
        <f>IF(Settings!$M$4=Settings!$Y$3,IF($AA1131=1,"P",""),IF($AA1131=2,"P",""))</f>
        <v/>
      </c>
      <c r="H1131" s="164" t="str">
        <f>IF(Settings!$M$4=Settings!$Y$3,IF($AA1131=1,"P",""),IF($AA1131=3,"P",""))</f>
        <v/>
      </c>
      <c r="I1131" s="164" t="str">
        <f>IF(Settings!$M$4=Settings!$Y$3,IF($AA1131=1,"P",""),IF($AA1131=4,"P",""))</f>
        <v/>
      </c>
      <c r="J1131" s="164" t="str">
        <f>IF(Settings!$M$4=Settings!$Y$3,IF($AA1131=2,"P",""),IF($AA1131=5,"P",""))</f>
        <v/>
      </c>
      <c r="K1131" s="164" t="str">
        <f>IF(Settings!$M$4=Settings!$Y$3,IF($AA1131=2,"P",""),IF($AA1131=6,"P",""))</f>
        <v/>
      </c>
      <c r="L1131" s="164" t="str">
        <f>IF(Settings!$M$4=Settings!$Y$3,IF($AA1131=2,"P",""),IF($AA1131=7,"P",""))</f>
        <v/>
      </c>
      <c r="M1131" s="164" t="str">
        <f>IF(Settings!$M$4=Settings!$Y$3,IF($AA1131=2,"P",""),IF($AA1131=8,"P",""))</f>
        <v/>
      </c>
      <c r="N1131" s="164" t="str">
        <f>IF(Settings!$M$4=Settings!$Y$3,IF($AA1131=3,"P",""),IF($AA1131=9,"P",""))</f>
        <v/>
      </c>
      <c r="O1131" s="165" t="str">
        <f>IF(Settings!$M$4=Settings!$Y$3,IF($AA1131=3,"P",""),IF($AA1131=10,"P",""))</f>
        <v/>
      </c>
      <c r="P1131" s="22"/>
      <c r="Q1131" s="22"/>
      <c r="R1131" s="360" t="e">
        <f>IF(INDEX(TblDatabase[Comment10],MATCH(1,INDEX(($L$4=ListEmployeeNamesInDatabase)*(C1114=TblDatabase[Year]),0,1),0))="","",INDEX(TblDatabase[Comment10],MATCH(1,INDEX(($L$4=ListEmployeeNamesInDatabase)*(C1114=TblDatabase[Year]),0,1),0)))</f>
        <v>#N/A</v>
      </c>
      <c r="S1131" s="360"/>
      <c r="T1131" s="360"/>
      <c r="U1131" s="360"/>
      <c r="V1131" s="360"/>
      <c r="W1131" s="360"/>
      <c r="X1131" s="360"/>
      <c r="Y1131" s="361"/>
      <c r="Z1131" s="149"/>
      <c r="AA1131" s="151">
        <f>SUMIFS(TblDatabase[Competency10],ListEmployeeNamesInDatabase,$L$4,TblDatabase[Year],C1114)</f>
        <v>0</v>
      </c>
      <c r="AB1131" s="149"/>
      <c r="AC1131" s="149"/>
      <c r="AD1131" s="149"/>
      <c r="AE1131" s="149"/>
      <c r="AF1131" s="149"/>
    </row>
    <row r="1132" spans="2:32" s="148" customFormat="1" ht="15" hidden="1" customHeight="1">
      <c r="B1132" s="350" t="str">
        <f t="shared" si="26"/>
        <v/>
      </c>
      <c r="C1132" s="351"/>
      <c r="D1132" s="351"/>
      <c r="E1132" s="352"/>
      <c r="F1132" s="157" t="str">
        <f>IF(Settings!$M$4=Settings!$Y$3,IF($AA1132=1,"P",""),IF($AA1132=1,"P",""))</f>
        <v/>
      </c>
      <c r="G1132" s="158" t="str">
        <f>IF(Settings!$M$4=Settings!$Y$3,IF($AA1132=1,"P",""),IF($AA1132=2,"P",""))</f>
        <v/>
      </c>
      <c r="H1132" s="158" t="str">
        <f>IF(Settings!$M$4=Settings!$Y$3,IF($AA1132=1,"P",""),IF($AA1132=3,"P",""))</f>
        <v/>
      </c>
      <c r="I1132" s="158" t="str">
        <f>IF(Settings!$M$4=Settings!$Y$3,IF($AA1132=1,"P",""),IF($AA1132=4,"P",""))</f>
        <v/>
      </c>
      <c r="J1132" s="158" t="str">
        <f>IF(Settings!$M$4=Settings!$Y$3,IF($AA1132=2,"P",""),IF($AA1132=5,"P",""))</f>
        <v/>
      </c>
      <c r="K1132" s="158" t="str">
        <f>IF(Settings!$M$4=Settings!$Y$3,IF($AA1132=2,"P",""),IF($AA1132=6,"P",""))</f>
        <v/>
      </c>
      <c r="L1132" s="158" t="str">
        <f>IF(Settings!$M$4=Settings!$Y$3,IF($AA1132=2,"P",""),IF($AA1132=7,"P",""))</f>
        <v/>
      </c>
      <c r="M1132" s="158" t="str">
        <f>IF(Settings!$M$4=Settings!$Y$3,IF($AA1132=2,"P",""),IF($AA1132=8,"P",""))</f>
        <v/>
      </c>
      <c r="N1132" s="158" t="str">
        <f>IF(Settings!$M$4=Settings!$Y$3,IF($AA1132=3,"P",""),IF($AA1132=9,"P",""))</f>
        <v/>
      </c>
      <c r="O1132" s="159" t="str">
        <f>IF(Settings!$M$4=Settings!$Y$3,IF($AA1132=3,"P",""),IF($AA1132=10,"P",""))</f>
        <v/>
      </c>
      <c r="P1132" s="22"/>
      <c r="Q1132" s="22"/>
      <c r="R1132" s="353" t="e">
        <f>IF(INDEX(TblDatabase[Comment11],MATCH(1,INDEX(($L$4=ListEmployeeNamesInDatabase)*(C1114=TblDatabase[Year]),0,1),0))="","",INDEX(TblDatabase[Comment11],MATCH(1,INDEX(($L$4=ListEmployeeNamesInDatabase)*(C1114=TblDatabase[Year]),0,1),0)))</f>
        <v>#N/A</v>
      </c>
      <c r="S1132" s="353"/>
      <c r="T1132" s="353"/>
      <c r="U1132" s="353"/>
      <c r="V1132" s="353"/>
      <c r="W1132" s="353"/>
      <c r="X1132" s="353"/>
      <c r="Y1132" s="354"/>
      <c r="Z1132" s="149"/>
      <c r="AA1132" s="151">
        <f>SUMIFS(TblDatabase[Competency11],ListEmployeeNamesInDatabase,$L$4,TblDatabase[Year],C1114)</f>
        <v>0</v>
      </c>
      <c r="AB1132" s="149"/>
      <c r="AC1132" s="149"/>
      <c r="AD1132" s="149"/>
      <c r="AE1132" s="149"/>
      <c r="AF1132" s="149"/>
    </row>
    <row r="1133" spans="2:32" s="148" customFormat="1" ht="15" hidden="1" customHeight="1">
      <c r="B1133" s="355" t="str">
        <f t="shared" si="26"/>
        <v/>
      </c>
      <c r="C1133" s="356"/>
      <c r="D1133" s="356"/>
      <c r="E1133" s="357"/>
      <c r="F1133" s="163" t="str">
        <f>IF(Settings!$M$4=Settings!$Y$3,IF($AA1133=1,"P",""),IF($AA1133=1,"P",""))</f>
        <v/>
      </c>
      <c r="G1133" s="164" t="str">
        <f>IF(Settings!$M$4=Settings!$Y$3,IF($AA1133=1,"P",""),IF($AA1133=2,"P",""))</f>
        <v/>
      </c>
      <c r="H1133" s="164" t="str">
        <f>IF(Settings!$M$4=Settings!$Y$3,IF($AA1133=1,"P",""),IF($AA1133=3,"P",""))</f>
        <v/>
      </c>
      <c r="I1133" s="164" t="str">
        <f>IF(Settings!$M$4=Settings!$Y$3,IF($AA1133=1,"P",""),IF($AA1133=4,"P",""))</f>
        <v/>
      </c>
      <c r="J1133" s="164" t="str">
        <f>IF(Settings!$M$4=Settings!$Y$3,IF($AA1133=2,"P",""),IF($AA1133=5,"P",""))</f>
        <v/>
      </c>
      <c r="K1133" s="164" t="str">
        <f>IF(Settings!$M$4=Settings!$Y$3,IF($AA1133=2,"P",""),IF($AA1133=6,"P",""))</f>
        <v/>
      </c>
      <c r="L1133" s="164" t="str">
        <f>IF(Settings!$M$4=Settings!$Y$3,IF($AA1133=2,"P",""),IF($AA1133=7,"P",""))</f>
        <v/>
      </c>
      <c r="M1133" s="164" t="str">
        <f>IF(Settings!$M$4=Settings!$Y$3,IF($AA1133=2,"P",""),IF($AA1133=8,"P",""))</f>
        <v/>
      </c>
      <c r="N1133" s="164" t="str">
        <f>IF(Settings!$M$4=Settings!$Y$3,IF($AA1133=3,"P",""),IF($AA1133=9,"P",""))</f>
        <v/>
      </c>
      <c r="O1133" s="165" t="str">
        <f>IF(Settings!$M$4=Settings!$Y$3,IF($AA1133=3,"P",""),IF($AA1133=10,"P",""))</f>
        <v/>
      </c>
      <c r="P1133" s="22"/>
      <c r="Q1133" s="22"/>
      <c r="R1133" s="360" t="e">
        <f>IF(INDEX(TblDatabase[Comment12],MATCH(1,INDEX(($L$4=ListEmployeeNamesInDatabase)*(C1114=TblDatabase[Year]),0,1),0))="","",INDEX(TblDatabase[Comment12],MATCH(1,INDEX(($L$4=ListEmployeeNamesInDatabase)*(C1114=TblDatabase[Year]),0,1),0)))</f>
        <v>#N/A</v>
      </c>
      <c r="S1133" s="360"/>
      <c r="T1133" s="360"/>
      <c r="U1133" s="360"/>
      <c r="V1133" s="360"/>
      <c r="W1133" s="360"/>
      <c r="X1133" s="360"/>
      <c r="Y1133" s="361"/>
      <c r="Z1133" s="149"/>
      <c r="AA1133" s="151">
        <f>SUMIFS(TblDatabase[Competency12],ListEmployeeNamesInDatabase,$L$4,TblDatabase[Year],C1114)</f>
        <v>0</v>
      </c>
      <c r="AB1133" s="149"/>
      <c r="AC1133" s="149"/>
      <c r="AD1133" s="149"/>
      <c r="AE1133" s="149"/>
      <c r="AF1133" s="149"/>
    </row>
    <row r="1134" spans="2:32" s="148" customFormat="1" ht="15" hidden="1" customHeight="1">
      <c r="B1134" s="350" t="str">
        <f t="shared" si="26"/>
        <v/>
      </c>
      <c r="C1134" s="351"/>
      <c r="D1134" s="351"/>
      <c r="E1134" s="352"/>
      <c r="F1134" s="157" t="str">
        <f>IF(Settings!$M$4=Settings!$Y$3,IF($AA1134=1,"P",""),IF($AA1134=1,"P",""))</f>
        <v/>
      </c>
      <c r="G1134" s="158" t="str">
        <f>IF(Settings!$M$4=Settings!$Y$3,IF($AA1134=1,"P",""),IF($AA1134=2,"P",""))</f>
        <v/>
      </c>
      <c r="H1134" s="158" t="str">
        <f>IF(Settings!$M$4=Settings!$Y$3,IF($AA1134=1,"P",""),IF($AA1134=3,"P",""))</f>
        <v/>
      </c>
      <c r="I1134" s="158" t="str">
        <f>IF(Settings!$M$4=Settings!$Y$3,IF($AA1134=1,"P",""),IF($AA1134=4,"P",""))</f>
        <v/>
      </c>
      <c r="J1134" s="158" t="str">
        <f>IF(Settings!$M$4=Settings!$Y$3,IF($AA1134=2,"P",""),IF($AA1134=5,"P",""))</f>
        <v/>
      </c>
      <c r="K1134" s="158" t="str">
        <f>IF(Settings!$M$4=Settings!$Y$3,IF($AA1134=2,"P",""),IF($AA1134=6,"P",""))</f>
        <v/>
      </c>
      <c r="L1134" s="158" t="str">
        <f>IF(Settings!$M$4=Settings!$Y$3,IF($AA1134=2,"P",""),IF($AA1134=7,"P",""))</f>
        <v/>
      </c>
      <c r="M1134" s="158" t="str">
        <f>IF(Settings!$M$4=Settings!$Y$3,IF($AA1134=2,"P",""),IF($AA1134=8,"P",""))</f>
        <v/>
      </c>
      <c r="N1134" s="158" t="str">
        <f>IF(Settings!$M$4=Settings!$Y$3,IF($AA1134=3,"P",""),IF($AA1134=9,"P",""))</f>
        <v/>
      </c>
      <c r="O1134" s="159" t="str">
        <f>IF(Settings!$M$4=Settings!$Y$3,IF($AA1134=3,"P",""),IF($AA1134=10,"P",""))</f>
        <v/>
      </c>
      <c r="P1134" s="22"/>
      <c r="Q1134" s="22"/>
      <c r="R1134" s="353" t="e">
        <f>IF(INDEX(TblDatabase[Comment13],MATCH(1,INDEX(($L$4=ListEmployeeNamesInDatabase)*(C1114=TblDatabase[Year]),0,1),0))="","",INDEX(TblDatabase[Comment13],MATCH(1,INDEX(($L$4=ListEmployeeNamesInDatabase)*(C1114=TblDatabase[Year]),0,1),0)))</f>
        <v>#N/A</v>
      </c>
      <c r="S1134" s="353"/>
      <c r="T1134" s="353"/>
      <c r="U1134" s="353"/>
      <c r="V1134" s="353"/>
      <c r="W1134" s="353"/>
      <c r="X1134" s="353"/>
      <c r="Y1134" s="354"/>
      <c r="Z1134" s="149"/>
      <c r="AA1134" s="151">
        <f>SUMIFS(TblDatabase[Competency13],ListEmployeeNamesInDatabase,$L$4,TblDatabase[Year],C1114)</f>
        <v>0</v>
      </c>
      <c r="AB1134" s="149"/>
      <c r="AC1134" s="149"/>
      <c r="AD1134" s="149"/>
      <c r="AE1134" s="149"/>
      <c r="AF1134" s="149"/>
    </row>
    <row r="1135" spans="2:32" s="148" customFormat="1" ht="15" hidden="1" customHeight="1">
      <c r="B1135" s="355" t="str">
        <f t="shared" si="26"/>
        <v/>
      </c>
      <c r="C1135" s="356"/>
      <c r="D1135" s="356"/>
      <c r="E1135" s="357"/>
      <c r="F1135" s="163" t="str">
        <f>IF(Settings!$M$4=Settings!$Y$3,IF($AA1135=1,"P",""),IF($AA1135=1,"P",""))</f>
        <v/>
      </c>
      <c r="G1135" s="164" t="str">
        <f>IF(Settings!$M$4=Settings!$Y$3,IF($AA1135=1,"P",""),IF($AA1135=2,"P",""))</f>
        <v/>
      </c>
      <c r="H1135" s="164" t="str">
        <f>IF(Settings!$M$4=Settings!$Y$3,IF($AA1135=1,"P",""),IF($AA1135=3,"P",""))</f>
        <v/>
      </c>
      <c r="I1135" s="164" t="str">
        <f>IF(Settings!$M$4=Settings!$Y$3,IF($AA1135=1,"P",""),IF($AA1135=4,"P",""))</f>
        <v/>
      </c>
      <c r="J1135" s="164" t="str">
        <f>IF(Settings!$M$4=Settings!$Y$3,IF($AA1135=2,"P",""),IF($AA1135=5,"P",""))</f>
        <v/>
      </c>
      <c r="K1135" s="164" t="str">
        <f>IF(Settings!$M$4=Settings!$Y$3,IF($AA1135=2,"P",""),IF($AA1135=6,"P",""))</f>
        <v/>
      </c>
      <c r="L1135" s="164" t="str">
        <f>IF(Settings!$M$4=Settings!$Y$3,IF($AA1135=2,"P",""),IF($AA1135=7,"P",""))</f>
        <v/>
      </c>
      <c r="M1135" s="164" t="str">
        <f>IF(Settings!$M$4=Settings!$Y$3,IF($AA1135=2,"P",""),IF($AA1135=8,"P",""))</f>
        <v/>
      </c>
      <c r="N1135" s="164" t="str">
        <f>IF(Settings!$M$4=Settings!$Y$3,IF($AA1135=3,"P",""),IF($AA1135=9,"P",""))</f>
        <v/>
      </c>
      <c r="O1135" s="165" t="str">
        <f>IF(Settings!$M$4=Settings!$Y$3,IF($AA1135=3,"P",""),IF($AA1135=10,"P",""))</f>
        <v/>
      </c>
      <c r="P1135" s="22"/>
      <c r="Q1135" s="22"/>
      <c r="R1135" s="360" t="e">
        <f>IF(INDEX(TblDatabase[Comment14],MATCH(1,INDEX(($L$4=ListEmployeeNamesInDatabase)*(C1114=TblDatabase[Year]),0,1),0))="","",INDEX(TblDatabase[Comment14],MATCH(1,INDEX(($L$4=ListEmployeeNamesInDatabase)*(C1114=TblDatabase[Year]),0,1),0)))</f>
        <v>#N/A</v>
      </c>
      <c r="S1135" s="360"/>
      <c r="T1135" s="360"/>
      <c r="U1135" s="360"/>
      <c r="V1135" s="360"/>
      <c r="W1135" s="360"/>
      <c r="X1135" s="360"/>
      <c r="Y1135" s="361"/>
      <c r="Z1135" s="149"/>
      <c r="AA1135" s="151">
        <f>SUMIFS(TblDatabase[Competency14],ListEmployeeNamesInDatabase,$L$4,TblDatabase[Year],C1114)</f>
        <v>0</v>
      </c>
      <c r="AB1135" s="149"/>
      <c r="AC1135" s="149"/>
      <c r="AD1135" s="149"/>
      <c r="AE1135" s="149"/>
      <c r="AF1135" s="149"/>
    </row>
    <row r="1136" spans="2:32" s="148" customFormat="1" ht="15" hidden="1" customHeight="1">
      <c r="B1136" s="350" t="str">
        <f t="shared" si="26"/>
        <v/>
      </c>
      <c r="C1136" s="351"/>
      <c r="D1136" s="351"/>
      <c r="E1136" s="352"/>
      <c r="F1136" s="157" t="str">
        <f>IF(Settings!$M$4=Settings!$Y$3,IF($AA1136=1,"P",""),IF($AA1136=1,"P",""))</f>
        <v/>
      </c>
      <c r="G1136" s="158" t="str">
        <f>IF(Settings!$M$4=Settings!$Y$3,IF($AA1136=1,"P",""),IF($AA1136=2,"P",""))</f>
        <v/>
      </c>
      <c r="H1136" s="158" t="str">
        <f>IF(Settings!$M$4=Settings!$Y$3,IF($AA1136=1,"P",""),IF($AA1136=3,"P",""))</f>
        <v/>
      </c>
      <c r="I1136" s="158" t="str">
        <f>IF(Settings!$M$4=Settings!$Y$3,IF($AA1136=1,"P",""),IF($AA1136=4,"P",""))</f>
        <v/>
      </c>
      <c r="J1136" s="158" t="str">
        <f>IF(Settings!$M$4=Settings!$Y$3,IF($AA1136=2,"P",""),IF($AA1136=5,"P",""))</f>
        <v/>
      </c>
      <c r="K1136" s="158" t="str">
        <f>IF(Settings!$M$4=Settings!$Y$3,IF($AA1136=2,"P",""),IF($AA1136=6,"P",""))</f>
        <v/>
      </c>
      <c r="L1136" s="158" t="str">
        <f>IF(Settings!$M$4=Settings!$Y$3,IF($AA1136=2,"P",""),IF($AA1136=7,"P",""))</f>
        <v/>
      </c>
      <c r="M1136" s="158" t="str">
        <f>IF(Settings!$M$4=Settings!$Y$3,IF($AA1136=2,"P",""),IF($AA1136=8,"P",""))</f>
        <v/>
      </c>
      <c r="N1136" s="158" t="str">
        <f>IF(Settings!$M$4=Settings!$Y$3,IF($AA1136=3,"P",""),IF($AA1136=9,"P",""))</f>
        <v/>
      </c>
      <c r="O1136" s="159" t="str">
        <f>IF(Settings!$M$4=Settings!$Y$3,IF($AA1136=3,"P",""),IF($AA1136=10,"P",""))</f>
        <v/>
      </c>
      <c r="P1136" s="22"/>
      <c r="Q1136" s="22"/>
      <c r="R1136" s="353" t="e">
        <f>IF(INDEX(TblDatabase[Comment15],MATCH(1,INDEX(($L$4=ListEmployeeNamesInDatabase)*(C1114=TblDatabase[Year]),0,1),0))="","",INDEX(TblDatabase[Comment15],MATCH(1,INDEX(($L$4=ListEmployeeNamesInDatabase)*(C1114=TblDatabase[Year]),0,1),0)))</f>
        <v>#N/A</v>
      </c>
      <c r="S1136" s="353"/>
      <c r="T1136" s="353"/>
      <c r="U1136" s="353"/>
      <c r="V1136" s="353"/>
      <c r="W1136" s="353"/>
      <c r="X1136" s="353"/>
      <c r="Y1136" s="354"/>
      <c r="Z1136" s="149"/>
      <c r="AA1136" s="151">
        <f>SUMIFS(TblDatabase[Competency15],ListEmployeeNamesInDatabase,$L$4,TblDatabase[Year],C1114)</f>
        <v>0</v>
      </c>
      <c r="AB1136" s="149"/>
      <c r="AC1136" s="149"/>
      <c r="AD1136" s="149"/>
      <c r="AE1136" s="149"/>
      <c r="AF1136" s="149"/>
    </row>
    <row r="1137" spans="2:32" s="148" customFormat="1" ht="15" hidden="1" customHeight="1">
      <c r="B1137" s="355" t="str">
        <f t="shared" si="26"/>
        <v/>
      </c>
      <c r="C1137" s="356"/>
      <c r="D1137" s="356"/>
      <c r="E1137" s="357"/>
      <c r="F1137" s="163" t="str">
        <f>IF(Settings!$M$4=Settings!$Y$3,IF($AA1137=1,"P",""),IF($AA1137=1,"P",""))</f>
        <v/>
      </c>
      <c r="G1137" s="164" t="str">
        <f>IF(Settings!$M$4=Settings!$Y$3,IF($AA1137=1,"P",""),IF($AA1137=2,"P",""))</f>
        <v/>
      </c>
      <c r="H1137" s="164" t="str">
        <f>IF(Settings!$M$4=Settings!$Y$3,IF($AA1137=1,"P",""),IF($AA1137=3,"P",""))</f>
        <v/>
      </c>
      <c r="I1137" s="164" t="str">
        <f>IF(Settings!$M$4=Settings!$Y$3,IF($AA1137=1,"P",""),IF($AA1137=4,"P",""))</f>
        <v/>
      </c>
      <c r="J1137" s="164" t="str">
        <f>IF(Settings!$M$4=Settings!$Y$3,IF($AA1137=2,"P",""),IF($AA1137=5,"P",""))</f>
        <v/>
      </c>
      <c r="K1137" s="164" t="str">
        <f>IF(Settings!$M$4=Settings!$Y$3,IF($AA1137=2,"P",""),IF($AA1137=6,"P",""))</f>
        <v/>
      </c>
      <c r="L1137" s="164" t="str">
        <f>IF(Settings!$M$4=Settings!$Y$3,IF($AA1137=2,"P",""),IF($AA1137=7,"P",""))</f>
        <v/>
      </c>
      <c r="M1137" s="164" t="str">
        <f>IF(Settings!$M$4=Settings!$Y$3,IF($AA1137=2,"P",""),IF($AA1137=8,"P",""))</f>
        <v/>
      </c>
      <c r="N1137" s="164" t="str">
        <f>IF(Settings!$M$4=Settings!$Y$3,IF($AA1137=3,"P",""),IF($AA1137=9,"P",""))</f>
        <v/>
      </c>
      <c r="O1137" s="165" t="str">
        <f>IF(Settings!$M$4=Settings!$Y$3,IF($AA1137=3,"P",""),IF($AA1137=10,"P",""))</f>
        <v/>
      </c>
      <c r="P1137" s="22"/>
      <c r="Q1137" s="22"/>
      <c r="R1137" s="360" t="e">
        <f>IF(INDEX(TblDatabase[Comment16],MATCH(1,INDEX(($L$4=ListEmployeeNamesInDatabase)*(C1114=TblDatabase[Year]),0,1),0))="","",INDEX(TblDatabase[Comment16],MATCH(1,INDEX(($L$4=ListEmployeeNamesInDatabase)*(C1114=TblDatabase[Year]),0,1),0)))</f>
        <v>#N/A</v>
      </c>
      <c r="S1137" s="360"/>
      <c r="T1137" s="360"/>
      <c r="U1137" s="360"/>
      <c r="V1137" s="360"/>
      <c r="W1137" s="360"/>
      <c r="X1137" s="360"/>
      <c r="Y1137" s="361"/>
      <c r="Z1137" s="149"/>
      <c r="AA1137" s="151">
        <f>SUMIFS(TblDatabase[Competency16],ListEmployeeNamesInDatabase,$L$4,TblDatabase[Year],C1114)</f>
        <v>0</v>
      </c>
      <c r="AB1137" s="149"/>
      <c r="AC1137" s="149"/>
      <c r="AD1137" s="149"/>
      <c r="AE1137" s="149"/>
      <c r="AF1137" s="149"/>
    </row>
    <row r="1138" spans="2:32" s="148" customFormat="1" ht="15" hidden="1" customHeight="1">
      <c r="B1138" s="350" t="str">
        <f t="shared" si="26"/>
        <v/>
      </c>
      <c r="C1138" s="351"/>
      <c r="D1138" s="351"/>
      <c r="E1138" s="352"/>
      <c r="F1138" s="157" t="str">
        <f>IF(Settings!$M$4=Settings!$Y$3,IF($AA1138=1,"P",""),IF($AA1138=1,"P",""))</f>
        <v/>
      </c>
      <c r="G1138" s="158" t="str">
        <f>IF(Settings!$M$4=Settings!$Y$3,IF($AA1138=1,"P",""),IF($AA1138=2,"P",""))</f>
        <v/>
      </c>
      <c r="H1138" s="158" t="str">
        <f>IF(Settings!$M$4=Settings!$Y$3,IF($AA1138=1,"P",""),IF($AA1138=3,"P",""))</f>
        <v/>
      </c>
      <c r="I1138" s="158" t="str">
        <f>IF(Settings!$M$4=Settings!$Y$3,IF($AA1138=1,"P",""),IF($AA1138=4,"P",""))</f>
        <v/>
      </c>
      <c r="J1138" s="158" t="str">
        <f>IF(Settings!$M$4=Settings!$Y$3,IF($AA1138=2,"P",""),IF($AA1138=5,"P",""))</f>
        <v/>
      </c>
      <c r="K1138" s="158" t="str">
        <f>IF(Settings!$M$4=Settings!$Y$3,IF($AA1138=2,"P",""),IF($AA1138=6,"P",""))</f>
        <v/>
      </c>
      <c r="L1138" s="158" t="str">
        <f>IF(Settings!$M$4=Settings!$Y$3,IF($AA1138=2,"P",""),IF($AA1138=7,"P",""))</f>
        <v/>
      </c>
      <c r="M1138" s="158" t="str">
        <f>IF(Settings!$M$4=Settings!$Y$3,IF($AA1138=2,"P",""),IF($AA1138=8,"P",""))</f>
        <v/>
      </c>
      <c r="N1138" s="158" t="str">
        <f>IF(Settings!$M$4=Settings!$Y$3,IF($AA1138=3,"P",""),IF($AA1138=9,"P",""))</f>
        <v/>
      </c>
      <c r="O1138" s="159" t="str">
        <f>IF(Settings!$M$4=Settings!$Y$3,IF($AA1138=3,"P",""),IF($AA1138=10,"P",""))</f>
        <v/>
      </c>
      <c r="P1138" s="22"/>
      <c r="Q1138" s="22"/>
      <c r="R1138" s="353" t="e">
        <f>IF(INDEX(TblDatabase[Comment17],MATCH(1,INDEX(($L$4=ListEmployeeNamesInDatabase)*(C1114=TblDatabase[Year]),0,1),0))="","",INDEX(TblDatabase[Comment17],MATCH(1,INDEX(($L$4=ListEmployeeNamesInDatabase)*(C1114=TblDatabase[Year]),0,1),0)))</f>
        <v>#N/A</v>
      </c>
      <c r="S1138" s="353"/>
      <c r="T1138" s="353"/>
      <c r="U1138" s="353"/>
      <c r="V1138" s="353"/>
      <c r="W1138" s="353"/>
      <c r="X1138" s="353"/>
      <c r="Y1138" s="354"/>
      <c r="Z1138" s="149"/>
      <c r="AA1138" s="151">
        <f>SUMIFS(TblDatabase[Competency17],ListEmployeeNamesInDatabase,$L$4,TblDatabase[Year],C1114)</f>
        <v>0</v>
      </c>
      <c r="AB1138" s="149"/>
      <c r="AC1138" s="149"/>
      <c r="AD1138" s="149"/>
      <c r="AE1138" s="149"/>
      <c r="AF1138" s="149"/>
    </row>
    <row r="1139" spans="2:32" s="148" customFormat="1" ht="15" hidden="1" customHeight="1">
      <c r="B1139" s="355" t="str">
        <f t="shared" si="26"/>
        <v/>
      </c>
      <c r="C1139" s="356"/>
      <c r="D1139" s="356"/>
      <c r="E1139" s="357"/>
      <c r="F1139" s="163" t="str">
        <f>IF(Settings!$M$4=Settings!$Y$3,IF($AA1139=1,"P",""),IF($AA1139=1,"P",""))</f>
        <v/>
      </c>
      <c r="G1139" s="164" t="str">
        <f>IF(Settings!$M$4=Settings!$Y$3,IF($AA1139=1,"P",""),IF($AA1139=2,"P",""))</f>
        <v/>
      </c>
      <c r="H1139" s="164" t="str">
        <f>IF(Settings!$M$4=Settings!$Y$3,IF($AA1139=1,"P",""),IF($AA1139=3,"P",""))</f>
        <v/>
      </c>
      <c r="I1139" s="164" t="str">
        <f>IF(Settings!$M$4=Settings!$Y$3,IF($AA1139=1,"P",""),IF($AA1139=4,"P",""))</f>
        <v/>
      </c>
      <c r="J1139" s="164" t="str">
        <f>IF(Settings!$M$4=Settings!$Y$3,IF($AA1139=2,"P",""),IF($AA1139=5,"P",""))</f>
        <v/>
      </c>
      <c r="K1139" s="164" t="str">
        <f>IF(Settings!$M$4=Settings!$Y$3,IF($AA1139=2,"P",""),IF($AA1139=6,"P",""))</f>
        <v/>
      </c>
      <c r="L1139" s="164" t="str">
        <f>IF(Settings!$M$4=Settings!$Y$3,IF($AA1139=2,"P",""),IF($AA1139=7,"P",""))</f>
        <v/>
      </c>
      <c r="M1139" s="164" t="str">
        <f>IF(Settings!$M$4=Settings!$Y$3,IF($AA1139=2,"P",""),IF($AA1139=8,"P",""))</f>
        <v/>
      </c>
      <c r="N1139" s="164" t="str">
        <f>IF(Settings!$M$4=Settings!$Y$3,IF($AA1139=3,"P",""),IF($AA1139=9,"P",""))</f>
        <v/>
      </c>
      <c r="O1139" s="165" t="str">
        <f>IF(Settings!$M$4=Settings!$Y$3,IF($AA1139=3,"P",""),IF($AA1139=10,"P",""))</f>
        <v/>
      </c>
      <c r="P1139" s="22"/>
      <c r="Q1139" s="22"/>
      <c r="R1139" s="360" t="e">
        <f>IF(INDEX(TblDatabase[Comment18],MATCH(1,INDEX(($L$4=ListEmployeeNamesInDatabase)*(C1114=TblDatabase[Year]),0,1),0))="","",INDEX(TblDatabase[Comment18],MATCH(1,INDEX(($L$4=ListEmployeeNamesInDatabase)*(C1114=TblDatabase[Year]),0,1),0)))</f>
        <v>#N/A</v>
      </c>
      <c r="S1139" s="360"/>
      <c r="T1139" s="360"/>
      <c r="U1139" s="360"/>
      <c r="V1139" s="360"/>
      <c r="W1139" s="360"/>
      <c r="X1139" s="360"/>
      <c r="Y1139" s="361"/>
      <c r="Z1139" s="149"/>
      <c r="AA1139" s="151">
        <f>SUMIFS(TblDatabase[Competency18],ListEmployeeNamesInDatabase,$L$4,TblDatabase[Year],C1114)</f>
        <v>0</v>
      </c>
      <c r="AB1139" s="149"/>
      <c r="AC1139" s="149"/>
      <c r="AD1139" s="149"/>
      <c r="AE1139" s="149"/>
      <c r="AF1139" s="149"/>
    </row>
    <row r="1140" spans="2:32" s="148" customFormat="1" ht="15" hidden="1" customHeight="1">
      <c r="B1140" s="350" t="str">
        <f t="shared" si="26"/>
        <v/>
      </c>
      <c r="C1140" s="351"/>
      <c r="D1140" s="351"/>
      <c r="E1140" s="352"/>
      <c r="F1140" s="157" t="str">
        <f>IF(Settings!$M$4=Settings!$Y$3,IF($AA1140=1,"P",""),IF($AA1140=1,"P",""))</f>
        <v/>
      </c>
      <c r="G1140" s="158" t="str">
        <f>IF(Settings!$M$4=Settings!$Y$3,IF($AA1140=1,"P",""),IF($AA1140=2,"P",""))</f>
        <v/>
      </c>
      <c r="H1140" s="158" t="str">
        <f>IF(Settings!$M$4=Settings!$Y$3,IF($AA1140=1,"P",""),IF($AA1140=3,"P",""))</f>
        <v/>
      </c>
      <c r="I1140" s="158" t="str">
        <f>IF(Settings!$M$4=Settings!$Y$3,IF($AA1140=1,"P",""),IF($AA1140=4,"P",""))</f>
        <v/>
      </c>
      <c r="J1140" s="158" t="str">
        <f>IF(Settings!$M$4=Settings!$Y$3,IF($AA1140=2,"P",""),IF($AA1140=5,"P",""))</f>
        <v/>
      </c>
      <c r="K1140" s="158" t="str">
        <f>IF(Settings!$M$4=Settings!$Y$3,IF($AA1140=2,"P",""),IF($AA1140=6,"P",""))</f>
        <v/>
      </c>
      <c r="L1140" s="158" t="str">
        <f>IF(Settings!$M$4=Settings!$Y$3,IF($AA1140=2,"P",""),IF($AA1140=7,"P",""))</f>
        <v/>
      </c>
      <c r="M1140" s="158" t="str">
        <f>IF(Settings!$M$4=Settings!$Y$3,IF($AA1140=2,"P",""),IF($AA1140=8,"P",""))</f>
        <v/>
      </c>
      <c r="N1140" s="158" t="str">
        <f>IF(Settings!$M$4=Settings!$Y$3,IF($AA1140=3,"P",""),IF($AA1140=9,"P",""))</f>
        <v/>
      </c>
      <c r="O1140" s="159" t="str">
        <f>IF(Settings!$M$4=Settings!$Y$3,IF($AA1140=3,"P",""),IF($AA1140=10,"P",""))</f>
        <v/>
      </c>
      <c r="P1140" s="22"/>
      <c r="Q1140" s="22"/>
      <c r="R1140" s="353" t="e">
        <f>IF(INDEX(TblDatabase[Comment19],MATCH(1,INDEX(($L$4=ListEmployeeNamesInDatabase)*(C1114=TblDatabase[Year]),0,1),0))="","",INDEX(TblDatabase[Comment19],MATCH(1,INDEX(($L$4=ListEmployeeNamesInDatabase)*(C1114=TblDatabase[Year]),0,1),0)))</f>
        <v>#N/A</v>
      </c>
      <c r="S1140" s="353"/>
      <c r="T1140" s="353"/>
      <c r="U1140" s="353"/>
      <c r="V1140" s="353"/>
      <c r="W1140" s="353"/>
      <c r="X1140" s="353"/>
      <c r="Y1140" s="354"/>
      <c r="Z1140" s="149"/>
      <c r="AA1140" s="151">
        <f>SUMIFS(TblDatabase[Competency19],ListEmployeeNamesInDatabase,$L$4,TblDatabase[Year],C1114)</f>
        <v>0</v>
      </c>
      <c r="AB1140" s="149"/>
      <c r="AC1140" s="149"/>
      <c r="AD1140" s="149"/>
      <c r="AE1140" s="149"/>
      <c r="AF1140" s="149"/>
    </row>
    <row r="1141" spans="2:32" s="148" customFormat="1" ht="15" hidden="1" customHeight="1">
      <c r="B1141" s="362" t="str">
        <f t="shared" si="26"/>
        <v/>
      </c>
      <c r="C1141" s="363"/>
      <c r="D1141" s="363"/>
      <c r="E1141" s="364"/>
      <c r="F1141" s="166" t="str">
        <f>IF(Settings!$M$4=Settings!$Y$3,IF($AA1141=1,"P",""),IF($AA1141=1,"P",""))</f>
        <v/>
      </c>
      <c r="G1141" s="167" t="str">
        <f>IF(Settings!$M$4=Settings!$Y$3,IF($AA1141=1,"P",""),IF($AA1141=2,"P",""))</f>
        <v/>
      </c>
      <c r="H1141" s="167" t="str">
        <f>IF(Settings!$M$4=Settings!$Y$3,IF($AA1141=1,"P",""),IF($AA1141=3,"P",""))</f>
        <v/>
      </c>
      <c r="I1141" s="167" t="str">
        <f>IF(Settings!$M$4=Settings!$Y$3,IF($AA1141=1,"P",""),IF($AA1141=4,"P",""))</f>
        <v/>
      </c>
      <c r="J1141" s="167" t="str">
        <f>IF(Settings!$M$4=Settings!$Y$3,IF($AA1141=2,"P",""),IF($AA1141=5,"P",""))</f>
        <v/>
      </c>
      <c r="K1141" s="167" t="str">
        <f>IF(Settings!$M$4=Settings!$Y$3,IF($AA1141=2,"P",""),IF($AA1141=6,"P",""))</f>
        <v/>
      </c>
      <c r="L1141" s="167" t="str">
        <f>IF(Settings!$M$4=Settings!$Y$3,IF($AA1141=2,"P",""),IF($AA1141=7,"P",""))</f>
        <v/>
      </c>
      <c r="M1141" s="167" t="str">
        <f>IF(Settings!$M$4=Settings!$Y$3,IF($AA1141=2,"P",""),IF($AA1141=8,"P",""))</f>
        <v/>
      </c>
      <c r="N1141" s="167" t="str">
        <f>IF(Settings!$M$4=Settings!$Y$3,IF($AA1141=3,"P",""),IF($AA1141=9,"P",""))</f>
        <v/>
      </c>
      <c r="O1141" s="168" t="str">
        <f>IF(Settings!$M$4=Settings!$Y$3,IF($AA1141=3,"P",""),IF($AA1141=10,"P",""))</f>
        <v/>
      </c>
      <c r="P1141" s="22"/>
      <c r="Q1141" s="22"/>
      <c r="R1141" s="365" t="e">
        <f>IF(INDEX(TblDatabase[Comment20],MATCH(1,INDEX(($L$4=ListEmployeeNamesInDatabase)*(C1114=TblDatabase[Year]),0,1),0))="","",INDEX(TblDatabase[Comment20],MATCH(1,INDEX(($L$4=ListEmployeeNamesInDatabase)*(C1114=TblDatabase[Year]),0,1),0)))</f>
        <v>#N/A</v>
      </c>
      <c r="S1141" s="365"/>
      <c r="T1141" s="365"/>
      <c r="U1141" s="365"/>
      <c r="V1141" s="365"/>
      <c r="W1141" s="365"/>
      <c r="X1141" s="365"/>
      <c r="Y1141" s="366"/>
      <c r="Z1141" s="149"/>
      <c r="AA1141" s="151">
        <f>SUMIFS(TblDatabase[Competency20],ListEmployeeNamesInDatabase,$L$4,TblDatabase[Year],C1114)</f>
        <v>0</v>
      </c>
      <c r="AB1141" s="149"/>
      <c r="AC1141" s="149"/>
      <c r="AD1141" s="149"/>
      <c r="AE1141" s="149"/>
      <c r="AF1141" s="149"/>
    </row>
    <row r="1142" spans="2:32" s="148" customFormat="1" hidden="1">
      <c r="B1142" s="414" t="s">
        <v>26</v>
      </c>
      <c r="C1142" s="415"/>
      <c r="D1142" s="415"/>
      <c r="E1142" s="371">
        <f ca="1">SUM(OFFSET(AA1122,0,0,NumberOfCompetencies))</f>
        <v>0</v>
      </c>
      <c r="F1142" s="372"/>
      <c r="G1142" s="152"/>
      <c r="H1142" s="152"/>
      <c r="I1142" s="152"/>
      <c r="J1142" s="152"/>
      <c r="K1142" s="152"/>
      <c r="L1142" s="152"/>
      <c r="M1142" s="152"/>
      <c r="N1142" s="152"/>
      <c r="O1142" s="152"/>
      <c r="P1142" s="152"/>
      <c r="Q1142" s="152"/>
      <c r="R1142" s="152"/>
      <c r="S1142" s="152"/>
      <c r="T1142" s="152"/>
      <c r="U1142" s="152"/>
      <c r="V1142" s="152"/>
      <c r="W1142" s="152"/>
      <c r="X1142" s="152"/>
      <c r="Y1142" s="152"/>
      <c r="Z1142" s="149"/>
      <c r="AA1142" s="149"/>
      <c r="AB1142" s="149"/>
      <c r="AC1142" s="149"/>
      <c r="AD1142" s="149"/>
      <c r="AE1142" s="149"/>
      <c r="AF1142" s="149"/>
    </row>
    <row r="1143" spans="2:32" s="148" customFormat="1" hidden="1">
      <c r="B1143" s="369" t="s">
        <v>27</v>
      </c>
      <c r="C1143" s="370"/>
      <c r="D1143" s="370"/>
      <c r="E1143" s="358">
        <f ca="1">E1142/NumberOfCompetencies</f>
        <v>0</v>
      </c>
      <c r="F1143" s="359"/>
      <c r="G1143" s="153"/>
      <c r="H1143" s="153"/>
      <c r="I1143" s="153"/>
      <c r="J1143" s="153"/>
      <c r="K1143" s="153"/>
      <c r="L1143" s="153"/>
      <c r="M1143" s="153"/>
      <c r="N1143" s="153"/>
      <c r="O1143" s="153"/>
      <c r="P1143" s="153"/>
      <c r="Q1143" s="153"/>
      <c r="R1143" s="153"/>
      <c r="S1143" s="153"/>
      <c r="T1143" s="153"/>
      <c r="U1143" s="153"/>
      <c r="V1143" s="153"/>
      <c r="W1143" s="153"/>
      <c r="X1143" s="153"/>
      <c r="Y1143" s="153"/>
      <c r="Z1143" s="149"/>
      <c r="AA1143" s="149"/>
      <c r="AB1143" s="149"/>
      <c r="AC1143" s="149"/>
      <c r="AD1143" s="149"/>
      <c r="AE1143" s="149"/>
      <c r="AF1143" s="149"/>
    </row>
    <row r="1144" spans="2:32" s="148" customFormat="1" hidden="1">
      <c r="B1144" s="154"/>
      <c r="C1144" s="154"/>
      <c r="D1144" s="154"/>
      <c r="E1144" s="154"/>
      <c r="F1144" s="154"/>
      <c r="G1144" s="154"/>
      <c r="H1144" s="154"/>
      <c r="I1144" s="154"/>
      <c r="J1144" s="154"/>
      <c r="K1144" s="154"/>
      <c r="L1144" s="154"/>
      <c r="M1144" s="154"/>
      <c r="N1144" s="154"/>
      <c r="O1144" s="154"/>
      <c r="P1144" s="154"/>
      <c r="Q1144" s="154"/>
      <c r="R1144" s="154"/>
      <c r="S1144" s="154"/>
      <c r="T1144" s="154"/>
      <c r="U1144" s="154"/>
      <c r="V1144" s="154"/>
      <c r="W1144" s="154"/>
      <c r="X1144" s="154"/>
      <c r="Y1144" s="154"/>
      <c r="Z1144" s="149"/>
      <c r="AA1144" s="149"/>
      <c r="AB1144" s="149"/>
      <c r="AC1144" s="149"/>
      <c r="AD1144" s="149"/>
      <c r="AE1144" s="149"/>
      <c r="AF1144" s="149"/>
    </row>
    <row r="1145" spans="2:32" s="148" customFormat="1" hidden="1">
      <c r="B1145" s="338" t="str">
        <f>Settings!$N$15</f>
        <v>Previously agreed actions</v>
      </c>
      <c r="C1145" s="339"/>
      <c r="D1145" s="339"/>
      <c r="E1145" s="339"/>
      <c r="F1145" s="339"/>
      <c r="G1145" s="339"/>
      <c r="H1145" s="339"/>
      <c r="I1145" s="339"/>
      <c r="J1145" s="339"/>
      <c r="K1145" s="339"/>
      <c r="L1145" s="339"/>
      <c r="M1145" s="339"/>
      <c r="N1145" s="339"/>
      <c r="O1145" s="339"/>
      <c r="P1145" s="339"/>
      <c r="Q1145" s="339"/>
      <c r="R1145" s="339"/>
      <c r="S1145" s="339"/>
      <c r="T1145" s="339"/>
      <c r="U1145" s="339"/>
      <c r="V1145" s="339"/>
      <c r="W1145" s="339"/>
      <c r="X1145" s="339"/>
      <c r="Y1145" s="340"/>
      <c r="Z1145" s="149"/>
      <c r="AA1145" s="149"/>
      <c r="AB1145" s="149"/>
      <c r="AC1145" s="149"/>
      <c r="AD1145" s="149"/>
      <c r="AE1145" s="149"/>
      <c r="AF1145" s="149"/>
    </row>
    <row r="1146" spans="2:32" s="148" customFormat="1" hidden="1">
      <c r="B1146" s="341" t="e">
        <f>IF(INDEX(TblDatabase[Feedback Does Well],MATCH(1,INDEX(($L$4=ListEmployeeNamesInDatabase)*(C1114=TblDatabase[Year]),0,1),0))="","",INDEX(TblDatabase[Feedback Does Well],MATCH(1,INDEX(($L$4=ListEmployeeNamesInDatabase)*(C1114=TblDatabase[Year]),0,1),0)))</f>
        <v>#N/A</v>
      </c>
      <c r="C1146" s="342"/>
      <c r="D1146" s="342"/>
      <c r="E1146" s="342"/>
      <c r="F1146" s="342"/>
      <c r="G1146" s="342"/>
      <c r="H1146" s="342"/>
      <c r="I1146" s="342"/>
      <c r="J1146" s="342"/>
      <c r="K1146" s="342"/>
      <c r="L1146" s="342"/>
      <c r="M1146" s="342"/>
      <c r="N1146" s="342"/>
      <c r="O1146" s="342"/>
      <c r="P1146" s="342"/>
      <c r="Q1146" s="342"/>
      <c r="R1146" s="342"/>
      <c r="S1146" s="342"/>
      <c r="T1146" s="342"/>
      <c r="U1146" s="342"/>
      <c r="V1146" s="342"/>
      <c r="W1146" s="342"/>
      <c r="X1146" s="342"/>
      <c r="Y1146" s="343"/>
      <c r="Z1146" s="149"/>
      <c r="AA1146" s="149"/>
      <c r="AB1146" s="149"/>
      <c r="AC1146" s="149"/>
      <c r="AD1146" s="149"/>
      <c r="AE1146" s="149"/>
      <c r="AF1146" s="149"/>
    </row>
    <row r="1147" spans="2:32" s="148" customFormat="1" hidden="1">
      <c r="B1147" s="344"/>
      <c r="C1147" s="345"/>
      <c r="D1147" s="345"/>
      <c r="E1147" s="345"/>
      <c r="F1147" s="345"/>
      <c r="G1147" s="345"/>
      <c r="H1147" s="345"/>
      <c r="I1147" s="345"/>
      <c r="J1147" s="345"/>
      <c r="K1147" s="345"/>
      <c r="L1147" s="345"/>
      <c r="M1147" s="345"/>
      <c r="N1147" s="345"/>
      <c r="O1147" s="345"/>
      <c r="P1147" s="345"/>
      <c r="Q1147" s="345"/>
      <c r="R1147" s="345"/>
      <c r="S1147" s="345"/>
      <c r="T1147" s="345"/>
      <c r="U1147" s="345"/>
      <c r="V1147" s="345"/>
      <c r="W1147" s="345"/>
      <c r="X1147" s="345"/>
      <c r="Y1147" s="346"/>
      <c r="Z1147" s="149"/>
      <c r="AA1147" s="149"/>
      <c r="AB1147" s="149"/>
      <c r="AC1147" s="149"/>
      <c r="AD1147" s="149"/>
      <c r="AE1147" s="149"/>
      <c r="AF1147" s="149"/>
    </row>
    <row r="1148" spans="2:32" s="148" customFormat="1" hidden="1">
      <c r="B1148" s="347"/>
      <c r="C1148" s="348"/>
      <c r="D1148" s="348"/>
      <c r="E1148" s="348"/>
      <c r="F1148" s="348"/>
      <c r="G1148" s="348"/>
      <c r="H1148" s="348"/>
      <c r="I1148" s="348"/>
      <c r="J1148" s="348"/>
      <c r="K1148" s="348"/>
      <c r="L1148" s="348"/>
      <c r="M1148" s="348"/>
      <c r="N1148" s="348"/>
      <c r="O1148" s="348"/>
      <c r="P1148" s="348"/>
      <c r="Q1148" s="348"/>
      <c r="R1148" s="348"/>
      <c r="S1148" s="348"/>
      <c r="T1148" s="348"/>
      <c r="U1148" s="348"/>
      <c r="V1148" s="348"/>
      <c r="W1148" s="348"/>
      <c r="X1148" s="348"/>
      <c r="Y1148" s="349"/>
      <c r="Z1148" s="149"/>
      <c r="AA1148" s="149"/>
      <c r="AB1148" s="149"/>
      <c r="AC1148" s="149"/>
      <c r="AD1148" s="149"/>
      <c r="AE1148" s="149"/>
      <c r="AF1148" s="149"/>
    </row>
    <row r="1149" spans="2:32" s="148" customFormat="1" hidden="1">
      <c r="B1149" s="155"/>
      <c r="C1149" s="155"/>
      <c r="D1149" s="155"/>
      <c r="E1149" s="155"/>
      <c r="F1149" s="155"/>
      <c r="G1149" s="155"/>
      <c r="H1149" s="155"/>
      <c r="I1149" s="155"/>
      <c r="J1149" s="155"/>
      <c r="K1149" s="155"/>
      <c r="L1149" s="155"/>
      <c r="M1149" s="155"/>
      <c r="N1149" s="155"/>
      <c r="O1149" s="155"/>
      <c r="P1149" s="155"/>
      <c r="Q1149" s="155"/>
      <c r="R1149" s="155"/>
      <c r="S1149" s="155"/>
      <c r="T1149" s="155"/>
      <c r="U1149" s="155"/>
      <c r="V1149" s="155"/>
      <c r="W1149" s="155"/>
      <c r="X1149" s="155"/>
      <c r="Y1149" s="155"/>
      <c r="Z1149" s="149"/>
      <c r="AA1149" s="149"/>
      <c r="AB1149" s="149"/>
      <c r="AC1149" s="149"/>
      <c r="AD1149" s="149"/>
      <c r="AE1149" s="149"/>
      <c r="AF1149" s="149"/>
    </row>
    <row r="1150" spans="2:32" s="148" customFormat="1" hidden="1">
      <c r="B1150" s="338" t="str">
        <f>Settings!$N$16</f>
        <v>Actions agreed during this review</v>
      </c>
      <c r="C1150" s="339"/>
      <c r="D1150" s="339"/>
      <c r="E1150" s="339"/>
      <c r="F1150" s="339"/>
      <c r="G1150" s="339"/>
      <c r="H1150" s="339"/>
      <c r="I1150" s="339"/>
      <c r="J1150" s="339"/>
      <c r="K1150" s="339"/>
      <c r="L1150" s="339"/>
      <c r="M1150" s="339"/>
      <c r="N1150" s="339"/>
      <c r="O1150" s="339"/>
      <c r="P1150" s="339"/>
      <c r="Q1150" s="339"/>
      <c r="R1150" s="339"/>
      <c r="S1150" s="339"/>
      <c r="T1150" s="339"/>
      <c r="U1150" s="339"/>
      <c r="V1150" s="339"/>
      <c r="W1150" s="339"/>
      <c r="X1150" s="339"/>
      <c r="Y1150" s="340"/>
      <c r="Z1150" s="149"/>
      <c r="AA1150" s="149"/>
      <c r="AB1150" s="149"/>
      <c r="AC1150" s="149"/>
      <c r="AD1150" s="149"/>
      <c r="AE1150" s="149"/>
      <c r="AF1150" s="149"/>
    </row>
    <row r="1151" spans="2:32" s="148" customFormat="1" hidden="1">
      <c r="B1151" s="341" t="e">
        <f>IF(INDEX(TblDatabase[Feedback To Improve],MATCH(1,INDEX(($L$4=ListEmployeeNamesInDatabase)*(C1114=TblDatabase[Year]),0,1),0))="","",INDEX(TblDatabase[Feedback To Improve],MATCH(1,INDEX(($L$4=ListEmployeeNamesInDatabase)*(C1114=TblDatabase[Year]),0,1),0)))</f>
        <v>#N/A</v>
      </c>
      <c r="C1151" s="342"/>
      <c r="D1151" s="342"/>
      <c r="E1151" s="342"/>
      <c r="F1151" s="342"/>
      <c r="G1151" s="342"/>
      <c r="H1151" s="342"/>
      <c r="I1151" s="342"/>
      <c r="J1151" s="342"/>
      <c r="K1151" s="342"/>
      <c r="L1151" s="342"/>
      <c r="M1151" s="342"/>
      <c r="N1151" s="342"/>
      <c r="O1151" s="342"/>
      <c r="P1151" s="342"/>
      <c r="Q1151" s="342"/>
      <c r="R1151" s="342"/>
      <c r="S1151" s="342"/>
      <c r="T1151" s="342"/>
      <c r="U1151" s="342"/>
      <c r="V1151" s="342"/>
      <c r="W1151" s="342"/>
      <c r="X1151" s="342"/>
      <c r="Y1151" s="343"/>
      <c r="Z1151" s="149"/>
      <c r="AA1151" s="149"/>
      <c r="AB1151" s="149"/>
      <c r="AC1151" s="149"/>
      <c r="AD1151" s="149"/>
      <c r="AE1151" s="149"/>
      <c r="AF1151" s="149"/>
    </row>
    <row r="1152" spans="2:32" s="148" customFormat="1" hidden="1">
      <c r="B1152" s="344"/>
      <c r="C1152" s="345"/>
      <c r="D1152" s="345"/>
      <c r="E1152" s="345"/>
      <c r="F1152" s="345"/>
      <c r="G1152" s="345"/>
      <c r="H1152" s="345"/>
      <c r="I1152" s="345"/>
      <c r="J1152" s="345"/>
      <c r="K1152" s="345"/>
      <c r="L1152" s="345"/>
      <c r="M1152" s="345"/>
      <c r="N1152" s="345"/>
      <c r="O1152" s="345"/>
      <c r="P1152" s="345"/>
      <c r="Q1152" s="345"/>
      <c r="R1152" s="345"/>
      <c r="S1152" s="345"/>
      <c r="T1152" s="345"/>
      <c r="U1152" s="345"/>
      <c r="V1152" s="345"/>
      <c r="W1152" s="345"/>
      <c r="X1152" s="345"/>
      <c r="Y1152" s="346"/>
      <c r="Z1152" s="149"/>
      <c r="AA1152" s="149"/>
      <c r="AB1152" s="149"/>
      <c r="AC1152" s="149"/>
      <c r="AD1152" s="149"/>
      <c r="AE1152" s="149"/>
      <c r="AF1152" s="149"/>
    </row>
    <row r="1153" spans="1:32" s="148" customFormat="1" hidden="1">
      <c r="B1153" s="347"/>
      <c r="C1153" s="348"/>
      <c r="D1153" s="348"/>
      <c r="E1153" s="348"/>
      <c r="F1153" s="348"/>
      <c r="G1153" s="348"/>
      <c r="H1153" s="348"/>
      <c r="I1153" s="348"/>
      <c r="J1153" s="348"/>
      <c r="K1153" s="348"/>
      <c r="L1153" s="348"/>
      <c r="M1153" s="348"/>
      <c r="N1153" s="348"/>
      <c r="O1153" s="348"/>
      <c r="P1153" s="348"/>
      <c r="Q1153" s="348"/>
      <c r="R1153" s="348"/>
      <c r="S1153" s="348"/>
      <c r="T1153" s="348"/>
      <c r="U1153" s="348"/>
      <c r="V1153" s="348"/>
      <c r="W1153" s="348"/>
      <c r="X1153" s="348"/>
      <c r="Y1153" s="349"/>
      <c r="Z1153" s="149"/>
      <c r="AA1153" s="149"/>
      <c r="AB1153" s="149"/>
      <c r="AC1153" s="149"/>
      <c r="AD1153" s="149"/>
      <c r="AE1153" s="149"/>
      <c r="AF1153" s="149"/>
    </row>
    <row r="1154" spans="1:32" s="148" customFormat="1" hidden="1">
      <c r="B1154" s="156"/>
      <c r="C1154" s="156"/>
      <c r="D1154" s="156"/>
      <c r="E1154" s="155"/>
      <c r="F1154" s="155"/>
      <c r="G1154" s="155"/>
      <c r="H1154" s="155"/>
      <c r="I1154" s="155"/>
      <c r="J1154" s="155"/>
      <c r="K1154" s="155"/>
      <c r="L1154" s="155"/>
      <c r="M1154" s="155"/>
      <c r="N1154" s="155"/>
      <c r="O1154" s="155"/>
      <c r="P1154" s="155"/>
      <c r="Q1154" s="155"/>
      <c r="R1154" s="155"/>
      <c r="S1154" s="155"/>
      <c r="T1154" s="155"/>
      <c r="U1154" s="155"/>
      <c r="V1154" s="155"/>
      <c r="W1154" s="155"/>
      <c r="X1154" s="155"/>
      <c r="Y1154" s="155"/>
      <c r="Z1154" s="149"/>
      <c r="AA1154" s="149"/>
      <c r="AB1154" s="149"/>
      <c r="AC1154" s="149"/>
      <c r="AD1154" s="149"/>
      <c r="AE1154" s="149"/>
      <c r="AF1154" s="149"/>
    </row>
    <row r="1155" spans="1:32" s="148" customFormat="1" hidden="1">
      <c r="A1155" s="150">
        <f>A1114+1</f>
        <v>28</v>
      </c>
      <c r="B1155" s="27" t="s">
        <v>14</v>
      </c>
      <c r="C1155" s="333">
        <f>C1114-1</f>
        <v>1993</v>
      </c>
      <c r="D1155" s="334"/>
      <c r="Y1155" s="149"/>
      <c r="Z1155" s="149"/>
      <c r="AA1155" s="149"/>
      <c r="AB1155" s="149"/>
      <c r="AC1155" s="149"/>
      <c r="AD1155" s="149"/>
      <c r="AE1155" s="149"/>
      <c r="AF1155" s="149"/>
    </row>
    <row r="1156" spans="1:32" s="148" customFormat="1" hidden="1">
      <c r="Y1156" s="149"/>
      <c r="Z1156" s="149"/>
      <c r="AA1156" s="149"/>
      <c r="AB1156" s="149"/>
      <c r="AC1156" s="149"/>
      <c r="AD1156" s="149"/>
      <c r="AE1156" s="149"/>
      <c r="AF1156" s="149"/>
    </row>
    <row r="1157" spans="1:32" s="148" customFormat="1" hidden="1">
      <c r="B1157" s="338" t="str">
        <f>Settings!$N$14</f>
        <v>Employee's comments</v>
      </c>
      <c r="C1157" s="339"/>
      <c r="D1157" s="339"/>
      <c r="E1157" s="339"/>
      <c r="F1157" s="339"/>
      <c r="G1157" s="339"/>
      <c r="H1157" s="339"/>
      <c r="I1157" s="339"/>
      <c r="J1157" s="339"/>
      <c r="K1157" s="339"/>
      <c r="L1157" s="339"/>
      <c r="M1157" s="339"/>
      <c r="N1157" s="339"/>
      <c r="O1157" s="339"/>
      <c r="P1157" s="339"/>
      <c r="Q1157" s="339"/>
      <c r="R1157" s="339"/>
      <c r="S1157" s="339"/>
      <c r="T1157" s="339"/>
      <c r="U1157" s="339"/>
      <c r="V1157" s="339"/>
      <c r="W1157" s="339"/>
      <c r="X1157" s="339"/>
      <c r="Y1157" s="340"/>
      <c r="Z1157" s="149"/>
      <c r="AA1157" s="149"/>
      <c r="AB1157" s="149"/>
      <c r="AC1157" s="149"/>
      <c r="AD1157" s="149"/>
      <c r="AE1157" s="149"/>
      <c r="AF1157" s="149"/>
    </row>
    <row r="1158" spans="1:32" s="148" customFormat="1" hidden="1">
      <c r="B1158" s="341" t="e">
        <f>IF(INDEX(TblDatabase[Feedback Warnings],MATCH(1,INDEX(($L$4=ListEmployeeNamesInDatabase)*(C1155=TblDatabase[Year]),0,1),0))="","",INDEX(TblDatabase[Feedback Warnings],MATCH(1,INDEX(($L$4=ListEmployeeNamesInDatabase)*(C1155=TblDatabase[Year]),0,1),0)))</f>
        <v>#N/A</v>
      </c>
      <c r="C1158" s="342"/>
      <c r="D1158" s="342"/>
      <c r="E1158" s="342"/>
      <c r="F1158" s="342"/>
      <c r="G1158" s="342"/>
      <c r="H1158" s="342"/>
      <c r="I1158" s="342"/>
      <c r="J1158" s="342"/>
      <c r="K1158" s="342"/>
      <c r="L1158" s="342"/>
      <c r="M1158" s="342"/>
      <c r="N1158" s="342"/>
      <c r="O1158" s="342"/>
      <c r="P1158" s="342"/>
      <c r="Q1158" s="342"/>
      <c r="R1158" s="342"/>
      <c r="S1158" s="342"/>
      <c r="T1158" s="342"/>
      <c r="U1158" s="342"/>
      <c r="V1158" s="342"/>
      <c r="W1158" s="342"/>
      <c r="X1158" s="342"/>
      <c r="Y1158" s="343"/>
      <c r="Z1158" s="149"/>
      <c r="AA1158" s="149"/>
      <c r="AB1158" s="149"/>
      <c r="AC1158" s="149"/>
      <c r="AD1158" s="149"/>
      <c r="AE1158" s="149"/>
      <c r="AF1158" s="149"/>
    </row>
    <row r="1159" spans="1:32" s="148" customFormat="1" hidden="1">
      <c r="B1159" s="344"/>
      <c r="C1159" s="345"/>
      <c r="D1159" s="345"/>
      <c r="E1159" s="345"/>
      <c r="F1159" s="345"/>
      <c r="G1159" s="345"/>
      <c r="H1159" s="345"/>
      <c r="I1159" s="345"/>
      <c r="J1159" s="345"/>
      <c r="K1159" s="345"/>
      <c r="L1159" s="345"/>
      <c r="M1159" s="345"/>
      <c r="N1159" s="345"/>
      <c r="O1159" s="345"/>
      <c r="P1159" s="345"/>
      <c r="Q1159" s="345"/>
      <c r="R1159" s="345"/>
      <c r="S1159" s="345"/>
      <c r="T1159" s="345"/>
      <c r="U1159" s="345"/>
      <c r="V1159" s="345"/>
      <c r="W1159" s="345"/>
      <c r="X1159" s="345"/>
      <c r="Y1159" s="346"/>
      <c r="Z1159" s="149"/>
      <c r="AA1159" s="149"/>
      <c r="AB1159" s="149"/>
      <c r="AC1159" s="149"/>
      <c r="AD1159" s="149"/>
      <c r="AE1159" s="149"/>
      <c r="AF1159" s="149"/>
    </row>
    <row r="1160" spans="1:32" s="148" customFormat="1" hidden="1">
      <c r="B1160" s="347"/>
      <c r="C1160" s="348"/>
      <c r="D1160" s="348"/>
      <c r="E1160" s="348"/>
      <c r="F1160" s="348"/>
      <c r="G1160" s="348"/>
      <c r="H1160" s="348"/>
      <c r="I1160" s="348"/>
      <c r="J1160" s="348"/>
      <c r="K1160" s="348"/>
      <c r="L1160" s="348"/>
      <c r="M1160" s="348"/>
      <c r="N1160" s="348"/>
      <c r="O1160" s="348"/>
      <c r="P1160" s="348"/>
      <c r="Q1160" s="348"/>
      <c r="R1160" s="348"/>
      <c r="S1160" s="348"/>
      <c r="T1160" s="348"/>
      <c r="U1160" s="348"/>
      <c r="V1160" s="348"/>
      <c r="W1160" s="348"/>
      <c r="X1160" s="348"/>
      <c r="Y1160" s="349"/>
      <c r="Z1160" s="149"/>
      <c r="AA1160" s="149"/>
      <c r="AB1160" s="149"/>
      <c r="AC1160" s="149"/>
      <c r="AD1160" s="149"/>
      <c r="AE1160" s="149"/>
      <c r="AF1160" s="149"/>
    </row>
    <row r="1161" spans="1:32" s="148" customFormat="1" hidden="1">
      <c r="Y1161" s="149"/>
      <c r="Z1161" s="149"/>
      <c r="AA1161" s="149"/>
      <c r="AB1161" s="149"/>
      <c r="AC1161" s="149"/>
      <c r="AD1161" s="149"/>
      <c r="AE1161" s="149"/>
      <c r="AF1161" s="149"/>
    </row>
    <row r="1162" spans="1:32" s="148" customFormat="1" ht="15" hidden="1" customHeight="1">
      <c r="B1162" s="320" t="s">
        <v>8</v>
      </c>
      <c r="C1162" s="321"/>
      <c r="D1162" s="321"/>
      <c r="E1162" s="321"/>
      <c r="F1162" s="233">
        <f>IF(Settings!$M$4=Settings!$Y$3,Settings!$O$19,1)</f>
        <v>1</v>
      </c>
      <c r="G1162" s="234">
        <f>IF(Settings!$M$4=Settings!$Y$3,Settings!$O$19,2)</f>
        <v>2</v>
      </c>
      <c r="H1162" s="234">
        <f>IF(Settings!$M$4=Settings!$Y$3,Settings!$O$19,3)</f>
        <v>3</v>
      </c>
      <c r="I1162" s="234">
        <f>IF(Settings!$M$4=Settings!$Y$3,Settings!$O$19,4)</f>
        <v>4</v>
      </c>
      <c r="J1162" s="234">
        <f>IF(Settings!$M$4=Settings!$Y$3,Settings!$O$20,5)</f>
        <v>5</v>
      </c>
      <c r="K1162" s="234">
        <f>IF(Settings!$M$4=Settings!$Y$3,Settings!$O$20,6)</f>
        <v>6</v>
      </c>
      <c r="L1162" s="234">
        <f>IF(Settings!$M$4=Settings!$Y$3,Settings!$O$20,7)</f>
        <v>7</v>
      </c>
      <c r="M1162" s="234">
        <f>IF(Settings!$M$4=Settings!$Y$3,Settings!$O$20,8)</f>
        <v>8</v>
      </c>
      <c r="N1162" s="234">
        <f>IF(Settings!$M$4=Settings!$Y$3,Settings!$O$21,9)</f>
        <v>9</v>
      </c>
      <c r="O1162" s="235">
        <f>IF(Settings!$M$4=Settings!$Y$3,Settings!$O$21,10)</f>
        <v>10</v>
      </c>
      <c r="P1162" s="22"/>
      <c r="Q1162" s="22"/>
      <c r="R1162" s="333" t="s">
        <v>24</v>
      </c>
      <c r="S1162" s="333"/>
      <c r="T1162" s="333"/>
      <c r="U1162" s="333"/>
      <c r="V1162" s="333"/>
      <c r="W1162" s="333"/>
      <c r="X1162" s="333"/>
      <c r="Y1162" s="334"/>
      <c r="Z1162" s="149"/>
      <c r="AA1162" s="149"/>
      <c r="AB1162" s="149"/>
      <c r="AC1162" s="149"/>
      <c r="AD1162" s="149"/>
      <c r="AE1162" s="149"/>
      <c r="AF1162" s="149"/>
    </row>
    <row r="1163" spans="1:32" s="148" customFormat="1" ht="15" hidden="1" customHeight="1">
      <c r="B1163" s="335" t="str">
        <f t="shared" ref="B1163:B1182" si="27">B1122</f>
        <v>Quality of Work</v>
      </c>
      <c r="C1163" s="336"/>
      <c r="D1163" s="336"/>
      <c r="E1163" s="337"/>
      <c r="F1163" s="162" t="str">
        <f>IF(Settings!$M$4=Settings!$Y$3,IF($AA1163=1,"P",""),IF($AA1163=1,"P",""))</f>
        <v/>
      </c>
      <c r="G1163" s="160" t="str">
        <f>IF(Settings!$M$4=Settings!$Y$3,IF($AA1163=1,"P",""),IF($AA1163=2,"P",""))</f>
        <v/>
      </c>
      <c r="H1163" s="160" t="str">
        <f>IF(Settings!$M$4=Settings!$Y$3,IF($AA1163=1,"P",""),IF($AA1163=3,"P",""))</f>
        <v/>
      </c>
      <c r="I1163" s="160" t="str">
        <f>IF(Settings!$M$4=Settings!$Y$3,IF($AA1163=1,"P",""),IF($AA1163=4,"P",""))</f>
        <v/>
      </c>
      <c r="J1163" s="160" t="str">
        <f>IF(Settings!$M$4=Settings!$Y$3,IF($AA1163=2,"P",""),IF($AA1163=5,"P",""))</f>
        <v/>
      </c>
      <c r="K1163" s="160" t="str">
        <f>IF(Settings!$M$4=Settings!$Y$3,IF($AA1163=2,"P",""),IF($AA1163=6,"P",""))</f>
        <v/>
      </c>
      <c r="L1163" s="160" t="str">
        <f>IF(Settings!$M$4=Settings!$Y$3,IF($AA1163=2,"P",""),IF($AA1163=7,"P",""))</f>
        <v/>
      </c>
      <c r="M1163" s="160" t="str">
        <f>IF(Settings!$M$4=Settings!$Y$3,IF($AA1163=2,"P",""),IF($AA1163=8,"P",""))</f>
        <v/>
      </c>
      <c r="N1163" s="160" t="str">
        <f>IF(Settings!$M$4=Settings!$Y$3,IF($AA1163=3,"P",""),IF($AA1163=9,"P",""))</f>
        <v/>
      </c>
      <c r="O1163" s="161" t="str">
        <f>IF(Settings!$M$4=Settings!$Y$3,IF($AA1163=3,"P",""),IF($AA1163=10,"P",""))</f>
        <v/>
      </c>
      <c r="P1163" s="22"/>
      <c r="Q1163" s="22"/>
      <c r="R1163" s="367" t="e">
        <f>IF(INDEX(TblDatabase[Comment1],MATCH(1,INDEX(($L$4=ListEmployeeNamesInDatabase)*(C1155=TblDatabase[Year]),0,1),0))="","",INDEX(TblDatabase[Comment1],MATCH(1,INDEX(($L$4=ListEmployeeNamesInDatabase)*(C1155=TblDatabase[Year]),0,1),0)))</f>
        <v>#N/A</v>
      </c>
      <c r="S1163" s="367"/>
      <c r="T1163" s="367"/>
      <c r="U1163" s="367"/>
      <c r="V1163" s="367"/>
      <c r="W1163" s="367"/>
      <c r="X1163" s="367"/>
      <c r="Y1163" s="368"/>
      <c r="Z1163" s="149"/>
      <c r="AA1163" s="151">
        <f>SUMIFS(TblDatabase[Competency1],ListEmployeeNamesInDatabase,$L$4,TblDatabase[Year],C1155)</f>
        <v>0</v>
      </c>
      <c r="AB1163" s="149"/>
      <c r="AC1163" s="149"/>
      <c r="AD1163" s="149"/>
      <c r="AE1163" s="149"/>
      <c r="AF1163" s="149"/>
    </row>
    <row r="1164" spans="1:32" s="148" customFormat="1" ht="15" hidden="1" customHeight="1">
      <c r="B1164" s="355" t="str">
        <f t="shared" si="27"/>
        <v>CaLL flow</v>
      </c>
      <c r="C1164" s="356"/>
      <c r="D1164" s="356"/>
      <c r="E1164" s="357"/>
      <c r="F1164" s="163" t="str">
        <f>IF(Settings!$M$4=Settings!$Y$3,IF($AA1164=1,"P",""),IF($AA1164=1,"P",""))</f>
        <v/>
      </c>
      <c r="G1164" s="164" t="str">
        <f>IF(Settings!$M$4=Settings!$Y$3,IF($AA1164=1,"P",""),IF($AA1164=2,"P",""))</f>
        <v/>
      </c>
      <c r="H1164" s="164" t="str">
        <f>IF(Settings!$M$4=Settings!$Y$3,IF($AA1164=1,"P",""),IF($AA1164=3,"P",""))</f>
        <v/>
      </c>
      <c r="I1164" s="164" t="str">
        <f>IF(Settings!$M$4=Settings!$Y$3,IF($AA1164=1,"P",""),IF($AA1164=4,"P",""))</f>
        <v/>
      </c>
      <c r="J1164" s="164" t="str">
        <f>IF(Settings!$M$4=Settings!$Y$3,IF($AA1164=2,"P",""),IF($AA1164=5,"P",""))</f>
        <v/>
      </c>
      <c r="K1164" s="164" t="str">
        <f>IF(Settings!$M$4=Settings!$Y$3,IF($AA1164=2,"P",""),IF($AA1164=6,"P",""))</f>
        <v/>
      </c>
      <c r="L1164" s="164" t="str">
        <f>IF(Settings!$M$4=Settings!$Y$3,IF($AA1164=2,"P",""),IF($AA1164=7,"P",""))</f>
        <v/>
      </c>
      <c r="M1164" s="164" t="str">
        <f>IF(Settings!$M$4=Settings!$Y$3,IF($AA1164=2,"P",""),IF($AA1164=8,"P",""))</f>
        <v/>
      </c>
      <c r="N1164" s="164" t="str">
        <f>IF(Settings!$M$4=Settings!$Y$3,IF($AA1164=3,"P",""),IF($AA1164=9,"P",""))</f>
        <v/>
      </c>
      <c r="O1164" s="165" t="str">
        <f>IF(Settings!$M$4=Settings!$Y$3,IF($AA1164=3,"P",""),IF($AA1164=10,"P",""))</f>
        <v/>
      </c>
      <c r="P1164" s="22"/>
      <c r="Q1164" s="22"/>
      <c r="R1164" s="360" t="e">
        <f>IF(INDEX(TblDatabase[Comment2],MATCH(1,INDEX(($L$4=ListEmployeeNamesInDatabase)*(C1155=TblDatabase[Year]),0,1),0))="","",INDEX(TblDatabase[Comment2],MATCH(1,INDEX(($L$4=ListEmployeeNamesInDatabase)*(C1155=TblDatabase[Year]),0,1),0)))</f>
        <v>#N/A</v>
      </c>
      <c r="S1164" s="360"/>
      <c r="T1164" s="360"/>
      <c r="U1164" s="360"/>
      <c r="V1164" s="360"/>
      <c r="W1164" s="360"/>
      <c r="X1164" s="360"/>
      <c r="Y1164" s="361"/>
      <c r="Z1164" s="149"/>
      <c r="AA1164" s="151">
        <f>SUMIFS(TblDatabase[Competency2],ListEmployeeNamesInDatabase,$L$4,TblDatabase[Year],C1155)</f>
        <v>0</v>
      </c>
      <c r="AB1164" s="149"/>
      <c r="AC1164" s="149"/>
      <c r="AD1164" s="149"/>
      <c r="AE1164" s="149"/>
      <c r="AF1164" s="149"/>
    </row>
    <row r="1165" spans="1:32" s="148" customFormat="1" ht="15" hidden="1" customHeight="1">
      <c r="B1165" s="350" t="str">
        <f t="shared" si="27"/>
        <v>Job Knowledge</v>
      </c>
      <c r="C1165" s="351"/>
      <c r="D1165" s="351"/>
      <c r="E1165" s="352"/>
      <c r="F1165" s="157" t="str">
        <f>IF(Settings!$M$4=Settings!$Y$3,IF($AA1165=1,"P",""),IF($AA1165=1,"P",""))</f>
        <v/>
      </c>
      <c r="G1165" s="158" t="str">
        <f>IF(Settings!$M$4=Settings!$Y$3,IF($AA1165=1,"P",""),IF($AA1165=2,"P",""))</f>
        <v/>
      </c>
      <c r="H1165" s="158" t="str">
        <f>IF(Settings!$M$4=Settings!$Y$3,IF($AA1165=1,"P",""),IF($AA1165=3,"P",""))</f>
        <v/>
      </c>
      <c r="I1165" s="158" t="str">
        <f>IF(Settings!$M$4=Settings!$Y$3,IF($AA1165=1,"P",""),IF($AA1165=4,"P",""))</f>
        <v/>
      </c>
      <c r="J1165" s="158" t="str">
        <f>IF(Settings!$M$4=Settings!$Y$3,IF($AA1165=2,"P",""),IF($AA1165=5,"P",""))</f>
        <v/>
      </c>
      <c r="K1165" s="158" t="str">
        <f>IF(Settings!$M$4=Settings!$Y$3,IF($AA1165=2,"P",""),IF($AA1165=6,"P",""))</f>
        <v/>
      </c>
      <c r="L1165" s="158" t="str">
        <f>IF(Settings!$M$4=Settings!$Y$3,IF($AA1165=2,"P",""),IF($AA1165=7,"P",""))</f>
        <v/>
      </c>
      <c r="M1165" s="158" t="str">
        <f>IF(Settings!$M$4=Settings!$Y$3,IF($AA1165=2,"P",""),IF($AA1165=8,"P",""))</f>
        <v/>
      </c>
      <c r="N1165" s="158" t="str">
        <f>IF(Settings!$M$4=Settings!$Y$3,IF($AA1165=3,"P",""),IF($AA1165=9,"P",""))</f>
        <v/>
      </c>
      <c r="O1165" s="159" t="str">
        <f>IF(Settings!$M$4=Settings!$Y$3,IF($AA1165=3,"P",""),IF($AA1165=10,"P",""))</f>
        <v/>
      </c>
      <c r="P1165" s="22"/>
      <c r="Q1165" s="22"/>
      <c r="R1165" s="353" t="e">
        <f>IF(INDEX(TblDatabase[Comment3],MATCH(1,INDEX(($L$4=ListEmployeeNamesInDatabase)*(C1155=TblDatabase[Year]),0,1),0))="","",INDEX(TblDatabase[Comment3],MATCH(1,INDEX(($L$4=ListEmployeeNamesInDatabase)*(C1155=TblDatabase[Year]),0,1),0)))</f>
        <v>#N/A</v>
      </c>
      <c r="S1165" s="353"/>
      <c r="T1165" s="353"/>
      <c r="U1165" s="353"/>
      <c r="V1165" s="353"/>
      <c r="W1165" s="353"/>
      <c r="X1165" s="353"/>
      <c r="Y1165" s="354"/>
      <c r="Z1165" s="149"/>
      <c r="AA1165" s="151">
        <f>SUMIFS(TblDatabase[Competency3],ListEmployeeNamesInDatabase,$L$4,TblDatabase[Year],C1155)</f>
        <v>0</v>
      </c>
      <c r="AB1165" s="149"/>
      <c r="AC1165" s="149"/>
      <c r="AD1165" s="149"/>
      <c r="AE1165" s="149"/>
      <c r="AF1165" s="149"/>
    </row>
    <row r="1166" spans="1:32" s="148" customFormat="1" ht="15" hidden="1" customHeight="1">
      <c r="B1166" s="355" t="str">
        <f t="shared" si="27"/>
        <v>Client Service</v>
      </c>
      <c r="C1166" s="356"/>
      <c r="D1166" s="356"/>
      <c r="E1166" s="357"/>
      <c r="F1166" s="163" t="str">
        <f>IF(Settings!$M$4=Settings!$Y$3,IF($AA1166=1,"P",""),IF($AA1166=1,"P",""))</f>
        <v/>
      </c>
      <c r="G1166" s="164" t="str">
        <f>IF(Settings!$M$4=Settings!$Y$3,IF($AA1166=1,"P",""),IF($AA1166=2,"P",""))</f>
        <v/>
      </c>
      <c r="H1166" s="164" t="str">
        <f>IF(Settings!$M$4=Settings!$Y$3,IF($AA1166=1,"P",""),IF($AA1166=3,"P",""))</f>
        <v/>
      </c>
      <c r="I1166" s="164" t="str">
        <f>IF(Settings!$M$4=Settings!$Y$3,IF($AA1166=1,"P",""),IF($AA1166=4,"P",""))</f>
        <v/>
      </c>
      <c r="J1166" s="164" t="str">
        <f>IF(Settings!$M$4=Settings!$Y$3,IF($AA1166=2,"P",""),IF($AA1166=5,"P",""))</f>
        <v/>
      </c>
      <c r="K1166" s="164" t="str">
        <f>IF(Settings!$M$4=Settings!$Y$3,IF($AA1166=2,"P",""),IF($AA1166=6,"P",""))</f>
        <v/>
      </c>
      <c r="L1166" s="164" t="str">
        <f>IF(Settings!$M$4=Settings!$Y$3,IF($AA1166=2,"P",""),IF($AA1166=7,"P",""))</f>
        <v/>
      </c>
      <c r="M1166" s="164" t="str">
        <f>IF(Settings!$M$4=Settings!$Y$3,IF($AA1166=2,"P",""),IF($AA1166=8,"P",""))</f>
        <v/>
      </c>
      <c r="N1166" s="164" t="str">
        <f>IF(Settings!$M$4=Settings!$Y$3,IF($AA1166=3,"P",""),IF($AA1166=9,"P",""))</f>
        <v/>
      </c>
      <c r="O1166" s="165" t="str">
        <f>IF(Settings!$M$4=Settings!$Y$3,IF($AA1166=3,"P",""),IF($AA1166=10,"P",""))</f>
        <v/>
      </c>
      <c r="P1166" s="22"/>
      <c r="Q1166" s="22"/>
      <c r="R1166" s="360" t="e">
        <f>IF(INDEX(TblDatabase[Comment4],MATCH(1,INDEX(($L$4=ListEmployeeNamesInDatabase)*(C1155=TblDatabase[Year]),0,1),0))="","",INDEX(TblDatabase[Comment4],MATCH(1,INDEX(($L$4=ListEmployeeNamesInDatabase)*(C1155=TblDatabase[Year]),0,1),0)))</f>
        <v>#N/A</v>
      </c>
      <c r="S1166" s="360"/>
      <c r="T1166" s="360"/>
      <c r="U1166" s="360"/>
      <c r="V1166" s="360"/>
      <c r="W1166" s="360"/>
      <c r="X1166" s="360"/>
      <c r="Y1166" s="361"/>
      <c r="Z1166" s="149"/>
      <c r="AA1166" s="151">
        <f>SUMIFS(TblDatabase[Competency4],ListEmployeeNamesInDatabase,$L$4,TblDatabase[Year],C1155)</f>
        <v>0</v>
      </c>
      <c r="AB1166" s="149"/>
      <c r="AC1166" s="149"/>
      <c r="AD1166" s="149"/>
      <c r="AE1166" s="149"/>
      <c r="AF1166" s="149"/>
    </row>
    <row r="1167" spans="1:32" s="148" customFormat="1" ht="15" hidden="1" customHeight="1">
      <c r="B1167" s="350" t="str">
        <f t="shared" si="27"/>
        <v>Teamwork</v>
      </c>
      <c r="C1167" s="351"/>
      <c r="D1167" s="351"/>
      <c r="E1167" s="352"/>
      <c r="F1167" s="157" t="str">
        <f>IF(Settings!$M$4=Settings!$Y$3,IF($AA1167=1,"P",""),IF($AA1167=1,"P",""))</f>
        <v/>
      </c>
      <c r="G1167" s="158" t="str">
        <f>IF(Settings!$M$4=Settings!$Y$3,IF($AA1167=1,"P",""),IF($AA1167=2,"P",""))</f>
        <v/>
      </c>
      <c r="H1167" s="158" t="str">
        <f>IF(Settings!$M$4=Settings!$Y$3,IF($AA1167=1,"P",""),IF($AA1167=3,"P",""))</f>
        <v/>
      </c>
      <c r="I1167" s="158" t="str">
        <f>IF(Settings!$M$4=Settings!$Y$3,IF($AA1167=1,"P",""),IF($AA1167=4,"P",""))</f>
        <v/>
      </c>
      <c r="J1167" s="158" t="str">
        <f>IF(Settings!$M$4=Settings!$Y$3,IF($AA1167=2,"P",""),IF($AA1167=5,"P",""))</f>
        <v/>
      </c>
      <c r="K1167" s="158" t="str">
        <f>IF(Settings!$M$4=Settings!$Y$3,IF($AA1167=2,"P",""),IF($AA1167=6,"P",""))</f>
        <v/>
      </c>
      <c r="L1167" s="158" t="str">
        <f>IF(Settings!$M$4=Settings!$Y$3,IF($AA1167=2,"P",""),IF($AA1167=7,"P",""))</f>
        <v/>
      </c>
      <c r="M1167" s="158" t="str">
        <f>IF(Settings!$M$4=Settings!$Y$3,IF($AA1167=2,"P",""),IF($AA1167=8,"P",""))</f>
        <v/>
      </c>
      <c r="N1167" s="158" t="str">
        <f>IF(Settings!$M$4=Settings!$Y$3,IF($AA1167=3,"P",""),IF($AA1167=9,"P",""))</f>
        <v/>
      </c>
      <c r="O1167" s="159" t="str">
        <f>IF(Settings!$M$4=Settings!$Y$3,IF($AA1167=3,"P",""),IF($AA1167=10,"P",""))</f>
        <v/>
      </c>
      <c r="P1167" s="22"/>
      <c r="Q1167" s="22"/>
      <c r="R1167" s="353" t="e">
        <f>IF(INDEX(TblDatabase[Comment5],MATCH(1,INDEX(($L$4=ListEmployeeNamesInDatabase)*(C1155=TblDatabase[Year]),0,1),0))="","",INDEX(TblDatabase[Comment5],MATCH(1,INDEX(($L$4=ListEmployeeNamesInDatabase)*(C1155=TblDatabase[Year]),0,1),0)))</f>
        <v>#N/A</v>
      </c>
      <c r="S1167" s="353"/>
      <c r="T1167" s="353"/>
      <c r="U1167" s="353"/>
      <c r="V1167" s="353"/>
      <c r="W1167" s="353"/>
      <c r="X1167" s="353"/>
      <c r="Y1167" s="354"/>
      <c r="Z1167" s="149"/>
      <c r="AA1167" s="151">
        <f>SUMIFS(TblDatabase[Competency5],ListEmployeeNamesInDatabase,$L$4,TblDatabase[Year],C1155)</f>
        <v>0</v>
      </c>
      <c r="AB1167" s="149"/>
      <c r="AC1167" s="149"/>
      <c r="AD1167" s="149"/>
      <c r="AE1167" s="149"/>
      <c r="AF1167" s="149"/>
    </row>
    <row r="1168" spans="1:32" s="148" customFormat="1" ht="15" hidden="1" customHeight="1">
      <c r="B1168" s="355" t="str">
        <f t="shared" si="27"/>
        <v>Safety</v>
      </c>
      <c r="C1168" s="356"/>
      <c r="D1168" s="356"/>
      <c r="E1168" s="357"/>
      <c r="F1168" s="163" t="str">
        <f>IF(Settings!$M$4=Settings!$Y$3,IF($AA1168=1,"P",""),IF($AA1168=1,"P",""))</f>
        <v/>
      </c>
      <c r="G1168" s="164" t="str">
        <f>IF(Settings!$M$4=Settings!$Y$3,IF($AA1168=1,"P",""),IF($AA1168=2,"P",""))</f>
        <v/>
      </c>
      <c r="H1168" s="164" t="str">
        <f>IF(Settings!$M$4=Settings!$Y$3,IF($AA1168=1,"P",""),IF($AA1168=3,"P",""))</f>
        <v/>
      </c>
      <c r="I1168" s="164" t="str">
        <f>IF(Settings!$M$4=Settings!$Y$3,IF($AA1168=1,"P",""),IF($AA1168=4,"P",""))</f>
        <v/>
      </c>
      <c r="J1168" s="164" t="str">
        <f>IF(Settings!$M$4=Settings!$Y$3,IF($AA1168=2,"P",""),IF($AA1168=5,"P",""))</f>
        <v/>
      </c>
      <c r="K1168" s="164" t="str">
        <f>IF(Settings!$M$4=Settings!$Y$3,IF($AA1168=2,"P",""),IF($AA1168=6,"P",""))</f>
        <v/>
      </c>
      <c r="L1168" s="164" t="str">
        <f>IF(Settings!$M$4=Settings!$Y$3,IF($AA1168=2,"P",""),IF($AA1168=7,"P",""))</f>
        <v/>
      </c>
      <c r="M1168" s="164" t="str">
        <f>IF(Settings!$M$4=Settings!$Y$3,IF($AA1168=2,"P",""),IF($AA1168=8,"P",""))</f>
        <v/>
      </c>
      <c r="N1168" s="164" t="str">
        <f>IF(Settings!$M$4=Settings!$Y$3,IF($AA1168=3,"P",""),IF($AA1168=9,"P",""))</f>
        <v/>
      </c>
      <c r="O1168" s="165" t="str">
        <f>IF(Settings!$M$4=Settings!$Y$3,IF($AA1168=3,"P",""),IF($AA1168=10,"P",""))</f>
        <v/>
      </c>
      <c r="P1168" s="22"/>
      <c r="Q1168" s="22"/>
      <c r="R1168" s="360" t="e">
        <f>IF(INDEX(TblDatabase[Comment6],MATCH(1,INDEX(($L$4=ListEmployeeNamesInDatabase)*(C1155=TblDatabase[Year]),0,1),0))="","",INDEX(TblDatabase[Comment6],MATCH(1,INDEX(($L$4=ListEmployeeNamesInDatabase)*(C1155=TblDatabase[Year]),0,1),0)))</f>
        <v>#N/A</v>
      </c>
      <c r="S1168" s="360"/>
      <c r="T1168" s="360"/>
      <c r="U1168" s="360"/>
      <c r="V1168" s="360"/>
      <c r="W1168" s="360"/>
      <c r="X1168" s="360"/>
      <c r="Y1168" s="361"/>
      <c r="Z1168" s="149"/>
      <c r="AA1168" s="151">
        <f>SUMIFS(TblDatabase[Competency6],ListEmployeeNamesInDatabase,$L$4,TblDatabase[Year],C1155)</f>
        <v>0</v>
      </c>
      <c r="AB1168" s="149"/>
      <c r="AC1168" s="149"/>
      <c r="AD1168" s="149"/>
      <c r="AE1168" s="149"/>
      <c r="AF1168" s="149"/>
    </row>
    <row r="1169" spans="2:32" s="148" customFormat="1" ht="15" hidden="1" customHeight="1">
      <c r="B1169" s="350" t="str">
        <f t="shared" si="27"/>
        <v>Reliability</v>
      </c>
      <c r="C1169" s="351"/>
      <c r="D1169" s="351"/>
      <c r="E1169" s="352"/>
      <c r="F1169" s="157" t="str">
        <f>IF(Settings!$M$4=Settings!$Y$3,IF($AA1169=1,"P",""),IF($AA1169=1,"P",""))</f>
        <v/>
      </c>
      <c r="G1169" s="158" t="str">
        <f>IF(Settings!$M$4=Settings!$Y$3,IF($AA1169=1,"P",""),IF($AA1169=2,"P",""))</f>
        <v/>
      </c>
      <c r="H1169" s="158" t="str">
        <f>IF(Settings!$M$4=Settings!$Y$3,IF($AA1169=1,"P",""),IF($AA1169=3,"P",""))</f>
        <v/>
      </c>
      <c r="I1169" s="158" t="str">
        <f>IF(Settings!$M$4=Settings!$Y$3,IF($AA1169=1,"P",""),IF($AA1169=4,"P",""))</f>
        <v/>
      </c>
      <c r="J1169" s="158" t="str">
        <f>IF(Settings!$M$4=Settings!$Y$3,IF($AA1169=2,"P",""),IF($AA1169=5,"P",""))</f>
        <v/>
      </c>
      <c r="K1169" s="158" t="str">
        <f>IF(Settings!$M$4=Settings!$Y$3,IF($AA1169=2,"P",""),IF($AA1169=6,"P",""))</f>
        <v/>
      </c>
      <c r="L1169" s="158" t="str">
        <f>IF(Settings!$M$4=Settings!$Y$3,IF($AA1169=2,"P",""),IF($AA1169=7,"P",""))</f>
        <v/>
      </c>
      <c r="M1169" s="158" t="str">
        <f>IF(Settings!$M$4=Settings!$Y$3,IF($AA1169=2,"P",""),IF($AA1169=8,"P",""))</f>
        <v/>
      </c>
      <c r="N1169" s="158" t="str">
        <f>IF(Settings!$M$4=Settings!$Y$3,IF($AA1169=3,"P",""),IF($AA1169=9,"P",""))</f>
        <v/>
      </c>
      <c r="O1169" s="159" t="str">
        <f>IF(Settings!$M$4=Settings!$Y$3,IF($AA1169=3,"P",""),IF($AA1169=10,"P",""))</f>
        <v/>
      </c>
      <c r="P1169" s="22"/>
      <c r="Q1169" s="22"/>
      <c r="R1169" s="353" t="e">
        <f>IF(INDEX(TblDatabase[Comment7],MATCH(1,INDEX(($L$4=ListEmployeeNamesInDatabase)*(C1155=TblDatabase[Year]),0,1),0))="","",INDEX(TblDatabase[Comment7],MATCH(1,INDEX(($L$4=ListEmployeeNamesInDatabase)*(C1155=TblDatabase[Year]),0,1),0)))</f>
        <v>#N/A</v>
      </c>
      <c r="S1169" s="353"/>
      <c r="T1169" s="353"/>
      <c r="U1169" s="353"/>
      <c r="V1169" s="353"/>
      <c r="W1169" s="353"/>
      <c r="X1169" s="353"/>
      <c r="Y1169" s="354"/>
      <c r="Z1169" s="149"/>
      <c r="AA1169" s="151">
        <f>SUMIFS(TblDatabase[Competency7],ListEmployeeNamesInDatabase,$L$4,TblDatabase[Year],C1155)</f>
        <v>0</v>
      </c>
      <c r="AB1169" s="149"/>
      <c r="AC1169" s="149"/>
      <c r="AD1169" s="149"/>
      <c r="AE1169" s="149"/>
      <c r="AF1169" s="149"/>
    </row>
    <row r="1170" spans="2:32" s="148" customFormat="1" ht="15" hidden="1" customHeight="1">
      <c r="B1170" s="355" t="str">
        <f t="shared" si="27"/>
        <v>Initiative/Adaptability</v>
      </c>
      <c r="C1170" s="356"/>
      <c r="D1170" s="356"/>
      <c r="E1170" s="357"/>
      <c r="F1170" s="163" t="str">
        <f>IF(Settings!$M$4=Settings!$Y$3,IF($AA1170=1,"P",""),IF($AA1170=1,"P",""))</f>
        <v/>
      </c>
      <c r="G1170" s="164" t="str">
        <f>IF(Settings!$M$4=Settings!$Y$3,IF($AA1170=1,"P",""),IF($AA1170=2,"P",""))</f>
        <v/>
      </c>
      <c r="H1170" s="164" t="str">
        <f>IF(Settings!$M$4=Settings!$Y$3,IF($AA1170=1,"P",""),IF($AA1170=3,"P",""))</f>
        <v/>
      </c>
      <c r="I1170" s="164" t="str">
        <f>IF(Settings!$M$4=Settings!$Y$3,IF($AA1170=1,"P",""),IF($AA1170=4,"P",""))</f>
        <v/>
      </c>
      <c r="J1170" s="164" t="str">
        <f>IF(Settings!$M$4=Settings!$Y$3,IF($AA1170=2,"P",""),IF($AA1170=5,"P",""))</f>
        <v/>
      </c>
      <c r="K1170" s="164" t="str">
        <f>IF(Settings!$M$4=Settings!$Y$3,IF($AA1170=2,"P",""),IF($AA1170=6,"P",""))</f>
        <v/>
      </c>
      <c r="L1170" s="164" t="str">
        <f>IF(Settings!$M$4=Settings!$Y$3,IF($AA1170=2,"P",""),IF($AA1170=7,"P",""))</f>
        <v/>
      </c>
      <c r="M1170" s="164" t="str">
        <f>IF(Settings!$M$4=Settings!$Y$3,IF($AA1170=2,"P",""),IF($AA1170=8,"P",""))</f>
        <v/>
      </c>
      <c r="N1170" s="164" t="str">
        <f>IF(Settings!$M$4=Settings!$Y$3,IF($AA1170=3,"P",""),IF($AA1170=9,"P",""))</f>
        <v/>
      </c>
      <c r="O1170" s="165" t="str">
        <f>IF(Settings!$M$4=Settings!$Y$3,IF($AA1170=3,"P",""),IF($AA1170=10,"P",""))</f>
        <v/>
      </c>
      <c r="P1170" s="22"/>
      <c r="Q1170" s="22"/>
      <c r="R1170" s="360" t="e">
        <f>IF(INDEX(TblDatabase[Comment8],MATCH(1,INDEX(($L$4=ListEmployeeNamesInDatabase)*(C1155=TblDatabase[Year]),0,1),0))="","",INDEX(TblDatabase[Comment8],MATCH(1,INDEX(($L$4=ListEmployeeNamesInDatabase)*(C1155=TblDatabase[Year]),0,1),0)))</f>
        <v>#N/A</v>
      </c>
      <c r="S1170" s="360"/>
      <c r="T1170" s="360"/>
      <c r="U1170" s="360"/>
      <c r="V1170" s="360"/>
      <c r="W1170" s="360"/>
      <c r="X1170" s="360"/>
      <c r="Y1170" s="361"/>
      <c r="Z1170" s="149"/>
      <c r="AA1170" s="151">
        <f>SUMIFS(TblDatabase[Competency8],ListEmployeeNamesInDatabase,$L$4,TblDatabase[Year],C1155)</f>
        <v>0</v>
      </c>
      <c r="AB1170" s="149"/>
      <c r="AC1170" s="149"/>
      <c r="AD1170" s="149"/>
      <c r="AE1170" s="149"/>
      <c r="AF1170" s="149"/>
    </row>
    <row r="1171" spans="2:32" s="148" customFormat="1" ht="15" hidden="1" customHeight="1">
      <c r="B1171" s="350" t="str">
        <f t="shared" si="27"/>
        <v/>
      </c>
      <c r="C1171" s="351"/>
      <c r="D1171" s="351"/>
      <c r="E1171" s="352"/>
      <c r="F1171" s="157" t="str">
        <f>IF(Settings!$M$4=Settings!$Y$3,IF($AA1171=1,"P",""),IF($AA1171=1,"P",""))</f>
        <v/>
      </c>
      <c r="G1171" s="158" t="str">
        <f>IF(Settings!$M$4=Settings!$Y$3,IF($AA1171=1,"P",""),IF($AA1171=2,"P",""))</f>
        <v/>
      </c>
      <c r="H1171" s="158" t="str">
        <f>IF(Settings!$M$4=Settings!$Y$3,IF($AA1171=1,"P",""),IF($AA1171=3,"P",""))</f>
        <v/>
      </c>
      <c r="I1171" s="158" t="str">
        <f>IF(Settings!$M$4=Settings!$Y$3,IF($AA1171=1,"P",""),IF($AA1171=4,"P",""))</f>
        <v/>
      </c>
      <c r="J1171" s="158" t="str">
        <f>IF(Settings!$M$4=Settings!$Y$3,IF($AA1171=2,"P",""),IF($AA1171=5,"P",""))</f>
        <v/>
      </c>
      <c r="K1171" s="158" t="str">
        <f>IF(Settings!$M$4=Settings!$Y$3,IF($AA1171=2,"P",""),IF($AA1171=6,"P",""))</f>
        <v/>
      </c>
      <c r="L1171" s="158" t="str">
        <f>IF(Settings!$M$4=Settings!$Y$3,IF($AA1171=2,"P",""),IF($AA1171=7,"P",""))</f>
        <v/>
      </c>
      <c r="M1171" s="158" t="str">
        <f>IF(Settings!$M$4=Settings!$Y$3,IF($AA1171=2,"P",""),IF($AA1171=8,"P",""))</f>
        <v/>
      </c>
      <c r="N1171" s="158" t="str">
        <f>IF(Settings!$M$4=Settings!$Y$3,IF($AA1171=3,"P",""),IF($AA1171=9,"P",""))</f>
        <v/>
      </c>
      <c r="O1171" s="159" t="str">
        <f>IF(Settings!$M$4=Settings!$Y$3,IF($AA1171=3,"P",""),IF($AA1171=10,"P",""))</f>
        <v/>
      </c>
      <c r="P1171" s="22"/>
      <c r="Q1171" s="22"/>
      <c r="R1171" s="353" t="e">
        <f>IF(INDEX(TblDatabase[Comment9],MATCH(1,INDEX(($L$4=ListEmployeeNamesInDatabase)*(C1155=TblDatabase[Year]),0,1),0))="","",INDEX(TblDatabase[Comment9],MATCH(1,INDEX(($L$4=ListEmployeeNamesInDatabase)*(C1155=TblDatabase[Year]),0,1),0)))</f>
        <v>#N/A</v>
      </c>
      <c r="S1171" s="353"/>
      <c r="T1171" s="353"/>
      <c r="U1171" s="353"/>
      <c r="V1171" s="353"/>
      <c r="W1171" s="353"/>
      <c r="X1171" s="353"/>
      <c r="Y1171" s="354"/>
      <c r="Z1171" s="149"/>
      <c r="AA1171" s="151">
        <f>SUMIFS(TblDatabase[Competency9],ListEmployeeNamesInDatabase,$L$4,TblDatabase[Year],C1155)</f>
        <v>0</v>
      </c>
      <c r="AB1171" s="149"/>
      <c r="AC1171" s="149"/>
      <c r="AD1171" s="149"/>
      <c r="AE1171" s="149"/>
      <c r="AF1171" s="149"/>
    </row>
    <row r="1172" spans="2:32" s="148" customFormat="1" ht="15" hidden="1" customHeight="1">
      <c r="B1172" s="355" t="str">
        <f t="shared" si="27"/>
        <v/>
      </c>
      <c r="C1172" s="356"/>
      <c r="D1172" s="356"/>
      <c r="E1172" s="357"/>
      <c r="F1172" s="163" t="str">
        <f>IF(Settings!$M$4=Settings!$Y$3,IF($AA1172=1,"P",""),IF($AA1172=1,"P",""))</f>
        <v/>
      </c>
      <c r="G1172" s="164" t="str">
        <f>IF(Settings!$M$4=Settings!$Y$3,IF($AA1172=1,"P",""),IF($AA1172=2,"P",""))</f>
        <v/>
      </c>
      <c r="H1172" s="164" t="str">
        <f>IF(Settings!$M$4=Settings!$Y$3,IF($AA1172=1,"P",""),IF($AA1172=3,"P",""))</f>
        <v/>
      </c>
      <c r="I1172" s="164" t="str">
        <f>IF(Settings!$M$4=Settings!$Y$3,IF($AA1172=1,"P",""),IF($AA1172=4,"P",""))</f>
        <v/>
      </c>
      <c r="J1172" s="164" t="str">
        <f>IF(Settings!$M$4=Settings!$Y$3,IF($AA1172=2,"P",""),IF($AA1172=5,"P",""))</f>
        <v/>
      </c>
      <c r="K1172" s="164" t="str">
        <f>IF(Settings!$M$4=Settings!$Y$3,IF($AA1172=2,"P",""),IF($AA1172=6,"P",""))</f>
        <v/>
      </c>
      <c r="L1172" s="164" t="str">
        <f>IF(Settings!$M$4=Settings!$Y$3,IF($AA1172=2,"P",""),IF($AA1172=7,"P",""))</f>
        <v/>
      </c>
      <c r="M1172" s="164" t="str">
        <f>IF(Settings!$M$4=Settings!$Y$3,IF($AA1172=2,"P",""),IF($AA1172=8,"P",""))</f>
        <v/>
      </c>
      <c r="N1172" s="164" t="str">
        <f>IF(Settings!$M$4=Settings!$Y$3,IF($AA1172=3,"P",""),IF($AA1172=9,"P",""))</f>
        <v/>
      </c>
      <c r="O1172" s="165" t="str">
        <f>IF(Settings!$M$4=Settings!$Y$3,IF($AA1172=3,"P",""),IF($AA1172=10,"P",""))</f>
        <v/>
      </c>
      <c r="P1172" s="22"/>
      <c r="Q1172" s="22"/>
      <c r="R1172" s="360" t="e">
        <f>IF(INDEX(TblDatabase[Comment10],MATCH(1,INDEX(($L$4=ListEmployeeNamesInDatabase)*(C1155=TblDatabase[Year]),0,1),0))="","",INDEX(TblDatabase[Comment10],MATCH(1,INDEX(($L$4=ListEmployeeNamesInDatabase)*(C1155=TblDatabase[Year]),0,1),0)))</f>
        <v>#N/A</v>
      </c>
      <c r="S1172" s="360"/>
      <c r="T1172" s="360"/>
      <c r="U1172" s="360"/>
      <c r="V1172" s="360"/>
      <c r="W1172" s="360"/>
      <c r="X1172" s="360"/>
      <c r="Y1172" s="361"/>
      <c r="Z1172" s="149"/>
      <c r="AA1172" s="151">
        <f>SUMIFS(TblDatabase[Competency10],ListEmployeeNamesInDatabase,$L$4,TblDatabase[Year],C1155)</f>
        <v>0</v>
      </c>
      <c r="AB1172" s="149"/>
      <c r="AC1172" s="149"/>
      <c r="AD1172" s="149"/>
      <c r="AE1172" s="149"/>
      <c r="AF1172" s="149"/>
    </row>
    <row r="1173" spans="2:32" s="148" customFormat="1" ht="15" hidden="1" customHeight="1">
      <c r="B1173" s="350" t="str">
        <f t="shared" si="27"/>
        <v/>
      </c>
      <c r="C1173" s="351"/>
      <c r="D1173" s="351"/>
      <c r="E1173" s="352"/>
      <c r="F1173" s="157" t="str">
        <f>IF(Settings!$M$4=Settings!$Y$3,IF($AA1173=1,"P",""),IF($AA1173=1,"P",""))</f>
        <v/>
      </c>
      <c r="G1173" s="158" t="str">
        <f>IF(Settings!$M$4=Settings!$Y$3,IF($AA1173=1,"P",""),IF($AA1173=2,"P",""))</f>
        <v/>
      </c>
      <c r="H1173" s="158" t="str">
        <f>IF(Settings!$M$4=Settings!$Y$3,IF($AA1173=1,"P",""),IF($AA1173=3,"P",""))</f>
        <v/>
      </c>
      <c r="I1173" s="158" t="str">
        <f>IF(Settings!$M$4=Settings!$Y$3,IF($AA1173=1,"P",""),IF($AA1173=4,"P",""))</f>
        <v/>
      </c>
      <c r="J1173" s="158" t="str">
        <f>IF(Settings!$M$4=Settings!$Y$3,IF($AA1173=2,"P",""),IF($AA1173=5,"P",""))</f>
        <v/>
      </c>
      <c r="K1173" s="158" t="str">
        <f>IF(Settings!$M$4=Settings!$Y$3,IF($AA1173=2,"P",""),IF($AA1173=6,"P",""))</f>
        <v/>
      </c>
      <c r="L1173" s="158" t="str">
        <f>IF(Settings!$M$4=Settings!$Y$3,IF($AA1173=2,"P",""),IF($AA1173=7,"P",""))</f>
        <v/>
      </c>
      <c r="M1173" s="158" t="str">
        <f>IF(Settings!$M$4=Settings!$Y$3,IF($AA1173=2,"P",""),IF($AA1173=8,"P",""))</f>
        <v/>
      </c>
      <c r="N1173" s="158" t="str">
        <f>IF(Settings!$M$4=Settings!$Y$3,IF($AA1173=3,"P",""),IF($AA1173=9,"P",""))</f>
        <v/>
      </c>
      <c r="O1173" s="159" t="str">
        <f>IF(Settings!$M$4=Settings!$Y$3,IF($AA1173=3,"P",""),IF($AA1173=10,"P",""))</f>
        <v/>
      </c>
      <c r="P1173" s="22"/>
      <c r="Q1173" s="22"/>
      <c r="R1173" s="353" t="e">
        <f>IF(INDEX(TblDatabase[Comment11],MATCH(1,INDEX(($L$4=ListEmployeeNamesInDatabase)*(C1155=TblDatabase[Year]),0,1),0))="","",INDEX(TblDatabase[Comment11],MATCH(1,INDEX(($L$4=ListEmployeeNamesInDatabase)*(C1155=TblDatabase[Year]),0,1),0)))</f>
        <v>#N/A</v>
      </c>
      <c r="S1173" s="353"/>
      <c r="T1173" s="353"/>
      <c r="U1173" s="353"/>
      <c r="V1173" s="353"/>
      <c r="W1173" s="353"/>
      <c r="X1173" s="353"/>
      <c r="Y1173" s="354"/>
      <c r="Z1173" s="149"/>
      <c r="AA1173" s="151">
        <f>SUMIFS(TblDatabase[Competency11],ListEmployeeNamesInDatabase,$L$4,TblDatabase[Year],C1155)</f>
        <v>0</v>
      </c>
      <c r="AB1173" s="149"/>
      <c r="AC1173" s="149"/>
      <c r="AD1173" s="149"/>
      <c r="AE1173" s="149"/>
      <c r="AF1173" s="149"/>
    </row>
    <row r="1174" spans="2:32" s="148" customFormat="1" ht="15" hidden="1" customHeight="1">
      <c r="B1174" s="355" t="str">
        <f t="shared" si="27"/>
        <v/>
      </c>
      <c r="C1174" s="356"/>
      <c r="D1174" s="356"/>
      <c r="E1174" s="357"/>
      <c r="F1174" s="163" t="str">
        <f>IF(Settings!$M$4=Settings!$Y$3,IF($AA1174=1,"P",""),IF($AA1174=1,"P",""))</f>
        <v/>
      </c>
      <c r="G1174" s="164" t="str">
        <f>IF(Settings!$M$4=Settings!$Y$3,IF($AA1174=1,"P",""),IF($AA1174=2,"P",""))</f>
        <v/>
      </c>
      <c r="H1174" s="164" t="str">
        <f>IF(Settings!$M$4=Settings!$Y$3,IF($AA1174=1,"P",""),IF($AA1174=3,"P",""))</f>
        <v/>
      </c>
      <c r="I1174" s="164" t="str">
        <f>IF(Settings!$M$4=Settings!$Y$3,IF($AA1174=1,"P",""),IF($AA1174=4,"P",""))</f>
        <v/>
      </c>
      <c r="J1174" s="164" t="str">
        <f>IF(Settings!$M$4=Settings!$Y$3,IF($AA1174=2,"P",""),IF($AA1174=5,"P",""))</f>
        <v/>
      </c>
      <c r="K1174" s="164" t="str">
        <f>IF(Settings!$M$4=Settings!$Y$3,IF($AA1174=2,"P",""),IF($AA1174=6,"P",""))</f>
        <v/>
      </c>
      <c r="L1174" s="164" t="str">
        <f>IF(Settings!$M$4=Settings!$Y$3,IF($AA1174=2,"P",""),IF($AA1174=7,"P",""))</f>
        <v/>
      </c>
      <c r="M1174" s="164" t="str">
        <f>IF(Settings!$M$4=Settings!$Y$3,IF($AA1174=2,"P",""),IF($AA1174=8,"P",""))</f>
        <v/>
      </c>
      <c r="N1174" s="164" t="str">
        <f>IF(Settings!$M$4=Settings!$Y$3,IF($AA1174=3,"P",""),IF($AA1174=9,"P",""))</f>
        <v/>
      </c>
      <c r="O1174" s="165" t="str">
        <f>IF(Settings!$M$4=Settings!$Y$3,IF($AA1174=3,"P",""),IF($AA1174=10,"P",""))</f>
        <v/>
      </c>
      <c r="P1174" s="22"/>
      <c r="Q1174" s="22"/>
      <c r="R1174" s="360" t="e">
        <f>IF(INDEX(TblDatabase[Comment12],MATCH(1,INDEX(($L$4=ListEmployeeNamesInDatabase)*(C1155=TblDatabase[Year]),0,1),0))="","",INDEX(TblDatabase[Comment12],MATCH(1,INDEX(($L$4=ListEmployeeNamesInDatabase)*(C1155=TblDatabase[Year]),0,1),0)))</f>
        <v>#N/A</v>
      </c>
      <c r="S1174" s="360"/>
      <c r="T1174" s="360"/>
      <c r="U1174" s="360"/>
      <c r="V1174" s="360"/>
      <c r="W1174" s="360"/>
      <c r="X1174" s="360"/>
      <c r="Y1174" s="361"/>
      <c r="Z1174" s="149"/>
      <c r="AA1174" s="151">
        <f>SUMIFS(TblDatabase[Competency12],ListEmployeeNamesInDatabase,$L$4,TblDatabase[Year],C1155)</f>
        <v>0</v>
      </c>
      <c r="AB1174" s="149"/>
      <c r="AC1174" s="149"/>
      <c r="AD1174" s="149"/>
      <c r="AE1174" s="149"/>
      <c r="AF1174" s="149"/>
    </row>
    <row r="1175" spans="2:32" s="148" customFormat="1" ht="15" hidden="1" customHeight="1">
      <c r="B1175" s="350" t="str">
        <f t="shared" si="27"/>
        <v/>
      </c>
      <c r="C1175" s="351"/>
      <c r="D1175" s="351"/>
      <c r="E1175" s="352"/>
      <c r="F1175" s="157" t="str">
        <f>IF(Settings!$M$4=Settings!$Y$3,IF($AA1175=1,"P",""),IF($AA1175=1,"P",""))</f>
        <v/>
      </c>
      <c r="G1175" s="158" t="str">
        <f>IF(Settings!$M$4=Settings!$Y$3,IF($AA1175=1,"P",""),IF($AA1175=2,"P",""))</f>
        <v/>
      </c>
      <c r="H1175" s="158" t="str">
        <f>IF(Settings!$M$4=Settings!$Y$3,IF($AA1175=1,"P",""),IF($AA1175=3,"P",""))</f>
        <v/>
      </c>
      <c r="I1175" s="158" t="str">
        <f>IF(Settings!$M$4=Settings!$Y$3,IF($AA1175=1,"P",""),IF($AA1175=4,"P",""))</f>
        <v/>
      </c>
      <c r="J1175" s="158" t="str">
        <f>IF(Settings!$M$4=Settings!$Y$3,IF($AA1175=2,"P",""),IF($AA1175=5,"P",""))</f>
        <v/>
      </c>
      <c r="K1175" s="158" t="str">
        <f>IF(Settings!$M$4=Settings!$Y$3,IF($AA1175=2,"P",""),IF($AA1175=6,"P",""))</f>
        <v/>
      </c>
      <c r="L1175" s="158" t="str">
        <f>IF(Settings!$M$4=Settings!$Y$3,IF($AA1175=2,"P",""),IF($AA1175=7,"P",""))</f>
        <v/>
      </c>
      <c r="M1175" s="158" t="str">
        <f>IF(Settings!$M$4=Settings!$Y$3,IF($AA1175=2,"P",""),IF($AA1175=8,"P",""))</f>
        <v/>
      </c>
      <c r="N1175" s="158" t="str">
        <f>IF(Settings!$M$4=Settings!$Y$3,IF($AA1175=3,"P",""),IF($AA1175=9,"P",""))</f>
        <v/>
      </c>
      <c r="O1175" s="159" t="str">
        <f>IF(Settings!$M$4=Settings!$Y$3,IF($AA1175=3,"P",""),IF($AA1175=10,"P",""))</f>
        <v/>
      </c>
      <c r="P1175" s="22"/>
      <c r="Q1175" s="22"/>
      <c r="R1175" s="353" t="e">
        <f>IF(INDEX(TblDatabase[Comment13],MATCH(1,INDEX(($L$4=ListEmployeeNamesInDatabase)*(C1155=TblDatabase[Year]),0,1),0))="","",INDEX(TblDatabase[Comment13],MATCH(1,INDEX(($L$4=ListEmployeeNamesInDatabase)*(C1155=TblDatabase[Year]),0,1),0)))</f>
        <v>#N/A</v>
      </c>
      <c r="S1175" s="353"/>
      <c r="T1175" s="353"/>
      <c r="U1175" s="353"/>
      <c r="V1175" s="353"/>
      <c r="W1175" s="353"/>
      <c r="X1175" s="353"/>
      <c r="Y1175" s="354"/>
      <c r="Z1175" s="149"/>
      <c r="AA1175" s="151">
        <f>SUMIFS(TblDatabase[Competency13],ListEmployeeNamesInDatabase,$L$4,TblDatabase[Year],C1155)</f>
        <v>0</v>
      </c>
      <c r="AB1175" s="149"/>
      <c r="AC1175" s="149"/>
      <c r="AD1175" s="149"/>
      <c r="AE1175" s="149"/>
      <c r="AF1175" s="149"/>
    </row>
    <row r="1176" spans="2:32" s="148" customFormat="1" ht="15" hidden="1" customHeight="1">
      <c r="B1176" s="355" t="str">
        <f t="shared" si="27"/>
        <v/>
      </c>
      <c r="C1176" s="356"/>
      <c r="D1176" s="356"/>
      <c r="E1176" s="357"/>
      <c r="F1176" s="163" t="str">
        <f>IF(Settings!$M$4=Settings!$Y$3,IF($AA1176=1,"P",""),IF($AA1176=1,"P",""))</f>
        <v/>
      </c>
      <c r="G1176" s="164" t="str">
        <f>IF(Settings!$M$4=Settings!$Y$3,IF($AA1176=1,"P",""),IF($AA1176=2,"P",""))</f>
        <v/>
      </c>
      <c r="H1176" s="164" t="str">
        <f>IF(Settings!$M$4=Settings!$Y$3,IF($AA1176=1,"P",""),IF($AA1176=3,"P",""))</f>
        <v/>
      </c>
      <c r="I1176" s="164" t="str">
        <f>IF(Settings!$M$4=Settings!$Y$3,IF($AA1176=1,"P",""),IF($AA1176=4,"P",""))</f>
        <v/>
      </c>
      <c r="J1176" s="164" t="str">
        <f>IF(Settings!$M$4=Settings!$Y$3,IF($AA1176=2,"P",""),IF($AA1176=5,"P",""))</f>
        <v/>
      </c>
      <c r="K1176" s="164" t="str">
        <f>IF(Settings!$M$4=Settings!$Y$3,IF($AA1176=2,"P",""),IF($AA1176=6,"P",""))</f>
        <v/>
      </c>
      <c r="L1176" s="164" t="str">
        <f>IF(Settings!$M$4=Settings!$Y$3,IF($AA1176=2,"P",""),IF($AA1176=7,"P",""))</f>
        <v/>
      </c>
      <c r="M1176" s="164" t="str">
        <f>IF(Settings!$M$4=Settings!$Y$3,IF($AA1176=2,"P",""),IF($AA1176=8,"P",""))</f>
        <v/>
      </c>
      <c r="N1176" s="164" t="str">
        <f>IF(Settings!$M$4=Settings!$Y$3,IF($AA1176=3,"P",""),IF($AA1176=9,"P",""))</f>
        <v/>
      </c>
      <c r="O1176" s="165" t="str">
        <f>IF(Settings!$M$4=Settings!$Y$3,IF($AA1176=3,"P",""),IF($AA1176=10,"P",""))</f>
        <v/>
      </c>
      <c r="P1176" s="22"/>
      <c r="Q1176" s="22"/>
      <c r="R1176" s="360" t="e">
        <f>IF(INDEX(TblDatabase[Comment14],MATCH(1,INDEX(($L$4=ListEmployeeNamesInDatabase)*(C1155=TblDatabase[Year]),0,1),0))="","",INDEX(TblDatabase[Comment14],MATCH(1,INDEX(($L$4=ListEmployeeNamesInDatabase)*(C1155=TblDatabase[Year]),0,1),0)))</f>
        <v>#N/A</v>
      </c>
      <c r="S1176" s="360"/>
      <c r="T1176" s="360"/>
      <c r="U1176" s="360"/>
      <c r="V1176" s="360"/>
      <c r="W1176" s="360"/>
      <c r="X1176" s="360"/>
      <c r="Y1176" s="361"/>
      <c r="Z1176" s="149"/>
      <c r="AA1176" s="151">
        <f>SUMIFS(TblDatabase[Competency14],ListEmployeeNamesInDatabase,$L$4,TblDatabase[Year],C1155)</f>
        <v>0</v>
      </c>
      <c r="AB1176" s="149"/>
      <c r="AC1176" s="149"/>
      <c r="AD1176" s="149"/>
      <c r="AE1176" s="149"/>
      <c r="AF1176" s="149"/>
    </row>
    <row r="1177" spans="2:32" s="148" customFormat="1" ht="15" hidden="1" customHeight="1">
      <c r="B1177" s="350" t="str">
        <f t="shared" si="27"/>
        <v/>
      </c>
      <c r="C1177" s="351"/>
      <c r="D1177" s="351"/>
      <c r="E1177" s="352"/>
      <c r="F1177" s="157" t="str">
        <f>IF(Settings!$M$4=Settings!$Y$3,IF($AA1177=1,"P",""),IF($AA1177=1,"P",""))</f>
        <v/>
      </c>
      <c r="G1177" s="158" t="str">
        <f>IF(Settings!$M$4=Settings!$Y$3,IF($AA1177=1,"P",""),IF($AA1177=2,"P",""))</f>
        <v/>
      </c>
      <c r="H1177" s="158" t="str">
        <f>IF(Settings!$M$4=Settings!$Y$3,IF($AA1177=1,"P",""),IF($AA1177=3,"P",""))</f>
        <v/>
      </c>
      <c r="I1177" s="158" t="str">
        <f>IF(Settings!$M$4=Settings!$Y$3,IF($AA1177=1,"P",""),IF($AA1177=4,"P",""))</f>
        <v/>
      </c>
      <c r="J1177" s="158" t="str">
        <f>IF(Settings!$M$4=Settings!$Y$3,IF($AA1177=2,"P",""),IF($AA1177=5,"P",""))</f>
        <v/>
      </c>
      <c r="K1177" s="158" t="str">
        <f>IF(Settings!$M$4=Settings!$Y$3,IF($AA1177=2,"P",""),IF($AA1177=6,"P",""))</f>
        <v/>
      </c>
      <c r="L1177" s="158" t="str">
        <f>IF(Settings!$M$4=Settings!$Y$3,IF($AA1177=2,"P",""),IF($AA1177=7,"P",""))</f>
        <v/>
      </c>
      <c r="M1177" s="158" t="str">
        <f>IF(Settings!$M$4=Settings!$Y$3,IF($AA1177=2,"P",""),IF($AA1177=8,"P",""))</f>
        <v/>
      </c>
      <c r="N1177" s="158" t="str">
        <f>IF(Settings!$M$4=Settings!$Y$3,IF($AA1177=3,"P",""),IF($AA1177=9,"P",""))</f>
        <v/>
      </c>
      <c r="O1177" s="159" t="str">
        <f>IF(Settings!$M$4=Settings!$Y$3,IF($AA1177=3,"P",""),IF($AA1177=10,"P",""))</f>
        <v/>
      </c>
      <c r="P1177" s="22"/>
      <c r="Q1177" s="22"/>
      <c r="R1177" s="353" t="e">
        <f>IF(INDEX(TblDatabase[Comment15],MATCH(1,INDEX(($L$4=ListEmployeeNamesInDatabase)*(C1155=TblDatabase[Year]),0,1),0))="","",INDEX(TblDatabase[Comment15],MATCH(1,INDEX(($L$4=ListEmployeeNamesInDatabase)*(C1155=TblDatabase[Year]),0,1),0)))</f>
        <v>#N/A</v>
      </c>
      <c r="S1177" s="353"/>
      <c r="T1177" s="353"/>
      <c r="U1177" s="353"/>
      <c r="V1177" s="353"/>
      <c r="W1177" s="353"/>
      <c r="X1177" s="353"/>
      <c r="Y1177" s="354"/>
      <c r="Z1177" s="149"/>
      <c r="AA1177" s="151">
        <f>SUMIFS(TblDatabase[Competency15],ListEmployeeNamesInDatabase,$L$4,TblDatabase[Year],C1155)</f>
        <v>0</v>
      </c>
      <c r="AB1177" s="149"/>
      <c r="AC1177" s="149"/>
      <c r="AD1177" s="149"/>
      <c r="AE1177" s="149"/>
      <c r="AF1177" s="149"/>
    </row>
    <row r="1178" spans="2:32" s="148" customFormat="1" ht="15" hidden="1" customHeight="1">
      <c r="B1178" s="355" t="str">
        <f t="shared" si="27"/>
        <v/>
      </c>
      <c r="C1178" s="356"/>
      <c r="D1178" s="356"/>
      <c r="E1178" s="357"/>
      <c r="F1178" s="163" t="str">
        <f>IF(Settings!$M$4=Settings!$Y$3,IF($AA1178=1,"P",""),IF($AA1178=1,"P",""))</f>
        <v/>
      </c>
      <c r="G1178" s="164" t="str">
        <f>IF(Settings!$M$4=Settings!$Y$3,IF($AA1178=1,"P",""),IF($AA1178=2,"P",""))</f>
        <v/>
      </c>
      <c r="H1178" s="164" t="str">
        <f>IF(Settings!$M$4=Settings!$Y$3,IF($AA1178=1,"P",""),IF($AA1178=3,"P",""))</f>
        <v/>
      </c>
      <c r="I1178" s="164" t="str">
        <f>IF(Settings!$M$4=Settings!$Y$3,IF($AA1178=1,"P",""),IF($AA1178=4,"P",""))</f>
        <v/>
      </c>
      <c r="J1178" s="164" t="str">
        <f>IF(Settings!$M$4=Settings!$Y$3,IF($AA1178=2,"P",""),IF($AA1178=5,"P",""))</f>
        <v/>
      </c>
      <c r="K1178" s="164" t="str">
        <f>IF(Settings!$M$4=Settings!$Y$3,IF($AA1178=2,"P",""),IF($AA1178=6,"P",""))</f>
        <v/>
      </c>
      <c r="L1178" s="164" t="str">
        <f>IF(Settings!$M$4=Settings!$Y$3,IF($AA1178=2,"P",""),IF($AA1178=7,"P",""))</f>
        <v/>
      </c>
      <c r="M1178" s="164" t="str">
        <f>IF(Settings!$M$4=Settings!$Y$3,IF($AA1178=2,"P",""),IF($AA1178=8,"P",""))</f>
        <v/>
      </c>
      <c r="N1178" s="164" t="str">
        <f>IF(Settings!$M$4=Settings!$Y$3,IF($AA1178=3,"P",""),IF($AA1178=9,"P",""))</f>
        <v/>
      </c>
      <c r="O1178" s="165" t="str">
        <f>IF(Settings!$M$4=Settings!$Y$3,IF($AA1178=3,"P",""),IF($AA1178=10,"P",""))</f>
        <v/>
      </c>
      <c r="P1178" s="22"/>
      <c r="Q1178" s="22"/>
      <c r="R1178" s="360" t="e">
        <f>IF(INDEX(TblDatabase[Comment16],MATCH(1,INDEX(($L$4=ListEmployeeNamesInDatabase)*(C1155=TblDatabase[Year]),0,1),0))="","",INDEX(TblDatabase[Comment16],MATCH(1,INDEX(($L$4=ListEmployeeNamesInDatabase)*(C1155=TblDatabase[Year]),0,1),0)))</f>
        <v>#N/A</v>
      </c>
      <c r="S1178" s="360"/>
      <c r="T1178" s="360"/>
      <c r="U1178" s="360"/>
      <c r="V1178" s="360"/>
      <c r="W1178" s="360"/>
      <c r="X1178" s="360"/>
      <c r="Y1178" s="361"/>
      <c r="Z1178" s="149"/>
      <c r="AA1178" s="151">
        <f>SUMIFS(TblDatabase[Competency16],ListEmployeeNamesInDatabase,$L$4,TblDatabase[Year],C1155)</f>
        <v>0</v>
      </c>
      <c r="AB1178" s="149"/>
      <c r="AC1178" s="149"/>
      <c r="AD1178" s="149"/>
      <c r="AE1178" s="149"/>
      <c r="AF1178" s="149"/>
    </row>
    <row r="1179" spans="2:32" s="148" customFormat="1" ht="15" hidden="1" customHeight="1">
      <c r="B1179" s="350" t="str">
        <f t="shared" si="27"/>
        <v/>
      </c>
      <c r="C1179" s="351"/>
      <c r="D1179" s="351"/>
      <c r="E1179" s="352"/>
      <c r="F1179" s="157" t="str">
        <f>IF(Settings!$M$4=Settings!$Y$3,IF($AA1179=1,"P",""),IF($AA1179=1,"P",""))</f>
        <v/>
      </c>
      <c r="G1179" s="158" t="str">
        <f>IF(Settings!$M$4=Settings!$Y$3,IF($AA1179=1,"P",""),IF($AA1179=2,"P",""))</f>
        <v/>
      </c>
      <c r="H1179" s="158" t="str">
        <f>IF(Settings!$M$4=Settings!$Y$3,IF($AA1179=1,"P",""),IF($AA1179=3,"P",""))</f>
        <v/>
      </c>
      <c r="I1179" s="158" t="str">
        <f>IF(Settings!$M$4=Settings!$Y$3,IF($AA1179=1,"P",""),IF($AA1179=4,"P",""))</f>
        <v/>
      </c>
      <c r="J1179" s="158" t="str">
        <f>IF(Settings!$M$4=Settings!$Y$3,IF($AA1179=2,"P",""),IF($AA1179=5,"P",""))</f>
        <v/>
      </c>
      <c r="K1179" s="158" t="str">
        <f>IF(Settings!$M$4=Settings!$Y$3,IF($AA1179=2,"P",""),IF($AA1179=6,"P",""))</f>
        <v/>
      </c>
      <c r="L1179" s="158" t="str">
        <f>IF(Settings!$M$4=Settings!$Y$3,IF($AA1179=2,"P",""),IF($AA1179=7,"P",""))</f>
        <v/>
      </c>
      <c r="M1179" s="158" t="str">
        <f>IF(Settings!$M$4=Settings!$Y$3,IF($AA1179=2,"P",""),IF($AA1179=8,"P",""))</f>
        <v/>
      </c>
      <c r="N1179" s="158" t="str">
        <f>IF(Settings!$M$4=Settings!$Y$3,IF($AA1179=3,"P",""),IF($AA1179=9,"P",""))</f>
        <v/>
      </c>
      <c r="O1179" s="159" t="str">
        <f>IF(Settings!$M$4=Settings!$Y$3,IF($AA1179=3,"P",""),IF($AA1179=10,"P",""))</f>
        <v/>
      </c>
      <c r="P1179" s="22"/>
      <c r="Q1179" s="22"/>
      <c r="R1179" s="353" t="e">
        <f>IF(INDEX(TblDatabase[Comment17],MATCH(1,INDEX(($L$4=ListEmployeeNamesInDatabase)*(C1155=TblDatabase[Year]),0,1),0))="","",INDEX(TblDatabase[Comment17],MATCH(1,INDEX(($L$4=ListEmployeeNamesInDatabase)*(C1155=TblDatabase[Year]),0,1),0)))</f>
        <v>#N/A</v>
      </c>
      <c r="S1179" s="353"/>
      <c r="T1179" s="353"/>
      <c r="U1179" s="353"/>
      <c r="V1179" s="353"/>
      <c r="W1179" s="353"/>
      <c r="X1179" s="353"/>
      <c r="Y1179" s="354"/>
      <c r="Z1179" s="149"/>
      <c r="AA1179" s="151">
        <f>SUMIFS(TblDatabase[Competency17],ListEmployeeNamesInDatabase,$L$4,TblDatabase[Year],C1155)</f>
        <v>0</v>
      </c>
      <c r="AB1179" s="149"/>
      <c r="AC1179" s="149"/>
      <c r="AD1179" s="149"/>
      <c r="AE1179" s="149"/>
      <c r="AF1179" s="149"/>
    </row>
    <row r="1180" spans="2:32" s="148" customFormat="1" ht="15" hidden="1" customHeight="1">
      <c r="B1180" s="355" t="str">
        <f t="shared" si="27"/>
        <v/>
      </c>
      <c r="C1180" s="356"/>
      <c r="D1180" s="356"/>
      <c r="E1180" s="357"/>
      <c r="F1180" s="163" t="str">
        <f>IF(Settings!$M$4=Settings!$Y$3,IF($AA1180=1,"P",""),IF($AA1180=1,"P",""))</f>
        <v/>
      </c>
      <c r="G1180" s="164" t="str">
        <f>IF(Settings!$M$4=Settings!$Y$3,IF($AA1180=1,"P",""),IF($AA1180=2,"P",""))</f>
        <v/>
      </c>
      <c r="H1180" s="164" t="str">
        <f>IF(Settings!$M$4=Settings!$Y$3,IF($AA1180=1,"P",""),IF($AA1180=3,"P",""))</f>
        <v/>
      </c>
      <c r="I1180" s="164" t="str">
        <f>IF(Settings!$M$4=Settings!$Y$3,IF($AA1180=1,"P",""),IF($AA1180=4,"P",""))</f>
        <v/>
      </c>
      <c r="J1180" s="164" t="str">
        <f>IF(Settings!$M$4=Settings!$Y$3,IF($AA1180=2,"P",""),IF($AA1180=5,"P",""))</f>
        <v/>
      </c>
      <c r="K1180" s="164" t="str">
        <f>IF(Settings!$M$4=Settings!$Y$3,IF($AA1180=2,"P",""),IF($AA1180=6,"P",""))</f>
        <v/>
      </c>
      <c r="L1180" s="164" t="str">
        <f>IF(Settings!$M$4=Settings!$Y$3,IF($AA1180=2,"P",""),IF($AA1180=7,"P",""))</f>
        <v/>
      </c>
      <c r="M1180" s="164" t="str">
        <f>IF(Settings!$M$4=Settings!$Y$3,IF($AA1180=2,"P",""),IF($AA1180=8,"P",""))</f>
        <v/>
      </c>
      <c r="N1180" s="164" t="str">
        <f>IF(Settings!$M$4=Settings!$Y$3,IF($AA1180=3,"P",""),IF($AA1180=9,"P",""))</f>
        <v/>
      </c>
      <c r="O1180" s="165" t="str">
        <f>IF(Settings!$M$4=Settings!$Y$3,IF($AA1180=3,"P",""),IF($AA1180=10,"P",""))</f>
        <v/>
      </c>
      <c r="P1180" s="22"/>
      <c r="Q1180" s="22"/>
      <c r="R1180" s="360" t="e">
        <f>IF(INDEX(TblDatabase[Comment18],MATCH(1,INDEX(($L$4=ListEmployeeNamesInDatabase)*(C1155=TblDatabase[Year]),0,1),0))="","",INDEX(TblDatabase[Comment18],MATCH(1,INDEX(($L$4=ListEmployeeNamesInDatabase)*(C1155=TblDatabase[Year]),0,1),0)))</f>
        <v>#N/A</v>
      </c>
      <c r="S1180" s="360"/>
      <c r="T1180" s="360"/>
      <c r="U1180" s="360"/>
      <c r="V1180" s="360"/>
      <c r="W1180" s="360"/>
      <c r="X1180" s="360"/>
      <c r="Y1180" s="361"/>
      <c r="Z1180" s="149"/>
      <c r="AA1180" s="151">
        <f>SUMIFS(TblDatabase[Competency18],ListEmployeeNamesInDatabase,$L$4,TblDatabase[Year],C1155)</f>
        <v>0</v>
      </c>
      <c r="AB1180" s="149"/>
      <c r="AC1180" s="149"/>
      <c r="AD1180" s="149"/>
      <c r="AE1180" s="149"/>
      <c r="AF1180" s="149"/>
    </row>
    <row r="1181" spans="2:32" s="148" customFormat="1" ht="15" hidden="1" customHeight="1">
      <c r="B1181" s="350" t="str">
        <f t="shared" si="27"/>
        <v/>
      </c>
      <c r="C1181" s="351"/>
      <c r="D1181" s="351"/>
      <c r="E1181" s="352"/>
      <c r="F1181" s="157" t="str">
        <f>IF(Settings!$M$4=Settings!$Y$3,IF($AA1181=1,"P",""),IF($AA1181=1,"P",""))</f>
        <v/>
      </c>
      <c r="G1181" s="158" t="str">
        <f>IF(Settings!$M$4=Settings!$Y$3,IF($AA1181=1,"P",""),IF($AA1181=2,"P",""))</f>
        <v/>
      </c>
      <c r="H1181" s="158" t="str">
        <f>IF(Settings!$M$4=Settings!$Y$3,IF($AA1181=1,"P",""),IF($AA1181=3,"P",""))</f>
        <v/>
      </c>
      <c r="I1181" s="158" t="str">
        <f>IF(Settings!$M$4=Settings!$Y$3,IF($AA1181=1,"P",""),IF($AA1181=4,"P",""))</f>
        <v/>
      </c>
      <c r="J1181" s="158" t="str">
        <f>IF(Settings!$M$4=Settings!$Y$3,IF($AA1181=2,"P",""),IF($AA1181=5,"P",""))</f>
        <v/>
      </c>
      <c r="K1181" s="158" t="str">
        <f>IF(Settings!$M$4=Settings!$Y$3,IF($AA1181=2,"P",""),IF($AA1181=6,"P",""))</f>
        <v/>
      </c>
      <c r="L1181" s="158" t="str">
        <f>IF(Settings!$M$4=Settings!$Y$3,IF($AA1181=2,"P",""),IF($AA1181=7,"P",""))</f>
        <v/>
      </c>
      <c r="M1181" s="158" t="str">
        <f>IF(Settings!$M$4=Settings!$Y$3,IF($AA1181=2,"P",""),IF($AA1181=8,"P",""))</f>
        <v/>
      </c>
      <c r="N1181" s="158" t="str">
        <f>IF(Settings!$M$4=Settings!$Y$3,IF($AA1181=3,"P",""),IF($AA1181=9,"P",""))</f>
        <v/>
      </c>
      <c r="O1181" s="159" t="str">
        <f>IF(Settings!$M$4=Settings!$Y$3,IF($AA1181=3,"P",""),IF($AA1181=10,"P",""))</f>
        <v/>
      </c>
      <c r="P1181" s="22"/>
      <c r="Q1181" s="22"/>
      <c r="R1181" s="353" t="e">
        <f>IF(INDEX(TblDatabase[Comment19],MATCH(1,INDEX(($L$4=ListEmployeeNamesInDatabase)*(C1155=TblDatabase[Year]),0,1),0))="","",INDEX(TblDatabase[Comment19],MATCH(1,INDEX(($L$4=ListEmployeeNamesInDatabase)*(C1155=TblDatabase[Year]),0,1),0)))</f>
        <v>#N/A</v>
      </c>
      <c r="S1181" s="353"/>
      <c r="T1181" s="353"/>
      <c r="U1181" s="353"/>
      <c r="V1181" s="353"/>
      <c r="W1181" s="353"/>
      <c r="X1181" s="353"/>
      <c r="Y1181" s="354"/>
      <c r="Z1181" s="149"/>
      <c r="AA1181" s="151">
        <f>SUMIFS(TblDatabase[Competency19],ListEmployeeNamesInDatabase,$L$4,TblDatabase[Year],C1155)</f>
        <v>0</v>
      </c>
      <c r="AB1181" s="149"/>
      <c r="AC1181" s="149"/>
      <c r="AD1181" s="149"/>
      <c r="AE1181" s="149"/>
      <c r="AF1181" s="149"/>
    </row>
    <row r="1182" spans="2:32" s="148" customFormat="1" ht="15" hidden="1" customHeight="1">
      <c r="B1182" s="362" t="str">
        <f t="shared" si="27"/>
        <v/>
      </c>
      <c r="C1182" s="363"/>
      <c r="D1182" s="363"/>
      <c r="E1182" s="364"/>
      <c r="F1182" s="166" t="str">
        <f>IF(Settings!$M$4=Settings!$Y$3,IF($AA1182=1,"P",""),IF($AA1182=1,"P",""))</f>
        <v/>
      </c>
      <c r="G1182" s="167" t="str">
        <f>IF(Settings!$M$4=Settings!$Y$3,IF($AA1182=1,"P",""),IF($AA1182=2,"P",""))</f>
        <v/>
      </c>
      <c r="H1182" s="167" t="str">
        <f>IF(Settings!$M$4=Settings!$Y$3,IF($AA1182=1,"P",""),IF($AA1182=3,"P",""))</f>
        <v/>
      </c>
      <c r="I1182" s="167" t="str">
        <f>IF(Settings!$M$4=Settings!$Y$3,IF($AA1182=1,"P",""),IF($AA1182=4,"P",""))</f>
        <v/>
      </c>
      <c r="J1182" s="167" t="str">
        <f>IF(Settings!$M$4=Settings!$Y$3,IF($AA1182=2,"P",""),IF($AA1182=5,"P",""))</f>
        <v/>
      </c>
      <c r="K1182" s="167" t="str">
        <f>IF(Settings!$M$4=Settings!$Y$3,IF($AA1182=2,"P",""),IF($AA1182=6,"P",""))</f>
        <v/>
      </c>
      <c r="L1182" s="167" t="str">
        <f>IF(Settings!$M$4=Settings!$Y$3,IF($AA1182=2,"P",""),IF($AA1182=7,"P",""))</f>
        <v/>
      </c>
      <c r="M1182" s="167" t="str">
        <f>IF(Settings!$M$4=Settings!$Y$3,IF($AA1182=2,"P",""),IF($AA1182=8,"P",""))</f>
        <v/>
      </c>
      <c r="N1182" s="167" t="str">
        <f>IF(Settings!$M$4=Settings!$Y$3,IF($AA1182=3,"P",""),IF($AA1182=9,"P",""))</f>
        <v/>
      </c>
      <c r="O1182" s="168" t="str">
        <f>IF(Settings!$M$4=Settings!$Y$3,IF($AA1182=3,"P",""),IF($AA1182=10,"P",""))</f>
        <v/>
      </c>
      <c r="P1182" s="22"/>
      <c r="Q1182" s="22"/>
      <c r="R1182" s="365" t="e">
        <f>IF(INDEX(TblDatabase[Comment20],MATCH(1,INDEX(($L$4=ListEmployeeNamesInDatabase)*(C1155=TblDatabase[Year]),0,1),0))="","",INDEX(TblDatabase[Comment20],MATCH(1,INDEX(($L$4=ListEmployeeNamesInDatabase)*(C1155=TblDatabase[Year]),0,1),0)))</f>
        <v>#N/A</v>
      </c>
      <c r="S1182" s="365"/>
      <c r="T1182" s="365"/>
      <c r="U1182" s="365"/>
      <c r="V1182" s="365"/>
      <c r="W1182" s="365"/>
      <c r="X1182" s="365"/>
      <c r="Y1182" s="366"/>
      <c r="Z1182" s="149"/>
      <c r="AA1182" s="151">
        <f>SUMIFS(TblDatabase[Competency20],ListEmployeeNamesInDatabase,$L$4,TblDatabase[Year],C1155)</f>
        <v>0</v>
      </c>
      <c r="AB1182" s="149"/>
      <c r="AC1182" s="149"/>
      <c r="AD1182" s="149"/>
      <c r="AE1182" s="149"/>
      <c r="AF1182" s="149"/>
    </row>
    <row r="1183" spans="2:32" s="148" customFormat="1" hidden="1">
      <c r="B1183" s="414" t="s">
        <v>26</v>
      </c>
      <c r="C1183" s="415"/>
      <c r="D1183" s="415"/>
      <c r="E1183" s="371">
        <f ca="1">SUM(OFFSET(AA1163,0,0,NumberOfCompetencies))</f>
        <v>0</v>
      </c>
      <c r="F1183" s="372"/>
      <c r="G1183" s="152"/>
      <c r="H1183" s="152"/>
      <c r="I1183" s="152"/>
      <c r="J1183" s="152"/>
      <c r="K1183" s="152"/>
      <c r="L1183" s="152"/>
      <c r="M1183" s="152"/>
      <c r="N1183" s="152"/>
      <c r="O1183" s="152"/>
      <c r="P1183" s="152"/>
      <c r="Q1183" s="152"/>
      <c r="R1183" s="152"/>
      <c r="S1183" s="152"/>
      <c r="T1183" s="152"/>
      <c r="U1183" s="152"/>
      <c r="V1183" s="152"/>
      <c r="W1183" s="152"/>
      <c r="X1183" s="152"/>
      <c r="Y1183" s="152"/>
      <c r="Z1183" s="149"/>
      <c r="AA1183" s="149"/>
      <c r="AB1183" s="149"/>
      <c r="AC1183" s="149"/>
      <c r="AD1183" s="149"/>
      <c r="AE1183" s="149"/>
      <c r="AF1183" s="149"/>
    </row>
    <row r="1184" spans="2:32" s="148" customFormat="1" hidden="1">
      <c r="B1184" s="369" t="s">
        <v>27</v>
      </c>
      <c r="C1184" s="370"/>
      <c r="D1184" s="370"/>
      <c r="E1184" s="358">
        <f ca="1">E1183/NumberOfCompetencies</f>
        <v>0</v>
      </c>
      <c r="F1184" s="359"/>
      <c r="G1184" s="153"/>
      <c r="H1184" s="153"/>
      <c r="I1184" s="153"/>
      <c r="J1184" s="153"/>
      <c r="K1184" s="153"/>
      <c r="L1184" s="153"/>
      <c r="M1184" s="153"/>
      <c r="N1184" s="153"/>
      <c r="O1184" s="153"/>
      <c r="P1184" s="153"/>
      <c r="Q1184" s="153"/>
      <c r="R1184" s="153"/>
      <c r="S1184" s="153"/>
      <c r="T1184" s="153"/>
      <c r="U1184" s="153"/>
      <c r="V1184" s="153"/>
      <c r="W1184" s="153"/>
      <c r="X1184" s="153"/>
      <c r="Y1184" s="153"/>
      <c r="Z1184" s="149"/>
      <c r="AA1184" s="149"/>
      <c r="AB1184" s="149"/>
      <c r="AC1184" s="149"/>
      <c r="AD1184" s="149"/>
      <c r="AE1184" s="149"/>
      <c r="AF1184" s="149"/>
    </row>
    <row r="1185" spans="1:32" s="148" customFormat="1" hidden="1">
      <c r="B1185" s="154"/>
      <c r="C1185" s="154"/>
      <c r="D1185" s="154"/>
      <c r="E1185" s="154"/>
      <c r="F1185" s="154"/>
      <c r="G1185" s="154"/>
      <c r="H1185" s="154"/>
      <c r="I1185" s="154"/>
      <c r="J1185" s="154"/>
      <c r="K1185" s="154"/>
      <c r="L1185" s="154"/>
      <c r="M1185" s="154"/>
      <c r="N1185" s="154"/>
      <c r="O1185" s="154"/>
      <c r="P1185" s="154"/>
      <c r="Q1185" s="154"/>
      <c r="R1185" s="154"/>
      <c r="S1185" s="154"/>
      <c r="T1185" s="154"/>
      <c r="U1185" s="154"/>
      <c r="V1185" s="154"/>
      <c r="W1185" s="154"/>
      <c r="X1185" s="154"/>
      <c r="Y1185" s="154"/>
      <c r="Z1185" s="149"/>
      <c r="AA1185" s="149"/>
      <c r="AB1185" s="149"/>
      <c r="AC1185" s="149"/>
      <c r="AD1185" s="149"/>
      <c r="AE1185" s="149"/>
      <c r="AF1185" s="149"/>
    </row>
    <row r="1186" spans="1:32" s="148" customFormat="1" hidden="1">
      <c r="B1186" s="338" t="str">
        <f>Settings!$N$15</f>
        <v>Previously agreed actions</v>
      </c>
      <c r="C1186" s="339"/>
      <c r="D1186" s="339"/>
      <c r="E1186" s="339"/>
      <c r="F1186" s="339"/>
      <c r="G1186" s="339"/>
      <c r="H1186" s="339"/>
      <c r="I1186" s="339"/>
      <c r="J1186" s="339"/>
      <c r="K1186" s="339"/>
      <c r="L1186" s="339"/>
      <c r="M1186" s="339"/>
      <c r="N1186" s="339"/>
      <c r="O1186" s="339"/>
      <c r="P1186" s="339"/>
      <c r="Q1186" s="339"/>
      <c r="R1186" s="339"/>
      <c r="S1186" s="339"/>
      <c r="T1186" s="339"/>
      <c r="U1186" s="339"/>
      <c r="V1186" s="339"/>
      <c r="W1186" s="339"/>
      <c r="X1186" s="339"/>
      <c r="Y1186" s="340"/>
      <c r="Z1186" s="149"/>
      <c r="AA1186" s="149"/>
      <c r="AB1186" s="149"/>
      <c r="AC1186" s="149"/>
      <c r="AD1186" s="149"/>
      <c r="AE1186" s="149"/>
      <c r="AF1186" s="149"/>
    </row>
    <row r="1187" spans="1:32" s="148" customFormat="1" hidden="1">
      <c r="B1187" s="341" t="e">
        <f>IF(INDEX(TblDatabase[Feedback Does Well],MATCH(1,INDEX(($L$4=ListEmployeeNamesInDatabase)*(C1155=TblDatabase[Year]),0,1),0))="","",INDEX(TblDatabase[Feedback Does Well],MATCH(1,INDEX(($L$4=ListEmployeeNamesInDatabase)*(C1155=TblDatabase[Year]),0,1),0)))</f>
        <v>#N/A</v>
      </c>
      <c r="C1187" s="342"/>
      <c r="D1187" s="342"/>
      <c r="E1187" s="342"/>
      <c r="F1187" s="342"/>
      <c r="G1187" s="342"/>
      <c r="H1187" s="342"/>
      <c r="I1187" s="342"/>
      <c r="J1187" s="342"/>
      <c r="K1187" s="342"/>
      <c r="L1187" s="342"/>
      <c r="M1187" s="342"/>
      <c r="N1187" s="342"/>
      <c r="O1187" s="342"/>
      <c r="P1187" s="342"/>
      <c r="Q1187" s="342"/>
      <c r="R1187" s="342"/>
      <c r="S1187" s="342"/>
      <c r="T1187" s="342"/>
      <c r="U1187" s="342"/>
      <c r="V1187" s="342"/>
      <c r="W1187" s="342"/>
      <c r="X1187" s="342"/>
      <c r="Y1187" s="343"/>
      <c r="Z1187" s="149"/>
      <c r="AA1187" s="149"/>
      <c r="AB1187" s="149"/>
      <c r="AC1187" s="149"/>
      <c r="AD1187" s="149"/>
      <c r="AE1187" s="149"/>
      <c r="AF1187" s="149"/>
    </row>
    <row r="1188" spans="1:32" s="148" customFormat="1" hidden="1">
      <c r="B1188" s="344"/>
      <c r="C1188" s="345"/>
      <c r="D1188" s="345"/>
      <c r="E1188" s="345"/>
      <c r="F1188" s="345"/>
      <c r="G1188" s="345"/>
      <c r="H1188" s="345"/>
      <c r="I1188" s="345"/>
      <c r="J1188" s="345"/>
      <c r="K1188" s="345"/>
      <c r="L1188" s="345"/>
      <c r="M1188" s="345"/>
      <c r="N1188" s="345"/>
      <c r="O1188" s="345"/>
      <c r="P1188" s="345"/>
      <c r="Q1188" s="345"/>
      <c r="R1188" s="345"/>
      <c r="S1188" s="345"/>
      <c r="T1188" s="345"/>
      <c r="U1188" s="345"/>
      <c r="V1188" s="345"/>
      <c r="W1188" s="345"/>
      <c r="X1188" s="345"/>
      <c r="Y1188" s="346"/>
      <c r="Z1188" s="149"/>
      <c r="AA1188" s="149"/>
      <c r="AB1188" s="149"/>
      <c r="AC1188" s="149"/>
      <c r="AD1188" s="149"/>
      <c r="AE1188" s="149"/>
      <c r="AF1188" s="149"/>
    </row>
    <row r="1189" spans="1:32" s="148" customFormat="1" hidden="1">
      <c r="B1189" s="347"/>
      <c r="C1189" s="348"/>
      <c r="D1189" s="348"/>
      <c r="E1189" s="348"/>
      <c r="F1189" s="348"/>
      <c r="G1189" s="348"/>
      <c r="H1189" s="348"/>
      <c r="I1189" s="348"/>
      <c r="J1189" s="348"/>
      <c r="K1189" s="348"/>
      <c r="L1189" s="348"/>
      <c r="M1189" s="348"/>
      <c r="N1189" s="348"/>
      <c r="O1189" s="348"/>
      <c r="P1189" s="348"/>
      <c r="Q1189" s="348"/>
      <c r="R1189" s="348"/>
      <c r="S1189" s="348"/>
      <c r="T1189" s="348"/>
      <c r="U1189" s="348"/>
      <c r="V1189" s="348"/>
      <c r="W1189" s="348"/>
      <c r="X1189" s="348"/>
      <c r="Y1189" s="349"/>
      <c r="Z1189" s="149"/>
      <c r="AA1189" s="149"/>
      <c r="AB1189" s="149"/>
      <c r="AC1189" s="149"/>
      <c r="AD1189" s="149"/>
      <c r="AE1189" s="149"/>
      <c r="AF1189" s="149"/>
    </row>
    <row r="1190" spans="1:32" s="148" customFormat="1" hidden="1">
      <c r="B1190" s="155"/>
      <c r="C1190" s="155"/>
      <c r="D1190" s="155"/>
      <c r="E1190" s="155"/>
      <c r="F1190" s="155"/>
      <c r="G1190" s="155"/>
      <c r="H1190" s="155"/>
      <c r="I1190" s="155"/>
      <c r="J1190" s="155"/>
      <c r="K1190" s="155"/>
      <c r="L1190" s="155"/>
      <c r="M1190" s="155"/>
      <c r="N1190" s="155"/>
      <c r="O1190" s="155"/>
      <c r="P1190" s="155"/>
      <c r="Q1190" s="155"/>
      <c r="R1190" s="155"/>
      <c r="S1190" s="155"/>
      <c r="T1190" s="155"/>
      <c r="U1190" s="155"/>
      <c r="V1190" s="155"/>
      <c r="W1190" s="155"/>
      <c r="X1190" s="155"/>
      <c r="Y1190" s="155"/>
      <c r="Z1190" s="149"/>
      <c r="AA1190" s="149"/>
      <c r="AB1190" s="149"/>
      <c r="AC1190" s="149"/>
      <c r="AD1190" s="149"/>
      <c r="AE1190" s="149"/>
      <c r="AF1190" s="149"/>
    </row>
    <row r="1191" spans="1:32" s="148" customFormat="1" hidden="1">
      <c r="B1191" s="338" t="str">
        <f>Settings!$N$16</f>
        <v>Actions agreed during this review</v>
      </c>
      <c r="C1191" s="339"/>
      <c r="D1191" s="339"/>
      <c r="E1191" s="339"/>
      <c r="F1191" s="339"/>
      <c r="G1191" s="339"/>
      <c r="H1191" s="339"/>
      <c r="I1191" s="339"/>
      <c r="J1191" s="339"/>
      <c r="K1191" s="339"/>
      <c r="L1191" s="339"/>
      <c r="M1191" s="339"/>
      <c r="N1191" s="339"/>
      <c r="O1191" s="339"/>
      <c r="P1191" s="339"/>
      <c r="Q1191" s="339"/>
      <c r="R1191" s="339"/>
      <c r="S1191" s="339"/>
      <c r="T1191" s="339"/>
      <c r="U1191" s="339"/>
      <c r="V1191" s="339"/>
      <c r="W1191" s="339"/>
      <c r="X1191" s="339"/>
      <c r="Y1191" s="340"/>
      <c r="Z1191" s="149"/>
      <c r="AA1191" s="149"/>
      <c r="AB1191" s="149"/>
      <c r="AC1191" s="149"/>
      <c r="AD1191" s="149"/>
      <c r="AE1191" s="149"/>
      <c r="AF1191" s="149"/>
    </row>
    <row r="1192" spans="1:32" s="148" customFormat="1" hidden="1">
      <c r="B1192" s="341" t="e">
        <f>IF(INDEX(TblDatabase[Feedback To Improve],MATCH(1,INDEX(($L$4=ListEmployeeNamesInDatabase)*(C1155=TblDatabase[Year]),0,1),0))="","",INDEX(TblDatabase[Feedback To Improve],MATCH(1,INDEX(($L$4=ListEmployeeNamesInDatabase)*(C1155=TblDatabase[Year]),0,1),0)))</f>
        <v>#N/A</v>
      </c>
      <c r="C1192" s="342"/>
      <c r="D1192" s="342"/>
      <c r="E1192" s="342"/>
      <c r="F1192" s="342"/>
      <c r="G1192" s="342"/>
      <c r="H1192" s="342"/>
      <c r="I1192" s="342"/>
      <c r="J1192" s="342"/>
      <c r="K1192" s="342"/>
      <c r="L1192" s="342"/>
      <c r="M1192" s="342"/>
      <c r="N1192" s="342"/>
      <c r="O1192" s="342"/>
      <c r="P1192" s="342"/>
      <c r="Q1192" s="342"/>
      <c r="R1192" s="342"/>
      <c r="S1192" s="342"/>
      <c r="T1192" s="342"/>
      <c r="U1192" s="342"/>
      <c r="V1192" s="342"/>
      <c r="W1192" s="342"/>
      <c r="X1192" s="342"/>
      <c r="Y1192" s="343"/>
      <c r="Z1192" s="149"/>
      <c r="AA1192" s="149"/>
      <c r="AB1192" s="149"/>
      <c r="AC1192" s="149"/>
      <c r="AD1192" s="149"/>
      <c r="AE1192" s="149"/>
      <c r="AF1192" s="149"/>
    </row>
    <row r="1193" spans="1:32" s="148" customFormat="1" hidden="1">
      <c r="B1193" s="344"/>
      <c r="C1193" s="345"/>
      <c r="D1193" s="345"/>
      <c r="E1193" s="345"/>
      <c r="F1193" s="345"/>
      <c r="G1193" s="345"/>
      <c r="H1193" s="345"/>
      <c r="I1193" s="345"/>
      <c r="J1193" s="345"/>
      <c r="K1193" s="345"/>
      <c r="L1193" s="345"/>
      <c r="M1193" s="345"/>
      <c r="N1193" s="345"/>
      <c r="O1193" s="345"/>
      <c r="P1193" s="345"/>
      <c r="Q1193" s="345"/>
      <c r="R1193" s="345"/>
      <c r="S1193" s="345"/>
      <c r="T1193" s="345"/>
      <c r="U1193" s="345"/>
      <c r="V1193" s="345"/>
      <c r="W1193" s="345"/>
      <c r="X1193" s="345"/>
      <c r="Y1193" s="346"/>
      <c r="Z1193" s="149"/>
      <c r="AA1193" s="149"/>
      <c r="AB1193" s="149"/>
      <c r="AC1193" s="149"/>
      <c r="AD1193" s="149"/>
      <c r="AE1193" s="149"/>
      <c r="AF1193" s="149"/>
    </row>
    <row r="1194" spans="1:32" s="148" customFormat="1" hidden="1">
      <c r="B1194" s="347"/>
      <c r="C1194" s="348"/>
      <c r="D1194" s="348"/>
      <c r="E1194" s="348"/>
      <c r="F1194" s="348"/>
      <c r="G1194" s="348"/>
      <c r="H1194" s="348"/>
      <c r="I1194" s="348"/>
      <c r="J1194" s="348"/>
      <c r="K1194" s="348"/>
      <c r="L1194" s="348"/>
      <c r="M1194" s="348"/>
      <c r="N1194" s="348"/>
      <c r="O1194" s="348"/>
      <c r="P1194" s="348"/>
      <c r="Q1194" s="348"/>
      <c r="R1194" s="348"/>
      <c r="S1194" s="348"/>
      <c r="T1194" s="348"/>
      <c r="U1194" s="348"/>
      <c r="V1194" s="348"/>
      <c r="W1194" s="348"/>
      <c r="X1194" s="348"/>
      <c r="Y1194" s="349"/>
      <c r="Z1194" s="149"/>
      <c r="AA1194" s="149"/>
      <c r="AB1194" s="149"/>
      <c r="AC1194" s="149"/>
      <c r="AD1194" s="149"/>
      <c r="AE1194" s="149"/>
      <c r="AF1194" s="149"/>
    </row>
    <row r="1195" spans="1:32" s="148" customFormat="1" hidden="1">
      <c r="B1195" s="156"/>
      <c r="C1195" s="156"/>
      <c r="D1195" s="156"/>
      <c r="E1195" s="155"/>
      <c r="F1195" s="155"/>
      <c r="G1195" s="155"/>
      <c r="H1195" s="155"/>
      <c r="I1195" s="155"/>
      <c r="J1195" s="155"/>
      <c r="K1195" s="155"/>
      <c r="L1195" s="155"/>
      <c r="M1195" s="155"/>
      <c r="N1195" s="155"/>
      <c r="O1195" s="155"/>
      <c r="P1195" s="155"/>
      <c r="Q1195" s="155"/>
      <c r="R1195" s="155"/>
      <c r="S1195" s="155"/>
      <c r="T1195" s="155"/>
      <c r="U1195" s="155"/>
      <c r="V1195" s="155"/>
      <c r="W1195" s="155"/>
      <c r="X1195" s="155"/>
      <c r="Y1195" s="155"/>
      <c r="Z1195" s="149"/>
      <c r="AA1195" s="149"/>
      <c r="AB1195" s="149"/>
      <c r="AC1195" s="149"/>
      <c r="AD1195" s="149"/>
      <c r="AE1195" s="149"/>
      <c r="AF1195" s="149"/>
    </row>
    <row r="1196" spans="1:32" s="148" customFormat="1" hidden="1">
      <c r="A1196" s="150">
        <f>A1155+1</f>
        <v>29</v>
      </c>
      <c r="B1196" s="27" t="s">
        <v>14</v>
      </c>
      <c r="C1196" s="333">
        <f>C1155-1</f>
        <v>1992</v>
      </c>
      <c r="D1196" s="334"/>
      <c r="Y1196" s="149"/>
      <c r="Z1196" s="149"/>
      <c r="AA1196" s="149"/>
      <c r="AB1196" s="149"/>
      <c r="AC1196" s="149"/>
      <c r="AD1196" s="149"/>
      <c r="AE1196" s="149"/>
      <c r="AF1196" s="149"/>
    </row>
    <row r="1197" spans="1:32" s="148" customFormat="1" hidden="1">
      <c r="Y1197" s="149"/>
      <c r="Z1197" s="149"/>
      <c r="AA1197" s="149"/>
      <c r="AB1197" s="149"/>
      <c r="AC1197" s="149"/>
      <c r="AD1197" s="149"/>
      <c r="AE1197" s="149"/>
      <c r="AF1197" s="149"/>
    </row>
    <row r="1198" spans="1:32" s="148" customFormat="1" hidden="1">
      <c r="B1198" s="338" t="str">
        <f>Settings!$N$14</f>
        <v>Employee's comments</v>
      </c>
      <c r="C1198" s="339"/>
      <c r="D1198" s="339"/>
      <c r="E1198" s="339"/>
      <c r="F1198" s="339"/>
      <c r="G1198" s="339"/>
      <c r="H1198" s="339"/>
      <c r="I1198" s="339"/>
      <c r="J1198" s="339"/>
      <c r="K1198" s="339"/>
      <c r="L1198" s="339"/>
      <c r="M1198" s="339"/>
      <c r="N1198" s="339"/>
      <c r="O1198" s="339"/>
      <c r="P1198" s="339"/>
      <c r="Q1198" s="339"/>
      <c r="R1198" s="339"/>
      <c r="S1198" s="339"/>
      <c r="T1198" s="339"/>
      <c r="U1198" s="339"/>
      <c r="V1198" s="339"/>
      <c r="W1198" s="339"/>
      <c r="X1198" s="339"/>
      <c r="Y1198" s="340"/>
      <c r="Z1198" s="149"/>
      <c r="AA1198" s="149"/>
      <c r="AB1198" s="149"/>
      <c r="AC1198" s="149"/>
      <c r="AD1198" s="149"/>
      <c r="AE1198" s="149"/>
      <c r="AF1198" s="149"/>
    </row>
    <row r="1199" spans="1:32" s="148" customFormat="1" hidden="1">
      <c r="B1199" s="341" t="e">
        <f>IF(INDEX(TblDatabase[Feedback Warnings],MATCH(1,INDEX(($L$4=ListEmployeeNamesInDatabase)*(C1196=TblDatabase[Year]),0,1),0))="","",INDEX(TblDatabase[Feedback Warnings],MATCH(1,INDEX(($L$4=ListEmployeeNamesInDatabase)*(C1196=TblDatabase[Year]),0,1),0)))</f>
        <v>#N/A</v>
      </c>
      <c r="C1199" s="342"/>
      <c r="D1199" s="342"/>
      <c r="E1199" s="342"/>
      <c r="F1199" s="342"/>
      <c r="G1199" s="342"/>
      <c r="H1199" s="342"/>
      <c r="I1199" s="342"/>
      <c r="J1199" s="342"/>
      <c r="K1199" s="342"/>
      <c r="L1199" s="342"/>
      <c r="M1199" s="342"/>
      <c r="N1199" s="342"/>
      <c r="O1199" s="342"/>
      <c r="P1199" s="342"/>
      <c r="Q1199" s="342"/>
      <c r="R1199" s="342"/>
      <c r="S1199" s="342"/>
      <c r="T1199" s="342"/>
      <c r="U1199" s="342"/>
      <c r="V1199" s="342"/>
      <c r="W1199" s="342"/>
      <c r="X1199" s="342"/>
      <c r="Y1199" s="343"/>
      <c r="Z1199" s="149"/>
      <c r="AA1199" s="149"/>
      <c r="AB1199" s="149"/>
      <c r="AC1199" s="149"/>
      <c r="AD1199" s="149"/>
      <c r="AE1199" s="149"/>
      <c r="AF1199" s="149"/>
    </row>
    <row r="1200" spans="1:32" s="148" customFormat="1" hidden="1">
      <c r="B1200" s="344"/>
      <c r="C1200" s="345"/>
      <c r="D1200" s="345"/>
      <c r="E1200" s="345"/>
      <c r="F1200" s="345"/>
      <c r="G1200" s="345"/>
      <c r="H1200" s="345"/>
      <c r="I1200" s="345"/>
      <c r="J1200" s="345"/>
      <c r="K1200" s="345"/>
      <c r="L1200" s="345"/>
      <c r="M1200" s="345"/>
      <c r="N1200" s="345"/>
      <c r="O1200" s="345"/>
      <c r="P1200" s="345"/>
      <c r="Q1200" s="345"/>
      <c r="R1200" s="345"/>
      <c r="S1200" s="345"/>
      <c r="T1200" s="345"/>
      <c r="U1200" s="345"/>
      <c r="V1200" s="345"/>
      <c r="W1200" s="345"/>
      <c r="X1200" s="345"/>
      <c r="Y1200" s="346"/>
      <c r="Z1200" s="149"/>
      <c r="AA1200" s="149"/>
      <c r="AB1200" s="149"/>
      <c r="AC1200" s="149"/>
      <c r="AD1200" s="149"/>
      <c r="AE1200" s="149"/>
      <c r="AF1200" s="149"/>
    </row>
    <row r="1201" spans="2:32" s="148" customFormat="1" hidden="1">
      <c r="B1201" s="347"/>
      <c r="C1201" s="348"/>
      <c r="D1201" s="348"/>
      <c r="E1201" s="348"/>
      <c r="F1201" s="348"/>
      <c r="G1201" s="348"/>
      <c r="H1201" s="348"/>
      <c r="I1201" s="348"/>
      <c r="J1201" s="348"/>
      <c r="K1201" s="348"/>
      <c r="L1201" s="348"/>
      <c r="M1201" s="348"/>
      <c r="N1201" s="348"/>
      <c r="O1201" s="348"/>
      <c r="P1201" s="348"/>
      <c r="Q1201" s="348"/>
      <c r="R1201" s="348"/>
      <c r="S1201" s="348"/>
      <c r="T1201" s="348"/>
      <c r="U1201" s="348"/>
      <c r="V1201" s="348"/>
      <c r="W1201" s="348"/>
      <c r="X1201" s="348"/>
      <c r="Y1201" s="349"/>
      <c r="Z1201" s="149"/>
      <c r="AA1201" s="149"/>
      <c r="AB1201" s="149"/>
      <c r="AC1201" s="149"/>
      <c r="AD1201" s="149"/>
      <c r="AE1201" s="149"/>
      <c r="AF1201" s="149"/>
    </row>
    <row r="1202" spans="2:32" s="148" customFormat="1" hidden="1">
      <c r="Y1202" s="149"/>
      <c r="Z1202" s="149"/>
      <c r="AA1202" s="149"/>
      <c r="AB1202" s="149"/>
      <c r="AC1202" s="149"/>
      <c r="AD1202" s="149"/>
      <c r="AE1202" s="149"/>
      <c r="AF1202" s="149"/>
    </row>
    <row r="1203" spans="2:32" s="148" customFormat="1" ht="15" hidden="1" customHeight="1">
      <c r="B1203" s="320" t="s">
        <v>8</v>
      </c>
      <c r="C1203" s="321"/>
      <c r="D1203" s="321"/>
      <c r="E1203" s="321"/>
      <c r="F1203" s="233">
        <f>IF(Settings!$M$4=Settings!$Y$3,Settings!$O$19,1)</f>
        <v>1</v>
      </c>
      <c r="G1203" s="234">
        <f>IF(Settings!$M$4=Settings!$Y$3,Settings!$O$19,2)</f>
        <v>2</v>
      </c>
      <c r="H1203" s="234">
        <f>IF(Settings!$M$4=Settings!$Y$3,Settings!$O$19,3)</f>
        <v>3</v>
      </c>
      <c r="I1203" s="234">
        <f>IF(Settings!$M$4=Settings!$Y$3,Settings!$O$19,4)</f>
        <v>4</v>
      </c>
      <c r="J1203" s="234">
        <f>IF(Settings!$M$4=Settings!$Y$3,Settings!$O$20,5)</f>
        <v>5</v>
      </c>
      <c r="K1203" s="234">
        <f>IF(Settings!$M$4=Settings!$Y$3,Settings!$O$20,6)</f>
        <v>6</v>
      </c>
      <c r="L1203" s="234">
        <f>IF(Settings!$M$4=Settings!$Y$3,Settings!$O$20,7)</f>
        <v>7</v>
      </c>
      <c r="M1203" s="234">
        <f>IF(Settings!$M$4=Settings!$Y$3,Settings!$O$20,8)</f>
        <v>8</v>
      </c>
      <c r="N1203" s="234">
        <f>IF(Settings!$M$4=Settings!$Y$3,Settings!$O$21,9)</f>
        <v>9</v>
      </c>
      <c r="O1203" s="235">
        <f>IF(Settings!$M$4=Settings!$Y$3,Settings!$O$21,10)</f>
        <v>10</v>
      </c>
      <c r="P1203" s="22"/>
      <c r="Q1203" s="22"/>
      <c r="R1203" s="333" t="s">
        <v>24</v>
      </c>
      <c r="S1203" s="333"/>
      <c r="T1203" s="333"/>
      <c r="U1203" s="333"/>
      <c r="V1203" s="333"/>
      <c r="W1203" s="333"/>
      <c r="X1203" s="333"/>
      <c r="Y1203" s="334"/>
      <c r="Z1203" s="149"/>
      <c r="AA1203" s="149"/>
      <c r="AB1203" s="149"/>
      <c r="AC1203" s="149"/>
      <c r="AD1203" s="149"/>
      <c r="AE1203" s="149"/>
      <c r="AF1203" s="149"/>
    </row>
    <row r="1204" spans="2:32" s="148" customFormat="1" ht="15" hidden="1" customHeight="1">
      <c r="B1204" s="335" t="str">
        <f t="shared" ref="B1204:B1223" si="28">B1163</f>
        <v>Quality of Work</v>
      </c>
      <c r="C1204" s="336"/>
      <c r="D1204" s="336"/>
      <c r="E1204" s="337"/>
      <c r="F1204" s="162" t="str">
        <f>IF(Settings!$M$4=Settings!$Y$3,IF($AA1204=1,"P",""),IF($AA1204=1,"P",""))</f>
        <v/>
      </c>
      <c r="G1204" s="160" t="str">
        <f>IF(Settings!$M$4=Settings!$Y$3,IF($AA1204=1,"P",""),IF($AA1204=2,"P",""))</f>
        <v/>
      </c>
      <c r="H1204" s="160" t="str">
        <f>IF(Settings!$M$4=Settings!$Y$3,IF($AA1204=1,"P",""),IF($AA1204=3,"P",""))</f>
        <v/>
      </c>
      <c r="I1204" s="160" t="str">
        <f>IF(Settings!$M$4=Settings!$Y$3,IF($AA1204=1,"P",""),IF($AA1204=4,"P",""))</f>
        <v/>
      </c>
      <c r="J1204" s="160" t="str">
        <f>IF(Settings!$M$4=Settings!$Y$3,IF($AA1204=2,"P",""),IF($AA1204=5,"P",""))</f>
        <v/>
      </c>
      <c r="K1204" s="160" t="str">
        <f>IF(Settings!$M$4=Settings!$Y$3,IF($AA1204=2,"P",""),IF($AA1204=6,"P",""))</f>
        <v/>
      </c>
      <c r="L1204" s="160" t="str">
        <f>IF(Settings!$M$4=Settings!$Y$3,IF($AA1204=2,"P",""),IF($AA1204=7,"P",""))</f>
        <v/>
      </c>
      <c r="M1204" s="160" t="str">
        <f>IF(Settings!$M$4=Settings!$Y$3,IF($AA1204=2,"P",""),IF($AA1204=8,"P",""))</f>
        <v/>
      </c>
      <c r="N1204" s="160" t="str">
        <f>IF(Settings!$M$4=Settings!$Y$3,IF($AA1204=3,"P",""),IF($AA1204=9,"P",""))</f>
        <v/>
      </c>
      <c r="O1204" s="161" t="str">
        <f>IF(Settings!$M$4=Settings!$Y$3,IF($AA1204=3,"P",""),IF($AA1204=10,"P",""))</f>
        <v/>
      </c>
      <c r="P1204" s="22"/>
      <c r="Q1204" s="22"/>
      <c r="R1204" s="367" t="e">
        <f>IF(INDEX(TblDatabase[Comment1],MATCH(1,INDEX(($L$4=ListEmployeeNamesInDatabase)*(C1196=TblDatabase[Year]),0,1),0))="","",INDEX(TblDatabase[Comment1],MATCH(1,INDEX(($L$4=ListEmployeeNamesInDatabase)*(C1196=TblDatabase[Year]),0,1),0)))</f>
        <v>#N/A</v>
      </c>
      <c r="S1204" s="367"/>
      <c r="T1204" s="367"/>
      <c r="U1204" s="367"/>
      <c r="V1204" s="367"/>
      <c r="W1204" s="367"/>
      <c r="X1204" s="367"/>
      <c r="Y1204" s="368"/>
      <c r="Z1204" s="149"/>
      <c r="AA1204" s="151">
        <f>SUMIFS(TblDatabase[Competency1],ListEmployeeNamesInDatabase,$L$4,TblDatabase[Year],C1196)</f>
        <v>0</v>
      </c>
      <c r="AB1204" s="149"/>
      <c r="AC1204" s="149"/>
      <c r="AD1204" s="149"/>
      <c r="AE1204" s="149"/>
      <c r="AF1204" s="149"/>
    </row>
    <row r="1205" spans="2:32" s="148" customFormat="1" ht="15" hidden="1" customHeight="1">
      <c r="B1205" s="355" t="str">
        <f t="shared" si="28"/>
        <v>CaLL flow</v>
      </c>
      <c r="C1205" s="356"/>
      <c r="D1205" s="356"/>
      <c r="E1205" s="357"/>
      <c r="F1205" s="163" t="str">
        <f>IF(Settings!$M$4=Settings!$Y$3,IF($AA1205=1,"P",""),IF($AA1205=1,"P",""))</f>
        <v/>
      </c>
      <c r="G1205" s="164" t="str">
        <f>IF(Settings!$M$4=Settings!$Y$3,IF($AA1205=1,"P",""),IF($AA1205=2,"P",""))</f>
        <v/>
      </c>
      <c r="H1205" s="164" t="str">
        <f>IF(Settings!$M$4=Settings!$Y$3,IF($AA1205=1,"P",""),IF($AA1205=3,"P",""))</f>
        <v/>
      </c>
      <c r="I1205" s="164" t="str">
        <f>IF(Settings!$M$4=Settings!$Y$3,IF($AA1205=1,"P",""),IF($AA1205=4,"P",""))</f>
        <v/>
      </c>
      <c r="J1205" s="164" t="str">
        <f>IF(Settings!$M$4=Settings!$Y$3,IF($AA1205=2,"P",""),IF($AA1205=5,"P",""))</f>
        <v/>
      </c>
      <c r="K1205" s="164" t="str">
        <f>IF(Settings!$M$4=Settings!$Y$3,IF($AA1205=2,"P",""),IF($AA1205=6,"P",""))</f>
        <v/>
      </c>
      <c r="L1205" s="164" t="str">
        <f>IF(Settings!$M$4=Settings!$Y$3,IF($AA1205=2,"P",""),IF($AA1205=7,"P",""))</f>
        <v/>
      </c>
      <c r="M1205" s="164" t="str">
        <f>IF(Settings!$M$4=Settings!$Y$3,IF($AA1205=2,"P",""),IF($AA1205=8,"P",""))</f>
        <v/>
      </c>
      <c r="N1205" s="164" t="str">
        <f>IF(Settings!$M$4=Settings!$Y$3,IF($AA1205=3,"P",""),IF($AA1205=9,"P",""))</f>
        <v/>
      </c>
      <c r="O1205" s="165" t="str">
        <f>IF(Settings!$M$4=Settings!$Y$3,IF($AA1205=3,"P",""),IF($AA1205=10,"P",""))</f>
        <v/>
      </c>
      <c r="P1205" s="22"/>
      <c r="Q1205" s="22"/>
      <c r="R1205" s="360" t="e">
        <f>IF(INDEX(TblDatabase[Comment2],MATCH(1,INDEX(($L$4=ListEmployeeNamesInDatabase)*(C1196=TblDatabase[Year]),0,1),0))="","",INDEX(TblDatabase[Comment2],MATCH(1,INDEX(($L$4=ListEmployeeNamesInDatabase)*(C1196=TblDatabase[Year]),0,1),0)))</f>
        <v>#N/A</v>
      </c>
      <c r="S1205" s="360"/>
      <c r="T1205" s="360"/>
      <c r="U1205" s="360"/>
      <c r="V1205" s="360"/>
      <c r="W1205" s="360"/>
      <c r="X1205" s="360"/>
      <c r="Y1205" s="361"/>
      <c r="Z1205" s="149"/>
      <c r="AA1205" s="151">
        <f>SUMIFS(TblDatabase[Competency2],ListEmployeeNamesInDatabase,$L$4,TblDatabase[Year],C1196)</f>
        <v>0</v>
      </c>
      <c r="AB1205" s="149"/>
      <c r="AC1205" s="149"/>
      <c r="AD1205" s="149"/>
      <c r="AE1205" s="149"/>
      <c r="AF1205" s="149"/>
    </row>
    <row r="1206" spans="2:32" s="148" customFormat="1" ht="15" hidden="1" customHeight="1">
      <c r="B1206" s="350" t="str">
        <f t="shared" si="28"/>
        <v>Job Knowledge</v>
      </c>
      <c r="C1206" s="351"/>
      <c r="D1206" s="351"/>
      <c r="E1206" s="352"/>
      <c r="F1206" s="157" t="str">
        <f>IF(Settings!$M$4=Settings!$Y$3,IF($AA1206=1,"P",""),IF($AA1206=1,"P",""))</f>
        <v/>
      </c>
      <c r="G1206" s="158" t="str">
        <f>IF(Settings!$M$4=Settings!$Y$3,IF($AA1206=1,"P",""),IF($AA1206=2,"P",""))</f>
        <v/>
      </c>
      <c r="H1206" s="158" t="str">
        <f>IF(Settings!$M$4=Settings!$Y$3,IF($AA1206=1,"P",""),IF($AA1206=3,"P",""))</f>
        <v/>
      </c>
      <c r="I1206" s="158" t="str">
        <f>IF(Settings!$M$4=Settings!$Y$3,IF($AA1206=1,"P",""),IF($AA1206=4,"P",""))</f>
        <v/>
      </c>
      <c r="J1206" s="158" t="str">
        <f>IF(Settings!$M$4=Settings!$Y$3,IF($AA1206=2,"P",""),IF($AA1206=5,"P",""))</f>
        <v/>
      </c>
      <c r="K1206" s="158" t="str">
        <f>IF(Settings!$M$4=Settings!$Y$3,IF($AA1206=2,"P",""),IF($AA1206=6,"P",""))</f>
        <v/>
      </c>
      <c r="L1206" s="158" t="str">
        <f>IF(Settings!$M$4=Settings!$Y$3,IF($AA1206=2,"P",""),IF($AA1206=7,"P",""))</f>
        <v/>
      </c>
      <c r="M1206" s="158" t="str">
        <f>IF(Settings!$M$4=Settings!$Y$3,IF($AA1206=2,"P",""),IF($AA1206=8,"P",""))</f>
        <v/>
      </c>
      <c r="N1206" s="158" t="str">
        <f>IF(Settings!$M$4=Settings!$Y$3,IF($AA1206=3,"P",""),IF($AA1206=9,"P",""))</f>
        <v/>
      </c>
      <c r="O1206" s="159" t="str">
        <f>IF(Settings!$M$4=Settings!$Y$3,IF($AA1206=3,"P",""),IF($AA1206=10,"P",""))</f>
        <v/>
      </c>
      <c r="P1206" s="22"/>
      <c r="Q1206" s="22"/>
      <c r="R1206" s="353" t="e">
        <f>IF(INDEX(TblDatabase[Comment3],MATCH(1,INDEX(($L$4=ListEmployeeNamesInDatabase)*(C1196=TblDatabase[Year]),0,1),0))="","",INDEX(TblDatabase[Comment3],MATCH(1,INDEX(($L$4=ListEmployeeNamesInDatabase)*(C1196=TblDatabase[Year]),0,1),0)))</f>
        <v>#N/A</v>
      </c>
      <c r="S1206" s="353"/>
      <c r="T1206" s="353"/>
      <c r="U1206" s="353"/>
      <c r="V1206" s="353"/>
      <c r="W1206" s="353"/>
      <c r="X1206" s="353"/>
      <c r="Y1206" s="354"/>
      <c r="Z1206" s="149"/>
      <c r="AA1206" s="151">
        <f>SUMIFS(TblDatabase[Competency3],ListEmployeeNamesInDatabase,$L$4,TblDatabase[Year],C1196)</f>
        <v>0</v>
      </c>
      <c r="AB1206" s="149"/>
      <c r="AC1206" s="149"/>
      <c r="AD1206" s="149"/>
      <c r="AE1206" s="149"/>
      <c r="AF1206" s="149"/>
    </row>
    <row r="1207" spans="2:32" s="148" customFormat="1" ht="15" hidden="1" customHeight="1">
      <c r="B1207" s="355" t="str">
        <f t="shared" si="28"/>
        <v>Client Service</v>
      </c>
      <c r="C1207" s="356"/>
      <c r="D1207" s="356"/>
      <c r="E1207" s="357"/>
      <c r="F1207" s="163" t="str">
        <f>IF(Settings!$M$4=Settings!$Y$3,IF($AA1207=1,"P",""),IF($AA1207=1,"P",""))</f>
        <v/>
      </c>
      <c r="G1207" s="164" t="str">
        <f>IF(Settings!$M$4=Settings!$Y$3,IF($AA1207=1,"P",""),IF($AA1207=2,"P",""))</f>
        <v/>
      </c>
      <c r="H1207" s="164" t="str">
        <f>IF(Settings!$M$4=Settings!$Y$3,IF($AA1207=1,"P",""),IF($AA1207=3,"P",""))</f>
        <v/>
      </c>
      <c r="I1207" s="164" t="str">
        <f>IF(Settings!$M$4=Settings!$Y$3,IF($AA1207=1,"P",""),IF($AA1207=4,"P",""))</f>
        <v/>
      </c>
      <c r="J1207" s="164" t="str">
        <f>IF(Settings!$M$4=Settings!$Y$3,IF($AA1207=2,"P",""),IF($AA1207=5,"P",""))</f>
        <v/>
      </c>
      <c r="K1207" s="164" t="str">
        <f>IF(Settings!$M$4=Settings!$Y$3,IF($AA1207=2,"P",""),IF($AA1207=6,"P",""))</f>
        <v/>
      </c>
      <c r="L1207" s="164" t="str">
        <f>IF(Settings!$M$4=Settings!$Y$3,IF($AA1207=2,"P",""),IF($AA1207=7,"P",""))</f>
        <v/>
      </c>
      <c r="M1207" s="164" t="str">
        <f>IF(Settings!$M$4=Settings!$Y$3,IF($AA1207=2,"P",""),IF($AA1207=8,"P",""))</f>
        <v/>
      </c>
      <c r="N1207" s="164" t="str">
        <f>IF(Settings!$M$4=Settings!$Y$3,IF($AA1207=3,"P",""),IF($AA1207=9,"P",""))</f>
        <v/>
      </c>
      <c r="O1207" s="165" t="str">
        <f>IF(Settings!$M$4=Settings!$Y$3,IF($AA1207=3,"P",""),IF($AA1207=10,"P",""))</f>
        <v/>
      </c>
      <c r="P1207" s="22"/>
      <c r="Q1207" s="22"/>
      <c r="R1207" s="360" t="e">
        <f>IF(INDEX(TblDatabase[Comment4],MATCH(1,INDEX(($L$4=ListEmployeeNamesInDatabase)*(C1196=TblDatabase[Year]),0,1),0))="","",INDEX(TblDatabase[Comment4],MATCH(1,INDEX(($L$4=ListEmployeeNamesInDatabase)*(C1196=TblDatabase[Year]),0,1),0)))</f>
        <v>#N/A</v>
      </c>
      <c r="S1207" s="360"/>
      <c r="T1207" s="360"/>
      <c r="U1207" s="360"/>
      <c r="V1207" s="360"/>
      <c r="W1207" s="360"/>
      <c r="X1207" s="360"/>
      <c r="Y1207" s="361"/>
      <c r="Z1207" s="149"/>
      <c r="AA1207" s="151">
        <f>SUMIFS(TblDatabase[Competency4],ListEmployeeNamesInDatabase,$L$4,TblDatabase[Year],C1196)</f>
        <v>0</v>
      </c>
      <c r="AB1207" s="149"/>
      <c r="AC1207" s="149"/>
      <c r="AD1207" s="149"/>
      <c r="AE1207" s="149"/>
      <c r="AF1207" s="149"/>
    </row>
    <row r="1208" spans="2:32" s="148" customFormat="1" ht="15" hidden="1" customHeight="1">
      <c r="B1208" s="350" t="str">
        <f t="shared" si="28"/>
        <v>Teamwork</v>
      </c>
      <c r="C1208" s="351"/>
      <c r="D1208" s="351"/>
      <c r="E1208" s="352"/>
      <c r="F1208" s="157" t="str">
        <f>IF(Settings!$M$4=Settings!$Y$3,IF($AA1208=1,"P",""),IF($AA1208=1,"P",""))</f>
        <v/>
      </c>
      <c r="G1208" s="158" t="str">
        <f>IF(Settings!$M$4=Settings!$Y$3,IF($AA1208=1,"P",""),IF($AA1208=2,"P",""))</f>
        <v/>
      </c>
      <c r="H1208" s="158" t="str">
        <f>IF(Settings!$M$4=Settings!$Y$3,IF($AA1208=1,"P",""),IF($AA1208=3,"P",""))</f>
        <v/>
      </c>
      <c r="I1208" s="158" t="str">
        <f>IF(Settings!$M$4=Settings!$Y$3,IF($AA1208=1,"P",""),IF($AA1208=4,"P",""))</f>
        <v/>
      </c>
      <c r="J1208" s="158" t="str">
        <f>IF(Settings!$M$4=Settings!$Y$3,IF($AA1208=2,"P",""),IF($AA1208=5,"P",""))</f>
        <v/>
      </c>
      <c r="K1208" s="158" t="str">
        <f>IF(Settings!$M$4=Settings!$Y$3,IF($AA1208=2,"P",""),IF($AA1208=6,"P",""))</f>
        <v/>
      </c>
      <c r="L1208" s="158" t="str">
        <f>IF(Settings!$M$4=Settings!$Y$3,IF($AA1208=2,"P",""),IF($AA1208=7,"P",""))</f>
        <v/>
      </c>
      <c r="M1208" s="158" t="str">
        <f>IF(Settings!$M$4=Settings!$Y$3,IF($AA1208=2,"P",""),IF($AA1208=8,"P",""))</f>
        <v/>
      </c>
      <c r="N1208" s="158" t="str">
        <f>IF(Settings!$M$4=Settings!$Y$3,IF($AA1208=3,"P",""),IF($AA1208=9,"P",""))</f>
        <v/>
      </c>
      <c r="O1208" s="159" t="str">
        <f>IF(Settings!$M$4=Settings!$Y$3,IF($AA1208=3,"P",""),IF($AA1208=10,"P",""))</f>
        <v/>
      </c>
      <c r="P1208" s="22"/>
      <c r="Q1208" s="22"/>
      <c r="R1208" s="353" t="e">
        <f>IF(INDEX(TblDatabase[Comment5],MATCH(1,INDEX(($L$4=ListEmployeeNamesInDatabase)*(C1196=TblDatabase[Year]),0,1),0))="","",INDEX(TblDatabase[Comment5],MATCH(1,INDEX(($L$4=ListEmployeeNamesInDatabase)*(C1196=TblDatabase[Year]),0,1),0)))</f>
        <v>#N/A</v>
      </c>
      <c r="S1208" s="353"/>
      <c r="T1208" s="353"/>
      <c r="U1208" s="353"/>
      <c r="V1208" s="353"/>
      <c r="W1208" s="353"/>
      <c r="X1208" s="353"/>
      <c r="Y1208" s="354"/>
      <c r="Z1208" s="149"/>
      <c r="AA1208" s="151">
        <f>SUMIFS(TblDatabase[Competency5],ListEmployeeNamesInDatabase,$L$4,TblDatabase[Year],C1196)</f>
        <v>0</v>
      </c>
      <c r="AB1208" s="149"/>
      <c r="AC1208" s="149"/>
      <c r="AD1208" s="149"/>
      <c r="AE1208" s="149"/>
      <c r="AF1208" s="149"/>
    </row>
    <row r="1209" spans="2:32" s="148" customFormat="1" ht="15" hidden="1" customHeight="1">
      <c r="B1209" s="355" t="str">
        <f t="shared" si="28"/>
        <v>Safety</v>
      </c>
      <c r="C1209" s="356"/>
      <c r="D1209" s="356"/>
      <c r="E1209" s="357"/>
      <c r="F1209" s="163" t="str">
        <f>IF(Settings!$M$4=Settings!$Y$3,IF($AA1209=1,"P",""),IF($AA1209=1,"P",""))</f>
        <v/>
      </c>
      <c r="G1209" s="164" t="str">
        <f>IF(Settings!$M$4=Settings!$Y$3,IF($AA1209=1,"P",""),IF($AA1209=2,"P",""))</f>
        <v/>
      </c>
      <c r="H1209" s="164" t="str">
        <f>IF(Settings!$M$4=Settings!$Y$3,IF($AA1209=1,"P",""),IF($AA1209=3,"P",""))</f>
        <v/>
      </c>
      <c r="I1209" s="164" t="str">
        <f>IF(Settings!$M$4=Settings!$Y$3,IF($AA1209=1,"P",""),IF($AA1209=4,"P",""))</f>
        <v/>
      </c>
      <c r="J1209" s="164" t="str">
        <f>IF(Settings!$M$4=Settings!$Y$3,IF($AA1209=2,"P",""),IF($AA1209=5,"P",""))</f>
        <v/>
      </c>
      <c r="K1209" s="164" t="str">
        <f>IF(Settings!$M$4=Settings!$Y$3,IF($AA1209=2,"P",""),IF($AA1209=6,"P",""))</f>
        <v/>
      </c>
      <c r="L1209" s="164" t="str">
        <f>IF(Settings!$M$4=Settings!$Y$3,IF($AA1209=2,"P",""),IF($AA1209=7,"P",""))</f>
        <v/>
      </c>
      <c r="M1209" s="164" t="str">
        <f>IF(Settings!$M$4=Settings!$Y$3,IF($AA1209=2,"P",""),IF($AA1209=8,"P",""))</f>
        <v/>
      </c>
      <c r="N1209" s="164" t="str">
        <f>IF(Settings!$M$4=Settings!$Y$3,IF($AA1209=3,"P",""),IF($AA1209=9,"P",""))</f>
        <v/>
      </c>
      <c r="O1209" s="165" t="str">
        <f>IF(Settings!$M$4=Settings!$Y$3,IF($AA1209=3,"P",""),IF($AA1209=10,"P",""))</f>
        <v/>
      </c>
      <c r="P1209" s="22"/>
      <c r="Q1209" s="22"/>
      <c r="R1209" s="360" t="e">
        <f>IF(INDEX(TblDatabase[Comment6],MATCH(1,INDEX(($L$4=ListEmployeeNamesInDatabase)*(C1196=TblDatabase[Year]),0,1),0))="","",INDEX(TblDatabase[Comment6],MATCH(1,INDEX(($L$4=ListEmployeeNamesInDatabase)*(C1196=TblDatabase[Year]),0,1),0)))</f>
        <v>#N/A</v>
      </c>
      <c r="S1209" s="360"/>
      <c r="T1209" s="360"/>
      <c r="U1209" s="360"/>
      <c r="V1209" s="360"/>
      <c r="W1209" s="360"/>
      <c r="X1209" s="360"/>
      <c r="Y1209" s="361"/>
      <c r="Z1209" s="149"/>
      <c r="AA1209" s="151">
        <f>SUMIFS(TblDatabase[Competency6],ListEmployeeNamesInDatabase,$L$4,TblDatabase[Year],C1196)</f>
        <v>0</v>
      </c>
      <c r="AB1209" s="149"/>
      <c r="AC1209" s="149"/>
      <c r="AD1209" s="149"/>
      <c r="AE1209" s="149"/>
      <c r="AF1209" s="149"/>
    </row>
    <row r="1210" spans="2:32" s="148" customFormat="1" ht="15" hidden="1" customHeight="1">
      <c r="B1210" s="350" t="str">
        <f t="shared" si="28"/>
        <v>Reliability</v>
      </c>
      <c r="C1210" s="351"/>
      <c r="D1210" s="351"/>
      <c r="E1210" s="352"/>
      <c r="F1210" s="157" t="str">
        <f>IF(Settings!$M$4=Settings!$Y$3,IF($AA1210=1,"P",""),IF($AA1210=1,"P",""))</f>
        <v/>
      </c>
      <c r="G1210" s="158" t="str">
        <f>IF(Settings!$M$4=Settings!$Y$3,IF($AA1210=1,"P",""),IF($AA1210=2,"P",""))</f>
        <v/>
      </c>
      <c r="H1210" s="158" t="str">
        <f>IF(Settings!$M$4=Settings!$Y$3,IF($AA1210=1,"P",""),IF($AA1210=3,"P",""))</f>
        <v/>
      </c>
      <c r="I1210" s="158" t="str">
        <f>IF(Settings!$M$4=Settings!$Y$3,IF($AA1210=1,"P",""),IF($AA1210=4,"P",""))</f>
        <v/>
      </c>
      <c r="J1210" s="158" t="str">
        <f>IF(Settings!$M$4=Settings!$Y$3,IF($AA1210=2,"P",""),IF($AA1210=5,"P",""))</f>
        <v/>
      </c>
      <c r="K1210" s="158" t="str">
        <f>IF(Settings!$M$4=Settings!$Y$3,IF($AA1210=2,"P",""),IF($AA1210=6,"P",""))</f>
        <v/>
      </c>
      <c r="L1210" s="158" t="str">
        <f>IF(Settings!$M$4=Settings!$Y$3,IF($AA1210=2,"P",""),IF($AA1210=7,"P",""))</f>
        <v/>
      </c>
      <c r="M1210" s="158" t="str">
        <f>IF(Settings!$M$4=Settings!$Y$3,IF($AA1210=2,"P",""),IF($AA1210=8,"P",""))</f>
        <v/>
      </c>
      <c r="N1210" s="158" t="str">
        <f>IF(Settings!$M$4=Settings!$Y$3,IF($AA1210=3,"P",""),IF($AA1210=9,"P",""))</f>
        <v/>
      </c>
      <c r="O1210" s="159" t="str">
        <f>IF(Settings!$M$4=Settings!$Y$3,IF($AA1210=3,"P",""),IF($AA1210=10,"P",""))</f>
        <v/>
      </c>
      <c r="P1210" s="22"/>
      <c r="Q1210" s="22"/>
      <c r="R1210" s="353" t="e">
        <f>IF(INDEX(TblDatabase[Comment7],MATCH(1,INDEX(($L$4=ListEmployeeNamesInDatabase)*(C1196=TblDatabase[Year]),0,1),0))="","",INDEX(TblDatabase[Comment7],MATCH(1,INDEX(($L$4=ListEmployeeNamesInDatabase)*(C1196=TblDatabase[Year]),0,1),0)))</f>
        <v>#N/A</v>
      </c>
      <c r="S1210" s="353"/>
      <c r="T1210" s="353"/>
      <c r="U1210" s="353"/>
      <c r="V1210" s="353"/>
      <c r="W1210" s="353"/>
      <c r="X1210" s="353"/>
      <c r="Y1210" s="354"/>
      <c r="Z1210" s="149"/>
      <c r="AA1210" s="151">
        <f>SUMIFS(TblDatabase[Competency7],ListEmployeeNamesInDatabase,$L$4,TblDatabase[Year],C1196)</f>
        <v>0</v>
      </c>
      <c r="AB1210" s="149"/>
      <c r="AC1210" s="149"/>
      <c r="AD1210" s="149"/>
      <c r="AE1210" s="149"/>
      <c r="AF1210" s="149"/>
    </row>
    <row r="1211" spans="2:32" s="148" customFormat="1" ht="15" hidden="1" customHeight="1">
      <c r="B1211" s="355" t="str">
        <f t="shared" si="28"/>
        <v>Initiative/Adaptability</v>
      </c>
      <c r="C1211" s="356"/>
      <c r="D1211" s="356"/>
      <c r="E1211" s="357"/>
      <c r="F1211" s="163" t="str">
        <f>IF(Settings!$M$4=Settings!$Y$3,IF($AA1211=1,"P",""),IF($AA1211=1,"P",""))</f>
        <v/>
      </c>
      <c r="G1211" s="164" t="str">
        <f>IF(Settings!$M$4=Settings!$Y$3,IF($AA1211=1,"P",""),IF($AA1211=2,"P",""))</f>
        <v/>
      </c>
      <c r="H1211" s="164" t="str">
        <f>IF(Settings!$M$4=Settings!$Y$3,IF($AA1211=1,"P",""),IF($AA1211=3,"P",""))</f>
        <v/>
      </c>
      <c r="I1211" s="164" t="str">
        <f>IF(Settings!$M$4=Settings!$Y$3,IF($AA1211=1,"P",""),IF($AA1211=4,"P",""))</f>
        <v/>
      </c>
      <c r="J1211" s="164" t="str">
        <f>IF(Settings!$M$4=Settings!$Y$3,IF($AA1211=2,"P",""),IF($AA1211=5,"P",""))</f>
        <v/>
      </c>
      <c r="K1211" s="164" t="str">
        <f>IF(Settings!$M$4=Settings!$Y$3,IF($AA1211=2,"P",""),IF($AA1211=6,"P",""))</f>
        <v/>
      </c>
      <c r="L1211" s="164" t="str">
        <f>IF(Settings!$M$4=Settings!$Y$3,IF($AA1211=2,"P",""),IF($AA1211=7,"P",""))</f>
        <v/>
      </c>
      <c r="M1211" s="164" t="str">
        <f>IF(Settings!$M$4=Settings!$Y$3,IF($AA1211=2,"P",""),IF($AA1211=8,"P",""))</f>
        <v/>
      </c>
      <c r="N1211" s="164" t="str">
        <f>IF(Settings!$M$4=Settings!$Y$3,IF($AA1211=3,"P",""),IF($AA1211=9,"P",""))</f>
        <v/>
      </c>
      <c r="O1211" s="165" t="str">
        <f>IF(Settings!$M$4=Settings!$Y$3,IF($AA1211=3,"P",""),IF($AA1211=10,"P",""))</f>
        <v/>
      </c>
      <c r="P1211" s="22"/>
      <c r="Q1211" s="22"/>
      <c r="R1211" s="360" t="e">
        <f>IF(INDEX(TblDatabase[Comment8],MATCH(1,INDEX(($L$4=ListEmployeeNamesInDatabase)*(C1196=TblDatabase[Year]),0,1),0))="","",INDEX(TblDatabase[Comment8],MATCH(1,INDEX(($L$4=ListEmployeeNamesInDatabase)*(C1196=TblDatabase[Year]),0,1),0)))</f>
        <v>#N/A</v>
      </c>
      <c r="S1211" s="360"/>
      <c r="T1211" s="360"/>
      <c r="U1211" s="360"/>
      <c r="V1211" s="360"/>
      <c r="W1211" s="360"/>
      <c r="X1211" s="360"/>
      <c r="Y1211" s="361"/>
      <c r="Z1211" s="149"/>
      <c r="AA1211" s="151">
        <f>SUMIFS(TblDatabase[Competency8],ListEmployeeNamesInDatabase,$L$4,TblDatabase[Year],C1196)</f>
        <v>0</v>
      </c>
      <c r="AB1211" s="149"/>
      <c r="AC1211" s="149"/>
      <c r="AD1211" s="149"/>
      <c r="AE1211" s="149"/>
      <c r="AF1211" s="149"/>
    </row>
    <row r="1212" spans="2:32" s="148" customFormat="1" ht="15" hidden="1" customHeight="1">
      <c r="B1212" s="350" t="str">
        <f t="shared" si="28"/>
        <v/>
      </c>
      <c r="C1212" s="351"/>
      <c r="D1212" s="351"/>
      <c r="E1212" s="352"/>
      <c r="F1212" s="157" t="str">
        <f>IF(Settings!$M$4=Settings!$Y$3,IF($AA1212=1,"P",""),IF($AA1212=1,"P",""))</f>
        <v/>
      </c>
      <c r="G1212" s="158" t="str">
        <f>IF(Settings!$M$4=Settings!$Y$3,IF($AA1212=1,"P",""),IF($AA1212=2,"P",""))</f>
        <v/>
      </c>
      <c r="H1212" s="158" t="str">
        <f>IF(Settings!$M$4=Settings!$Y$3,IF($AA1212=1,"P",""),IF($AA1212=3,"P",""))</f>
        <v/>
      </c>
      <c r="I1212" s="158" t="str">
        <f>IF(Settings!$M$4=Settings!$Y$3,IF($AA1212=1,"P",""),IF($AA1212=4,"P",""))</f>
        <v/>
      </c>
      <c r="J1212" s="158" t="str">
        <f>IF(Settings!$M$4=Settings!$Y$3,IF($AA1212=2,"P",""),IF($AA1212=5,"P",""))</f>
        <v/>
      </c>
      <c r="K1212" s="158" t="str">
        <f>IF(Settings!$M$4=Settings!$Y$3,IF($AA1212=2,"P",""),IF($AA1212=6,"P",""))</f>
        <v/>
      </c>
      <c r="L1212" s="158" t="str">
        <f>IF(Settings!$M$4=Settings!$Y$3,IF($AA1212=2,"P",""),IF($AA1212=7,"P",""))</f>
        <v/>
      </c>
      <c r="M1212" s="158" t="str">
        <f>IF(Settings!$M$4=Settings!$Y$3,IF($AA1212=2,"P",""),IF($AA1212=8,"P",""))</f>
        <v/>
      </c>
      <c r="N1212" s="158" t="str">
        <f>IF(Settings!$M$4=Settings!$Y$3,IF($AA1212=3,"P",""),IF($AA1212=9,"P",""))</f>
        <v/>
      </c>
      <c r="O1212" s="159" t="str">
        <f>IF(Settings!$M$4=Settings!$Y$3,IF($AA1212=3,"P",""),IF($AA1212=10,"P",""))</f>
        <v/>
      </c>
      <c r="P1212" s="22"/>
      <c r="Q1212" s="22"/>
      <c r="R1212" s="353" t="e">
        <f>IF(INDEX(TblDatabase[Comment9],MATCH(1,INDEX(($L$4=ListEmployeeNamesInDatabase)*(C1196=TblDatabase[Year]),0,1),0))="","",INDEX(TblDatabase[Comment9],MATCH(1,INDEX(($L$4=ListEmployeeNamesInDatabase)*(C1196=TblDatabase[Year]),0,1),0)))</f>
        <v>#N/A</v>
      </c>
      <c r="S1212" s="353"/>
      <c r="T1212" s="353"/>
      <c r="U1212" s="353"/>
      <c r="V1212" s="353"/>
      <c r="W1212" s="353"/>
      <c r="X1212" s="353"/>
      <c r="Y1212" s="354"/>
      <c r="Z1212" s="149"/>
      <c r="AA1212" s="151">
        <f>SUMIFS(TblDatabase[Competency9],ListEmployeeNamesInDatabase,$L$4,TblDatabase[Year],C1196)</f>
        <v>0</v>
      </c>
      <c r="AB1212" s="149"/>
      <c r="AC1212" s="149"/>
      <c r="AD1212" s="149"/>
      <c r="AE1212" s="149"/>
      <c r="AF1212" s="149"/>
    </row>
    <row r="1213" spans="2:32" s="148" customFormat="1" ht="15" hidden="1" customHeight="1">
      <c r="B1213" s="355" t="str">
        <f t="shared" si="28"/>
        <v/>
      </c>
      <c r="C1213" s="356"/>
      <c r="D1213" s="356"/>
      <c r="E1213" s="357"/>
      <c r="F1213" s="163" t="str">
        <f>IF(Settings!$M$4=Settings!$Y$3,IF($AA1213=1,"P",""),IF($AA1213=1,"P",""))</f>
        <v/>
      </c>
      <c r="G1213" s="164" t="str">
        <f>IF(Settings!$M$4=Settings!$Y$3,IF($AA1213=1,"P",""),IF($AA1213=2,"P",""))</f>
        <v/>
      </c>
      <c r="H1213" s="164" t="str">
        <f>IF(Settings!$M$4=Settings!$Y$3,IF($AA1213=1,"P",""),IF($AA1213=3,"P",""))</f>
        <v/>
      </c>
      <c r="I1213" s="164" t="str">
        <f>IF(Settings!$M$4=Settings!$Y$3,IF($AA1213=1,"P",""),IF($AA1213=4,"P",""))</f>
        <v/>
      </c>
      <c r="J1213" s="164" t="str">
        <f>IF(Settings!$M$4=Settings!$Y$3,IF($AA1213=2,"P",""),IF($AA1213=5,"P",""))</f>
        <v/>
      </c>
      <c r="K1213" s="164" t="str">
        <f>IF(Settings!$M$4=Settings!$Y$3,IF($AA1213=2,"P",""),IF($AA1213=6,"P",""))</f>
        <v/>
      </c>
      <c r="L1213" s="164" t="str">
        <f>IF(Settings!$M$4=Settings!$Y$3,IF($AA1213=2,"P",""),IF($AA1213=7,"P",""))</f>
        <v/>
      </c>
      <c r="M1213" s="164" t="str">
        <f>IF(Settings!$M$4=Settings!$Y$3,IF($AA1213=2,"P",""),IF($AA1213=8,"P",""))</f>
        <v/>
      </c>
      <c r="N1213" s="164" t="str">
        <f>IF(Settings!$M$4=Settings!$Y$3,IF($AA1213=3,"P",""),IF($AA1213=9,"P",""))</f>
        <v/>
      </c>
      <c r="O1213" s="165" t="str">
        <f>IF(Settings!$M$4=Settings!$Y$3,IF($AA1213=3,"P",""),IF($AA1213=10,"P",""))</f>
        <v/>
      </c>
      <c r="P1213" s="22"/>
      <c r="Q1213" s="22"/>
      <c r="R1213" s="360" t="e">
        <f>IF(INDEX(TblDatabase[Comment10],MATCH(1,INDEX(($L$4=ListEmployeeNamesInDatabase)*(C1196=TblDatabase[Year]),0,1),0))="","",INDEX(TblDatabase[Comment10],MATCH(1,INDEX(($L$4=ListEmployeeNamesInDatabase)*(C1196=TblDatabase[Year]),0,1),0)))</f>
        <v>#N/A</v>
      </c>
      <c r="S1213" s="360"/>
      <c r="T1213" s="360"/>
      <c r="U1213" s="360"/>
      <c r="V1213" s="360"/>
      <c r="W1213" s="360"/>
      <c r="X1213" s="360"/>
      <c r="Y1213" s="361"/>
      <c r="Z1213" s="149"/>
      <c r="AA1213" s="151">
        <f>SUMIFS(TblDatabase[Competency10],ListEmployeeNamesInDatabase,$L$4,TblDatabase[Year],C1196)</f>
        <v>0</v>
      </c>
      <c r="AB1213" s="149"/>
      <c r="AC1213" s="149"/>
      <c r="AD1213" s="149"/>
      <c r="AE1213" s="149"/>
      <c r="AF1213" s="149"/>
    </row>
    <row r="1214" spans="2:32" s="148" customFormat="1" ht="15" hidden="1" customHeight="1">
      <c r="B1214" s="350" t="str">
        <f t="shared" si="28"/>
        <v/>
      </c>
      <c r="C1214" s="351"/>
      <c r="D1214" s="351"/>
      <c r="E1214" s="352"/>
      <c r="F1214" s="157" t="str">
        <f>IF(Settings!$M$4=Settings!$Y$3,IF($AA1214=1,"P",""),IF($AA1214=1,"P",""))</f>
        <v/>
      </c>
      <c r="G1214" s="158" t="str">
        <f>IF(Settings!$M$4=Settings!$Y$3,IF($AA1214=1,"P",""),IF($AA1214=2,"P",""))</f>
        <v/>
      </c>
      <c r="H1214" s="158" t="str">
        <f>IF(Settings!$M$4=Settings!$Y$3,IF($AA1214=1,"P",""),IF($AA1214=3,"P",""))</f>
        <v/>
      </c>
      <c r="I1214" s="158" t="str">
        <f>IF(Settings!$M$4=Settings!$Y$3,IF($AA1214=1,"P",""),IF($AA1214=4,"P",""))</f>
        <v/>
      </c>
      <c r="J1214" s="158" t="str">
        <f>IF(Settings!$M$4=Settings!$Y$3,IF($AA1214=2,"P",""),IF($AA1214=5,"P",""))</f>
        <v/>
      </c>
      <c r="K1214" s="158" t="str">
        <f>IF(Settings!$M$4=Settings!$Y$3,IF($AA1214=2,"P",""),IF($AA1214=6,"P",""))</f>
        <v/>
      </c>
      <c r="L1214" s="158" t="str">
        <f>IF(Settings!$M$4=Settings!$Y$3,IF($AA1214=2,"P",""),IF($AA1214=7,"P",""))</f>
        <v/>
      </c>
      <c r="M1214" s="158" t="str">
        <f>IF(Settings!$M$4=Settings!$Y$3,IF($AA1214=2,"P",""),IF($AA1214=8,"P",""))</f>
        <v/>
      </c>
      <c r="N1214" s="158" t="str">
        <f>IF(Settings!$M$4=Settings!$Y$3,IF($AA1214=3,"P",""),IF($AA1214=9,"P",""))</f>
        <v/>
      </c>
      <c r="O1214" s="159" t="str">
        <f>IF(Settings!$M$4=Settings!$Y$3,IF($AA1214=3,"P",""),IF($AA1214=10,"P",""))</f>
        <v/>
      </c>
      <c r="P1214" s="22"/>
      <c r="Q1214" s="22"/>
      <c r="R1214" s="353" t="e">
        <f>IF(INDEX(TblDatabase[Comment11],MATCH(1,INDEX(($L$4=ListEmployeeNamesInDatabase)*(C1196=TblDatabase[Year]),0,1),0))="","",INDEX(TblDatabase[Comment11],MATCH(1,INDEX(($L$4=ListEmployeeNamesInDatabase)*(C1196=TblDatabase[Year]),0,1),0)))</f>
        <v>#N/A</v>
      </c>
      <c r="S1214" s="353"/>
      <c r="T1214" s="353"/>
      <c r="U1214" s="353"/>
      <c r="V1214" s="353"/>
      <c r="W1214" s="353"/>
      <c r="X1214" s="353"/>
      <c r="Y1214" s="354"/>
      <c r="Z1214" s="149"/>
      <c r="AA1214" s="151">
        <f>SUMIFS(TblDatabase[Competency11],ListEmployeeNamesInDatabase,$L$4,TblDatabase[Year],C1196)</f>
        <v>0</v>
      </c>
      <c r="AB1214" s="149"/>
      <c r="AC1214" s="149"/>
      <c r="AD1214" s="149"/>
      <c r="AE1214" s="149"/>
      <c r="AF1214" s="149"/>
    </row>
    <row r="1215" spans="2:32" s="148" customFormat="1" ht="15" hidden="1" customHeight="1">
      <c r="B1215" s="355" t="str">
        <f t="shared" si="28"/>
        <v/>
      </c>
      <c r="C1215" s="356"/>
      <c r="D1215" s="356"/>
      <c r="E1215" s="357"/>
      <c r="F1215" s="163" t="str">
        <f>IF(Settings!$M$4=Settings!$Y$3,IF($AA1215=1,"P",""),IF($AA1215=1,"P",""))</f>
        <v/>
      </c>
      <c r="G1215" s="164" t="str">
        <f>IF(Settings!$M$4=Settings!$Y$3,IF($AA1215=1,"P",""),IF($AA1215=2,"P",""))</f>
        <v/>
      </c>
      <c r="H1215" s="164" t="str">
        <f>IF(Settings!$M$4=Settings!$Y$3,IF($AA1215=1,"P",""),IF($AA1215=3,"P",""))</f>
        <v/>
      </c>
      <c r="I1215" s="164" t="str">
        <f>IF(Settings!$M$4=Settings!$Y$3,IF($AA1215=1,"P",""),IF($AA1215=4,"P",""))</f>
        <v/>
      </c>
      <c r="J1215" s="164" t="str">
        <f>IF(Settings!$M$4=Settings!$Y$3,IF($AA1215=2,"P",""),IF($AA1215=5,"P",""))</f>
        <v/>
      </c>
      <c r="K1215" s="164" t="str">
        <f>IF(Settings!$M$4=Settings!$Y$3,IF($AA1215=2,"P",""),IF($AA1215=6,"P",""))</f>
        <v/>
      </c>
      <c r="L1215" s="164" t="str">
        <f>IF(Settings!$M$4=Settings!$Y$3,IF($AA1215=2,"P",""),IF($AA1215=7,"P",""))</f>
        <v/>
      </c>
      <c r="M1215" s="164" t="str">
        <f>IF(Settings!$M$4=Settings!$Y$3,IF($AA1215=2,"P",""),IF($AA1215=8,"P",""))</f>
        <v/>
      </c>
      <c r="N1215" s="164" t="str">
        <f>IF(Settings!$M$4=Settings!$Y$3,IF($AA1215=3,"P",""),IF($AA1215=9,"P",""))</f>
        <v/>
      </c>
      <c r="O1215" s="165" t="str">
        <f>IF(Settings!$M$4=Settings!$Y$3,IF($AA1215=3,"P",""),IF($AA1215=10,"P",""))</f>
        <v/>
      </c>
      <c r="P1215" s="22"/>
      <c r="Q1215" s="22"/>
      <c r="R1215" s="360" t="e">
        <f>IF(INDEX(TblDatabase[Comment12],MATCH(1,INDEX(($L$4=ListEmployeeNamesInDatabase)*(C1196=TblDatabase[Year]),0,1),0))="","",INDEX(TblDatabase[Comment12],MATCH(1,INDEX(($L$4=ListEmployeeNamesInDatabase)*(C1196=TblDatabase[Year]),0,1),0)))</f>
        <v>#N/A</v>
      </c>
      <c r="S1215" s="360"/>
      <c r="T1215" s="360"/>
      <c r="U1215" s="360"/>
      <c r="V1215" s="360"/>
      <c r="W1215" s="360"/>
      <c r="X1215" s="360"/>
      <c r="Y1215" s="361"/>
      <c r="Z1215" s="149"/>
      <c r="AA1215" s="151">
        <f>SUMIFS(TblDatabase[Competency12],ListEmployeeNamesInDatabase,$L$4,TblDatabase[Year],C1196)</f>
        <v>0</v>
      </c>
      <c r="AB1215" s="149"/>
      <c r="AC1215" s="149"/>
      <c r="AD1215" s="149"/>
      <c r="AE1215" s="149"/>
      <c r="AF1215" s="149"/>
    </row>
    <row r="1216" spans="2:32" s="148" customFormat="1" ht="15" hidden="1" customHeight="1">
      <c r="B1216" s="350" t="str">
        <f t="shared" si="28"/>
        <v/>
      </c>
      <c r="C1216" s="351"/>
      <c r="D1216" s="351"/>
      <c r="E1216" s="352"/>
      <c r="F1216" s="157" t="str">
        <f>IF(Settings!$M$4=Settings!$Y$3,IF($AA1216=1,"P",""),IF($AA1216=1,"P",""))</f>
        <v/>
      </c>
      <c r="G1216" s="158" t="str">
        <f>IF(Settings!$M$4=Settings!$Y$3,IF($AA1216=1,"P",""),IF($AA1216=2,"P",""))</f>
        <v/>
      </c>
      <c r="H1216" s="158" t="str">
        <f>IF(Settings!$M$4=Settings!$Y$3,IF($AA1216=1,"P",""),IF($AA1216=3,"P",""))</f>
        <v/>
      </c>
      <c r="I1216" s="158" t="str">
        <f>IF(Settings!$M$4=Settings!$Y$3,IF($AA1216=1,"P",""),IF($AA1216=4,"P",""))</f>
        <v/>
      </c>
      <c r="J1216" s="158" t="str">
        <f>IF(Settings!$M$4=Settings!$Y$3,IF($AA1216=2,"P",""),IF($AA1216=5,"P",""))</f>
        <v/>
      </c>
      <c r="K1216" s="158" t="str">
        <f>IF(Settings!$M$4=Settings!$Y$3,IF($AA1216=2,"P",""),IF($AA1216=6,"P",""))</f>
        <v/>
      </c>
      <c r="L1216" s="158" t="str">
        <f>IF(Settings!$M$4=Settings!$Y$3,IF($AA1216=2,"P",""),IF($AA1216=7,"P",""))</f>
        <v/>
      </c>
      <c r="M1216" s="158" t="str">
        <f>IF(Settings!$M$4=Settings!$Y$3,IF($AA1216=2,"P",""),IF($AA1216=8,"P",""))</f>
        <v/>
      </c>
      <c r="N1216" s="158" t="str">
        <f>IF(Settings!$M$4=Settings!$Y$3,IF($AA1216=3,"P",""),IF($AA1216=9,"P",""))</f>
        <v/>
      </c>
      <c r="O1216" s="159" t="str">
        <f>IF(Settings!$M$4=Settings!$Y$3,IF($AA1216=3,"P",""),IF($AA1216=10,"P",""))</f>
        <v/>
      </c>
      <c r="P1216" s="22"/>
      <c r="Q1216" s="22"/>
      <c r="R1216" s="353" t="e">
        <f>IF(INDEX(TblDatabase[Comment13],MATCH(1,INDEX(($L$4=ListEmployeeNamesInDatabase)*(C1196=TblDatabase[Year]),0,1),0))="","",INDEX(TblDatabase[Comment13],MATCH(1,INDEX(($L$4=ListEmployeeNamesInDatabase)*(C1196=TblDatabase[Year]),0,1),0)))</f>
        <v>#N/A</v>
      </c>
      <c r="S1216" s="353"/>
      <c r="T1216" s="353"/>
      <c r="U1216" s="353"/>
      <c r="V1216" s="353"/>
      <c r="W1216" s="353"/>
      <c r="X1216" s="353"/>
      <c r="Y1216" s="354"/>
      <c r="Z1216" s="149"/>
      <c r="AA1216" s="151">
        <f>SUMIFS(TblDatabase[Competency13],ListEmployeeNamesInDatabase,$L$4,TblDatabase[Year],C1196)</f>
        <v>0</v>
      </c>
      <c r="AB1216" s="149"/>
      <c r="AC1216" s="149"/>
      <c r="AD1216" s="149"/>
      <c r="AE1216" s="149"/>
      <c r="AF1216" s="149"/>
    </row>
    <row r="1217" spans="2:32" s="148" customFormat="1" ht="15" hidden="1" customHeight="1">
      <c r="B1217" s="355" t="str">
        <f t="shared" si="28"/>
        <v/>
      </c>
      <c r="C1217" s="356"/>
      <c r="D1217" s="356"/>
      <c r="E1217" s="357"/>
      <c r="F1217" s="163" t="str">
        <f>IF(Settings!$M$4=Settings!$Y$3,IF($AA1217=1,"P",""),IF($AA1217=1,"P",""))</f>
        <v/>
      </c>
      <c r="G1217" s="164" t="str">
        <f>IF(Settings!$M$4=Settings!$Y$3,IF($AA1217=1,"P",""),IF($AA1217=2,"P",""))</f>
        <v/>
      </c>
      <c r="H1217" s="164" t="str">
        <f>IF(Settings!$M$4=Settings!$Y$3,IF($AA1217=1,"P",""),IF($AA1217=3,"P",""))</f>
        <v/>
      </c>
      <c r="I1217" s="164" t="str">
        <f>IF(Settings!$M$4=Settings!$Y$3,IF($AA1217=1,"P",""),IF($AA1217=4,"P",""))</f>
        <v/>
      </c>
      <c r="J1217" s="164" t="str">
        <f>IF(Settings!$M$4=Settings!$Y$3,IF($AA1217=2,"P",""),IF($AA1217=5,"P",""))</f>
        <v/>
      </c>
      <c r="K1217" s="164" t="str">
        <f>IF(Settings!$M$4=Settings!$Y$3,IF($AA1217=2,"P",""),IF($AA1217=6,"P",""))</f>
        <v/>
      </c>
      <c r="L1217" s="164" t="str">
        <f>IF(Settings!$M$4=Settings!$Y$3,IF($AA1217=2,"P",""),IF($AA1217=7,"P",""))</f>
        <v/>
      </c>
      <c r="M1217" s="164" t="str">
        <f>IF(Settings!$M$4=Settings!$Y$3,IF($AA1217=2,"P",""),IF($AA1217=8,"P",""))</f>
        <v/>
      </c>
      <c r="N1217" s="164" t="str">
        <f>IF(Settings!$M$4=Settings!$Y$3,IF($AA1217=3,"P",""),IF($AA1217=9,"P",""))</f>
        <v/>
      </c>
      <c r="O1217" s="165" t="str">
        <f>IF(Settings!$M$4=Settings!$Y$3,IF($AA1217=3,"P",""),IF($AA1217=10,"P",""))</f>
        <v/>
      </c>
      <c r="P1217" s="22"/>
      <c r="Q1217" s="22"/>
      <c r="R1217" s="360" t="e">
        <f>IF(INDEX(TblDatabase[Comment14],MATCH(1,INDEX(($L$4=ListEmployeeNamesInDatabase)*(C1196=TblDatabase[Year]),0,1),0))="","",INDEX(TblDatabase[Comment14],MATCH(1,INDEX(($L$4=ListEmployeeNamesInDatabase)*(C1196=TblDatabase[Year]),0,1),0)))</f>
        <v>#N/A</v>
      </c>
      <c r="S1217" s="360"/>
      <c r="T1217" s="360"/>
      <c r="U1217" s="360"/>
      <c r="V1217" s="360"/>
      <c r="W1217" s="360"/>
      <c r="X1217" s="360"/>
      <c r="Y1217" s="361"/>
      <c r="Z1217" s="149"/>
      <c r="AA1217" s="151">
        <f>SUMIFS(TblDatabase[Competency14],ListEmployeeNamesInDatabase,$L$4,TblDatabase[Year],C1196)</f>
        <v>0</v>
      </c>
      <c r="AB1217" s="149"/>
      <c r="AC1217" s="149"/>
      <c r="AD1217" s="149"/>
      <c r="AE1217" s="149"/>
      <c r="AF1217" s="149"/>
    </row>
    <row r="1218" spans="2:32" s="148" customFormat="1" ht="15" hidden="1" customHeight="1">
      <c r="B1218" s="350" t="str">
        <f t="shared" si="28"/>
        <v/>
      </c>
      <c r="C1218" s="351"/>
      <c r="D1218" s="351"/>
      <c r="E1218" s="352"/>
      <c r="F1218" s="157" t="str">
        <f>IF(Settings!$M$4=Settings!$Y$3,IF($AA1218=1,"P",""),IF($AA1218=1,"P",""))</f>
        <v/>
      </c>
      <c r="G1218" s="158" t="str">
        <f>IF(Settings!$M$4=Settings!$Y$3,IF($AA1218=1,"P",""),IF($AA1218=2,"P",""))</f>
        <v/>
      </c>
      <c r="H1218" s="158" t="str">
        <f>IF(Settings!$M$4=Settings!$Y$3,IF($AA1218=1,"P",""),IF($AA1218=3,"P",""))</f>
        <v/>
      </c>
      <c r="I1218" s="158" t="str">
        <f>IF(Settings!$M$4=Settings!$Y$3,IF($AA1218=1,"P",""),IF($AA1218=4,"P",""))</f>
        <v/>
      </c>
      <c r="J1218" s="158" t="str">
        <f>IF(Settings!$M$4=Settings!$Y$3,IF($AA1218=2,"P",""),IF($AA1218=5,"P",""))</f>
        <v/>
      </c>
      <c r="K1218" s="158" t="str">
        <f>IF(Settings!$M$4=Settings!$Y$3,IF($AA1218=2,"P",""),IF($AA1218=6,"P",""))</f>
        <v/>
      </c>
      <c r="L1218" s="158" t="str">
        <f>IF(Settings!$M$4=Settings!$Y$3,IF($AA1218=2,"P",""),IF($AA1218=7,"P",""))</f>
        <v/>
      </c>
      <c r="M1218" s="158" t="str">
        <f>IF(Settings!$M$4=Settings!$Y$3,IF($AA1218=2,"P",""),IF($AA1218=8,"P",""))</f>
        <v/>
      </c>
      <c r="N1218" s="158" t="str">
        <f>IF(Settings!$M$4=Settings!$Y$3,IF($AA1218=3,"P",""),IF($AA1218=9,"P",""))</f>
        <v/>
      </c>
      <c r="O1218" s="159" t="str">
        <f>IF(Settings!$M$4=Settings!$Y$3,IF($AA1218=3,"P",""),IF($AA1218=10,"P",""))</f>
        <v/>
      </c>
      <c r="P1218" s="22"/>
      <c r="Q1218" s="22"/>
      <c r="R1218" s="353" t="e">
        <f>IF(INDEX(TblDatabase[Comment15],MATCH(1,INDEX(($L$4=ListEmployeeNamesInDatabase)*(C1196=TblDatabase[Year]),0,1),0))="","",INDEX(TblDatabase[Comment15],MATCH(1,INDEX(($L$4=ListEmployeeNamesInDatabase)*(C1196=TblDatabase[Year]),0,1),0)))</f>
        <v>#N/A</v>
      </c>
      <c r="S1218" s="353"/>
      <c r="T1218" s="353"/>
      <c r="U1218" s="353"/>
      <c r="V1218" s="353"/>
      <c r="W1218" s="353"/>
      <c r="X1218" s="353"/>
      <c r="Y1218" s="354"/>
      <c r="Z1218" s="149"/>
      <c r="AA1218" s="151">
        <f>SUMIFS(TblDatabase[Competency15],ListEmployeeNamesInDatabase,$L$4,TblDatabase[Year],C1196)</f>
        <v>0</v>
      </c>
      <c r="AB1218" s="149"/>
      <c r="AC1218" s="149"/>
      <c r="AD1218" s="149"/>
      <c r="AE1218" s="149"/>
      <c r="AF1218" s="149"/>
    </row>
    <row r="1219" spans="2:32" s="148" customFormat="1" ht="15" hidden="1" customHeight="1">
      <c r="B1219" s="355" t="str">
        <f t="shared" si="28"/>
        <v/>
      </c>
      <c r="C1219" s="356"/>
      <c r="D1219" s="356"/>
      <c r="E1219" s="357"/>
      <c r="F1219" s="163" t="str">
        <f>IF(Settings!$M$4=Settings!$Y$3,IF($AA1219=1,"P",""),IF($AA1219=1,"P",""))</f>
        <v/>
      </c>
      <c r="G1219" s="164" t="str">
        <f>IF(Settings!$M$4=Settings!$Y$3,IF($AA1219=1,"P",""),IF($AA1219=2,"P",""))</f>
        <v/>
      </c>
      <c r="H1219" s="164" t="str">
        <f>IF(Settings!$M$4=Settings!$Y$3,IF($AA1219=1,"P",""),IF($AA1219=3,"P",""))</f>
        <v/>
      </c>
      <c r="I1219" s="164" t="str">
        <f>IF(Settings!$M$4=Settings!$Y$3,IF($AA1219=1,"P",""),IF($AA1219=4,"P",""))</f>
        <v/>
      </c>
      <c r="J1219" s="164" t="str">
        <f>IF(Settings!$M$4=Settings!$Y$3,IF($AA1219=2,"P",""),IF($AA1219=5,"P",""))</f>
        <v/>
      </c>
      <c r="K1219" s="164" t="str">
        <f>IF(Settings!$M$4=Settings!$Y$3,IF($AA1219=2,"P",""),IF($AA1219=6,"P",""))</f>
        <v/>
      </c>
      <c r="L1219" s="164" t="str">
        <f>IF(Settings!$M$4=Settings!$Y$3,IF($AA1219=2,"P",""),IF($AA1219=7,"P",""))</f>
        <v/>
      </c>
      <c r="M1219" s="164" t="str">
        <f>IF(Settings!$M$4=Settings!$Y$3,IF($AA1219=2,"P",""),IF($AA1219=8,"P",""))</f>
        <v/>
      </c>
      <c r="N1219" s="164" t="str">
        <f>IF(Settings!$M$4=Settings!$Y$3,IF($AA1219=3,"P",""),IF($AA1219=9,"P",""))</f>
        <v/>
      </c>
      <c r="O1219" s="165" t="str">
        <f>IF(Settings!$M$4=Settings!$Y$3,IF($AA1219=3,"P",""),IF($AA1219=10,"P",""))</f>
        <v/>
      </c>
      <c r="P1219" s="22"/>
      <c r="Q1219" s="22"/>
      <c r="R1219" s="360" t="e">
        <f>IF(INDEX(TblDatabase[Comment16],MATCH(1,INDEX(($L$4=ListEmployeeNamesInDatabase)*(C1196=TblDatabase[Year]),0,1),0))="","",INDEX(TblDatabase[Comment16],MATCH(1,INDEX(($L$4=ListEmployeeNamesInDatabase)*(C1196=TblDatabase[Year]),0,1),0)))</f>
        <v>#N/A</v>
      </c>
      <c r="S1219" s="360"/>
      <c r="T1219" s="360"/>
      <c r="U1219" s="360"/>
      <c r="V1219" s="360"/>
      <c r="W1219" s="360"/>
      <c r="X1219" s="360"/>
      <c r="Y1219" s="361"/>
      <c r="Z1219" s="149"/>
      <c r="AA1219" s="151">
        <f>SUMIFS(TblDatabase[Competency16],ListEmployeeNamesInDatabase,$L$4,TblDatabase[Year],C1196)</f>
        <v>0</v>
      </c>
      <c r="AB1219" s="149"/>
      <c r="AC1219" s="149"/>
      <c r="AD1219" s="149"/>
      <c r="AE1219" s="149"/>
      <c r="AF1219" s="149"/>
    </row>
    <row r="1220" spans="2:32" s="148" customFormat="1" ht="15" hidden="1" customHeight="1">
      <c r="B1220" s="350" t="str">
        <f t="shared" si="28"/>
        <v/>
      </c>
      <c r="C1220" s="351"/>
      <c r="D1220" s="351"/>
      <c r="E1220" s="352"/>
      <c r="F1220" s="157" t="str">
        <f>IF(Settings!$M$4=Settings!$Y$3,IF($AA1220=1,"P",""),IF($AA1220=1,"P",""))</f>
        <v/>
      </c>
      <c r="G1220" s="158" t="str">
        <f>IF(Settings!$M$4=Settings!$Y$3,IF($AA1220=1,"P",""),IF($AA1220=2,"P",""))</f>
        <v/>
      </c>
      <c r="H1220" s="158" t="str">
        <f>IF(Settings!$M$4=Settings!$Y$3,IF($AA1220=1,"P",""),IF($AA1220=3,"P",""))</f>
        <v/>
      </c>
      <c r="I1220" s="158" t="str">
        <f>IF(Settings!$M$4=Settings!$Y$3,IF($AA1220=1,"P",""),IF($AA1220=4,"P",""))</f>
        <v/>
      </c>
      <c r="J1220" s="158" t="str">
        <f>IF(Settings!$M$4=Settings!$Y$3,IF($AA1220=2,"P",""),IF($AA1220=5,"P",""))</f>
        <v/>
      </c>
      <c r="K1220" s="158" t="str">
        <f>IF(Settings!$M$4=Settings!$Y$3,IF($AA1220=2,"P",""),IF($AA1220=6,"P",""))</f>
        <v/>
      </c>
      <c r="L1220" s="158" t="str">
        <f>IF(Settings!$M$4=Settings!$Y$3,IF($AA1220=2,"P",""),IF($AA1220=7,"P",""))</f>
        <v/>
      </c>
      <c r="M1220" s="158" t="str">
        <f>IF(Settings!$M$4=Settings!$Y$3,IF($AA1220=2,"P",""),IF($AA1220=8,"P",""))</f>
        <v/>
      </c>
      <c r="N1220" s="158" t="str">
        <f>IF(Settings!$M$4=Settings!$Y$3,IF($AA1220=3,"P",""),IF($AA1220=9,"P",""))</f>
        <v/>
      </c>
      <c r="O1220" s="159" t="str">
        <f>IF(Settings!$M$4=Settings!$Y$3,IF($AA1220=3,"P",""),IF($AA1220=10,"P",""))</f>
        <v/>
      </c>
      <c r="P1220" s="22"/>
      <c r="Q1220" s="22"/>
      <c r="R1220" s="353" t="e">
        <f>IF(INDEX(TblDatabase[Comment17],MATCH(1,INDEX(($L$4=ListEmployeeNamesInDatabase)*(C1196=TblDatabase[Year]),0,1),0))="","",INDEX(TblDatabase[Comment17],MATCH(1,INDEX(($L$4=ListEmployeeNamesInDatabase)*(C1196=TblDatabase[Year]),0,1),0)))</f>
        <v>#N/A</v>
      </c>
      <c r="S1220" s="353"/>
      <c r="T1220" s="353"/>
      <c r="U1220" s="353"/>
      <c r="V1220" s="353"/>
      <c r="W1220" s="353"/>
      <c r="X1220" s="353"/>
      <c r="Y1220" s="354"/>
      <c r="Z1220" s="149"/>
      <c r="AA1220" s="151">
        <f>SUMIFS(TblDatabase[Competency17],ListEmployeeNamesInDatabase,$L$4,TblDatabase[Year],C1196)</f>
        <v>0</v>
      </c>
      <c r="AB1220" s="149"/>
      <c r="AC1220" s="149"/>
      <c r="AD1220" s="149"/>
      <c r="AE1220" s="149"/>
      <c r="AF1220" s="149"/>
    </row>
    <row r="1221" spans="2:32" s="148" customFormat="1" ht="15" hidden="1" customHeight="1">
      <c r="B1221" s="355" t="str">
        <f t="shared" si="28"/>
        <v/>
      </c>
      <c r="C1221" s="356"/>
      <c r="D1221" s="356"/>
      <c r="E1221" s="357"/>
      <c r="F1221" s="163" t="str">
        <f>IF(Settings!$M$4=Settings!$Y$3,IF($AA1221=1,"P",""),IF($AA1221=1,"P",""))</f>
        <v/>
      </c>
      <c r="G1221" s="164" t="str">
        <f>IF(Settings!$M$4=Settings!$Y$3,IF($AA1221=1,"P",""),IF($AA1221=2,"P",""))</f>
        <v/>
      </c>
      <c r="H1221" s="164" t="str">
        <f>IF(Settings!$M$4=Settings!$Y$3,IF($AA1221=1,"P",""),IF($AA1221=3,"P",""))</f>
        <v/>
      </c>
      <c r="I1221" s="164" t="str">
        <f>IF(Settings!$M$4=Settings!$Y$3,IF($AA1221=1,"P",""),IF($AA1221=4,"P",""))</f>
        <v/>
      </c>
      <c r="J1221" s="164" t="str">
        <f>IF(Settings!$M$4=Settings!$Y$3,IF($AA1221=2,"P",""),IF($AA1221=5,"P",""))</f>
        <v/>
      </c>
      <c r="K1221" s="164" t="str">
        <f>IF(Settings!$M$4=Settings!$Y$3,IF($AA1221=2,"P",""),IF($AA1221=6,"P",""))</f>
        <v/>
      </c>
      <c r="L1221" s="164" t="str">
        <f>IF(Settings!$M$4=Settings!$Y$3,IF($AA1221=2,"P",""),IF($AA1221=7,"P",""))</f>
        <v/>
      </c>
      <c r="M1221" s="164" t="str">
        <f>IF(Settings!$M$4=Settings!$Y$3,IF($AA1221=2,"P",""),IF($AA1221=8,"P",""))</f>
        <v/>
      </c>
      <c r="N1221" s="164" t="str">
        <f>IF(Settings!$M$4=Settings!$Y$3,IF($AA1221=3,"P",""),IF($AA1221=9,"P",""))</f>
        <v/>
      </c>
      <c r="O1221" s="165" t="str">
        <f>IF(Settings!$M$4=Settings!$Y$3,IF($AA1221=3,"P",""),IF($AA1221=10,"P",""))</f>
        <v/>
      </c>
      <c r="P1221" s="22"/>
      <c r="Q1221" s="22"/>
      <c r="R1221" s="360" t="e">
        <f>IF(INDEX(TblDatabase[Comment18],MATCH(1,INDEX(($L$4=ListEmployeeNamesInDatabase)*(C1196=TblDatabase[Year]),0,1),0))="","",INDEX(TblDatabase[Comment18],MATCH(1,INDEX(($L$4=ListEmployeeNamesInDatabase)*(C1196=TblDatabase[Year]),0,1),0)))</f>
        <v>#N/A</v>
      </c>
      <c r="S1221" s="360"/>
      <c r="T1221" s="360"/>
      <c r="U1221" s="360"/>
      <c r="V1221" s="360"/>
      <c r="W1221" s="360"/>
      <c r="X1221" s="360"/>
      <c r="Y1221" s="361"/>
      <c r="Z1221" s="149"/>
      <c r="AA1221" s="151">
        <f>SUMIFS(TblDatabase[Competency18],ListEmployeeNamesInDatabase,$L$4,TblDatabase[Year],C1196)</f>
        <v>0</v>
      </c>
      <c r="AB1221" s="149"/>
      <c r="AC1221" s="149"/>
      <c r="AD1221" s="149"/>
      <c r="AE1221" s="149"/>
      <c r="AF1221" s="149"/>
    </row>
    <row r="1222" spans="2:32" s="148" customFormat="1" ht="15" hidden="1" customHeight="1">
      <c r="B1222" s="350" t="str">
        <f t="shared" si="28"/>
        <v/>
      </c>
      <c r="C1222" s="351"/>
      <c r="D1222" s="351"/>
      <c r="E1222" s="352"/>
      <c r="F1222" s="157" t="str">
        <f>IF(Settings!$M$4=Settings!$Y$3,IF($AA1222=1,"P",""),IF($AA1222=1,"P",""))</f>
        <v/>
      </c>
      <c r="G1222" s="158" t="str">
        <f>IF(Settings!$M$4=Settings!$Y$3,IF($AA1222=1,"P",""),IF($AA1222=2,"P",""))</f>
        <v/>
      </c>
      <c r="H1222" s="158" t="str">
        <f>IF(Settings!$M$4=Settings!$Y$3,IF($AA1222=1,"P",""),IF($AA1222=3,"P",""))</f>
        <v/>
      </c>
      <c r="I1222" s="158" t="str">
        <f>IF(Settings!$M$4=Settings!$Y$3,IF($AA1222=1,"P",""),IF($AA1222=4,"P",""))</f>
        <v/>
      </c>
      <c r="J1222" s="158" t="str">
        <f>IF(Settings!$M$4=Settings!$Y$3,IF($AA1222=2,"P",""),IF($AA1222=5,"P",""))</f>
        <v/>
      </c>
      <c r="K1222" s="158" t="str">
        <f>IF(Settings!$M$4=Settings!$Y$3,IF($AA1222=2,"P",""),IF($AA1222=6,"P",""))</f>
        <v/>
      </c>
      <c r="L1222" s="158" t="str">
        <f>IF(Settings!$M$4=Settings!$Y$3,IF($AA1222=2,"P",""),IF($AA1222=7,"P",""))</f>
        <v/>
      </c>
      <c r="M1222" s="158" t="str">
        <f>IF(Settings!$M$4=Settings!$Y$3,IF($AA1222=2,"P",""),IF($AA1222=8,"P",""))</f>
        <v/>
      </c>
      <c r="N1222" s="158" t="str">
        <f>IF(Settings!$M$4=Settings!$Y$3,IF($AA1222=3,"P",""),IF($AA1222=9,"P",""))</f>
        <v/>
      </c>
      <c r="O1222" s="159" t="str">
        <f>IF(Settings!$M$4=Settings!$Y$3,IF($AA1222=3,"P",""),IF($AA1222=10,"P",""))</f>
        <v/>
      </c>
      <c r="P1222" s="22"/>
      <c r="Q1222" s="22"/>
      <c r="R1222" s="353" t="e">
        <f>IF(INDEX(TblDatabase[Comment19],MATCH(1,INDEX(($L$4=ListEmployeeNamesInDatabase)*(C1196=TblDatabase[Year]),0,1),0))="","",INDEX(TblDatabase[Comment19],MATCH(1,INDEX(($L$4=ListEmployeeNamesInDatabase)*(C1196=TblDatabase[Year]),0,1),0)))</f>
        <v>#N/A</v>
      </c>
      <c r="S1222" s="353"/>
      <c r="T1222" s="353"/>
      <c r="U1222" s="353"/>
      <c r="V1222" s="353"/>
      <c r="W1222" s="353"/>
      <c r="X1222" s="353"/>
      <c r="Y1222" s="354"/>
      <c r="Z1222" s="149"/>
      <c r="AA1222" s="151">
        <f>SUMIFS(TblDatabase[Competency19],ListEmployeeNamesInDatabase,$L$4,TblDatabase[Year],C1196)</f>
        <v>0</v>
      </c>
      <c r="AB1222" s="149"/>
      <c r="AC1222" s="149"/>
      <c r="AD1222" s="149"/>
      <c r="AE1222" s="149"/>
      <c r="AF1222" s="149"/>
    </row>
    <row r="1223" spans="2:32" s="148" customFormat="1" ht="15" hidden="1" customHeight="1">
      <c r="B1223" s="362" t="str">
        <f t="shared" si="28"/>
        <v/>
      </c>
      <c r="C1223" s="363"/>
      <c r="D1223" s="363"/>
      <c r="E1223" s="364"/>
      <c r="F1223" s="166" t="str">
        <f>IF(Settings!$M$4=Settings!$Y$3,IF($AA1223=1,"P",""),IF($AA1223=1,"P",""))</f>
        <v/>
      </c>
      <c r="G1223" s="167" t="str">
        <f>IF(Settings!$M$4=Settings!$Y$3,IF($AA1223=1,"P",""),IF($AA1223=2,"P",""))</f>
        <v/>
      </c>
      <c r="H1223" s="167" t="str">
        <f>IF(Settings!$M$4=Settings!$Y$3,IF($AA1223=1,"P",""),IF($AA1223=3,"P",""))</f>
        <v/>
      </c>
      <c r="I1223" s="167" t="str">
        <f>IF(Settings!$M$4=Settings!$Y$3,IF($AA1223=1,"P",""),IF($AA1223=4,"P",""))</f>
        <v/>
      </c>
      <c r="J1223" s="167" t="str">
        <f>IF(Settings!$M$4=Settings!$Y$3,IF($AA1223=2,"P",""),IF($AA1223=5,"P",""))</f>
        <v/>
      </c>
      <c r="K1223" s="167" t="str">
        <f>IF(Settings!$M$4=Settings!$Y$3,IF($AA1223=2,"P",""),IF($AA1223=6,"P",""))</f>
        <v/>
      </c>
      <c r="L1223" s="167" t="str">
        <f>IF(Settings!$M$4=Settings!$Y$3,IF($AA1223=2,"P",""),IF($AA1223=7,"P",""))</f>
        <v/>
      </c>
      <c r="M1223" s="167" t="str">
        <f>IF(Settings!$M$4=Settings!$Y$3,IF($AA1223=2,"P",""),IF($AA1223=8,"P",""))</f>
        <v/>
      </c>
      <c r="N1223" s="167" t="str">
        <f>IF(Settings!$M$4=Settings!$Y$3,IF($AA1223=3,"P",""),IF($AA1223=9,"P",""))</f>
        <v/>
      </c>
      <c r="O1223" s="168" t="str">
        <f>IF(Settings!$M$4=Settings!$Y$3,IF($AA1223=3,"P",""),IF($AA1223=10,"P",""))</f>
        <v/>
      </c>
      <c r="P1223" s="22"/>
      <c r="Q1223" s="22"/>
      <c r="R1223" s="365" t="e">
        <f>IF(INDEX(TblDatabase[Comment20],MATCH(1,INDEX(($L$4=ListEmployeeNamesInDatabase)*(C1196=TblDatabase[Year]),0,1),0))="","",INDEX(TblDatabase[Comment20],MATCH(1,INDEX(($L$4=ListEmployeeNamesInDatabase)*(C1196=TblDatabase[Year]),0,1),0)))</f>
        <v>#N/A</v>
      </c>
      <c r="S1223" s="365"/>
      <c r="T1223" s="365"/>
      <c r="U1223" s="365"/>
      <c r="V1223" s="365"/>
      <c r="W1223" s="365"/>
      <c r="X1223" s="365"/>
      <c r="Y1223" s="366"/>
      <c r="Z1223" s="149"/>
      <c r="AA1223" s="151">
        <f>SUMIFS(TblDatabase[Competency20],ListEmployeeNamesInDatabase,$L$4,TblDatabase[Year],C1196)</f>
        <v>0</v>
      </c>
      <c r="AB1223" s="149"/>
      <c r="AC1223" s="149"/>
      <c r="AD1223" s="149"/>
      <c r="AE1223" s="149"/>
      <c r="AF1223" s="149"/>
    </row>
    <row r="1224" spans="2:32" s="148" customFormat="1" hidden="1">
      <c r="B1224" s="414" t="s">
        <v>26</v>
      </c>
      <c r="C1224" s="415"/>
      <c r="D1224" s="415"/>
      <c r="E1224" s="371">
        <f ca="1">SUM(OFFSET(AA1204,0,0,NumberOfCompetencies))</f>
        <v>0</v>
      </c>
      <c r="F1224" s="372"/>
      <c r="G1224" s="152"/>
      <c r="H1224" s="152"/>
      <c r="I1224" s="152"/>
      <c r="J1224" s="152"/>
      <c r="K1224" s="152"/>
      <c r="L1224" s="152"/>
      <c r="M1224" s="152"/>
      <c r="N1224" s="152"/>
      <c r="O1224" s="152"/>
      <c r="P1224" s="152"/>
      <c r="Q1224" s="152"/>
      <c r="R1224" s="152"/>
      <c r="S1224" s="152"/>
      <c r="T1224" s="152"/>
      <c r="U1224" s="152"/>
      <c r="V1224" s="152"/>
      <c r="W1224" s="152"/>
      <c r="X1224" s="152"/>
      <c r="Y1224" s="152"/>
      <c r="Z1224" s="149"/>
      <c r="AA1224" s="149"/>
      <c r="AB1224" s="149"/>
      <c r="AC1224" s="149"/>
      <c r="AD1224" s="149"/>
      <c r="AE1224" s="149"/>
      <c r="AF1224" s="149"/>
    </row>
    <row r="1225" spans="2:32" s="148" customFormat="1" hidden="1">
      <c r="B1225" s="369" t="s">
        <v>27</v>
      </c>
      <c r="C1225" s="370"/>
      <c r="D1225" s="370"/>
      <c r="E1225" s="358">
        <f ca="1">E1224/NumberOfCompetencies</f>
        <v>0</v>
      </c>
      <c r="F1225" s="359"/>
      <c r="G1225" s="153"/>
      <c r="H1225" s="153"/>
      <c r="I1225" s="153"/>
      <c r="J1225" s="153"/>
      <c r="K1225" s="153"/>
      <c r="L1225" s="153"/>
      <c r="M1225" s="153"/>
      <c r="N1225" s="153"/>
      <c r="O1225" s="153"/>
      <c r="P1225" s="153"/>
      <c r="Q1225" s="153"/>
      <c r="R1225" s="153"/>
      <c r="S1225" s="153"/>
      <c r="T1225" s="153"/>
      <c r="U1225" s="153"/>
      <c r="V1225" s="153"/>
      <c r="W1225" s="153"/>
      <c r="X1225" s="153"/>
      <c r="Y1225" s="153"/>
      <c r="Z1225" s="149"/>
      <c r="AA1225" s="149"/>
      <c r="AB1225" s="149"/>
      <c r="AC1225" s="149"/>
      <c r="AD1225" s="149"/>
      <c r="AE1225" s="149"/>
      <c r="AF1225" s="149"/>
    </row>
    <row r="1226" spans="2:32" s="148" customFormat="1" hidden="1">
      <c r="B1226" s="154"/>
      <c r="C1226" s="154"/>
      <c r="D1226" s="154"/>
      <c r="E1226" s="154"/>
      <c r="F1226" s="154"/>
      <c r="G1226" s="154"/>
      <c r="H1226" s="154"/>
      <c r="I1226" s="154"/>
      <c r="J1226" s="154"/>
      <c r="K1226" s="154"/>
      <c r="L1226" s="154"/>
      <c r="M1226" s="154"/>
      <c r="N1226" s="154"/>
      <c r="O1226" s="154"/>
      <c r="P1226" s="154"/>
      <c r="Q1226" s="154"/>
      <c r="R1226" s="154"/>
      <c r="S1226" s="154"/>
      <c r="T1226" s="154"/>
      <c r="U1226" s="154"/>
      <c r="V1226" s="154"/>
      <c r="W1226" s="154"/>
      <c r="X1226" s="154"/>
      <c r="Y1226" s="154"/>
      <c r="Z1226" s="149"/>
      <c r="AA1226" s="149"/>
      <c r="AB1226" s="149"/>
      <c r="AC1226" s="149"/>
      <c r="AD1226" s="149"/>
      <c r="AE1226" s="149"/>
      <c r="AF1226" s="149"/>
    </row>
    <row r="1227" spans="2:32" s="148" customFormat="1" hidden="1">
      <c r="B1227" s="338" t="str">
        <f>Settings!$N$15</f>
        <v>Previously agreed actions</v>
      </c>
      <c r="C1227" s="339"/>
      <c r="D1227" s="339"/>
      <c r="E1227" s="339"/>
      <c r="F1227" s="339"/>
      <c r="G1227" s="339"/>
      <c r="H1227" s="339"/>
      <c r="I1227" s="339"/>
      <c r="J1227" s="339"/>
      <c r="K1227" s="339"/>
      <c r="L1227" s="339"/>
      <c r="M1227" s="339"/>
      <c r="N1227" s="339"/>
      <c r="O1227" s="339"/>
      <c r="P1227" s="339"/>
      <c r="Q1227" s="339"/>
      <c r="R1227" s="339"/>
      <c r="S1227" s="339"/>
      <c r="T1227" s="339"/>
      <c r="U1227" s="339"/>
      <c r="V1227" s="339"/>
      <c r="W1227" s="339"/>
      <c r="X1227" s="339"/>
      <c r="Y1227" s="340"/>
      <c r="Z1227" s="149"/>
      <c r="AA1227" s="149"/>
      <c r="AB1227" s="149"/>
      <c r="AC1227" s="149"/>
      <c r="AD1227" s="149"/>
      <c r="AE1227" s="149"/>
      <c r="AF1227" s="149"/>
    </row>
    <row r="1228" spans="2:32" s="148" customFormat="1" hidden="1">
      <c r="B1228" s="341" t="e">
        <f>IF(INDEX(TblDatabase[Feedback Does Well],MATCH(1,INDEX(($L$4=ListEmployeeNamesInDatabase)*(C1196=TblDatabase[Year]),0,1),0))="","",INDEX(TblDatabase[Feedback Does Well],MATCH(1,INDEX(($L$4=ListEmployeeNamesInDatabase)*(C1196=TblDatabase[Year]),0,1),0)))</f>
        <v>#N/A</v>
      </c>
      <c r="C1228" s="342"/>
      <c r="D1228" s="342"/>
      <c r="E1228" s="342"/>
      <c r="F1228" s="342"/>
      <c r="G1228" s="342"/>
      <c r="H1228" s="342"/>
      <c r="I1228" s="342"/>
      <c r="J1228" s="342"/>
      <c r="K1228" s="342"/>
      <c r="L1228" s="342"/>
      <c r="M1228" s="342"/>
      <c r="N1228" s="342"/>
      <c r="O1228" s="342"/>
      <c r="P1228" s="342"/>
      <c r="Q1228" s="342"/>
      <c r="R1228" s="342"/>
      <c r="S1228" s="342"/>
      <c r="T1228" s="342"/>
      <c r="U1228" s="342"/>
      <c r="V1228" s="342"/>
      <c r="W1228" s="342"/>
      <c r="X1228" s="342"/>
      <c r="Y1228" s="343"/>
      <c r="Z1228" s="149"/>
      <c r="AA1228" s="149"/>
      <c r="AB1228" s="149"/>
      <c r="AC1228" s="149"/>
      <c r="AD1228" s="149"/>
      <c r="AE1228" s="149"/>
      <c r="AF1228" s="149"/>
    </row>
    <row r="1229" spans="2:32" s="148" customFormat="1" hidden="1">
      <c r="B1229" s="344"/>
      <c r="C1229" s="345"/>
      <c r="D1229" s="345"/>
      <c r="E1229" s="345"/>
      <c r="F1229" s="345"/>
      <c r="G1229" s="345"/>
      <c r="H1229" s="345"/>
      <c r="I1229" s="345"/>
      <c r="J1229" s="345"/>
      <c r="K1229" s="345"/>
      <c r="L1229" s="345"/>
      <c r="M1229" s="345"/>
      <c r="N1229" s="345"/>
      <c r="O1229" s="345"/>
      <c r="P1229" s="345"/>
      <c r="Q1229" s="345"/>
      <c r="R1229" s="345"/>
      <c r="S1229" s="345"/>
      <c r="T1229" s="345"/>
      <c r="U1229" s="345"/>
      <c r="V1229" s="345"/>
      <c r="W1229" s="345"/>
      <c r="X1229" s="345"/>
      <c r="Y1229" s="346"/>
      <c r="Z1229" s="149"/>
      <c r="AA1229" s="149"/>
      <c r="AB1229" s="149"/>
      <c r="AC1229" s="149"/>
      <c r="AD1229" s="149"/>
      <c r="AE1229" s="149"/>
      <c r="AF1229" s="149"/>
    </row>
    <row r="1230" spans="2:32" s="148" customFormat="1" hidden="1">
      <c r="B1230" s="347"/>
      <c r="C1230" s="348"/>
      <c r="D1230" s="348"/>
      <c r="E1230" s="348"/>
      <c r="F1230" s="348"/>
      <c r="G1230" s="348"/>
      <c r="H1230" s="348"/>
      <c r="I1230" s="348"/>
      <c r="J1230" s="348"/>
      <c r="K1230" s="348"/>
      <c r="L1230" s="348"/>
      <c r="M1230" s="348"/>
      <c r="N1230" s="348"/>
      <c r="O1230" s="348"/>
      <c r="P1230" s="348"/>
      <c r="Q1230" s="348"/>
      <c r="R1230" s="348"/>
      <c r="S1230" s="348"/>
      <c r="T1230" s="348"/>
      <c r="U1230" s="348"/>
      <c r="V1230" s="348"/>
      <c r="W1230" s="348"/>
      <c r="X1230" s="348"/>
      <c r="Y1230" s="349"/>
      <c r="Z1230" s="149"/>
      <c r="AA1230" s="149"/>
      <c r="AB1230" s="149"/>
      <c r="AC1230" s="149"/>
      <c r="AD1230" s="149"/>
      <c r="AE1230" s="149"/>
      <c r="AF1230" s="149"/>
    </row>
    <row r="1231" spans="2:32" s="148" customFormat="1" hidden="1">
      <c r="B1231" s="155"/>
      <c r="C1231" s="155"/>
      <c r="D1231" s="155"/>
      <c r="E1231" s="155"/>
      <c r="F1231" s="155"/>
      <c r="G1231" s="155"/>
      <c r="H1231" s="155"/>
      <c r="I1231" s="155"/>
      <c r="J1231" s="155"/>
      <c r="K1231" s="155"/>
      <c r="L1231" s="155"/>
      <c r="M1231" s="155"/>
      <c r="N1231" s="155"/>
      <c r="O1231" s="155"/>
      <c r="P1231" s="155"/>
      <c r="Q1231" s="155"/>
      <c r="R1231" s="155"/>
      <c r="S1231" s="155"/>
      <c r="T1231" s="155"/>
      <c r="U1231" s="155"/>
      <c r="V1231" s="155"/>
      <c r="W1231" s="155"/>
      <c r="X1231" s="155"/>
      <c r="Y1231" s="155"/>
      <c r="Z1231" s="149"/>
      <c r="AA1231" s="149"/>
      <c r="AB1231" s="149"/>
      <c r="AC1231" s="149"/>
      <c r="AD1231" s="149"/>
      <c r="AE1231" s="149"/>
      <c r="AF1231" s="149"/>
    </row>
    <row r="1232" spans="2:32" s="148" customFormat="1" hidden="1">
      <c r="B1232" s="338" t="str">
        <f>Settings!$N$16</f>
        <v>Actions agreed during this review</v>
      </c>
      <c r="C1232" s="339"/>
      <c r="D1232" s="339"/>
      <c r="E1232" s="339"/>
      <c r="F1232" s="339"/>
      <c r="G1232" s="339"/>
      <c r="H1232" s="339"/>
      <c r="I1232" s="339"/>
      <c r="J1232" s="339"/>
      <c r="K1232" s="339"/>
      <c r="L1232" s="339"/>
      <c r="M1232" s="339"/>
      <c r="N1232" s="339"/>
      <c r="O1232" s="339"/>
      <c r="P1232" s="339"/>
      <c r="Q1232" s="339"/>
      <c r="R1232" s="339"/>
      <c r="S1232" s="339"/>
      <c r="T1232" s="339"/>
      <c r="U1232" s="339"/>
      <c r="V1232" s="339"/>
      <c r="W1232" s="339"/>
      <c r="X1232" s="339"/>
      <c r="Y1232" s="340"/>
      <c r="Z1232" s="149"/>
      <c r="AA1232" s="149"/>
      <c r="AB1232" s="149"/>
      <c r="AC1232" s="149"/>
      <c r="AD1232" s="149"/>
      <c r="AE1232" s="149"/>
      <c r="AF1232" s="149"/>
    </row>
    <row r="1233" spans="1:32" s="148" customFormat="1" hidden="1">
      <c r="B1233" s="341" t="e">
        <f>IF(INDEX(TblDatabase[Feedback To Improve],MATCH(1,INDEX(($L$4=ListEmployeeNamesInDatabase)*(C1196=TblDatabase[Year]),0,1),0))="","",INDEX(TblDatabase[Feedback To Improve],MATCH(1,INDEX(($L$4=ListEmployeeNamesInDatabase)*(C1196=TblDatabase[Year]),0,1),0)))</f>
        <v>#N/A</v>
      </c>
      <c r="C1233" s="342"/>
      <c r="D1233" s="342"/>
      <c r="E1233" s="342"/>
      <c r="F1233" s="342"/>
      <c r="G1233" s="342"/>
      <c r="H1233" s="342"/>
      <c r="I1233" s="342"/>
      <c r="J1233" s="342"/>
      <c r="K1233" s="342"/>
      <c r="L1233" s="342"/>
      <c r="M1233" s="342"/>
      <c r="N1233" s="342"/>
      <c r="O1233" s="342"/>
      <c r="P1233" s="342"/>
      <c r="Q1233" s="342"/>
      <c r="R1233" s="342"/>
      <c r="S1233" s="342"/>
      <c r="T1233" s="342"/>
      <c r="U1233" s="342"/>
      <c r="V1233" s="342"/>
      <c r="W1233" s="342"/>
      <c r="X1233" s="342"/>
      <c r="Y1233" s="343"/>
      <c r="Z1233" s="149"/>
      <c r="AA1233" s="149"/>
      <c r="AB1233" s="149"/>
      <c r="AC1233" s="149"/>
      <c r="AD1233" s="149"/>
      <c r="AE1233" s="149"/>
      <c r="AF1233" s="149"/>
    </row>
    <row r="1234" spans="1:32" s="148" customFormat="1" hidden="1">
      <c r="B1234" s="344"/>
      <c r="C1234" s="345"/>
      <c r="D1234" s="345"/>
      <c r="E1234" s="345"/>
      <c r="F1234" s="345"/>
      <c r="G1234" s="345"/>
      <c r="H1234" s="345"/>
      <c r="I1234" s="345"/>
      <c r="J1234" s="345"/>
      <c r="K1234" s="345"/>
      <c r="L1234" s="345"/>
      <c r="M1234" s="345"/>
      <c r="N1234" s="345"/>
      <c r="O1234" s="345"/>
      <c r="P1234" s="345"/>
      <c r="Q1234" s="345"/>
      <c r="R1234" s="345"/>
      <c r="S1234" s="345"/>
      <c r="T1234" s="345"/>
      <c r="U1234" s="345"/>
      <c r="V1234" s="345"/>
      <c r="W1234" s="345"/>
      <c r="X1234" s="345"/>
      <c r="Y1234" s="346"/>
      <c r="Z1234" s="149"/>
      <c r="AA1234" s="149"/>
      <c r="AB1234" s="149"/>
      <c r="AC1234" s="149"/>
      <c r="AD1234" s="149"/>
      <c r="AE1234" s="149"/>
      <c r="AF1234" s="149"/>
    </row>
    <row r="1235" spans="1:32" s="148" customFormat="1" hidden="1">
      <c r="B1235" s="347"/>
      <c r="C1235" s="348"/>
      <c r="D1235" s="348"/>
      <c r="E1235" s="348"/>
      <c r="F1235" s="348"/>
      <c r="G1235" s="348"/>
      <c r="H1235" s="348"/>
      <c r="I1235" s="348"/>
      <c r="J1235" s="348"/>
      <c r="K1235" s="348"/>
      <c r="L1235" s="348"/>
      <c r="M1235" s="348"/>
      <c r="N1235" s="348"/>
      <c r="O1235" s="348"/>
      <c r="P1235" s="348"/>
      <c r="Q1235" s="348"/>
      <c r="R1235" s="348"/>
      <c r="S1235" s="348"/>
      <c r="T1235" s="348"/>
      <c r="U1235" s="348"/>
      <c r="V1235" s="348"/>
      <c r="W1235" s="348"/>
      <c r="X1235" s="348"/>
      <c r="Y1235" s="349"/>
      <c r="Z1235" s="149"/>
      <c r="AA1235" s="149"/>
      <c r="AB1235" s="149"/>
      <c r="AC1235" s="149"/>
      <c r="AD1235" s="149"/>
      <c r="AE1235" s="149"/>
      <c r="AF1235" s="149"/>
    </row>
    <row r="1236" spans="1:32" s="148" customFormat="1" hidden="1">
      <c r="B1236" s="156"/>
      <c r="C1236" s="156"/>
      <c r="D1236" s="156"/>
      <c r="E1236" s="155"/>
      <c r="F1236" s="155"/>
      <c r="G1236" s="155"/>
      <c r="H1236" s="155"/>
      <c r="I1236" s="155"/>
      <c r="J1236" s="155"/>
      <c r="K1236" s="155"/>
      <c r="L1236" s="155"/>
      <c r="M1236" s="155"/>
      <c r="N1236" s="155"/>
      <c r="O1236" s="155"/>
      <c r="P1236" s="155"/>
      <c r="Q1236" s="155"/>
      <c r="R1236" s="155"/>
      <c r="S1236" s="155"/>
      <c r="T1236" s="155"/>
      <c r="U1236" s="155"/>
      <c r="V1236" s="155"/>
      <c r="W1236" s="155"/>
      <c r="X1236" s="155"/>
      <c r="Y1236" s="155"/>
      <c r="Z1236" s="149"/>
      <c r="AA1236" s="149"/>
      <c r="AB1236" s="149"/>
      <c r="AC1236" s="149"/>
      <c r="AD1236" s="149"/>
      <c r="AE1236" s="149"/>
      <c r="AF1236" s="149"/>
    </row>
    <row r="1237" spans="1:32" s="148" customFormat="1" hidden="1">
      <c r="A1237" s="150">
        <f>A1196+1</f>
        <v>30</v>
      </c>
      <c r="B1237" s="27" t="s">
        <v>14</v>
      </c>
      <c r="C1237" s="333">
        <f>C1196-1</f>
        <v>1991</v>
      </c>
      <c r="D1237" s="334"/>
      <c r="Y1237" s="149"/>
      <c r="Z1237" s="149"/>
      <c r="AA1237" s="149"/>
      <c r="AB1237" s="149"/>
      <c r="AC1237" s="149"/>
      <c r="AD1237" s="149"/>
      <c r="AE1237" s="149"/>
      <c r="AF1237" s="149"/>
    </row>
    <row r="1238" spans="1:32" s="148" customFormat="1" hidden="1">
      <c r="Y1238" s="149"/>
      <c r="Z1238" s="149"/>
      <c r="AA1238" s="149"/>
      <c r="AB1238" s="149"/>
      <c r="AC1238" s="149"/>
      <c r="AD1238" s="149"/>
      <c r="AE1238" s="149"/>
      <c r="AF1238" s="149"/>
    </row>
    <row r="1239" spans="1:32" s="148" customFormat="1" hidden="1">
      <c r="B1239" s="338" t="str">
        <f>Settings!$N$14</f>
        <v>Employee's comments</v>
      </c>
      <c r="C1239" s="339"/>
      <c r="D1239" s="339"/>
      <c r="E1239" s="339"/>
      <c r="F1239" s="339"/>
      <c r="G1239" s="339"/>
      <c r="H1239" s="339"/>
      <c r="I1239" s="339"/>
      <c r="J1239" s="339"/>
      <c r="K1239" s="339"/>
      <c r="L1239" s="339"/>
      <c r="M1239" s="339"/>
      <c r="N1239" s="339"/>
      <c r="O1239" s="339"/>
      <c r="P1239" s="339"/>
      <c r="Q1239" s="339"/>
      <c r="R1239" s="339"/>
      <c r="S1239" s="339"/>
      <c r="T1239" s="339"/>
      <c r="U1239" s="339"/>
      <c r="V1239" s="339"/>
      <c r="W1239" s="339"/>
      <c r="X1239" s="339"/>
      <c r="Y1239" s="340"/>
      <c r="Z1239" s="149"/>
      <c r="AA1239" s="149"/>
      <c r="AB1239" s="149"/>
      <c r="AC1239" s="149"/>
      <c r="AD1239" s="149"/>
      <c r="AE1239" s="149"/>
      <c r="AF1239" s="149"/>
    </row>
    <row r="1240" spans="1:32" s="148" customFormat="1" hidden="1">
      <c r="B1240" s="341" t="e">
        <f>IF(INDEX(TblDatabase[Feedback Warnings],MATCH(1,INDEX(($L$4=ListEmployeeNamesInDatabase)*(C1237=TblDatabase[Year]),0,1),0))="","",INDEX(TblDatabase[Feedback Warnings],MATCH(1,INDEX(($L$4=ListEmployeeNamesInDatabase)*(C1237=TblDatabase[Year]),0,1),0)))</f>
        <v>#N/A</v>
      </c>
      <c r="C1240" s="342"/>
      <c r="D1240" s="342"/>
      <c r="E1240" s="342"/>
      <c r="F1240" s="342"/>
      <c r="G1240" s="342"/>
      <c r="H1240" s="342"/>
      <c r="I1240" s="342"/>
      <c r="J1240" s="342"/>
      <c r="K1240" s="342"/>
      <c r="L1240" s="342"/>
      <c r="M1240" s="342"/>
      <c r="N1240" s="342"/>
      <c r="O1240" s="342"/>
      <c r="P1240" s="342"/>
      <c r="Q1240" s="342"/>
      <c r="R1240" s="342"/>
      <c r="S1240" s="342"/>
      <c r="T1240" s="342"/>
      <c r="U1240" s="342"/>
      <c r="V1240" s="342"/>
      <c r="W1240" s="342"/>
      <c r="X1240" s="342"/>
      <c r="Y1240" s="343"/>
      <c r="Z1240" s="149"/>
      <c r="AA1240" s="149"/>
      <c r="AB1240" s="149"/>
      <c r="AC1240" s="149"/>
      <c r="AD1240" s="149"/>
      <c r="AE1240" s="149"/>
      <c r="AF1240" s="149"/>
    </row>
    <row r="1241" spans="1:32" s="148" customFormat="1" hidden="1">
      <c r="B1241" s="344"/>
      <c r="C1241" s="345"/>
      <c r="D1241" s="345"/>
      <c r="E1241" s="345"/>
      <c r="F1241" s="345"/>
      <c r="G1241" s="345"/>
      <c r="H1241" s="345"/>
      <c r="I1241" s="345"/>
      <c r="J1241" s="345"/>
      <c r="K1241" s="345"/>
      <c r="L1241" s="345"/>
      <c r="M1241" s="345"/>
      <c r="N1241" s="345"/>
      <c r="O1241" s="345"/>
      <c r="P1241" s="345"/>
      <c r="Q1241" s="345"/>
      <c r="R1241" s="345"/>
      <c r="S1241" s="345"/>
      <c r="T1241" s="345"/>
      <c r="U1241" s="345"/>
      <c r="V1241" s="345"/>
      <c r="W1241" s="345"/>
      <c r="X1241" s="345"/>
      <c r="Y1241" s="346"/>
      <c r="Z1241" s="149"/>
      <c r="AA1241" s="149"/>
      <c r="AB1241" s="149"/>
      <c r="AC1241" s="149"/>
      <c r="AD1241" s="149"/>
      <c r="AE1241" s="149"/>
      <c r="AF1241" s="149"/>
    </row>
    <row r="1242" spans="1:32" s="148" customFormat="1" hidden="1">
      <c r="B1242" s="347"/>
      <c r="C1242" s="348"/>
      <c r="D1242" s="348"/>
      <c r="E1242" s="348"/>
      <c r="F1242" s="348"/>
      <c r="G1242" s="348"/>
      <c r="H1242" s="348"/>
      <c r="I1242" s="348"/>
      <c r="J1242" s="348"/>
      <c r="K1242" s="348"/>
      <c r="L1242" s="348"/>
      <c r="M1242" s="348"/>
      <c r="N1242" s="348"/>
      <c r="O1242" s="348"/>
      <c r="P1242" s="348"/>
      <c r="Q1242" s="348"/>
      <c r="R1242" s="348"/>
      <c r="S1242" s="348"/>
      <c r="T1242" s="348"/>
      <c r="U1242" s="348"/>
      <c r="V1242" s="348"/>
      <c r="W1242" s="348"/>
      <c r="X1242" s="348"/>
      <c r="Y1242" s="349"/>
      <c r="Z1242" s="149"/>
      <c r="AA1242" s="149"/>
      <c r="AB1242" s="149"/>
      <c r="AC1242" s="149"/>
      <c r="AD1242" s="149"/>
      <c r="AE1242" s="149"/>
      <c r="AF1242" s="149"/>
    </row>
    <row r="1243" spans="1:32" s="148" customFormat="1" hidden="1">
      <c r="Y1243" s="149"/>
      <c r="Z1243" s="149"/>
      <c r="AA1243" s="149"/>
      <c r="AB1243" s="149"/>
      <c r="AC1243" s="149"/>
      <c r="AD1243" s="149"/>
      <c r="AE1243" s="149"/>
      <c r="AF1243" s="149"/>
    </row>
    <row r="1244" spans="1:32" s="148" customFormat="1" ht="15" hidden="1" customHeight="1">
      <c r="B1244" s="320" t="s">
        <v>8</v>
      </c>
      <c r="C1244" s="321"/>
      <c r="D1244" s="321"/>
      <c r="E1244" s="321"/>
      <c r="F1244" s="233">
        <f>IF(Settings!$M$4=Settings!$Y$3,Settings!$O$19,1)</f>
        <v>1</v>
      </c>
      <c r="G1244" s="234">
        <f>IF(Settings!$M$4=Settings!$Y$3,Settings!$O$19,2)</f>
        <v>2</v>
      </c>
      <c r="H1244" s="234">
        <f>IF(Settings!$M$4=Settings!$Y$3,Settings!$O$19,3)</f>
        <v>3</v>
      </c>
      <c r="I1244" s="234">
        <f>IF(Settings!$M$4=Settings!$Y$3,Settings!$O$19,4)</f>
        <v>4</v>
      </c>
      <c r="J1244" s="234">
        <f>IF(Settings!$M$4=Settings!$Y$3,Settings!$O$20,5)</f>
        <v>5</v>
      </c>
      <c r="K1244" s="234">
        <f>IF(Settings!$M$4=Settings!$Y$3,Settings!$O$20,6)</f>
        <v>6</v>
      </c>
      <c r="L1244" s="234">
        <f>IF(Settings!$M$4=Settings!$Y$3,Settings!$O$20,7)</f>
        <v>7</v>
      </c>
      <c r="M1244" s="234">
        <f>IF(Settings!$M$4=Settings!$Y$3,Settings!$O$20,8)</f>
        <v>8</v>
      </c>
      <c r="N1244" s="234">
        <f>IF(Settings!$M$4=Settings!$Y$3,Settings!$O$21,9)</f>
        <v>9</v>
      </c>
      <c r="O1244" s="235">
        <f>IF(Settings!$M$4=Settings!$Y$3,Settings!$O$21,10)</f>
        <v>10</v>
      </c>
      <c r="P1244" s="22"/>
      <c r="Q1244" s="22"/>
      <c r="R1244" s="333" t="s">
        <v>24</v>
      </c>
      <c r="S1244" s="333"/>
      <c r="T1244" s="333"/>
      <c r="U1244" s="333"/>
      <c r="V1244" s="333"/>
      <c r="W1244" s="333"/>
      <c r="X1244" s="333"/>
      <c r="Y1244" s="334"/>
      <c r="Z1244" s="149"/>
      <c r="AA1244" s="149"/>
      <c r="AB1244" s="149"/>
      <c r="AC1244" s="149"/>
      <c r="AD1244" s="149"/>
      <c r="AE1244" s="149"/>
      <c r="AF1244" s="149"/>
    </row>
    <row r="1245" spans="1:32" s="148" customFormat="1" ht="15" hidden="1" customHeight="1">
      <c r="B1245" s="335" t="str">
        <f t="shared" ref="B1245:B1264" si="29">B1204</f>
        <v>Quality of Work</v>
      </c>
      <c r="C1245" s="336"/>
      <c r="D1245" s="336"/>
      <c r="E1245" s="337"/>
      <c r="F1245" s="162" t="str">
        <f>IF(Settings!$M$4=Settings!$Y$3,IF($AA1245=1,"P",""),IF($AA1245=1,"P",""))</f>
        <v/>
      </c>
      <c r="G1245" s="160" t="str">
        <f>IF(Settings!$M$4=Settings!$Y$3,IF($AA1245=1,"P",""),IF($AA1245=2,"P",""))</f>
        <v/>
      </c>
      <c r="H1245" s="160" t="str">
        <f>IF(Settings!$M$4=Settings!$Y$3,IF($AA1245=1,"P",""),IF($AA1245=3,"P",""))</f>
        <v/>
      </c>
      <c r="I1245" s="160" t="str">
        <f>IF(Settings!$M$4=Settings!$Y$3,IF($AA1245=1,"P",""),IF($AA1245=4,"P",""))</f>
        <v/>
      </c>
      <c r="J1245" s="160" t="str">
        <f>IF(Settings!$M$4=Settings!$Y$3,IF($AA1245=2,"P",""),IF($AA1245=5,"P",""))</f>
        <v/>
      </c>
      <c r="K1245" s="160" t="str">
        <f>IF(Settings!$M$4=Settings!$Y$3,IF($AA1245=2,"P",""),IF($AA1245=6,"P",""))</f>
        <v/>
      </c>
      <c r="L1245" s="160" t="str">
        <f>IF(Settings!$M$4=Settings!$Y$3,IF($AA1245=2,"P",""),IF($AA1245=7,"P",""))</f>
        <v/>
      </c>
      <c r="M1245" s="160" t="str">
        <f>IF(Settings!$M$4=Settings!$Y$3,IF($AA1245=2,"P",""),IF($AA1245=8,"P",""))</f>
        <v/>
      </c>
      <c r="N1245" s="160" t="str">
        <f>IF(Settings!$M$4=Settings!$Y$3,IF($AA1245=3,"P",""),IF($AA1245=9,"P",""))</f>
        <v/>
      </c>
      <c r="O1245" s="161" t="str">
        <f>IF(Settings!$M$4=Settings!$Y$3,IF($AA1245=3,"P",""),IF($AA1245=10,"P",""))</f>
        <v/>
      </c>
      <c r="P1245" s="22"/>
      <c r="Q1245" s="22"/>
      <c r="R1245" s="367" t="e">
        <f>IF(INDEX(TblDatabase[Comment1],MATCH(1,INDEX(($L$4=ListEmployeeNamesInDatabase)*(C1237=TblDatabase[Year]),0,1),0))="","",INDEX(TblDatabase[Comment1],MATCH(1,INDEX(($L$4=ListEmployeeNamesInDatabase)*(C1237=TblDatabase[Year]),0,1),0)))</f>
        <v>#N/A</v>
      </c>
      <c r="S1245" s="367"/>
      <c r="T1245" s="367"/>
      <c r="U1245" s="367"/>
      <c r="V1245" s="367"/>
      <c r="W1245" s="367"/>
      <c r="X1245" s="367"/>
      <c r="Y1245" s="368"/>
      <c r="Z1245" s="149"/>
      <c r="AA1245" s="151">
        <f>SUMIFS(TblDatabase[Competency1],ListEmployeeNamesInDatabase,$L$4,TblDatabase[Year],C1237)</f>
        <v>0</v>
      </c>
      <c r="AB1245" s="149"/>
      <c r="AC1245" s="149"/>
      <c r="AD1245" s="149"/>
      <c r="AE1245" s="149"/>
      <c r="AF1245" s="149"/>
    </row>
    <row r="1246" spans="1:32" s="148" customFormat="1" ht="15" hidden="1" customHeight="1">
      <c r="B1246" s="355" t="str">
        <f t="shared" si="29"/>
        <v>CaLL flow</v>
      </c>
      <c r="C1246" s="356"/>
      <c r="D1246" s="356"/>
      <c r="E1246" s="357"/>
      <c r="F1246" s="163" t="str">
        <f>IF(Settings!$M$4=Settings!$Y$3,IF($AA1246=1,"P",""),IF($AA1246=1,"P",""))</f>
        <v/>
      </c>
      <c r="G1246" s="164" t="str">
        <f>IF(Settings!$M$4=Settings!$Y$3,IF($AA1246=1,"P",""),IF($AA1246=2,"P",""))</f>
        <v/>
      </c>
      <c r="H1246" s="164" t="str">
        <f>IF(Settings!$M$4=Settings!$Y$3,IF($AA1246=1,"P",""),IF($AA1246=3,"P",""))</f>
        <v/>
      </c>
      <c r="I1246" s="164" t="str">
        <f>IF(Settings!$M$4=Settings!$Y$3,IF($AA1246=1,"P",""),IF($AA1246=4,"P",""))</f>
        <v/>
      </c>
      <c r="J1246" s="164" t="str">
        <f>IF(Settings!$M$4=Settings!$Y$3,IF($AA1246=2,"P",""),IF($AA1246=5,"P",""))</f>
        <v/>
      </c>
      <c r="K1246" s="164" t="str">
        <f>IF(Settings!$M$4=Settings!$Y$3,IF($AA1246=2,"P",""),IF($AA1246=6,"P",""))</f>
        <v/>
      </c>
      <c r="L1246" s="164" t="str">
        <f>IF(Settings!$M$4=Settings!$Y$3,IF($AA1246=2,"P",""),IF($AA1246=7,"P",""))</f>
        <v/>
      </c>
      <c r="M1246" s="164" t="str">
        <f>IF(Settings!$M$4=Settings!$Y$3,IF($AA1246=2,"P",""),IF($AA1246=8,"P",""))</f>
        <v/>
      </c>
      <c r="N1246" s="164" t="str">
        <f>IF(Settings!$M$4=Settings!$Y$3,IF($AA1246=3,"P",""),IF($AA1246=9,"P",""))</f>
        <v/>
      </c>
      <c r="O1246" s="165" t="str">
        <f>IF(Settings!$M$4=Settings!$Y$3,IF($AA1246=3,"P",""),IF($AA1246=10,"P",""))</f>
        <v/>
      </c>
      <c r="P1246" s="22"/>
      <c r="Q1246" s="22"/>
      <c r="R1246" s="360" t="e">
        <f>IF(INDEX(TblDatabase[Comment2],MATCH(1,INDEX(($L$4=ListEmployeeNamesInDatabase)*(C1237=TblDatabase[Year]),0,1),0))="","",INDEX(TblDatabase[Comment2],MATCH(1,INDEX(($L$4=ListEmployeeNamesInDatabase)*(C1237=TblDatabase[Year]),0,1),0)))</f>
        <v>#N/A</v>
      </c>
      <c r="S1246" s="360"/>
      <c r="T1246" s="360"/>
      <c r="U1246" s="360"/>
      <c r="V1246" s="360"/>
      <c r="W1246" s="360"/>
      <c r="X1246" s="360"/>
      <c r="Y1246" s="361"/>
      <c r="Z1246" s="149"/>
      <c r="AA1246" s="151">
        <f>SUMIFS(TblDatabase[Competency2],ListEmployeeNamesInDatabase,$L$4,TblDatabase[Year],C1237)</f>
        <v>0</v>
      </c>
      <c r="AB1246" s="149"/>
      <c r="AC1246" s="149"/>
      <c r="AD1246" s="149"/>
      <c r="AE1246" s="149"/>
      <c r="AF1246" s="149"/>
    </row>
    <row r="1247" spans="1:32" s="148" customFormat="1" ht="15" hidden="1" customHeight="1">
      <c r="B1247" s="350" t="str">
        <f t="shared" si="29"/>
        <v>Job Knowledge</v>
      </c>
      <c r="C1247" s="351"/>
      <c r="D1247" s="351"/>
      <c r="E1247" s="352"/>
      <c r="F1247" s="157" t="str">
        <f>IF(Settings!$M$4=Settings!$Y$3,IF($AA1247=1,"P",""),IF($AA1247=1,"P",""))</f>
        <v/>
      </c>
      <c r="G1247" s="158" t="str">
        <f>IF(Settings!$M$4=Settings!$Y$3,IF($AA1247=1,"P",""),IF($AA1247=2,"P",""))</f>
        <v/>
      </c>
      <c r="H1247" s="158" t="str">
        <f>IF(Settings!$M$4=Settings!$Y$3,IF($AA1247=1,"P",""),IF($AA1247=3,"P",""))</f>
        <v/>
      </c>
      <c r="I1247" s="158" t="str">
        <f>IF(Settings!$M$4=Settings!$Y$3,IF($AA1247=1,"P",""),IF($AA1247=4,"P",""))</f>
        <v/>
      </c>
      <c r="J1247" s="158" t="str">
        <f>IF(Settings!$M$4=Settings!$Y$3,IF($AA1247=2,"P",""),IF($AA1247=5,"P",""))</f>
        <v/>
      </c>
      <c r="K1247" s="158" t="str">
        <f>IF(Settings!$M$4=Settings!$Y$3,IF($AA1247=2,"P",""),IF($AA1247=6,"P",""))</f>
        <v/>
      </c>
      <c r="L1247" s="158" t="str">
        <f>IF(Settings!$M$4=Settings!$Y$3,IF($AA1247=2,"P",""),IF($AA1247=7,"P",""))</f>
        <v/>
      </c>
      <c r="M1247" s="158" t="str">
        <f>IF(Settings!$M$4=Settings!$Y$3,IF($AA1247=2,"P",""),IF($AA1247=8,"P",""))</f>
        <v/>
      </c>
      <c r="N1247" s="158" t="str">
        <f>IF(Settings!$M$4=Settings!$Y$3,IF($AA1247=3,"P",""),IF($AA1247=9,"P",""))</f>
        <v/>
      </c>
      <c r="O1247" s="159" t="str">
        <f>IF(Settings!$M$4=Settings!$Y$3,IF($AA1247=3,"P",""),IF($AA1247=10,"P",""))</f>
        <v/>
      </c>
      <c r="P1247" s="22"/>
      <c r="Q1247" s="22"/>
      <c r="R1247" s="353" t="e">
        <f>IF(INDEX(TblDatabase[Comment3],MATCH(1,INDEX(($L$4=ListEmployeeNamesInDatabase)*(C1237=TblDatabase[Year]),0,1),0))="","",INDEX(TblDatabase[Comment3],MATCH(1,INDEX(($L$4=ListEmployeeNamesInDatabase)*(C1237=TblDatabase[Year]),0,1),0)))</f>
        <v>#N/A</v>
      </c>
      <c r="S1247" s="353"/>
      <c r="T1247" s="353"/>
      <c r="U1247" s="353"/>
      <c r="V1247" s="353"/>
      <c r="W1247" s="353"/>
      <c r="X1247" s="353"/>
      <c r="Y1247" s="354"/>
      <c r="Z1247" s="149"/>
      <c r="AA1247" s="151">
        <f>SUMIFS(TblDatabase[Competency3],ListEmployeeNamesInDatabase,$L$4,TblDatabase[Year],C1237)</f>
        <v>0</v>
      </c>
      <c r="AB1247" s="149"/>
      <c r="AC1247" s="149"/>
      <c r="AD1247" s="149"/>
      <c r="AE1247" s="149"/>
      <c r="AF1247" s="149"/>
    </row>
    <row r="1248" spans="1:32" s="148" customFormat="1" ht="15" hidden="1" customHeight="1">
      <c r="B1248" s="355" t="str">
        <f t="shared" si="29"/>
        <v>Client Service</v>
      </c>
      <c r="C1248" s="356"/>
      <c r="D1248" s="356"/>
      <c r="E1248" s="357"/>
      <c r="F1248" s="163" t="str">
        <f>IF(Settings!$M$4=Settings!$Y$3,IF($AA1248=1,"P",""),IF($AA1248=1,"P",""))</f>
        <v/>
      </c>
      <c r="G1248" s="164" t="str">
        <f>IF(Settings!$M$4=Settings!$Y$3,IF($AA1248=1,"P",""),IF($AA1248=2,"P",""))</f>
        <v/>
      </c>
      <c r="H1248" s="164" t="str">
        <f>IF(Settings!$M$4=Settings!$Y$3,IF($AA1248=1,"P",""),IF($AA1248=3,"P",""))</f>
        <v/>
      </c>
      <c r="I1248" s="164" t="str">
        <f>IF(Settings!$M$4=Settings!$Y$3,IF($AA1248=1,"P",""),IF($AA1248=4,"P",""))</f>
        <v/>
      </c>
      <c r="J1248" s="164" t="str">
        <f>IF(Settings!$M$4=Settings!$Y$3,IF($AA1248=2,"P",""),IF($AA1248=5,"P",""))</f>
        <v/>
      </c>
      <c r="K1248" s="164" t="str">
        <f>IF(Settings!$M$4=Settings!$Y$3,IF($AA1248=2,"P",""),IF($AA1248=6,"P",""))</f>
        <v/>
      </c>
      <c r="L1248" s="164" t="str">
        <f>IF(Settings!$M$4=Settings!$Y$3,IF($AA1248=2,"P",""),IF($AA1248=7,"P",""))</f>
        <v/>
      </c>
      <c r="M1248" s="164" t="str">
        <f>IF(Settings!$M$4=Settings!$Y$3,IF($AA1248=2,"P",""),IF($AA1248=8,"P",""))</f>
        <v/>
      </c>
      <c r="N1248" s="164" t="str">
        <f>IF(Settings!$M$4=Settings!$Y$3,IF($AA1248=3,"P",""),IF($AA1248=9,"P",""))</f>
        <v/>
      </c>
      <c r="O1248" s="165" t="str">
        <f>IF(Settings!$M$4=Settings!$Y$3,IF($AA1248=3,"P",""),IF($AA1248=10,"P",""))</f>
        <v/>
      </c>
      <c r="P1248" s="22"/>
      <c r="Q1248" s="22"/>
      <c r="R1248" s="360" t="e">
        <f>IF(INDEX(TblDatabase[Comment4],MATCH(1,INDEX(($L$4=ListEmployeeNamesInDatabase)*(C1237=TblDatabase[Year]),0,1),0))="","",INDEX(TblDatabase[Comment4],MATCH(1,INDEX(($L$4=ListEmployeeNamesInDatabase)*(C1237=TblDatabase[Year]),0,1),0)))</f>
        <v>#N/A</v>
      </c>
      <c r="S1248" s="360"/>
      <c r="T1248" s="360"/>
      <c r="U1248" s="360"/>
      <c r="V1248" s="360"/>
      <c r="W1248" s="360"/>
      <c r="X1248" s="360"/>
      <c r="Y1248" s="361"/>
      <c r="Z1248" s="149"/>
      <c r="AA1248" s="151">
        <f>SUMIFS(TblDatabase[Competency4],ListEmployeeNamesInDatabase,$L$4,TblDatabase[Year],C1237)</f>
        <v>0</v>
      </c>
      <c r="AB1248" s="149"/>
      <c r="AC1248" s="149"/>
      <c r="AD1248" s="149"/>
      <c r="AE1248" s="149"/>
      <c r="AF1248" s="149"/>
    </row>
    <row r="1249" spans="2:32" s="148" customFormat="1" ht="15" hidden="1" customHeight="1">
      <c r="B1249" s="350" t="str">
        <f t="shared" si="29"/>
        <v>Teamwork</v>
      </c>
      <c r="C1249" s="351"/>
      <c r="D1249" s="351"/>
      <c r="E1249" s="352"/>
      <c r="F1249" s="157" t="str">
        <f>IF(Settings!$M$4=Settings!$Y$3,IF($AA1249=1,"P",""),IF($AA1249=1,"P",""))</f>
        <v/>
      </c>
      <c r="G1249" s="158" t="str">
        <f>IF(Settings!$M$4=Settings!$Y$3,IF($AA1249=1,"P",""),IF($AA1249=2,"P",""))</f>
        <v/>
      </c>
      <c r="H1249" s="158" t="str">
        <f>IF(Settings!$M$4=Settings!$Y$3,IF($AA1249=1,"P",""),IF($AA1249=3,"P",""))</f>
        <v/>
      </c>
      <c r="I1249" s="158" t="str">
        <f>IF(Settings!$M$4=Settings!$Y$3,IF($AA1249=1,"P",""),IF($AA1249=4,"P",""))</f>
        <v/>
      </c>
      <c r="J1249" s="158" t="str">
        <f>IF(Settings!$M$4=Settings!$Y$3,IF($AA1249=2,"P",""),IF($AA1249=5,"P",""))</f>
        <v/>
      </c>
      <c r="K1249" s="158" t="str">
        <f>IF(Settings!$M$4=Settings!$Y$3,IF($AA1249=2,"P",""),IF($AA1249=6,"P",""))</f>
        <v/>
      </c>
      <c r="L1249" s="158" t="str">
        <f>IF(Settings!$M$4=Settings!$Y$3,IF($AA1249=2,"P",""),IF($AA1249=7,"P",""))</f>
        <v/>
      </c>
      <c r="M1249" s="158" t="str">
        <f>IF(Settings!$M$4=Settings!$Y$3,IF($AA1249=2,"P",""),IF($AA1249=8,"P",""))</f>
        <v/>
      </c>
      <c r="N1249" s="158" t="str">
        <f>IF(Settings!$M$4=Settings!$Y$3,IF($AA1249=3,"P",""),IF($AA1249=9,"P",""))</f>
        <v/>
      </c>
      <c r="O1249" s="159" t="str">
        <f>IF(Settings!$M$4=Settings!$Y$3,IF($AA1249=3,"P",""),IF($AA1249=10,"P",""))</f>
        <v/>
      </c>
      <c r="P1249" s="22"/>
      <c r="Q1249" s="22"/>
      <c r="R1249" s="353" t="e">
        <f>IF(INDEX(TblDatabase[Comment5],MATCH(1,INDEX(($L$4=ListEmployeeNamesInDatabase)*(C1237=TblDatabase[Year]),0,1),0))="","",INDEX(TblDatabase[Comment5],MATCH(1,INDEX(($L$4=ListEmployeeNamesInDatabase)*(C1237=TblDatabase[Year]),0,1),0)))</f>
        <v>#N/A</v>
      </c>
      <c r="S1249" s="353"/>
      <c r="T1249" s="353"/>
      <c r="U1249" s="353"/>
      <c r="V1249" s="353"/>
      <c r="W1249" s="353"/>
      <c r="X1249" s="353"/>
      <c r="Y1249" s="354"/>
      <c r="Z1249" s="149"/>
      <c r="AA1249" s="151">
        <f>SUMIFS(TblDatabase[Competency5],ListEmployeeNamesInDatabase,$L$4,TblDatabase[Year],C1237)</f>
        <v>0</v>
      </c>
      <c r="AB1249" s="149"/>
      <c r="AC1249" s="149"/>
      <c r="AD1249" s="149"/>
      <c r="AE1249" s="149"/>
      <c r="AF1249" s="149"/>
    </row>
    <row r="1250" spans="2:32" s="148" customFormat="1" ht="15" hidden="1" customHeight="1">
      <c r="B1250" s="355" t="str">
        <f t="shared" si="29"/>
        <v>Safety</v>
      </c>
      <c r="C1250" s="356"/>
      <c r="D1250" s="356"/>
      <c r="E1250" s="357"/>
      <c r="F1250" s="163" t="str">
        <f>IF(Settings!$M$4=Settings!$Y$3,IF($AA1250=1,"P",""),IF($AA1250=1,"P",""))</f>
        <v/>
      </c>
      <c r="G1250" s="164" t="str">
        <f>IF(Settings!$M$4=Settings!$Y$3,IF($AA1250=1,"P",""),IF($AA1250=2,"P",""))</f>
        <v/>
      </c>
      <c r="H1250" s="164" t="str">
        <f>IF(Settings!$M$4=Settings!$Y$3,IF($AA1250=1,"P",""),IF($AA1250=3,"P",""))</f>
        <v/>
      </c>
      <c r="I1250" s="164" t="str">
        <f>IF(Settings!$M$4=Settings!$Y$3,IF($AA1250=1,"P",""),IF($AA1250=4,"P",""))</f>
        <v/>
      </c>
      <c r="J1250" s="164" t="str">
        <f>IF(Settings!$M$4=Settings!$Y$3,IF($AA1250=2,"P",""),IF($AA1250=5,"P",""))</f>
        <v/>
      </c>
      <c r="K1250" s="164" t="str">
        <f>IF(Settings!$M$4=Settings!$Y$3,IF($AA1250=2,"P",""),IF($AA1250=6,"P",""))</f>
        <v/>
      </c>
      <c r="L1250" s="164" t="str">
        <f>IF(Settings!$M$4=Settings!$Y$3,IF($AA1250=2,"P",""),IF($AA1250=7,"P",""))</f>
        <v/>
      </c>
      <c r="M1250" s="164" t="str">
        <f>IF(Settings!$M$4=Settings!$Y$3,IF($AA1250=2,"P",""),IF($AA1250=8,"P",""))</f>
        <v/>
      </c>
      <c r="N1250" s="164" t="str">
        <f>IF(Settings!$M$4=Settings!$Y$3,IF($AA1250=3,"P",""),IF($AA1250=9,"P",""))</f>
        <v/>
      </c>
      <c r="O1250" s="165" t="str">
        <f>IF(Settings!$M$4=Settings!$Y$3,IF($AA1250=3,"P",""),IF($AA1250=10,"P",""))</f>
        <v/>
      </c>
      <c r="P1250" s="22"/>
      <c r="Q1250" s="22"/>
      <c r="R1250" s="360" t="e">
        <f>IF(INDEX(TblDatabase[Comment6],MATCH(1,INDEX(($L$4=ListEmployeeNamesInDatabase)*(C1237=TblDatabase[Year]),0,1),0))="","",INDEX(TblDatabase[Comment6],MATCH(1,INDEX(($L$4=ListEmployeeNamesInDatabase)*(C1237=TblDatabase[Year]),0,1),0)))</f>
        <v>#N/A</v>
      </c>
      <c r="S1250" s="360"/>
      <c r="T1250" s="360"/>
      <c r="U1250" s="360"/>
      <c r="V1250" s="360"/>
      <c r="W1250" s="360"/>
      <c r="X1250" s="360"/>
      <c r="Y1250" s="361"/>
      <c r="Z1250" s="149"/>
      <c r="AA1250" s="151">
        <f>SUMIFS(TblDatabase[Competency6],ListEmployeeNamesInDatabase,$L$4,TblDatabase[Year],C1237)</f>
        <v>0</v>
      </c>
      <c r="AB1250" s="149"/>
      <c r="AC1250" s="149"/>
      <c r="AD1250" s="149"/>
      <c r="AE1250" s="149"/>
      <c r="AF1250" s="149"/>
    </row>
    <row r="1251" spans="2:32" s="148" customFormat="1" ht="15" hidden="1" customHeight="1">
      <c r="B1251" s="350" t="str">
        <f t="shared" si="29"/>
        <v>Reliability</v>
      </c>
      <c r="C1251" s="351"/>
      <c r="D1251" s="351"/>
      <c r="E1251" s="352"/>
      <c r="F1251" s="157" t="str">
        <f>IF(Settings!$M$4=Settings!$Y$3,IF($AA1251=1,"P",""),IF($AA1251=1,"P",""))</f>
        <v/>
      </c>
      <c r="G1251" s="158" t="str">
        <f>IF(Settings!$M$4=Settings!$Y$3,IF($AA1251=1,"P",""),IF($AA1251=2,"P",""))</f>
        <v/>
      </c>
      <c r="H1251" s="158" t="str">
        <f>IF(Settings!$M$4=Settings!$Y$3,IF($AA1251=1,"P",""),IF($AA1251=3,"P",""))</f>
        <v/>
      </c>
      <c r="I1251" s="158" t="str">
        <f>IF(Settings!$M$4=Settings!$Y$3,IF($AA1251=1,"P",""),IF($AA1251=4,"P",""))</f>
        <v/>
      </c>
      <c r="J1251" s="158" t="str">
        <f>IF(Settings!$M$4=Settings!$Y$3,IF($AA1251=2,"P",""),IF($AA1251=5,"P",""))</f>
        <v/>
      </c>
      <c r="K1251" s="158" t="str">
        <f>IF(Settings!$M$4=Settings!$Y$3,IF($AA1251=2,"P",""),IF($AA1251=6,"P",""))</f>
        <v/>
      </c>
      <c r="L1251" s="158" t="str">
        <f>IF(Settings!$M$4=Settings!$Y$3,IF($AA1251=2,"P",""),IF($AA1251=7,"P",""))</f>
        <v/>
      </c>
      <c r="M1251" s="158" t="str">
        <f>IF(Settings!$M$4=Settings!$Y$3,IF($AA1251=2,"P",""),IF($AA1251=8,"P",""))</f>
        <v/>
      </c>
      <c r="N1251" s="158" t="str">
        <f>IF(Settings!$M$4=Settings!$Y$3,IF($AA1251=3,"P",""),IF($AA1251=9,"P",""))</f>
        <v/>
      </c>
      <c r="O1251" s="159" t="str">
        <f>IF(Settings!$M$4=Settings!$Y$3,IF($AA1251=3,"P",""),IF($AA1251=10,"P",""))</f>
        <v/>
      </c>
      <c r="P1251" s="22"/>
      <c r="Q1251" s="22"/>
      <c r="R1251" s="353" t="e">
        <f>IF(INDEX(TblDatabase[Comment7],MATCH(1,INDEX(($L$4=ListEmployeeNamesInDatabase)*(C1237=TblDatabase[Year]),0,1),0))="","",INDEX(TblDatabase[Comment7],MATCH(1,INDEX(($L$4=ListEmployeeNamesInDatabase)*(C1237=TblDatabase[Year]),0,1),0)))</f>
        <v>#N/A</v>
      </c>
      <c r="S1251" s="353"/>
      <c r="T1251" s="353"/>
      <c r="U1251" s="353"/>
      <c r="V1251" s="353"/>
      <c r="W1251" s="353"/>
      <c r="X1251" s="353"/>
      <c r="Y1251" s="354"/>
      <c r="Z1251" s="149"/>
      <c r="AA1251" s="151">
        <f>SUMIFS(TblDatabase[Competency7],ListEmployeeNamesInDatabase,$L$4,TblDatabase[Year],C1237)</f>
        <v>0</v>
      </c>
      <c r="AB1251" s="149"/>
      <c r="AC1251" s="149"/>
      <c r="AD1251" s="149"/>
      <c r="AE1251" s="149"/>
      <c r="AF1251" s="149"/>
    </row>
    <row r="1252" spans="2:32" s="148" customFormat="1" ht="15" hidden="1" customHeight="1">
      <c r="B1252" s="355" t="str">
        <f t="shared" si="29"/>
        <v>Initiative/Adaptability</v>
      </c>
      <c r="C1252" s="356"/>
      <c r="D1252" s="356"/>
      <c r="E1252" s="357"/>
      <c r="F1252" s="163" t="str">
        <f>IF(Settings!$M$4=Settings!$Y$3,IF($AA1252=1,"P",""),IF($AA1252=1,"P",""))</f>
        <v/>
      </c>
      <c r="G1252" s="164" t="str">
        <f>IF(Settings!$M$4=Settings!$Y$3,IF($AA1252=1,"P",""),IF($AA1252=2,"P",""))</f>
        <v/>
      </c>
      <c r="H1252" s="164" t="str">
        <f>IF(Settings!$M$4=Settings!$Y$3,IF($AA1252=1,"P",""),IF($AA1252=3,"P",""))</f>
        <v/>
      </c>
      <c r="I1252" s="164" t="str">
        <f>IF(Settings!$M$4=Settings!$Y$3,IF($AA1252=1,"P",""),IF($AA1252=4,"P",""))</f>
        <v/>
      </c>
      <c r="J1252" s="164" t="str">
        <f>IF(Settings!$M$4=Settings!$Y$3,IF($AA1252=2,"P",""),IF($AA1252=5,"P",""))</f>
        <v/>
      </c>
      <c r="K1252" s="164" t="str">
        <f>IF(Settings!$M$4=Settings!$Y$3,IF($AA1252=2,"P",""),IF($AA1252=6,"P",""))</f>
        <v/>
      </c>
      <c r="L1252" s="164" t="str">
        <f>IF(Settings!$M$4=Settings!$Y$3,IF($AA1252=2,"P",""),IF($AA1252=7,"P",""))</f>
        <v/>
      </c>
      <c r="M1252" s="164" t="str">
        <f>IF(Settings!$M$4=Settings!$Y$3,IF($AA1252=2,"P",""),IF($AA1252=8,"P",""))</f>
        <v/>
      </c>
      <c r="N1252" s="164" t="str">
        <f>IF(Settings!$M$4=Settings!$Y$3,IF($AA1252=3,"P",""),IF($AA1252=9,"P",""))</f>
        <v/>
      </c>
      <c r="O1252" s="165" t="str">
        <f>IF(Settings!$M$4=Settings!$Y$3,IF($AA1252=3,"P",""),IF($AA1252=10,"P",""))</f>
        <v/>
      </c>
      <c r="P1252" s="22"/>
      <c r="Q1252" s="22"/>
      <c r="R1252" s="360" t="e">
        <f>IF(INDEX(TblDatabase[Comment8],MATCH(1,INDEX(($L$4=ListEmployeeNamesInDatabase)*(C1237=TblDatabase[Year]),0,1),0))="","",INDEX(TblDatabase[Comment8],MATCH(1,INDEX(($L$4=ListEmployeeNamesInDatabase)*(C1237=TblDatabase[Year]),0,1),0)))</f>
        <v>#N/A</v>
      </c>
      <c r="S1252" s="360"/>
      <c r="T1252" s="360"/>
      <c r="U1252" s="360"/>
      <c r="V1252" s="360"/>
      <c r="W1252" s="360"/>
      <c r="X1252" s="360"/>
      <c r="Y1252" s="361"/>
      <c r="Z1252" s="149"/>
      <c r="AA1252" s="151">
        <f>SUMIFS(TblDatabase[Competency8],ListEmployeeNamesInDatabase,$L$4,TblDatabase[Year],C1237)</f>
        <v>0</v>
      </c>
      <c r="AB1252" s="149"/>
      <c r="AC1252" s="149"/>
      <c r="AD1252" s="149"/>
      <c r="AE1252" s="149"/>
      <c r="AF1252" s="149"/>
    </row>
    <row r="1253" spans="2:32" s="148" customFormat="1" ht="15" hidden="1" customHeight="1">
      <c r="B1253" s="350" t="str">
        <f t="shared" si="29"/>
        <v/>
      </c>
      <c r="C1253" s="351"/>
      <c r="D1253" s="351"/>
      <c r="E1253" s="352"/>
      <c r="F1253" s="157" t="str">
        <f>IF(Settings!$M$4=Settings!$Y$3,IF($AA1253=1,"P",""),IF($AA1253=1,"P",""))</f>
        <v/>
      </c>
      <c r="G1253" s="158" t="str">
        <f>IF(Settings!$M$4=Settings!$Y$3,IF($AA1253=1,"P",""),IF($AA1253=2,"P",""))</f>
        <v/>
      </c>
      <c r="H1253" s="158" t="str">
        <f>IF(Settings!$M$4=Settings!$Y$3,IF($AA1253=1,"P",""),IF($AA1253=3,"P",""))</f>
        <v/>
      </c>
      <c r="I1253" s="158" t="str">
        <f>IF(Settings!$M$4=Settings!$Y$3,IF($AA1253=1,"P",""),IF($AA1253=4,"P",""))</f>
        <v/>
      </c>
      <c r="J1253" s="158" t="str">
        <f>IF(Settings!$M$4=Settings!$Y$3,IF($AA1253=2,"P",""),IF($AA1253=5,"P",""))</f>
        <v/>
      </c>
      <c r="K1253" s="158" t="str">
        <f>IF(Settings!$M$4=Settings!$Y$3,IF($AA1253=2,"P",""),IF($AA1253=6,"P",""))</f>
        <v/>
      </c>
      <c r="L1253" s="158" t="str">
        <f>IF(Settings!$M$4=Settings!$Y$3,IF($AA1253=2,"P",""),IF($AA1253=7,"P",""))</f>
        <v/>
      </c>
      <c r="M1253" s="158" t="str">
        <f>IF(Settings!$M$4=Settings!$Y$3,IF($AA1253=2,"P",""),IF($AA1253=8,"P",""))</f>
        <v/>
      </c>
      <c r="N1253" s="158" t="str">
        <f>IF(Settings!$M$4=Settings!$Y$3,IF($AA1253=3,"P",""),IF($AA1253=9,"P",""))</f>
        <v/>
      </c>
      <c r="O1253" s="159" t="str">
        <f>IF(Settings!$M$4=Settings!$Y$3,IF($AA1253=3,"P",""),IF($AA1253=10,"P",""))</f>
        <v/>
      </c>
      <c r="P1253" s="22"/>
      <c r="Q1253" s="22"/>
      <c r="R1253" s="353" t="e">
        <f>IF(INDEX(TblDatabase[Comment9],MATCH(1,INDEX(($L$4=ListEmployeeNamesInDatabase)*(C1237=TblDatabase[Year]),0,1),0))="","",INDEX(TblDatabase[Comment9],MATCH(1,INDEX(($L$4=ListEmployeeNamesInDatabase)*(C1237=TblDatabase[Year]),0,1),0)))</f>
        <v>#N/A</v>
      </c>
      <c r="S1253" s="353"/>
      <c r="T1253" s="353"/>
      <c r="U1253" s="353"/>
      <c r="V1253" s="353"/>
      <c r="W1253" s="353"/>
      <c r="X1253" s="353"/>
      <c r="Y1253" s="354"/>
      <c r="Z1253" s="149"/>
      <c r="AA1253" s="151">
        <f>SUMIFS(TblDatabase[Competency9],ListEmployeeNamesInDatabase,$L$4,TblDatabase[Year],C1237)</f>
        <v>0</v>
      </c>
      <c r="AB1253" s="149"/>
      <c r="AC1253" s="149"/>
      <c r="AD1253" s="149"/>
      <c r="AE1253" s="149"/>
      <c r="AF1253" s="149"/>
    </row>
    <row r="1254" spans="2:32" s="148" customFormat="1" ht="15" hidden="1" customHeight="1">
      <c r="B1254" s="355" t="str">
        <f t="shared" si="29"/>
        <v/>
      </c>
      <c r="C1254" s="356"/>
      <c r="D1254" s="356"/>
      <c r="E1254" s="357"/>
      <c r="F1254" s="163" t="str">
        <f>IF(Settings!$M$4=Settings!$Y$3,IF($AA1254=1,"P",""),IF($AA1254=1,"P",""))</f>
        <v/>
      </c>
      <c r="G1254" s="164" t="str">
        <f>IF(Settings!$M$4=Settings!$Y$3,IF($AA1254=1,"P",""),IF($AA1254=2,"P",""))</f>
        <v/>
      </c>
      <c r="H1254" s="164" t="str">
        <f>IF(Settings!$M$4=Settings!$Y$3,IF($AA1254=1,"P",""),IF($AA1254=3,"P",""))</f>
        <v/>
      </c>
      <c r="I1254" s="164" t="str">
        <f>IF(Settings!$M$4=Settings!$Y$3,IF($AA1254=1,"P",""),IF($AA1254=4,"P",""))</f>
        <v/>
      </c>
      <c r="J1254" s="164" t="str">
        <f>IF(Settings!$M$4=Settings!$Y$3,IF($AA1254=2,"P",""),IF($AA1254=5,"P",""))</f>
        <v/>
      </c>
      <c r="K1254" s="164" t="str">
        <f>IF(Settings!$M$4=Settings!$Y$3,IF($AA1254=2,"P",""),IF($AA1254=6,"P",""))</f>
        <v/>
      </c>
      <c r="L1254" s="164" t="str">
        <f>IF(Settings!$M$4=Settings!$Y$3,IF($AA1254=2,"P",""),IF($AA1254=7,"P",""))</f>
        <v/>
      </c>
      <c r="M1254" s="164" t="str">
        <f>IF(Settings!$M$4=Settings!$Y$3,IF($AA1254=2,"P",""),IF($AA1254=8,"P",""))</f>
        <v/>
      </c>
      <c r="N1254" s="164" t="str">
        <f>IF(Settings!$M$4=Settings!$Y$3,IF($AA1254=3,"P",""),IF($AA1254=9,"P",""))</f>
        <v/>
      </c>
      <c r="O1254" s="165" t="str">
        <f>IF(Settings!$M$4=Settings!$Y$3,IF($AA1254=3,"P",""),IF($AA1254=10,"P",""))</f>
        <v/>
      </c>
      <c r="P1254" s="22"/>
      <c r="Q1254" s="22"/>
      <c r="R1254" s="360" t="e">
        <f>IF(INDEX(TblDatabase[Comment10],MATCH(1,INDEX(($L$4=ListEmployeeNamesInDatabase)*(C1237=TblDatabase[Year]),0,1),0))="","",INDEX(TblDatabase[Comment10],MATCH(1,INDEX(($L$4=ListEmployeeNamesInDatabase)*(C1237=TblDatabase[Year]),0,1),0)))</f>
        <v>#N/A</v>
      </c>
      <c r="S1254" s="360"/>
      <c r="T1254" s="360"/>
      <c r="U1254" s="360"/>
      <c r="V1254" s="360"/>
      <c r="W1254" s="360"/>
      <c r="X1254" s="360"/>
      <c r="Y1254" s="361"/>
      <c r="Z1254" s="149"/>
      <c r="AA1254" s="151">
        <f>SUMIFS(TblDatabase[Competency10],ListEmployeeNamesInDatabase,$L$4,TblDatabase[Year],C1237)</f>
        <v>0</v>
      </c>
      <c r="AB1254" s="149"/>
      <c r="AC1254" s="149"/>
      <c r="AD1254" s="149"/>
      <c r="AE1254" s="149"/>
      <c r="AF1254" s="149"/>
    </row>
    <row r="1255" spans="2:32" s="148" customFormat="1" ht="15" hidden="1" customHeight="1">
      <c r="B1255" s="350" t="str">
        <f t="shared" si="29"/>
        <v/>
      </c>
      <c r="C1255" s="351"/>
      <c r="D1255" s="351"/>
      <c r="E1255" s="352"/>
      <c r="F1255" s="157" t="str">
        <f>IF(Settings!$M$4=Settings!$Y$3,IF($AA1255=1,"P",""),IF($AA1255=1,"P",""))</f>
        <v/>
      </c>
      <c r="G1255" s="158" t="str">
        <f>IF(Settings!$M$4=Settings!$Y$3,IF($AA1255=1,"P",""),IF($AA1255=2,"P",""))</f>
        <v/>
      </c>
      <c r="H1255" s="158" t="str">
        <f>IF(Settings!$M$4=Settings!$Y$3,IF($AA1255=1,"P",""),IF($AA1255=3,"P",""))</f>
        <v/>
      </c>
      <c r="I1255" s="158" t="str">
        <f>IF(Settings!$M$4=Settings!$Y$3,IF($AA1255=1,"P",""),IF($AA1255=4,"P",""))</f>
        <v/>
      </c>
      <c r="J1255" s="158" t="str">
        <f>IF(Settings!$M$4=Settings!$Y$3,IF($AA1255=2,"P",""),IF($AA1255=5,"P",""))</f>
        <v/>
      </c>
      <c r="K1255" s="158" t="str">
        <f>IF(Settings!$M$4=Settings!$Y$3,IF($AA1255=2,"P",""),IF($AA1255=6,"P",""))</f>
        <v/>
      </c>
      <c r="L1255" s="158" t="str">
        <f>IF(Settings!$M$4=Settings!$Y$3,IF($AA1255=2,"P",""),IF($AA1255=7,"P",""))</f>
        <v/>
      </c>
      <c r="M1255" s="158" t="str">
        <f>IF(Settings!$M$4=Settings!$Y$3,IF($AA1255=2,"P",""),IF($AA1255=8,"P",""))</f>
        <v/>
      </c>
      <c r="N1255" s="158" t="str">
        <f>IF(Settings!$M$4=Settings!$Y$3,IF($AA1255=3,"P",""),IF($AA1255=9,"P",""))</f>
        <v/>
      </c>
      <c r="O1255" s="159" t="str">
        <f>IF(Settings!$M$4=Settings!$Y$3,IF($AA1255=3,"P",""),IF($AA1255=10,"P",""))</f>
        <v/>
      </c>
      <c r="P1255" s="22"/>
      <c r="Q1255" s="22"/>
      <c r="R1255" s="353" t="e">
        <f>IF(INDEX(TblDatabase[Comment11],MATCH(1,INDEX(($L$4=ListEmployeeNamesInDatabase)*(C1237=TblDatabase[Year]),0,1),0))="","",INDEX(TblDatabase[Comment11],MATCH(1,INDEX(($L$4=ListEmployeeNamesInDatabase)*(C1237=TblDatabase[Year]),0,1),0)))</f>
        <v>#N/A</v>
      </c>
      <c r="S1255" s="353"/>
      <c r="T1255" s="353"/>
      <c r="U1255" s="353"/>
      <c r="V1255" s="353"/>
      <c r="W1255" s="353"/>
      <c r="X1255" s="353"/>
      <c r="Y1255" s="354"/>
      <c r="Z1255" s="149"/>
      <c r="AA1255" s="151">
        <f>SUMIFS(TblDatabase[Competency11],ListEmployeeNamesInDatabase,$L$4,TblDatabase[Year],C1237)</f>
        <v>0</v>
      </c>
      <c r="AB1255" s="149"/>
      <c r="AC1255" s="149"/>
      <c r="AD1255" s="149"/>
      <c r="AE1255" s="149"/>
      <c r="AF1255" s="149"/>
    </row>
    <row r="1256" spans="2:32" s="148" customFormat="1" ht="15" hidden="1" customHeight="1">
      <c r="B1256" s="355" t="str">
        <f t="shared" si="29"/>
        <v/>
      </c>
      <c r="C1256" s="356"/>
      <c r="D1256" s="356"/>
      <c r="E1256" s="357"/>
      <c r="F1256" s="163" t="str">
        <f>IF(Settings!$M$4=Settings!$Y$3,IF($AA1256=1,"P",""),IF($AA1256=1,"P",""))</f>
        <v/>
      </c>
      <c r="G1256" s="164" t="str">
        <f>IF(Settings!$M$4=Settings!$Y$3,IF($AA1256=1,"P",""),IF($AA1256=2,"P",""))</f>
        <v/>
      </c>
      <c r="H1256" s="164" t="str">
        <f>IF(Settings!$M$4=Settings!$Y$3,IF($AA1256=1,"P",""),IF($AA1256=3,"P",""))</f>
        <v/>
      </c>
      <c r="I1256" s="164" t="str">
        <f>IF(Settings!$M$4=Settings!$Y$3,IF($AA1256=1,"P",""),IF($AA1256=4,"P",""))</f>
        <v/>
      </c>
      <c r="J1256" s="164" t="str">
        <f>IF(Settings!$M$4=Settings!$Y$3,IF($AA1256=2,"P",""),IF($AA1256=5,"P",""))</f>
        <v/>
      </c>
      <c r="K1256" s="164" t="str">
        <f>IF(Settings!$M$4=Settings!$Y$3,IF($AA1256=2,"P",""),IF($AA1256=6,"P",""))</f>
        <v/>
      </c>
      <c r="L1256" s="164" t="str">
        <f>IF(Settings!$M$4=Settings!$Y$3,IF($AA1256=2,"P",""),IF($AA1256=7,"P",""))</f>
        <v/>
      </c>
      <c r="M1256" s="164" t="str">
        <f>IF(Settings!$M$4=Settings!$Y$3,IF($AA1256=2,"P",""),IF($AA1256=8,"P",""))</f>
        <v/>
      </c>
      <c r="N1256" s="164" t="str">
        <f>IF(Settings!$M$4=Settings!$Y$3,IF($AA1256=3,"P",""),IF($AA1256=9,"P",""))</f>
        <v/>
      </c>
      <c r="O1256" s="165" t="str">
        <f>IF(Settings!$M$4=Settings!$Y$3,IF($AA1256=3,"P",""),IF($AA1256=10,"P",""))</f>
        <v/>
      </c>
      <c r="P1256" s="22"/>
      <c r="Q1256" s="22"/>
      <c r="R1256" s="360" t="e">
        <f>IF(INDEX(TblDatabase[Comment12],MATCH(1,INDEX(($L$4=ListEmployeeNamesInDatabase)*(C1237=TblDatabase[Year]),0,1),0))="","",INDEX(TblDatabase[Comment12],MATCH(1,INDEX(($L$4=ListEmployeeNamesInDatabase)*(C1237=TblDatabase[Year]),0,1),0)))</f>
        <v>#N/A</v>
      </c>
      <c r="S1256" s="360"/>
      <c r="T1256" s="360"/>
      <c r="U1256" s="360"/>
      <c r="V1256" s="360"/>
      <c r="W1256" s="360"/>
      <c r="X1256" s="360"/>
      <c r="Y1256" s="361"/>
      <c r="Z1256" s="149"/>
      <c r="AA1256" s="151">
        <f>SUMIFS(TblDatabase[Competency12],ListEmployeeNamesInDatabase,$L$4,TblDatabase[Year],C1237)</f>
        <v>0</v>
      </c>
      <c r="AB1256" s="149"/>
      <c r="AC1256" s="149"/>
      <c r="AD1256" s="149"/>
      <c r="AE1256" s="149"/>
      <c r="AF1256" s="149"/>
    </row>
    <row r="1257" spans="2:32" s="148" customFormat="1" ht="15" hidden="1" customHeight="1">
      <c r="B1257" s="350" t="str">
        <f t="shared" si="29"/>
        <v/>
      </c>
      <c r="C1257" s="351"/>
      <c r="D1257" s="351"/>
      <c r="E1257" s="352"/>
      <c r="F1257" s="157" t="str">
        <f>IF(Settings!$M$4=Settings!$Y$3,IF($AA1257=1,"P",""),IF($AA1257=1,"P",""))</f>
        <v/>
      </c>
      <c r="G1257" s="158" t="str">
        <f>IF(Settings!$M$4=Settings!$Y$3,IF($AA1257=1,"P",""),IF($AA1257=2,"P",""))</f>
        <v/>
      </c>
      <c r="H1257" s="158" t="str">
        <f>IF(Settings!$M$4=Settings!$Y$3,IF($AA1257=1,"P",""),IF($AA1257=3,"P",""))</f>
        <v/>
      </c>
      <c r="I1257" s="158" t="str">
        <f>IF(Settings!$M$4=Settings!$Y$3,IF($AA1257=1,"P",""),IF($AA1257=4,"P",""))</f>
        <v/>
      </c>
      <c r="J1257" s="158" t="str">
        <f>IF(Settings!$M$4=Settings!$Y$3,IF($AA1257=2,"P",""),IF($AA1257=5,"P",""))</f>
        <v/>
      </c>
      <c r="K1257" s="158" t="str">
        <f>IF(Settings!$M$4=Settings!$Y$3,IF($AA1257=2,"P",""),IF($AA1257=6,"P",""))</f>
        <v/>
      </c>
      <c r="L1257" s="158" t="str">
        <f>IF(Settings!$M$4=Settings!$Y$3,IF($AA1257=2,"P",""),IF($AA1257=7,"P",""))</f>
        <v/>
      </c>
      <c r="M1257" s="158" t="str">
        <f>IF(Settings!$M$4=Settings!$Y$3,IF($AA1257=2,"P",""),IF($AA1257=8,"P",""))</f>
        <v/>
      </c>
      <c r="N1257" s="158" t="str">
        <f>IF(Settings!$M$4=Settings!$Y$3,IF($AA1257=3,"P",""),IF($AA1257=9,"P",""))</f>
        <v/>
      </c>
      <c r="O1257" s="159" t="str">
        <f>IF(Settings!$M$4=Settings!$Y$3,IF($AA1257=3,"P",""),IF($AA1257=10,"P",""))</f>
        <v/>
      </c>
      <c r="P1257" s="22"/>
      <c r="Q1257" s="22"/>
      <c r="R1257" s="353" t="e">
        <f>IF(INDEX(TblDatabase[Comment13],MATCH(1,INDEX(($L$4=ListEmployeeNamesInDatabase)*(C1237=TblDatabase[Year]),0,1),0))="","",INDEX(TblDatabase[Comment13],MATCH(1,INDEX(($L$4=ListEmployeeNamesInDatabase)*(C1237=TblDatabase[Year]),0,1),0)))</f>
        <v>#N/A</v>
      </c>
      <c r="S1257" s="353"/>
      <c r="T1257" s="353"/>
      <c r="U1257" s="353"/>
      <c r="V1257" s="353"/>
      <c r="W1257" s="353"/>
      <c r="X1257" s="353"/>
      <c r="Y1257" s="354"/>
      <c r="Z1257" s="149"/>
      <c r="AA1257" s="151">
        <f>SUMIFS(TblDatabase[Competency13],ListEmployeeNamesInDatabase,$L$4,TblDatabase[Year],C1237)</f>
        <v>0</v>
      </c>
      <c r="AB1257" s="149"/>
      <c r="AC1257" s="149"/>
      <c r="AD1257" s="149"/>
      <c r="AE1257" s="149"/>
      <c r="AF1257" s="149"/>
    </row>
    <row r="1258" spans="2:32" s="148" customFormat="1" ht="15" hidden="1" customHeight="1">
      <c r="B1258" s="355" t="str">
        <f t="shared" si="29"/>
        <v/>
      </c>
      <c r="C1258" s="356"/>
      <c r="D1258" s="356"/>
      <c r="E1258" s="357"/>
      <c r="F1258" s="163" t="str">
        <f>IF(Settings!$M$4=Settings!$Y$3,IF($AA1258=1,"P",""),IF($AA1258=1,"P",""))</f>
        <v/>
      </c>
      <c r="G1258" s="164" t="str">
        <f>IF(Settings!$M$4=Settings!$Y$3,IF($AA1258=1,"P",""),IF($AA1258=2,"P",""))</f>
        <v/>
      </c>
      <c r="H1258" s="164" t="str">
        <f>IF(Settings!$M$4=Settings!$Y$3,IF($AA1258=1,"P",""),IF($AA1258=3,"P",""))</f>
        <v/>
      </c>
      <c r="I1258" s="164" t="str">
        <f>IF(Settings!$M$4=Settings!$Y$3,IF($AA1258=1,"P",""),IF($AA1258=4,"P",""))</f>
        <v/>
      </c>
      <c r="J1258" s="164" t="str">
        <f>IF(Settings!$M$4=Settings!$Y$3,IF($AA1258=2,"P",""),IF($AA1258=5,"P",""))</f>
        <v/>
      </c>
      <c r="K1258" s="164" t="str">
        <f>IF(Settings!$M$4=Settings!$Y$3,IF($AA1258=2,"P",""),IF($AA1258=6,"P",""))</f>
        <v/>
      </c>
      <c r="L1258" s="164" t="str">
        <f>IF(Settings!$M$4=Settings!$Y$3,IF($AA1258=2,"P",""),IF($AA1258=7,"P",""))</f>
        <v/>
      </c>
      <c r="M1258" s="164" t="str">
        <f>IF(Settings!$M$4=Settings!$Y$3,IF($AA1258=2,"P",""),IF($AA1258=8,"P",""))</f>
        <v/>
      </c>
      <c r="N1258" s="164" t="str">
        <f>IF(Settings!$M$4=Settings!$Y$3,IF($AA1258=3,"P",""),IF($AA1258=9,"P",""))</f>
        <v/>
      </c>
      <c r="O1258" s="165" t="str">
        <f>IF(Settings!$M$4=Settings!$Y$3,IF($AA1258=3,"P",""),IF($AA1258=10,"P",""))</f>
        <v/>
      </c>
      <c r="P1258" s="22"/>
      <c r="Q1258" s="22"/>
      <c r="R1258" s="360" t="e">
        <f>IF(INDEX(TblDatabase[Comment14],MATCH(1,INDEX(($L$4=ListEmployeeNamesInDatabase)*(C1237=TblDatabase[Year]),0,1),0))="","",INDEX(TblDatabase[Comment14],MATCH(1,INDEX(($L$4=ListEmployeeNamesInDatabase)*(C1237=TblDatabase[Year]),0,1),0)))</f>
        <v>#N/A</v>
      </c>
      <c r="S1258" s="360"/>
      <c r="T1258" s="360"/>
      <c r="U1258" s="360"/>
      <c r="V1258" s="360"/>
      <c r="W1258" s="360"/>
      <c r="X1258" s="360"/>
      <c r="Y1258" s="361"/>
      <c r="Z1258" s="149"/>
      <c r="AA1258" s="151">
        <f>SUMIFS(TblDatabase[Competency14],ListEmployeeNamesInDatabase,$L$4,TblDatabase[Year],C1237)</f>
        <v>0</v>
      </c>
      <c r="AB1258" s="149"/>
      <c r="AC1258" s="149"/>
      <c r="AD1258" s="149"/>
      <c r="AE1258" s="149"/>
      <c r="AF1258" s="149"/>
    </row>
    <row r="1259" spans="2:32" s="148" customFormat="1" ht="15" hidden="1" customHeight="1">
      <c r="B1259" s="350" t="str">
        <f t="shared" si="29"/>
        <v/>
      </c>
      <c r="C1259" s="351"/>
      <c r="D1259" s="351"/>
      <c r="E1259" s="352"/>
      <c r="F1259" s="157" t="str">
        <f>IF(Settings!$M$4=Settings!$Y$3,IF($AA1259=1,"P",""),IF($AA1259=1,"P",""))</f>
        <v/>
      </c>
      <c r="G1259" s="158" t="str">
        <f>IF(Settings!$M$4=Settings!$Y$3,IF($AA1259=1,"P",""),IF($AA1259=2,"P",""))</f>
        <v/>
      </c>
      <c r="H1259" s="158" t="str">
        <f>IF(Settings!$M$4=Settings!$Y$3,IF($AA1259=1,"P",""),IF($AA1259=3,"P",""))</f>
        <v/>
      </c>
      <c r="I1259" s="158" t="str">
        <f>IF(Settings!$M$4=Settings!$Y$3,IF($AA1259=1,"P",""),IF($AA1259=4,"P",""))</f>
        <v/>
      </c>
      <c r="J1259" s="158" t="str">
        <f>IF(Settings!$M$4=Settings!$Y$3,IF($AA1259=2,"P",""),IF($AA1259=5,"P",""))</f>
        <v/>
      </c>
      <c r="K1259" s="158" t="str">
        <f>IF(Settings!$M$4=Settings!$Y$3,IF($AA1259=2,"P",""),IF($AA1259=6,"P",""))</f>
        <v/>
      </c>
      <c r="L1259" s="158" t="str">
        <f>IF(Settings!$M$4=Settings!$Y$3,IF($AA1259=2,"P",""),IF($AA1259=7,"P",""))</f>
        <v/>
      </c>
      <c r="M1259" s="158" t="str">
        <f>IF(Settings!$M$4=Settings!$Y$3,IF($AA1259=2,"P",""),IF($AA1259=8,"P",""))</f>
        <v/>
      </c>
      <c r="N1259" s="158" t="str">
        <f>IF(Settings!$M$4=Settings!$Y$3,IF($AA1259=3,"P",""),IF($AA1259=9,"P",""))</f>
        <v/>
      </c>
      <c r="O1259" s="159" t="str">
        <f>IF(Settings!$M$4=Settings!$Y$3,IF($AA1259=3,"P",""),IF($AA1259=10,"P",""))</f>
        <v/>
      </c>
      <c r="P1259" s="22"/>
      <c r="Q1259" s="22"/>
      <c r="R1259" s="353" t="e">
        <f>IF(INDEX(TblDatabase[Comment15],MATCH(1,INDEX(($L$4=ListEmployeeNamesInDatabase)*(C1237=TblDatabase[Year]),0,1),0))="","",INDEX(TblDatabase[Comment15],MATCH(1,INDEX(($L$4=ListEmployeeNamesInDatabase)*(C1237=TblDatabase[Year]),0,1),0)))</f>
        <v>#N/A</v>
      </c>
      <c r="S1259" s="353"/>
      <c r="T1259" s="353"/>
      <c r="U1259" s="353"/>
      <c r="V1259" s="353"/>
      <c r="W1259" s="353"/>
      <c r="X1259" s="353"/>
      <c r="Y1259" s="354"/>
      <c r="Z1259" s="149"/>
      <c r="AA1259" s="151">
        <f>SUMIFS(TblDatabase[Competency15],ListEmployeeNamesInDatabase,$L$4,TblDatabase[Year],C1237)</f>
        <v>0</v>
      </c>
      <c r="AB1259" s="149"/>
      <c r="AC1259" s="149"/>
      <c r="AD1259" s="149"/>
      <c r="AE1259" s="149"/>
      <c r="AF1259" s="149"/>
    </row>
    <row r="1260" spans="2:32" s="148" customFormat="1" ht="15" hidden="1" customHeight="1">
      <c r="B1260" s="355" t="str">
        <f t="shared" si="29"/>
        <v/>
      </c>
      <c r="C1260" s="356"/>
      <c r="D1260" s="356"/>
      <c r="E1260" s="357"/>
      <c r="F1260" s="163" t="str">
        <f>IF(Settings!$M$4=Settings!$Y$3,IF($AA1260=1,"P",""),IF($AA1260=1,"P",""))</f>
        <v/>
      </c>
      <c r="G1260" s="164" t="str">
        <f>IF(Settings!$M$4=Settings!$Y$3,IF($AA1260=1,"P",""),IF($AA1260=2,"P",""))</f>
        <v/>
      </c>
      <c r="H1260" s="164" t="str">
        <f>IF(Settings!$M$4=Settings!$Y$3,IF($AA1260=1,"P",""),IF($AA1260=3,"P",""))</f>
        <v/>
      </c>
      <c r="I1260" s="164" t="str">
        <f>IF(Settings!$M$4=Settings!$Y$3,IF($AA1260=1,"P",""),IF($AA1260=4,"P",""))</f>
        <v/>
      </c>
      <c r="J1260" s="164" t="str">
        <f>IF(Settings!$M$4=Settings!$Y$3,IF($AA1260=2,"P",""),IF($AA1260=5,"P",""))</f>
        <v/>
      </c>
      <c r="K1260" s="164" t="str">
        <f>IF(Settings!$M$4=Settings!$Y$3,IF($AA1260=2,"P",""),IF($AA1260=6,"P",""))</f>
        <v/>
      </c>
      <c r="L1260" s="164" t="str">
        <f>IF(Settings!$M$4=Settings!$Y$3,IF($AA1260=2,"P",""),IF($AA1260=7,"P",""))</f>
        <v/>
      </c>
      <c r="M1260" s="164" t="str">
        <f>IF(Settings!$M$4=Settings!$Y$3,IF($AA1260=2,"P",""),IF($AA1260=8,"P",""))</f>
        <v/>
      </c>
      <c r="N1260" s="164" t="str">
        <f>IF(Settings!$M$4=Settings!$Y$3,IF($AA1260=3,"P",""),IF($AA1260=9,"P",""))</f>
        <v/>
      </c>
      <c r="O1260" s="165" t="str">
        <f>IF(Settings!$M$4=Settings!$Y$3,IF($AA1260=3,"P",""),IF($AA1260=10,"P",""))</f>
        <v/>
      </c>
      <c r="P1260" s="22"/>
      <c r="Q1260" s="22"/>
      <c r="R1260" s="360" t="e">
        <f>IF(INDEX(TblDatabase[Comment16],MATCH(1,INDEX(($L$4=ListEmployeeNamesInDatabase)*(C1237=TblDatabase[Year]),0,1),0))="","",INDEX(TblDatabase[Comment16],MATCH(1,INDEX(($L$4=ListEmployeeNamesInDatabase)*(C1237=TblDatabase[Year]),0,1),0)))</f>
        <v>#N/A</v>
      </c>
      <c r="S1260" s="360"/>
      <c r="T1260" s="360"/>
      <c r="U1260" s="360"/>
      <c r="V1260" s="360"/>
      <c r="W1260" s="360"/>
      <c r="X1260" s="360"/>
      <c r="Y1260" s="361"/>
      <c r="Z1260" s="149"/>
      <c r="AA1260" s="151">
        <f>SUMIFS(TblDatabase[Competency16],ListEmployeeNamesInDatabase,$L$4,TblDatabase[Year],C1237)</f>
        <v>0</v>
      </c>
      <c r="AB1260" s="149"/>
      <c r="AC1260" s="149"/>
      <c r="AD1260" s="149"/>
      <c r="AE1260" s="149"/>
      <c r="AF1260" s="149"/>
    </row>
    <row r="1261" spans="2:32" s="148" customFormat="1" ht="15" hidden="1" customHeight="1">
      <c r="B1261" s="350" t="str">
        <f t="shared" si="29"/>
        <v/>
      </c>
      <c r="C1261" s="351"/>
      <c r="D1261" s="351"/>
      <c r="E1261" s="352"/>
      <c r="F1261" s="157" t="str">
        <f>IF(Settings!$M$4=Settings!$Y$3,IF($AA1261=1,"P",""),IF($AA1261=1,"P",""))</f>
        <v/>
      </c>
      <c r="G1261" s="158" t="str">
        <f>IF(Settings!$M$4=Settings!$Y$3,IF($AA1261=1,"P",""),IF($AA1261=2,"P",""))</f>
        <v/>
      </c>
      <c r="H1261" s="158" t="str">
        <f>IF(Settings!$M$4=Settings!$Y$3,IF($AA1261=1,"P",""),IF($AA1261=3,"P",""))</f>
        <v/>
      </c>
      <c r="I1261" s="158" t="str">
        <f>IF(Settings!$M$4=Settings!$Y$3,IF($AA1261=1,"P",""),IF($AA1261=4,"P",""))</f>
        <v/>
      </c>
      <c r="J1261" s="158" t="str">
        <f>IF(Settings!$M$4=Settings!$Y$3,IF($AA1261=2,"P",""),IF($AA1261=5,"P",""))</f>
        <v/>
      </c>
      <c r="K1261" s="158" t="str">
        <f>IF(Settings!$M$4=Settings!$Y$3,IF($AA1261=2,"P",""),IF($AA1261=6,"P",""))</f>
        <v/>
      </c>
      <c r="L1261" s="158" t="str">
        <f>IF(Settings!$M$4=Settings!$Y$3,IF($AA1261=2,"P",""),IF($AA1261=7,"P",""))</f>
        <v/>
      </c>
      <c r="M1261" s="158" t="str">
        <f>IF(Settings!$M$4=Settings!$Y$3,IF($AA1261=2,"P",""),IF($AA1261=8,"P",""))</f>
        <v/>
      </c>
      <c r="N1261" s="158" t="str">
        <f>IF(Settings!$M$4=Settings!$Y$3,IF($AA1261=3,"P",""),IF($AA1261=9,"P",""))</f>
        <v/>
      </c>
      <c r="O1261" s="159" t="str">
        <f>IF(Settings!$M$4=Settings!$Y$3,IF($AA1261=3,"P",""),IF($AA1261=10,"P",""))</f>
        <v/>
      </c>
      <c r="P1261" s="22"/>
      <c r="Q1261" s="22"/>
      <c r="R1261" s="353" t="e">
        <f>IF(INDEX(TblDatabase[Comment17],MATCH(1,INDEX(($L$4=ListEmployeeNamesInDatabase)*(C1237=TblDatabase[Year]),0,1),0))="","",INDEX(TblDatabase[Comment17],MATCH(1,INDEX(($L$4=ListEmployeeNamesInDatabase)*(C1237=TblDatabase[Year]),0,1),0)))</f>
        <v>#N/A</v>
      </c>
      <c r="S1261" s="353"/>
      <c r="T1261" s="353"/>
      <c r="U1261" s="353"/>
      <c r="V1261" s="353"/>
      <c r="W1261" s="353"/>
      <c r="X1261" s="353"/>
      <c r="Y1261" s="354"/>
      <c r="Z1261" s="149"/>
      <c r="AA1261" s="151">
        <f>SUMIFS(TblDatabase[Competency17],ListEmployeeNamesInDatabase,$L$4,TblDatabase[Year],C1237)</f>
        <v>0</v>
      </c>
      <c r="AB1261" s="149"/>
      <c r="AC1261" s="149"/>
      <c r="AD1261" s="149"/>
      <c r="AE1261" s="149"/>
      <c r="AF1261" s="149"/>
    </row>
    <row r="1262" spans="2:32" s="148" customFormat="1" ht="15" hidden="1" customHeight="1">
      <c r="B1262" s="355" t="str">
        <f t="shared" si="29"/>
        <v/>
      </c>
      <c r="C1262" s="356"/>
      <c r="D1262" s="356"/>
      <c r="E1262" s="357"/>
      <c r="F1262" s="163" t="str">
        <f>IF(Settings!$M$4=Settings!$Y$3,IF($AA1262=1,"P",""),IF($AA1262=1,"P",""))</f>
        <v/>
      </c>
      <c r="G1262" s="164" t="str">
        <f>IF(Settings!$M$4=Settings!$Y$3,IF($AA1262=1,"P",""),IF($AA1262=2,"P",""))</f>
        <v/>
      </c>
      <c r="H1262" s="164" t="str">
        <f>IF(Settings!$M$4=Settings!$Y$3,IF($AA1262=1,"P",""),IF($AA1262=3,"P",""))</f>
        <v/>
      </c>
      <c r="I1262" s="164" t="str">
        <f>IF(Settings!$M$4=Settings!$Y$3,IF($AA1262=1,"P",""),IF($AA1262=4,"P",""))</f>
        <v/>
      </c>
      <c r="J1262" s="164" t="str">
        <f>IF(Settings!$M$4=Settings!$Y$3,IF($AA1262=2,"P",""),IF($AA1262=5,"P",""))</f>
        <v/>
      </c>
      <c r="K1262" s="164" t="str">
        <f>IF(Settings!$M$4=Settings!$Y$3,IF($AA1262=2,"P",""),IF($AA1262=6,"P",""))</f>
        <v/>
      </c>
      <c r="L1262" s="164" t="str">
        <f>IF(Settings!$M$4=Settings!$Y$3,IF($AA1262=2,"P",""),IF($AA1262=7,"P",""))</f>
        <v/>
      </c>
      <c r="M1262" s="164" t="str">
        <f>IF(Settings!$M$4=Settings!$Y$3,IF($AA1262=2,"P",""),IF($AA1262=8,"P",""))</f>
        <v/>
      </c>
      <c r="N1262" s="164" t="str">
        <f>IF(Settings!$M$4=Settings!$Y$3,IF($AA1262=3,"P",""),IF($AA1262=9,"P",""))</f>
        <v/>
      </c>
      <c r="O1262" s="165" t="str">
        <f>IF(Settings!$M$4=Settings!$Y$3,IF($AA1262=3,"P",""),IF($AA1262=10,"P",""))</f>
        <v/>
      </c>
      <c r="P1262" s="22"/>
      <c r="Q1262" s="22"/>
      <c r="R1262" s="360" t="e">
        <f>IF(INDEX(TblDatabase[Comment18],MATCH(1,INDEX(($L$4=ListEmployeeNamesInDatabase)*(C1237=TblDatabase[Year]),0,1),0))="","",INDEX(TblDatabase[Comment18],MATCH(1,INDEX(($L$4=ListEmployeeNamesInDatabase)*(C1237=TblDatabase[Year]),0,1),0)))</f>
        <v>#N/A</v>
      </c>
      <c r="S1262" s="360"/>
      <c r="T1262" s="360"/>
      <c r="U1262" s="360"/>
      <c r="V1262" s="360"/>
      <c r="W1262" s="360"/>
      <c r="X1262" s="360"/>
      <c r="Y1262" s="361"/>
      <c r="Z1262" s="149"/>
      <c r="AA1262" s="151">
        <f>SUMIFS(TblDatabase[Competency18],ListEmployeeNamesInDatabase,$L$4,TblDatabase[Year],C1237)</f>
        <v>0</v>
      </c>
      <c r="AB1262" s="149"/>
      <c r="AC1262" s="149"/>
      <c r="AD1262" s="149"/>
      <c r="AE1262" s="149"/>
      <c r="AF1262" s="149"/>
    </row>
    <row r="1263" spans="2:32" s="148" customFormat="1" ht="15" hidden="1" customHeight="1">
      <c r="B1263" s="350" t="str">
        <f t="shared" si="29"/>
        <v/>
      </c>
      <c r="C1263" s="351"/>
      <c r="D1263" s="351"/>
      <c r="E1263" s="352"/>
      <c r="F1263" s="157" t="str">
        <f>IF(Settings!$M$4=Settings!$Y$3,IF($AA1263=1,"P",""),IF($AA1263=1,"P",""))</f>
        <v/>
      </c>
      <c r="G1263" s="158" t="str">
        <f>IF(Settings!$M$4=Settings!$Y$3,IF($AA1263=1,"P",""),IF($AA1263=2,"P",""))</f>
        <v/>
      </c>
      <c r="H1263" s="158" t="str">
        <f>IF(Settings!$M$4=Settings!$Y$3,IF($AA1263=1,"P",""),IF($AA1263=3,"P",""))</f>
        <v/>
      </c>
      <c r="I1263" s="158" t="str">
        <f>IF(Settings!$M$4=Settings!$Y$3,IF($AA1263=1,"P",""),IF($AA1263=4,"P",""))</f>
        <v/>
      </c>
      <c r="J1263" s="158" t="str">
        <f>IF(Settings!$M$4=Settings!$Y$3,IF($AA1263=2,"P",""),IF($AA1263=5,"P",""))</f>
        <v/>
      </c>
      <c r="K1263" s="158" t="str">
        <f>IF(Settings!$M$4=Settings!$Y$3,IF($AA1263=2,"P",""),IF($AA1263=6,"P",""))</f>
        <v/>
      </c>
      <c r="L1263" s="158" t="str">
        <f>IF(Settings!$M$4=Settings!$Y$3,IF($AA1263=2,"P",""),IF($AA1263=7,"P",""))</f>
        <v/>
      </c>
      <c r="M1263" s="158" t="str">
        <f>IF(Settings!$M$4=Settings!$Y$3,IF($AA1263=2,"P",""),IF($AA1263=8,"P",""))</f>
        <v/>
      </c>
      <c r="N1263" s="158" t="str">
        <f>IF(Settings!$M$4=Settings!$Y$3,IF($AA1263=3,"P",""),IF($AA1263=9,"P",""))</f>
        <v/>
      </c>
      <c r="O1263" s="159" t="str">
        <f>IF(Settings!$M$4=Settings!$Y$3,IF($AA1263=3,"P",""),IF($AA1263=10,"P",""))</f>
        <v/>
      </c>
      <c r="P1263" s="22"/>
      <c r="Q1263" s="22"/>
      <c r="R1263" s="353" t="e">
        <f>IF(INDEX(TblDatabase[Comment19],MATCH(1,INDEX(($L$4=ListEmployeeNamesInDatabase)*(C1237=TblDatabase[Year]),0,1),0))="","",INDEX(TblDatabase[Comment19],MATCH(1,INDEX(($L$4=ListEmployeeNamesInDatabase)*(C1237=TblDatabase[Year]),0,1),0)))</f>
        <v>#N/A</v>
      </c>
      <c r="S1263" s="353"/>
      <c r="T1263" s="353"/>
      <c r="U1263" s="353"/>
      <c r="V1263" s="353"/>
      <c r="W1263" s="353"/>
      <c r="X1263" s="353"/>
      <c r="Y1263" s="354"/>
      <c r="Z1263" s="149"/>
      <c r="AA1263" s="151">
        <f>SUMIFS(TblDatabase[Competency19],ListEmployeeNamesInDatabase,$L$4,TblDatabase[Year],C1237)</f>
        <v>0</v>
      </c>
      <c r="AB1263" s="149"/>
      <c r="AC1263" s="149"/>
      <c r="AD1263" s="149"/>
      <c r="AE1263" s="149"/>
      <c r="AF1263" s="149"/>
    </row>
    <row r="1264" spans="2:32" s="148" customFormat="1" ht="15" hidden="1" customHeight="1">
      <c r="B1264" s="362" t="str">
        <f t="shared" si="29"/>
        <v/>
      </c>
      <c r="C1264" s="363"/>
      <c r="D1264" s="363"/>
      <c r="E1264" s="364"/>
      <c r="F1264" s="166" t="str">
        <f>IF(Settings!$M$4=Settings!$Y$3,IF($AA1264=1,"P",""),IF($AA1264=1,"P",""))</f>
        <v/>
      </c>
      <c r="G1264" s="167" t="str">
        <f>IF(Settings!$M$4=Settings!$Y$3,IF($AA1264=1,"P",""),IF($AA1264=2,"P",""))</f>
        <v/>
      </c>
      <c r="H1264" s="167" t="str">
        <f>IF(Settings!$M$4=Settings!$Y$3,IF($AA1264=1,"P",""),IF($AA1264=3,"P",""))</f>
        <v/>
      </c>
      <c r="I1264" s="167" t="str">
        <f>IF(Settings!$M$4=Settings!$Y$3,IF($AA1264=1,"P",""),IF($AA1264=4,"P",""))</f>
        <v/>
      </c>
      <c r="J1264" s="167" t="str">
        <f>IF(Settings!$M$4=Settings!$Y$3,IF($AA1264=2,"P",""),IF($AA1264=5,"P",""))</f>
        <v/>
      </c>
      <c r="K1264" s="167" t="str">
        <f>IF(Settings!$M$4=Settings!$Y$3,IF($AA1264=2,"P",""),IF($AA1264=6,"P",""))</f>
        <v/>
      </c>
      <c r="L1264" s="167" t="str">
        <f>IF(Settings!$M$4=Settings!$Y$3,IF($AA1264=2,"P",""),IF($AA1264=7,"P",""))</f>
        <v/>
      </c>
      <c r="M1264" s="167" t="str">
        <f>IF(Settings!$M$4=Settings!$Y$3,IF($AA1264=2,"P",""),IF($AA1264=8,"P",""))</f>
        <v/>
      </c>
      <c r="N1264" s="167" t="str">
        <f>IF(Settings!$M$4=Settings!$Y$3,IF($AA1264=3,"P",""),IF($AA1264=9,"P",""))</f>
        <v/>
      </c>
      <c r="O1264" s="168" t="str">
        <f>IF(Settings!$M$4=Settings!$Y$3,IF($AA1264=3,"P",""),IF($AA1264=10,"P",""))</f>
        <v/>
      </c>
      <c r="P1264" s="22"/>
      <c r="Q1264" s="22"/>
      <c r="R1264" s="365" t="e">
        <f>IF(INDEX(TblDatabase[Comment20],MATCH(1,INDEX(($L$4=ListEmployeeNamesInDatabase)*(C1237=TblDatabase[Year]),0,1),0))="","",INDEX(TblDatabase[Comment20],MATCH(1,INDEX(($L$4=ListEmployeeNamesInDatabase)*(C1237=TblDatabase[Year]),0,1),0)))</f>
        <v>#N/A</v>
      </c>
      <c r="S1264" s="365"/>
      <c r="T1264" s="365"/>
      <c r="U1264" s="365"/>
      <c r="V1264" s="365"/>
      <c r="W1264" s="365"/>
      <c r="X1264" s="365"/>
      <c r="Y1264" s="366"/>
      <c r="Z1264" s="149"/>
      <c r="AA1264" s="151">
        <f>SUMIFS(TblDatabase[Competency20],ListEmployeeNamesInDatabase,$L$4,TblDatabase[Year],C1237)</f>
        <v>0</v>
      </c>
      <c r="AB1264" s="149"/>
      <c r="AC1264" s="149"/>
      <c r="AD1264" s="149"/>
      <c r="AE1264" s="149"/>
      <c r="AF1264" s="149"/>
    </row>
    <row r="1265" spans="2:32" s="148" customFormat="1" hidden="1">
      <c r="B1265" s="414" t="s">
        <v>26</v>
      </c>
      <c r="C1265" s="415"/>
      <c r="D1265" s="415"/>
      <c r="E1265" s="371">
        <f ca="1">SUM(OFFSET(AA1245,0,0,NumberOfCompetencies))</f>
        <v>0</v>
      </c>
      <c r="F1265" s="372"/>
      <c r="G1265" s="152"/>
      <c r="H1265" s="152"/>
      <c r="I1265" s="152"/>
      <c r="J1265" s="152"/>
      <c r="K1265" s="152"/>
      <c r="L1265" s="152"/>
      <c r="M1265" s="152"/>
      <c r="N1265" s="152"/>
      <c r="O1265" s="152"/>
      <c r="P1265" s="152"/>
      <c r="Q1265" s="152"/>
      <c r="R1265" s="152"/>
      <c r="S1265" s="152"/>
      <c r="T1265" s="152"/>
      <c r="U1265" s="152"/>
      <c r="V1265" s="152"/>
      <c r="W1265" s="152"/>
      <c r="X1265" s="152"/>
      <c r="Y1265" s="152"/>
      <c r="Z1265" s="149"/>
      <c r="AA1265" s="149"/>
      <c r="AB1265" s="149"/>
      <c r="AC1265" s="149"/>
      <c r="AD1265" s="149"/>
      <c r="AE1265" s="149"/>
      <c r="AF1265" s="149"/>
    </row>
    <row r="1266" spans="2:32" s="148" customFormat="1" hidden="1">
      <c r="B1266" s="369" t="s">
        <v>27</v>
      </c>
      <c r="C1266" s="370"/>
      <c r="D1266" s="370"/>
      <c r="E1266" s="358">
        <f ca="1">E1265/NumberOfCompetencies</f>
        <v>0</v>
      </c>
      <c r="F1266" s="359"/>
      <c r="G1266" s="153"/>
      <c r="H1266" s="153"/>
      <c r="I1266" s="153"/>
      <c r="J1266" s="153"/>
      <c r="K1266" s="153"/>
      <c r="L1266" s="153"/>
      <c r="M1266" s="153"/>
      <c r="N1266" s="153"/>
      <c r="O1266" s="153"/>
      <c r="P1266" s="153"/>
      <c r="Q1266" s="153"/>
      <c r="R1266" s="153"/>
      <c r="S1266" s="153"/>
      <c r="T1266" s="153"/>
      <c r="U1266" s="153"/>
      <c r="V1266" s="153"/>
      <c r="W1266" s="153"/>
      <c r="X1266" s="153"/>
      <c r="Y1266" s="153"/>
      <c r="Z1266" s="149"/>
      <c r="AA1266" s="149"/>
      <c r="AB1266" s="149"/>
      <c r="AC1266" s="149"/>
      <c r="AD1266" s="149"/>
      <c r="AE1266" s="149"/>
      <c r="AF1266" s="149"/>
    </row>
    <row r="1267" spans="2:32" s="148" customFormat="1" hidden="1">
      <c r="B1267" s="154"/>
      <c r="C1267" s="154"/>
      <c r="D1267" s="154"/>
      <c r="E1267" s="154"/>
      <c r="F1267" s="154"/>
      <c r="G1267" s="154"/>
      <c r="H1267" s="154"/>
      <c r="I1267" s="154"/>
      <c r="J1267" s="154"/>
      <c r="K1267" s="154"/>
      <c r="L1267" s="154"/>
      <c r="M1267" s="154"/>
      <c r="N1267" s="154"/>
      <c r="O1267" s="154"/>
      <c r="P1267" s="154"/>
      <c r="Q1267" s="154"/>
      <c r="R1267" s="154"/>
      <c r="S1267" s="154"/>
      <c r="T1267" s="154"/>
      <c r="U1267" s="154"/>
      <c r="V1267" s="154"/>
      <c r="W1267" s="154"/>
      <c r="X1267" s="154"/>
      <c r="Y1267" s="154"/>
      <c r="Z1267" s="149"/>
      <c r="AA1267" s="149"/>
      <c r="AB1267" s="149"/>
      <c r="AC1267" s="149"/>
      <c r="AD1267" s="149"/>
      <c r="AE1267" s="149"/>
      <c r="AF1267" s="149"/>
    </row>
    <row r="1268" spans="2:32" s="148" customFormat="1" hidden="1">
      <c r="B1268" s="338" t="str">
        <f>Settings!$N$15</f>
        <v>Previously agreed actions</v>
      </c>
      <c r="C1268" s="339"/>
      <c r="D1268" s="339"/>
      <c r="E1268" s="339"/>
      <c r="F1268" s="339"/>
      <c r="G1268" s="339"/>
      <c r="H1268" s="339"/>
      <c r="I1268" s="339"/>
      <c r="J1268" s="339"/>
      <c r="K1268" s="339"/>
      <c r="L1268" s="339"/>
      <c r="M1268" s="339"/>
      <c r="N1268" s="339"/>
      <c r="O1268" s="339"/>
      <c r="P1268" s="339"/>
      <c r="Q1268" s="339"/>
      <c r="R1268" s="339"/>
      <c r="S1268" s="339"/>
      <c r="T1268" s="339"/>
      <c r="U1268" s="339"/>
      <c r="V1268" s="339"/>
      <c r="W1268" s="339"/>
      <c r="X1268" s="339"/>
      <c r="Y1268" s="340"/>
      <c r="Z1268" s="149"/>
      <c r="AA1268" s="149"/>
      <c r="AB1268" s="149"/>
      <c r="AC1268" s="149"/>
      <c r="AD1268" s="149"/>
      <c r="AE1268" s="149"/>
      <c r="AF1268" s="149"/>
    </row>
    <row r="1269" spans="2:32" s="148" customFormat="1" hidden="1">
      <c r="B1269" s="341" t="e">
        <f>IF(INDEX(TblDatabase[Feedback Does Well],MATCH(1,INDEX(($L$4=ListEmployeeNamesInDatabase)*(C1237=TblDatabase[Year]),0,1),0))="","",INDEX(TblDatabase[Feedback Does Well],MATCH(1,INDEX(($L$4=ListEmployeeNamesInDatabase)*(C1237=TblDatabase[Year]),0,1),0)))</f>
        <v>#N/A</v>
      </c>
      <c r="C1269" s="342"/>
      <c r="D1269" s="342"/>
      <c r="E1269" s="342"/>
      <c r="F1269" s="342"/>
      <c r="G1269" s="342"/>
      <c r="H1269" s="342"/>
      <c r="I1269" s="342"/>
      <c r="J1269" s="342"/>
      <c r="K1269" s="342"/>
      <c r="L1269" s="342"/>
      <c r="M1269" s="342"/>
      <c r="N1269" s="342"/>
      <c r="O1269" s="342"/>
      <c r="P1269" s="342"/>
      <c r="Q1269" s="342"/>
      <c r="R1269" s="342"/>
      <c r="S1269" s="342"/>
      <c r="T1269" s="342"/>
      <c r="U1269" s="342"/>
      <c r="V1269" s="342"/>
      <c r="W1269" s="342"/>
      <c r="X1269" s="342"/>
      <c r="Y1269" s="343"/>
      <c r="Z1269" s="149"/>
      <c r="AA1269" s="149"/>
      <c r="AB1269" s="149"/>
      <c r="AC1269" s="149"/>
      <c r="AD1269" s="149"/>
      <c r="AE1269" s="149"/>
      <c r="AF1269" s="149"/>
    </row>
    <row r="1270" spans="2:32" s="148" customFormat="1" hidden="1">
      <c r="B1270" s="344"/>
      <c r="C1270" s="345"/>
      <c r="D1270" s="345"/>
      <c r="E1270" s="345"/>
      <c r="F1270" s="345"/>
      <c r="G1270" s="345"/>
      <c r="H1270" s="345"/>
      <c r="I1270" s="345"/>
      <c r="J1270" s="345"/>
      <c r="K1270" s="345"/>
      <c r="L1270" s="345"/>
      <c r="M1270" s="345"/>
      <c r="N1270" s="345"/>
      <c r="O1270" s="345"/>
      <c r="P1270" s="345"/>
      <c r="Q1270" s="345"/>
      <c r="R1270" s="345"/>
      <c r="S1270" s="345"/>
      <c r="T1270" s="345"/>
      <c r="U1270" s="345"/>
      <c r="V1270" s="345"/>
      <c r="W1270" s="345"/>
      <c r="X1270" s="345"/>
      <c r="Y1270" s="346"/>
      <c r="Z1270" s="149"/>
      <c r="AA1270" s="149"/>
      <c r="AB1270" s="149"/>
      <c r="AC1270" s="149"/>
      <c r="AD1270" s="149"/>
      <c r="AE1270" s="149"/>
      <c r="AF1270" s="149"/>
    </row>
    <row r="1271" spans="2:32" s="148" customFormat="1" hidden="1">
      <c r="B1271" s="347"/>
      <c r="C1271" s="348"/>
      <c r="D1271" s="348"/>
      <c r="E1271" s="348"/>
      <c r="F1271" s="348"/>
      <c r="G1271" s="348"/>
      <c r="H1271" s="348"/>
      <c r="I1271" s="348"/>
      <c r="J1271" s="348"/>
      <c r="K1271" s="348"/>
      <c r="L1271" s="348"/>
      <c r="M1271" s="348"/>
      <c r="N1271" s="348"/>
      <c r="O1271" s="348"/>
      <c r="P1271" s="348"/>
      <c r="Q1271" s="348"/>
      <c r="R1271" s="348"/>
      <c r="S1271" s="348"/>
      <c r="T1271" s="348"/>
      <c r="U1271" s="348"/>
      <c r="V1271" s="348"/>
      <c r="W1271" s="348"/>
      <c r="X1271" s="348"/>
      <c r="Y1271" s="349"/>
      <c r="Z1271" s="149"/>
      <c r="AA1271" s="149"/>
      <c r="AB1271" s="149"/>
      <c r="AC1271" s="149"/>
      <c r="AD1271" s="149"/>
      <c r="AE1271" s="149"/>
      <c r="AF1271" s="149"/>
    </row>
    <row r="1272" spans="2:32" s="148" customFormat="1" hidden="1">
      <c r="B1272" s="155"/>
      <c r="C1272" s="155"/>
      <c r="D1272" s="155"/>
      <c r="E1272" s="155"/>
      <c r="F1272" s="155"/>
      <c r="G1272" s="155"/>
      <c r="H1272" s="155"/>
      <c r="I1272" s="155"/>
      <c r="J1272" s="155"/>
      <c r="K1272" s="155"/>
      <c r="L1272" s="155"/>
      <c r="M1272" s="155"/>
      <c r="N1272" s="155"/>
      <c r="O1272" s="155"/>
      <c r="P1272" s="155"/>
      <c r="Q1272" s="155"/>
      <c r="R1272" s="155"/>
      <c r="S1272" s="155"/>
      <c r="T1272" s="155"/>
      <c r="U1272" s="155"/>
      <c r="V1272" s="155"/>
      <c r="W1272" s="155"/>
      <c r="X1272" s="155"/>
      <c r="Y1272" s="155"/>
      <c r="Z1272" s="149"/>
      <c r="AA1272" s="149"/>
      <c r="AB1272" s="149"/>
      <c r="AC1272" s="149"/>
      <c r="AD1272" s="149"/>
      <c r="AE1272" s="149"/>
      <c r="AF1272" s="149"/>
    </row>
    <row r="1273" spans="2:32" s="148" customFormat="1" hidden="1">
      <c r="B1273" s="338" t="str">
        <f>Settings!$N$16</f>
        <v>Actions agreed during this review</v>
      </c>
      <c r="C1273" s="339"/>
      <c r="D1273" s="339"/>
      <c r="E1273" s="339"/>
      <c r="F1273" s="339"/>
      <c r="G1273" s="339"/>
      <c r="H1273" s="339"/>
      <c r="I1273" s="339"/>
      <c r="J1273" s="339"/>
      <c r="K1273" s="339"/>
      <c r="L1273" s="339"/>
      <c r="M1273" s="339"/>
      <c r="N1273" s="339"/>
      <c r="O1273" s="339"/>
      <c r="P1273" s="339"/>
      <c r="Q1273" s="339"/>
      <c r="R1273" s="339"/>
      <c r="S1273" s="339"/>
      <c r="T1273" s="339"/>
      <c r="U1273" s="339"/>
      <c r="V1273" s="339"/>
      <c r="W1273" s="339"/>
      <c r="X1273" s="339"/>
      <c r="Y1273" s="340"/>
      <c r="Z1273" s="149"/>
      <c r="AA1273" s="149"/>
      <c r="AB1273" s="149"/>
      <c r="AC1273" s="149"/>
      <c r="AD1273" s="149"/>
      <c r="AE1273" s="149"/>
      <c r="AF1273" s="149"/>
    </row>
    <row r="1274" spans="2:32" s="148" customFormat="1" hidden="1">
      <c r="B1274" s="341" t="e">
        <f>IF(INDEX(TblDatabase[Feedback To Improve],MATCH(1,INDEX(($L$4=ListEmployeeNamesInDatabase)*(C1237=TblDatabase[Year]),0,1),0))="","",INDEX(TblDatabase[Feedback To Improve],MATCH(1,INDEX(($L$4=ListEmployeeNamesInDatabase)*(C1237=TblDatabase[Year]),0,1),0)))</f>
        <v>#N/A</v>
      </c>
      <c r="C1274" s="342"/>
      <c r="D1274" s="342"/>
      <c r="E1274" s="342"/>
      <c r="F1274" s="342"/>
      <c r="G1274" s="342"/>
      <c r="H1274" s="342"/>
      <c r="I1274" s="342"/>
      <c r="J1274" s="342"/>
      <c r="K1274" s="342"/>
      <c r="L1274" s="342"/>
      <c r="M1274" s="342"/>
      <c r="N1274" s="342"/>
      <c r="O1274" s="342"/>
      <c r="P1274" s="342"/>
      <c r="Q1274" s="342"/>
      <c r="R1274" s="342"/>
      <c r="S1274" s="342"/>
      <c r="T1274" s="342"/>
      <c r="U1274" s="342"/>
      <c r="V1274" s="342"/>
      <c r="W1274" s="342"/>
      <c r="X1274" s="342"/>
      <c r="Y1274" s="343"/>
      <c r="Z1274" s="149"/>
      <c r="AA1274" s="149"/>
      <c r="AB1274" s="149"/>
      <c r="AC1274" s="149"/>
      <c r="AD1274" s="149"/>
      <c r="AE1274" s="149"/>
      <c r="AF1274" s="149"/>
    </row>
    <row r="1275" spans="2:32" s="148" customFormat="1" hidden="1">
      <c r="B1275" s="344"/>
      <c r="C1275" s="345"/>
      <c r="D1275" s="345"/>
      <c r="E1275" s="345"/>
      <c r="F1275" s="345"/>
      <c r="G1275" s="345"/>
      <c r="H1275" s="345"/>
      <c r="I1275" s="345"/>
      <c r="J1275" s="345"/>
      <c r="K1275" s="345"/>
      <c r="L1275" s="345"/>
      <c r="M1275" s="345"/>
      <c r="N1275" s="345"/>
      <c r="O1275" s="345"/>
      <c r="P1275" s="345"/>
      <c r="Q1275" s="345"/>
      <c r="R1275" s="345"/>
      <c r="S1275" s="345"/>
      <c r="T1275" s="345"/>
      <c r="U1275" s="345"/>
      <c r="V1275" s="345"/>
      <c r="W1275" s="345"/>
      <c r="X1275" s="345"/>
      <c r="Y1275" s="346"/>
      <c r="Z1275" s="149"/>
      <c r="AA1275" s="149"/>
      <c r="AB1275" s="149"/>
      <c r="AC1275" s="149"/>
      <c r="AD1275" s="149"/>
      <c r="AE1275" s="149"/>
      <c r="AF1275" s="149"/>
    </row>
    <row r="1276" spans="2:32" s="148" customFormat="1" hidden="1">
      <c r="B1276" s="347"/>
      <c r="C1276" s="348"/>
      <c r="D1276" s="348"/>
      <c r="E1276" s="348"/>
      <c r="F1276" s="348"/>
      <c r="G1276" s="348"/>
      <c r="H1276" s="348"/>
      <c r="I1276" s="348"/>
      <c r="J1276" s="348"/>
      <c r="K1276" s="348"/>
      <c r="L1276" s="348"/>
      <c r="M1276" s="348"/>
      <c r="N1276" s="348"/>
      <c r="O1276" s="348"/>
      <c r="P1276" s="348"/>
      <c r="Q1276" s="348"/>
      <c r="R1276" s="348"/>
      <c r="S1276" s="348"/>
      <c r="T1276" s="348"/>
      <c r="U1276" s="348"/>
      <c r="V1276" s="348"/>
      <c r="W1276" s="348"/>
      <c r="X1276" s="348"/>
      <c r="Y1276" s="349"/>
      <c r="Z1276" s="149"/>
      <c r="AA1276" s="149"/>
      <c r="AB1276" s="149"/>
      <c r="AC1276" s="149"/>
      <c r="AD1276" s="149"/>
      <c r="AE1276" s="149"/>
      <c r="AF1276" s="149"/>
    </row>
  </sheetData>
  <sheetProtection algorithmName="SHA-512" hashValue="1sk9md2af0rfZ/CTC40ZQF/hSm5yqI1vIbwA/OH9mQih2azGEJzvO7KbDTvCAjdthMqvzmax5/Fy3A8jKdfGSQ==" saltValue="cT6iSmeJmZRPrqUqs3n9Aw==" spinCount="100000" sheet="1" objects="1" scenarios="1"/>
  <mergeCells count="1713">
    <mergeCell ref="R935:Y935"/>
    <mergeCell ref="B936:E936"/>
    <mergeCell ref="R936:Y936"/>
    <mergeCell ref="B937:D937"/>
    <mergeCell ref="E937:F937"/>
    <mergeCell ref="B938:D938"/>
    <mergeCell ref="E938:F938"/>
    <mergeCell ref="B953:Y955"/>
    <mergeCell ref="B945:Y945"/>
    <mergeCell ref="B946:Y948"/>
    <mergeCell ref="C950:D950"/>
    <mergeCell ref="B957:E957"/>
    <mergeCell ref="R1122:Y1122"/>
    <mergeCell ref="B1125:E1125"/>
    <mergeCell ref="R1125:Y1125"/>
    <mergeCell ref="B1126:E1126"/>
    <mergeCell ref="R1126:Y1126"/>
    <mergeCell ref="B1123:E1123"/>
    <mergeCell ref="R1123:Y1123"/>
    <mergeCell ref="B1124:E1124"/>
    <mergeCell ref="R1124:Y1124"/>
    <mergeCell ref="B1095:E1095"/>
    <mergeCell ref="R1095:Y1095"/>
    <mergeCell ref="B1093:E1093"/>
    <mergeCell ref="R1093:Y1093"/>
    <mergeCell ref="B1094:E1094"/>
    <mergeCell ref="R1094:Y1094"/>
    <mergeCell ref="B1104:Y1104"/>
    <mergeCell ref="B1105:Y1107"/>
    <mergeCell ref="B1099:E1099"/>
    <mergeCell ref="R1099:Y1099"/>
    <mergeCell ref="B1100:E1100"/>
    <mergeCell ref="B629:E629"/>
    <mergeCell ref="R629:Y629"/>
    <mergeCell ref="B630:E630"/>
    <mergeCell ref="E487:F487"/>
    <mergeCell ref="B489:Y489"/>
    <mergeCell ref="B490:Y492"/>
    <mergeCell ref="B494:Y494"/>
    <mergeCell ref="B495:Y497"/>
    <mergeCell ref="B486:D486"/>
    <mergeCell ref="E486:F486"/>
    <mergeCell ref="B487:D487"/>
    <mergeCell ref="B132:Y132"/>
    <mergeCell ref="B1252:E1252"/>
    <mergeCell ref="B1273:Y1273"/>
    <mergeCell ref="B1274:Y1276"/>
    <mergeCell ref="B1259:E1259"/>
    <mergeCell ref="R1259:Y1259"/>
    <mergeCell ref="B1257:E1257"/>
    <mergeCell ref="R1257:Y1257"/>
    <mergeCell ref="B1258:E1258"/>
    <mergeCell ref="R1258:Y1258"/>
    <mergeCell ref="B1263:E1263"/>
    <mergeCell ref="R1263:Y1263"/>
    <mergeCell ref="B1264:E1264"/>
    <mergeCell ref="R1261:Y1261"/>
    <mergeCell ref="B1262:E1262"/>
    <mergeCell ref="R1262:Y1262"/>
    <mergeCell ref="B1256:E1256"/>
    <mergeCell ref="R1256:Y1256"/>
    <mergeCell ref="B1253:E1253"/>
    <mergeCell ref="B1145:Y1145"/>
    <mergeCell ref="B1146:Y1148"/>
    <mergeCell ref="R1253:Y1253"/>
    <mergeCell ref="B1254:E1254"/>
    <mergeCell ref="R1254:Y1254"/>
    <mergeCell ref="B1268:Y1268"/>
    <mergeCell ref="B1269:Y1271"/>
    <mergeCell ref="R1264:Y1264"/>
    <mergeCell ref="B1265:D1265"/>
    <mergeCell ref="E1265:F1265"/>
    <mergeCell ref="B1266:D1266"/>
    <mergeCell ref="E1266:F1266"/>
    <mergeCell ref="B1260:E1260"/>
    <mergeCell ref="R1260:Y1260"/>
    <mergeCell ref="B1261:E1261"/>
    <mergeCell ref="R1252:Y1252"/>
    <mergeCell ref="B1249:E1249"/>
    <mergeCell ref="R1249:Y1249"/>
    <mergeCell ref="B1250:E1250"/>
    <mergeCell ref="R1250:Y1250"/>
    <mergeCell ref="B1255:E1255"/>
    <mergeCell ref="R1255:Y1255"/>
    <mergeCell ref="B1248:E1248"/>
    <mergeCell ref="R1248:Y1248"/>
    <mergeCell ref="B1245:E1245"/>
    <mergeCell ref="R1245:Y1245"/>
    <mergeCell ref="B1246:E1246"/>
    <mergeCell ref="R1246:Y1246"/>
    <mergeCell ref="B1251:E1251"/>
    <mergeCell ref="R1251:Y1251"/>
    <mergeCell ref="B1222:E1222"/>
    <mergeCell ref="R1222:Y1222"/>
    <mergeCell ref="B1223:E1223"/>
    <mergeCell ref="R1223:Y1223"/>
    <mergeCell ref="B1224:D1224"/>
    <mergeCell ref="B1244:E1244"/>
    <mergeCell ref="R1244:Y1244"/>
    <mergeCell ref="B1247:E1247"/>
    <mergeCell ref="R1247:Y1247"/>
    <mergeCell ref="E1224:F1224"/>
    <mergeCell ref="B1225:D1225"/>
    <mergeCell ref="E1225:F1225"/>
    <mergeCell ref="B1239:Y1239"/>
    <mergeCell ref="B1240:Y1242"/>
    <mergeCell ref="B1233:Y1235"/>
    <mergeCell ref="C1237:D1237"/>
    <mergeCell ref="B1227:Y1227"/>
    <mergeCell ref="B1228:Y1230"/>
    <mergeCell ref="B1175:E1175"/>
    <mergeCell ref="R1175:Y1175"/>
    <mergeCell ref="B1176:E1176"/>
    <mergeCell ref="R1176:Y1176"/>
    <mergeCell ref="B1173:E1173"/>
    <mergeCell ref="B1232:Y1232"/>
    <mergeCell ref="B1217:E1217"/>
    <mergeCell ref="R1217:Y1217"/>
    <mergeCell ref="B1218:E1218"/>
    <mergeCell ref="R1218:Y1218"/>
    <mergeCell ref="B1215:E1215"/>
    <mergeCell ref="R1215:Y1215"/>
    <mergeCell ref="B1216:E1216"/>
    <mergeCell ref="R1216:Y1216"/>
    <mergeCell ref="B1213:E1213"/>
    <mergeCell ref="R1213:Y1213"/>
    <mergeCell ref="B1214:E1214"/>
    <mergeCell ref="R1214:Y1214"/>
    <mergeCell ref="B1211:E1211"/>
    <mergeCell ref="R1211:Y1211"/>
    <mergeCell ref="B1212:E1212"/>
    <mergeCell ref="R1212:Y1212"/>
    <mergeCell ref="B1219:E1219"/>
    <mergeCell ref="R1219:Y1219"/>
    <mergeCell ref="B1220:E1220"/>
    <mergeCell ref="R1220:Y1220"/>
    <mergeCell ref="B1221:E1221"/>
    <mergeCell ref="R1221:Y1221"/>
    <mergeCell ref="R1209:Y1209"/>
    <mergeCell ref="B1210:E1210"/>
    <mergeCell ref="R1210:Y1210"/>
    <mergeCell ref="B1207:E1207"/>
    <mergeCell ref="R1207:Y1207"/>
    <mergeCell ref="B1208:E1208"/>
    <mergeCell ref="R1208:Y1208"/>
    <mergeCell ref="B1177:E1177"/>
    <mergeCell ref="R1177:Y1177"/>
    <mergeCell ref="B1181:E1181"/>
    <mergeCell ref="R1181:Y1181"/>
    <mergeCell ref="B1182:E1182"/>
    <mergeCell ref="R1182:Y1182"/>
    <mergeCell ref="B1183:D1183"/>
    <mergeCell ref="B1205:E1205"/>
    <mergeCell ref="R1205:Y1205"/>
    <mergeCell ref="B1203:E1203"/>
    <mergeCell ref="R1203:Y1203"/>
    <mergeCell ref="B1204:E1204"/>
    <mergeCell ref="R1204:Y1204"/>
    <mergeCell ref="B1179:E1179"/>
    <mergeCell ref="R1179:Y1179"/>
    <mergeCell ref="B1180:E1180"/>
    <mergeCell ref="R1180:Y1180"/>
    <mergeCell ref="E1183:F1183"/>
    <mergeCell ref="B1184:D1184"/>
    <mergeCell ref="R1173:Y1173"/>
    <mergeCell ref="B1174:E1174"/>
    <mergeCell ref="R1174:Y1174"/>
    <mergeCell ref="B1171:E1171"/>
    <mergeCell ref="R1171:Y1171"/>
    <mergeCell ref="B1172:E1172"/>
    <mergeCell ref="R1172:Y1172"/>
    <mergeCell ref="B1169:E1169"/>
    <mergeCell ref="R1169:Y1169"/>
    <mergeCell ref="B1170:E1170"/>
    <mergeCell ref="R1170:Y1170"/>
    <mergeCell ref="B1142:D1142"/>
    <mergeCell ref="E1142:F1142"/>
    <mergeCell ref="B1143:D1143"/>
    <mergeCell ref="B1151:Y1153"/>
    <mergeCell ref="C1155:D1155"/>
    <mergeCell ref="B1163:E1163"/>
    <mergeCell ref="R1163:Y1163"/>
    <mergeCell ref="B1164:E1164"/>
    <mergeCell ref="R1164:Y1164"/>
    <mergeCell ref="B1162:E1162"/>
    <mergeCell ref="E1143:F1143"/>
    <mergeCell ref="B1157:Y1157"/>
    <mergeCell ref="B1158:Y1160"/>
    <mergeCell ref="R1162:Y1162"/>
    <mergeCell ref="B1165:E1165"/>
    <mergeCell ref="R1165:Y1165"/>
    <mergeCell ref="B1166:E1166"/>
    <mergeCell ref="R1166:Y1166"/>
    <mergeCell ref="B1150:Y1150"/>
    <mergeCell ref="R1100:Y1100"/>
    <mergeCell ref="B1101:D1101"/>
    <mergeCell ref="E1101:F1101"/>
    <mergeCell ref="B1102:D1102"/>
    <mergeCell ref="E1102:F1102"/>
    <mergeCell ref="B1091:E1091"/>
    <mergeCell ref="R1091:Y1091"/>
    <mergeCell ref="B1092:E1092"/>
    <mergeCell ref="R1092:Y1092"/>
    <mergeCell ref="B1096:E1096"/>
    <mergeCell ref="R1096:Y1096"/>
    <mergeCell ref="B1097:E1097"/>
    <mergeCell ref="R1097:Y1097"/>
    <mergeCell ref="B1098:E1098"/>
    <mergeCell ref="R1098:Y1098"/>
    <mergeCell ref="B1089:E1089"/>
    <mergeCell ref="R1089:Y1089"/>
    <mergeCell ref="B1090:E1090"/>
    <mergeCell ref="R1090:Y1090"/>
    <mergeCell ref="R1087:Y1087"/>
    <mergeCell ref="B1088:E1088"/>
    <mergeCell ref="R1088:Y1088"/>
    <mergeCell ref="B1087:E1087"/>
    <mergeCell ref="B1050:E1050"/>
    <mergeCell ref="R1050:Y1050"/>
    <mergeCell ref="B1047:E1047"/>
    <mergeCell ref="R1047:Y1047"/>
    <mergeCell ref="B1048:E1048"/>
    <mergeCell ref="R1048:Y1048"/>
    <mergeCell ref="R1045:Y1045"/>
    <mergeCell ref="B1046:E1046"/>
    <mergeCell ref="R1046:Y1046"/>
    <mergeCell ref="B1085:E1085"/>
    <mergeCell ref="R1085:Y1085"/>
    <mergeCell ref="B1086:E1086"/>
    <mergeCell ref="R1086:Y1086"/>
    <mergeCell ref="B1058:E1058"/>
    <mergeCell ref="R1058:Y1058"/>
    <mergeCell ref="B1059:E1059"/>
    <mergeCell ref="R1059:Y1059"/>
    <mergeCell ref="B1060:D1060"/>
    <mergeCell ref="B1080:E1080"/>
    <mergeCell ref="R1080:Y1080"/>
    <mergeCell ref="B1083:E1083"/>
    <mergeCell ref="R1083:Y1083"/>
    <mergeCell ref="B1081:E1081"/>
    <mergeCell ref="R1081:Y1081"/>
    <mergeCell ref="B1082:E1082"/>
    <mergeCell ref="R1082:Y1082"/>
    <mergeCell ref="E1060:F1060"/>
    <mergeCell ref="B1076:Y1078"/>
    <mergeCell ref="B1084:E1084"/>
    <mergeCell ref="R1084:Y1084"/>
    <mergeCell ref="B1019:D1019"/>
    <mergeCell ref="B1041:E1041"/>
    <mergeCell ref="R1041:Y1041"/>
    <mergeCell ref="B1039:E1039"/>
    <mergeCell ref="R1039:Y1039"/>
    <mergeCell ref="B1040:E1040"/>
    <mergeCell ref="R1040:Y1040"/>
    <mergeCell ref="B1015:E1015"/>
    <mergeCell ref="R1015:Y1015"/>
    <mergeCell ref="B1016:E1016"/>
    <mergeCell ref="R1016:Y1016"/>
    <mergeCell ref="E1019:F1019"/>
    <mergeCell ref="B1020:D1020"/>
    <mergeCell ref="E1020:F1020"/>
    <mergeCell ref="B1034:Y1034"/>
    <mergeCell ref="B1035:Y1037"/>
    <mergeCell ref="B1057:E1057"/>
    <mergeCell ref="R1057:Y1057"/>
    <mergeCell ref="B1022:Y1022"/>
    <mergeCell ref="B1023:Y1025"/>
    <mergeCell ref="B1027:Y1027"/>
    <mergeCell ref="B1028:Y1030"/>
    <mergeCell ref="C1032:D1032"/>
    <mergeCell ref="B1042:E1042"/>
    <mergeCell ref="R1042:Y1042"/>
    <mergeCell ref="B1045:E1045"/>
    <mergeCell ref="B1061:D1061"/>
    <mergeCell ref="E1061:F1061"/>
    <mergeCell ref="B1075:Y1075"/>
    <mergeCell ref="B1069:Y1071"/>
    <mergeCell ref="B1014:E1014"/>
    <mergeCell ref="R1014:Y1014"/>
    <mergeCell ref="B999:E999"/>
    <mergeCell ref="R999:Y999"/>
    <mergeCell ref="B1000:E1000"/>
    <mergeCell ref="R1000:Y1000"/>
    <mergeCell ref="B998:E998"/>
    <mergeCell ref="R998:Y998"/>
    <mergeCell ref="E979:F979"/>
    <mergeCell ref="B993:Y993"/>
    <mergeCell ref="B994:Y996"/>
    <mergeCell ref="B1013:E1013"/>
    <mergeCell ref="R1013:Y1013"/>
    <mergeCell ref="B1017:E1017"/>
    <mergeCell ref="R1017:Y1017"/>
    <mergeCell ref="B1018:E1018"/>
    <mergeCell ref="R1018:Y1018"/>
    <mergeCell ref="R1002:Y1002"/>
    <mergeCell ref="B932:E932"/>
    <mergeCell ref="R932:Y932"/>
    <mergeCell ref="B933:E933"/>
    <mergeCell ref="R933:Y933"/>
    <mergeCell ref="B934:E934"/>
    <mergeCell ref="R934:Y934"/>
    <mergeCell ref="B952:Y952"/>
    <mergeCell ref="B1011:E1011"/>
    <mergeCell ref="R1011:Y1011"/>
    <mergeCell ref="B1012:E1012"/>
    <mergeCell ref="R1012:Y1012"/>
    <mergeCell ref="B1009:E1009"/>
    <mergeCell ref="R1009:Y1009"/>
    <mergeCell ref="B1010:E1010"/>
    <mergeCell ref="R1010:Y1010"/>
    <mergeCell ref="B1007:E1007"/>
    <mergeCell ref="R1007:Y1007"/>
    <mergeCell ref="B1008:E1008"/>
    <mergeCell ref="R1008:Y1008"/>
    <mergeCell ref="B1005:E1005"/>
    <mergeCell ref="R1005:Y1005"/>
    <mergeCell ref="B1006:E1006"/>
    <mergeCell ref="R1006:Y1006"/>
    <mergeCell ref="B978:D978"/>
    <mergeCell ref="E978:F978"/>
    <mergeCell ref="B979:D979"/>
    <mergeCell ref="B987:Y989"/>
    <mergeCell ref="C991:D991"/>
    <mergeCell ref="R971:Y971"/>
    <mergeCell ref="B940:Y940"/>
    <mergeCell ref="B941:Y943"/>
    <mergeCell ref="B935:E935"/>
    <mergeCell ref="B972:E972"/>
    <mergeCell ref="R972:Y972"/>
    <mergeCell ref="B976:E976"/>
    <mergeCell ref="R976:Y976"/>
    <mergeCell ref="B977:E977"/>
    <mergeCell ref="R977:Y977"/>
    <mergeCell ref="R975:Y975"/>
    <mergeCell ref="B969:E969"/>
    <mergeCell ref="R969:Y969"/>
    <mergeCell ref="B970:E970"/>
    <mergeCell ref="R970:Y970"/>
    <mergeCell ref="B967:E967"/>
    <mergeCell ref="R967:Y967"/>
    <mergeCell ref="B968:E968"/>
    <mergeCell ref="R968:Y968"/>
    <mergeCell ref="B965:E965"/>
    <mergeCell ref="R965:Y965"/>
    <mergeCell ref="B966:E966"/>
    <mergeCell ref="R966:Y966"/>
    <mergeCell ref="B971:E971"/>
    <mergeCell ref="B925:E925"/>
    <mergeCell ref="R925:Y925"/>
    <mergeCell ref="B926:E926"/>
    <mergeCell ref="R926:Y926"/>
    <mergeCell ref="R923:Y923"/>
    <mergeCell ref="B924:E924"/>
    <mergeCell ref="R924:Y924"/>
    <mergeCell ref="B921:E921"/>
    <mergeCell ref="R921:Y921"/>
    <mergeCell ref="B922:E922"/>
    <mergeCell ref="R922:Y922"/>
    <mergeCell ref="B923:E923"/>
    <mergeCell ref="B931:E931"/>
    <mergeCell ref="R931:Y931"/>
    <mergeCell ref="B929:E929"/>
    <mergeCell ref="R929:Y929"/>
    <mergeCell ref="B930:E930"/>
    <mergeCell ref="R930:Y930"/>
    <mergeCell ref="B927:E927"/>
    <mergeCell ref="R927:Y927"/>
    <mergeCell ref="B928:E928"/>
    <mergeCell ref="R928:Y928"/>
    <mergeCell ref="B894:E894"/>
    <mergeCell ref="R894:Y894"/>
    <mergeCell ref="B895:E895"/>
    <mergeCell ref="R895:Y895"/>
    <mergeCell ref="B896:D896"/>
    <mergeCell ref="B916:E916"/>
    <mergeCell ref="R916:Y916"/>
    <mergeCell ref="B919:E919"/>
    <mergeCell ref="R919:Y919"/>
    <mergeCell ref="B917:E917"/>
    <mergeCell ref="R917:Y917"/>
    <mergeCell ref="B918:E918"/>
    <mergeCell ref="R918:Y918"/>
    <mergeCell ref="E896:F896"/>
    <mergeCell ref="B912:Y914"/>
    <mergeCell ref="B920:E920"/>
    <mergeCell ref="B889:E889"/>
    <mergeCell ref="R889:Y889"/>
    <mergeCell ref="B890:E890"/>
    <mergeCell ref="R890:Y890"/>
    <mergeCell ref="B893:E893"/>
    <mergeCell ref="R893:Y893"/>
    <mergeCell ref="B897:D897"/>
    <mergeCell ref="E897:F897"/>
    <mergeCell ref="B911:Y911"/>
    <mergeCell ref="B905:Y907"/>
    <mergeCell ref="C909:D909"/>
    <mergeCell ref="B899:Y899"/>
    <mergeCell ref="B900:Y902"/>
    <mergeCell ref="B904:Y904"/>
    <mergeCell ref="R920:Y920"/>
    <mergeCell ref="B887:E887"/>
    <mergeCell ref="R887:Y887"/>
    <mergeCell ref="B888:E888"/>
    <mergeCell ref="R888:Y888"/>
    <mergeCell ref="B885:E885"/>
    <mergeCell ref="R885:Y885"/>
    <mergeCell ref="B886:E886"/>
    <mergeCell ref="R886:Y886"/>
    <mergeCell ref="B883:E883"/>
    <mergeCell ref="R883:Y883"/>
    <mergeCell ref="B884:E884"/>
    <mergeCell ref="R884:Y884"/>
    <mergeCell ref="R881:Y881"/>
    <mergeCell ref="B882:E882"/>
    <mergeCell ref="R882:Y882"/>
    <mergeCell ref="B879:E879"/>
    <mergeCell ref="R879:Y879"/>
    <mergeCell ref="B880:E880"/>
    <mergeCell ref="R880:Y880"/>
    <mergeCell ref="B849:E849"/>
    <mergeCell ref="R849:Y849"/>
    <mergeCell ref="B853:E853"/>
    <mergeCell ref="R853:Y853"/>
    <mergeCell ref="B854:E854"/>
    <mergeCell ref="R854:Y854"/>
    <mergeCell ref="B855:D855"/>
    <mergeCell ref="B877:E877"/>
    <mergeCell ref="R877:Y877"/>
    <mergeCell ref="B875:E875"/>
    <mergeCell ref="R875:Y875"/>
    <mergeCell ref="B876:E876"/>
    <mergeCell ref="R876:Y876"/>
    <mergeCell ref="B851:E851"/>
    <mergeCell ref="R851:Y851"/>
    <mergeCell ref="B852:E852"/>
    <mergeCell ref="R852:Y852"/>
    <mergeCell ref="E855:F855"/>
    <mergeCell ref="B856:D856"/>
    <mergeCell ref="E856:F856"/>
    <mergeCell ref="B870:Y870"/>
    <mergeCell ref="B871:Y873"/>
    <mergeCell ref="B850:E850"/>
    <mergeCell ref="R850:Y850"/>
    <mergeCell ref="B847:E847"/>
    <mergeCell ref="R847:Y847"/>
    <mergeCell ref="B848:E848"/>
    <mergeCell ref="R848:Y848"/>
    <mergeCell ref="B845:E845"/>
    <mergeCell ref="R845:Y845"/>
    <mergeCell ref="B846:E846"/>
    <mergeCell ref="R846:Y846"/>
    <mergeCell ref="B843:E843"/>
    <mergeCell ref="R843:Y843"/>
    <mergeCell ref="B844:E844"/>
    <mergeCell ref="R844:Y844"/>
    <mergeCell ref="B841:E841"/>
    <mergeCell ref="R841:Y841"/>
    <mergeCell ref="B842:E842"/>
    <mergeCell ref="R842:Y842"/>
    <mergeCell ref="B814:D814"/>
    <mergeCell ref="E814:F814"/>
    <mergeCell ref="B815:D815"/>
    <mergeCell ref="B823:Y825"/>
    <mergeCell ref="C827:D827"/>
    <mergeCell ref="B835:E835"/>
    <mergeCell ref="R835:Y835"/>
    <mergeCell ref="B836:E836"/>
    <mergeCell ref="R836:Y836"/>
    <mergeCell ref="B834:E834"/>
    <mergeCell ref="B817:Y817"/>
    <mergeCell ref="B818:Y820"/>
    <mergeCell ref="B822:Y822"/>
    <mergeCell ref="B839:E839"/>
    <mergeCell ref="R839:Y839"/>
    <mergeCell ref="B840:E840"/>
    <mergeCell ref="B807:E807"/>
    <mergeCell ref="R807:Y807"/>
    <mergeCell ref="B808:E808"/>
    <mergeCell ref="R808:Y808"/>
    <mergeCell ref="B812:E812"/>
    <mergeCell ref="R812:Y812"/>
    <mergeCell ref="B813:E813"/>
    <mergeCell ref="R813:Y813"/>
    <mergeCell ref="R811:Y811"/>
    <mergeCell ref="B805:E805"/>
    <mergeCell ref="R805:Y805"/>
    <mergeCell ref="B806:E806"/>
    <mergeCell ref="R806:Y806"/>
    <mergeCell ref="B803:E803"/>
    <mergeCell ref="R803:Y803"/>
    <mergeCell ref="B804:E804"/>
    <mergeCell ref="R804:Y804"/>
    <mergeCell ref="B809:E809"/>
    <mergeCell ref="R809:Y809"/>
    <mergeCell ref="B810:E810"/>
    <mergeCell ref="R810:Y810"/>
    <mergeCell ref="B811:E811"/>
    <mergeCell ref="R797:Y797"/>
    <mergeCell ref="B798:E798"/>
    <mergeCell ref="R798:Y798"/>
    <mergeCell ref="B795:E795"/>
    <mergeCell ref="R795:Y795"/>
    <mergeCell ref="B796:E796"/>
    <mergeCell ref="R796:Y796"/>
    <mergeCell ref="B767:E767"/>
    <mergeCell ref="R767:Y767"/>
    <mergeCell ref="B765:E765"/>
    <mergeCell ref="R765:Y765"/>
    <mergeCell ref="B766:E766"/>
    <mergeCell ref="R766:Y766"/>
    <mergeCell ref="B776:Y776"/>
    <mergeCell ref="B777:Y779"/>
    <mergeCell ref="B771:E771"/>
    <mergeCell ref="R771:Y771"/>
    <mergeCell ref="B772:E772"/>
    <mergeCell ref="R772:Y772"/>
    <mergeCell ref="B773:D773"/>
    <mergeCell ref="E773:F773"/>
    <mergeCell ref="B774:D774"/>
    <mergeCell ref="E774:F774"/>
    <mergeCell ref="B788:Y788"/>
    <mergeCell ref="B789:Y791"/>
    <mergeCell ref="B781:Y781"/>
    <mergeCell ref="B782:Y784"/>
    <mergeCell ref="C786:D786"/>
    <mergeCell ref="B793:E793"/>
    <mergeCell ref="R793:Y793"/>
    <mergeCell ref="B763:E763"/>
    <mergeCell ref="R763:Y763"/>
    <mergeCell ref="B764:E764"/>
    <mergeCell ref="R764:Y764"/>
    <mergeCell ref="B768:E768"/>
    <mergeCell ref="R768:Y768"/>
    <mergeCell ref="B769:E769"/>
    <mergeCell ref="R769:Y769"/>
    <mergeCell ref="B770:E770"/>
    <mergeCell ref="R770:Y770"/>
    <mergeCell ref="B761:E761"/>
    <mergeCell ref="R761:Y761"/>
    <mergeCell ref="B762:E762"/>
    <mergeCell ref="R762:Y762"/>
    <mergeCell ref="R759:Y759"/>
    <mergeCell ref="B760:E760"/>
    <mergeCell ref="R760:Y760"/>
    <mergeCell ref="B759:E759"/>
    <mergeCell ref="B721:E721"/>
    <mergeCell ref="R721:Y721"/>
    <mergeCell ref="B722:E722"/>
    <mergeCell ref="R722:Y722"/>
    <mergeCell ref="B719:E719"/>
    <mergeCell ref="R719:Y719"/>
    <mergeCell ref="B720:E720"/>
    <mergeCell ref="R720:Y720"/>
    <mergeCell ref="R717:Y717"/>
    <mergeCell ref="B718:E718"/>
    <mergeCell ref="R718:Y718"/>
    <mergeCell ref="B757:E757"/>
    <mergeCell ref="R757:Y757"/>
    <mergeCell ref="B758:E758"/>
    <mergeCell ref="R758:Y758"/>
    <mergeCell ref="B730:E730"/>
    <mergeCell ref="R730:Y730"/>
    <mergeCell ref="B731:E731"/>
    <mergeCell ref="R731:Y731"/>
    <mergeCell ref="B732:D732"/>
    <mergeCell ref="B752:E752"/>
    <mergeCell ref="R752:Y752"/>
    <mergeCell ref="B755:E755"/>
    <mergeCell ref="R755:Y755"/>
    <mergeCell ref="B753:E753"/>
    <mergeCell ref="R753:Y753"/>
    <mergeCell ref="B754:E754"/>
    <mergeCell ref="R754:Y754"/>
    <mergeCell ref="E732:F732"/>
    <mergeCell ref="B748:Y750"/>
    <mergeCell ref="B756:E756"/>
    <mergeCell ref="R756:Y756"/>
    <mergeCell ref="B671:E671"/>
    <mergeCell ref="R671:Y671"/>
    <mergeCell ref="B672:E672"/>
    <mergeCell ref="R672:Y672"/>
    <mergeCell ref="B670:E670"/>
    <mergeCell ref="R670:Y670"/>
    <mergeCell ref="B674:E674"/>
    <mergeCell ref="R674:Y674"/>
    <mergeCell ref="B715:E715"/>
    <mergeCell ref="R715:Y715"/>
    <mergeCell ref="B716:E716"/>
    <mergeCell ref="R716:Y716"/>
    <mergeCell ref="B685:E685"/>
    <mergeCell ref="R685:Y685"/>
    <mergeCell ref="B689:E689"/>
    <mergeCell ref="R689:Y689"/>
    <mergeCell ref="B690:E690"/>
    <mergeCell ref="R690:Y690"/>
    <mergeCell ref="B691:D691"/>
    <mergeCell ref="B713:E713"/>
    <mergeCell ref="R713:Y713"/>
    <mergeCell ref="B711:E711"/>
    <mergeCell ref="R711:Y711"/>
    <mergeCell ref="B712:E712"/>
    <mergeCell ref="R712:Y712"/>
    <mergeCell ref="B687:E687"/>
    <mergeCell ref="R687:Y687"/>
    <mergeCell ref="B688:E688"/>
    <mergeCell ref="R688:Y688"/>
    <mergeCell ref="E691:F691"/>
    <mergeCell ref="B692:D692"/>
    <mergeCell ref="E692:F692"/>
    <mergeCell ref="B649:E649"/>
    <mergeCell ref="R649:Y649"/>
    <mergeCell ref="R647:Y647"/>
    <mergeCell ref="B641:E641"/>
    <mergeCell ref="R641:Y641"/>
    <mergeCell ref="B642:E642"/>
    <mergeCell ref="R642:Y642"/>
    <mergeCell ref="B639:E639"/>
    <mergeCell ref="R639:Y639"/>
    <mergeCell ref="B640:E640"/>
    <mergeCell ref="R640:Y640"/>
    <mergeCell ref="B683:E683"/>
    <mergeCell ref="R683:Y683"/>
    <mergeCell ref="B684:E684"/>
    <mergeCell ref="R684:Y684"/>
    <mergeCell ref="B681:E681"/>
    <mergeCell ref="R681:Y681"/>
    <mergeCell ref="B682:E682"/>
    <mergeCell ref="R682:Y682"/>
    <mergeCell ref="B679:E679"/>
    <mergeCell ref="R679:Y679"/>
    <mergeCell ref="B680:E680"/>
    <mergeCell ref="R680:Y680"/>
    <mergeCell ref="B677:E677"/>
    <mergeCell ref="R677:Y677"/>
    <mergeCell ref="B678:E678"/>
    <mergeCell ref="R678:Y678"/>
    <mergeCell ref="B650:D650"/>
    <mergeCell ref="E650:F650"/>
    <mergeCell ref="B651:D651"/>
    <mergeCell ref="B659:Y661"/>
    <mergeCell ref="C663:D663"/>
    <mergeCell ref="B634:E634"/>
    <mergeCell ref="R634:Y634"/>
    <mergeCell ref="B631:E631"/>
    <mergeCell ref="R631:Y631"/>
    <mergeCell ref="B632:E632"/>
    <mergeCell ref="R632:Y632"/>
    <mergeCell ref="B643:E643"/>
    <mergeCell ref="R643:Y643"/>
    <mergeCell ref="B644:E644"/>
    <mergeCell ref="R644:Y644"/>
    <mergeCell ref="B648:E648"/>
    <mergeCell ref="R648:Y648"/>
    <mergeCell ref="B561:E561"/>
    <mergeCell ref="R561:Y561"/>
    <mergeCell ref="B562:E562"/>
    <mergeCell ref="R562:Y562"/>
    <mergeCell ref="B601:E601"/>
    <mergeCell ref="R601:Y601"/>
    <mergeCell ref="B602:E602"/>
    <mergeCell ref="R602:Y602"/>
    <mergeCell ref="B612:Y612"/>
    <mergeCell ref="B613:Y615"/>
    <mergeCell ref="B607:E607"/>
    <mergeCell ref="R607:Y607"/>
    <mergeCell ref="B608:E608"/>
    <mergeCell ref="R608:Y608"/>
    <mergeCell ref="B609:D609"/>
    <mergeCell ref="E609:F609"/>
    <mergeCell ref="B610:D610"/>
    <mergeCell ref="E610:F610"/>
    <mergeCell ref="B618:Y620"/>
    <mergeCell ref="C622:D622"/>
    <mergeCell ref="B599:E599"/>
    <mergeCell ref="R599:Y599"/>
    <mergeCell ref="B600:E600"/>
    <mergeCell ref="R600:Y600"/>
    <mergeCell ref="B604:E604"/>
    <mergeCell ref="R604:Y604"/>
    <mergeCell ref="B605:E605"/>
    <mergeCell ref="R605:Y605"/>
    <mergeCell ref="B606:E606"/>
    <mergeCell ref="R606:Y606"/>
    <mergeCell ref="B597:E597"/>
    <mergeCell ref="R597:Y597"/>
    <mergeCell ref="B598:E598"/>
    <mergeCell ref="R598:Y598"/>
    <mergeCell ref="R595:Y595"/>
    <mergeCell ref="B596:E596"/>
    <mergeCell ref="R596:Y596"/>
    <mergeCell ref="B593:E593"/>
    <mergeCell ref="R593:Y593"/>
    <mergeCell ref="B594:E594"/>
    <mergeCell ref="R594:Y594"/>
    <mergeCell ref="B566:E566"/>
    <mergeCell ref="R566:Y566"/>
    <mergeCell ref="B567:E567"/>
    <mergeCell ref="R567:Y567"/>
    <mergeCell ref="B568:D568"/>
    <mergeCell ref="B588:E588"/>
    <mergeCell ref="R588:Y588"/>
    <mergeCell ref="B591:E591"/>
    <mergeCell ref="R591:Y591"/>
    <mergeCell ref="B589:E589"/>
    <mergeCell ref="R589:Y589"/>
    <mergeCell ref="B590:E590"/>
    <mergeCell ref="R590:Y590"/>
    <mergeCell ref="R560:Y560"/>
    <mergeCell ref="B525:E525"/>
    <mergeCell ref="R525:Y525"/>
    <mergeCell ref="B526:E526"/>
    <mergeCell ref="B548:E548"/>
    <mergeCell ref="R548:Y548"/>
    <mergeCell ref="B553:E553"/>
    <mergeCell ref="R553:Y553"/>
    <mergeCell ref="B551:E551"/>
    <mergeCell ref="R551:Y551"/>
    <mergeCell ref="B552:E552"/>
    <mergeCell ref="R552:Y552"/>
    <mergeCell ref="B547:E547"/>
    <mergeCell ref="R547:Y547"/>
    <mergeCell ref="R526:Y526"/>
    <mergeCell ref="B527:D527"/>
    <mergeCell ref="E527:F527"/>
    <mergeCell ref="B528:D528"/>
    <mergeCell ref="E528:F528"/>
    <mergeCell ref="B542:Y542"/>
    <mergeCell ref="B543:Y545"/>
    <mergeCell ref="B521:E521"/>
    <mergeCell ref="R521:Y521"/>
    <mergeCell ref="B522:E522"/>
    <mergeCell ref="R522:Y522"/>
    <mergeCell ref="B523:E523"/>
    <mergeCell ref="R523:Y523"/>
    <mergeCell ref="B524:E524"/>
    <mergeCell ref="R524:Y524"/>
    <mergeCell ref="B519:E519"/>
    <mergeCell ref="R519:Y519"/>
    <mergeCell ref="B520:E520"/>
    <mergeCell ref="R520:Y520"/>
    <mergeCell ref="B517:E517"/>
    <mergeCell ref="R517:Y517"/>
    <mergeCell ref="B518:E518"/>
    <mergeCell ref="R518:Y518"/>
    <mergeCell ref="B515:E515"/>
    <mergeCell ref="R515:Y515"/>
    <mergeCell ref="B516:E516"/>
    <mergeCell ref="R516:Y516"/>
    <mergeCell ref="B513:E513"/>
    <mergeCell ref="R513:Y513"/>
    <mergeCell ref="B514:E514"/>
    <mergeCell ref="R514:Y514"/>
    <mergeCell ref="B511:E511"/>
    <mergeCell ref="R511:Y511"/>
    <mergeCell ref="B512:E512"/>
    <mergeCell ref="R512:Y512"/>
    <mergeCell ref="B509:E509"/>
    <mergeCell ref="R509:Y509"/>
    <mergeCell ref="B510:E510"/>
    <mergeCell ref="R510:Y510"/>
    <mergeCell ref="C499:D499"/>
    <mergeCell ref="B501:Y501"/>
    <mergeCell ref="B502:Y504"/>
    <mergeCell ref="B507:E507"/>
    <mergeCell ref="R507:Y507"/>
    <mergeCell ref="B508:E508"/>
    <mergeCell ref="R508:Y508"/>
    <mergeCell ref="B506:E506"/>
    <mergeCell ref="R506:Y506"/>
    <mergeCell ref="B484:E484"/>
    <mergeCell ref="R484:Y484"/>
    <mergeCell ref="B485:E485"/>
    <mergeCell ref="R485:Y485"/>
    <mergeCell ref="B461:Y463"/>
    <mergeCell ref="B482:E482"/>
    <mergeCell ref="R482:Y482"/>
    <mergeCell ref="B483:E483"/>
    <mergeCell ref="R483:Y483"/>
    <mergeCell ref="B480:E480"/>
    <mergeCell ref="R480:Y480"/>
    <mergeCell ref="B481:E481"/>
    <mergeCell ref="R481:Y481"/>
    <mergeCell ref="B478:E478"/>
    <mergeCell ref="R478:Y478"/>
    <mergeCell ref="B479:E479"/>
    <mergeCell ref="R479:Y479"/>
    <mergeCell ref="B476:E476"/>
    <mergeCell ref="R476:Y476"/>
    <mergeCell ref="B477:E477"/>
    <mergeCell ref="R477:Y477"/>
    <mergeCell ref="B474:E474"/>
    <mergeCell ref="R474:Y474"/>
    <mergeCell ref="B475:E475"/>
    <mergeCell ref="R475:Y475"/>
    <mergeCell ref="B472:E472"/>
    <mergeCell ref="R472:Y472"/>
    <mergeCell ref="B473:E473"/>
    <mergeCell ref="R473:Y473"/>
    <mergeCell ref="B470:E470"/>
    <mergeCell ref="R470:Y470"/>
    <mergeCell ref="B471:E471"/>
    <mergeCell ref="R471:Y471"/>
    <mergeCell ref="B468:E468"/>
    <mergeCell ref="R468:Y468"/>
    <mergeCell ref="B469:E469"/>
    <mergeCell ref="R469:Y469"/>
    <mergeCell ref="B466:E466"/>
    <mergeCell ref="R466:Y466"/>
    <mergeCell ref="B467:E467"/>
    <mergeCell ref="R467:Y467"/>
    <mergeCell ref="B438:E438"/>
    <mergeCell ref="R434:Y434"/>
    <mergeCell ref="B435:E435"/>
    <mergeCell ref="R435:Y435"/>
    <mergeCell ref="B432:E432"/>
    <mergeCell ref="R432:Y432"/>
    <mergeCell ref="B433:E433"/>
    <mergeCell ref="R433:Y433"/>
    <mergeCell ref="B453:Y453"/>
    <mergeCell ref="B454:Y456"/>
    <mergeCell ref="B460:Y460"/>
    <mergeCell ref="B430:E430"/>
    <mergeCell ref="R430:Y430"/>
    <mergeCell ref="B431:E431"/>
    <mergeCell ref="R431:Y431"/>
    <mergeCell ref="B428:E428"/>
    <mergeCell ref="R438:Y438"/>
    <mergeCell ref="B439:E439"/>
    <mergeCell ref="R439:Y439"/>
    <mergeCell ref="B436:E436"/>
    <mergeCell ref="R436:Y436"/>
    <mergeCell ref="B437:E437"/>
    <mergeCell ref="R437:Y437"/>
    <mergeCell ref="B434:E434"/>
    <mergeCell ref="C458:D458"/>
    <mergeCell ref="B465:E465"/>
    <mergeCell ref="R465:Y465"/>
    <mergeCell ref="B444:E444"/>
    <mergeCell ref="R444:Y444"/>
    <mergeCell ref="B445:D445"/>
    <mergeCell ref="E445:F445"/>
    <mergeCell ref="B446:D446"/>
    <mergeCell ref="E446:F446"/>
    <mergeCell ref="B442:E442"/>
    <mergeCell ref="R442:Y442"/>
    <mergeCell ref="B443:E443"/>
    <mergeCell ref="R443:Y443"/>
    <mergeCell ref="B440:E440"/>
    <mergeCell ref="R440:Y440"/>
    <mergeCell ref="B441:E441"/>
    <mergeCell ref="R441:Y441"/>
    <mergeCell ref="B448:Y448"/>
    <mergeCell ref="B449:Y451"/>
    <mergeCell ref="R428:Y428"/>
    <mergeCell ref="B429:E429"/>
    <mergeCell ref="R429:Y429"/>
    <mergeCell ref="B426:E426"/>
    <mergeCell ref="R426:Y426"/>
    <mergeCell ref="B427:E427"/>
    <mergeCell ref="R427:Y427"/>
    <mergeCell ref="C417:D417"/>
    <mergeCell ref="B424:E424"/>
    <mergeCell ref="R424:Y424"/>
    <mergeCell ref="B425:E425"/>
    <mergeCell ref="R425:Y425"/>
    <mergeCell ref="B404:D404"/>
    <mergeCell ref="E404:F404"/>
    <mergeCell ref="B405:D405"/>
    <mergeCell ref="E405:F405"/>
    <mergeCell ref="B407:Y407"/>
    <mergeCell ref="B408:Y410"/>
    <mergeCell ref="B412:Y412"/>
    <mergeCell ref="B413:Y415"/>
    <mergeCell ref="B419:Y419"/>
    <mergeCell ref="B420:Y422"/>
    <mergeCell ref="B402:E402"/>
    <mergeCell ref="R402:Y402"/>
    <mergeCell ref="B403:E403"/>
    <mergeCell ref="R403:Y403"/>
    <mergeCell ref="B400:E400"/>
    <mergeCell ref="R400:Y400"/>
    <mergeCell ref="B401:E401"/>
    <mergeCell ref="R401:Y401"/>
    <mergeCell ref="B398:E398"/>
    <mergeCell ref="R398:Y398"/>
    <mergeCell ref="B399:E399"/>
    <mergeCell ref="R399:Y399"/>
    <mergeCell ref="B396:E396"/>
    <mergeCell ref="R396:Y396"/>
    <mergeCell ref="B397:E397"/>
    <mergeCell ref="R397:Y397"/>
    <mergeCell ref="B394:E394"/>
    <mergeCell ref="R394:Y394"/>
    <mergeCell ref="B395:E395"/>
    <mergeCell ref="R395:Y395"/>
    <mergeCell ref="B392:E392"/>
    <mergeCell ref="R392:Y392"/>
    <mergeCell ref="B393:E393"/>
    <mergeCell ref="R393:Y393"/>
    <mergeCell ref="B356:E356"/>
    <mergeCell ref="R356:Y356"/>
    <mergeCell ref="B357:E357"/>
    <mergeCell ref="R357:Y357"/>
    <mergeCell ref="B354:E354"/>
    <mergeCell ref="R354:Y354"/>
    <mergeCell ref="B355:E355"/>
    <mergeCell ref="R355:Y355"/>
    <mergeCell ref="B352:E352"/>
    <mergeCell ref="R352:Y352"/>
    <mergeCell ref="B353:E353"/>
    <mergeCell ref="B390:E390"/>
    <mergeCell ref="R390:Y390"/>
    <mergeCell ref="B391:E391"/>
    <mergeCell ref="R391:Y391"/>
    <mergeCell ref="B388:E388"/>
    <mergeCell ref="R388:Y388"/>
    <mergeCell ref="B389:E389"/>
    <mergeCell ref="R389:Y389"/>
    <mergeCell ref="B386:E386"/>
    <mergeCell ref="R386:Y386"/>
    <mergeCell ref="B387:E387"/>
    <mergeCell ref="R387:Y387"/>
    <mergeCell ref="B384:E384"/>
    <mergeCell ref="R384:Y384"/>
    <mergeCell ref="B385:E385"/>
    <mergeCell ref="R385:Y385"/>
    <mergeCell ref="B366:Y366"/>
    <mergeCell ref="B305:E305"/>
    <mergeCell ref="R317:Y317"/>
    <mergeCell ref="B314:E314"/>
    <mergeCell ref="B367:Y369"/>
    <mergeCell ref="B371:Y371"/>
    <mergeCell ref="B372:Y374"/>
    <mergeCell ref="B337:Y337"/>
    <mergeCell ref="B338:Y340"/>
    <mergeCell ref="C376:D376"/>
    <mergeCell ref="B383:E383"/>
    <mergeCell ref="R383:Y383"/>
    <mergeCell ref="B362:E362"/>
    <mergeCell ref="R362:Y362"/>
    <mergeCell ref="B363:D363"/>
    <mergeCell ref="E363:F363"/>
    <mergeCell ref="B364:D364"/>
    <mergeCell ref="E364:F364"/>
    <mergeCell ref="B379:Y381"/>
    <mergeCell ref="B378:Y378"/>
    <mergeCell ref="B360:E360"/>
    <mergeCell ref="R360:Y360"/>
    <mergeCell ref="B361:E361"/>
    <mergeCell ref="R361:Y361"/>
    <mergeCell ref="B358:E358"/>
    <mergeCell ref="R358:Y358"/>
    <mergeCell ref="B359:E359"/>
    <mergeCell ref="R359:Y359"/>
    <mergeCell ref="R353:Y353"/>
    <mergeCell ref="B350:E350"/>
    <mergeCell ref="R350:Y350"/>
    <mergeCell ref="B351:E351"/>
    <mergeCell ref="R351:Y351"/>
    <mergeCell ref="B348:E348"/>
    <mergeCell ref="R348:Y348"/>
    <mergeCell ref="B349:E349"/>
    <mergeCell ref="R349:Y349"/>
    <mergeCell ref="B346:E346"/>
    <mergeCell ref="R346:Y346"/>
    <mergeCell ref="B347:E347"/>
    <mergeCell ref="R347:Y347"/>
    <mergeCell ref="B344:E344"/>
    <mergeCell ref="R344:Y344"/>
    <mergeCell ref="B345:E345"/>
    <mergeCell ref="R345:Y345"/>
    <mergeCell ref="C335:D335"/>
    <mergeCell ref="B342:E342"/>
    <mergeCell ref="R342:Y342"/>
    <mergeCell ref="B343:E343"/>
    <mergeCell ref="R343:Y343"/>
    <mergeCell ref="B322:D322"/>
    <mergeCell ref="E322:F322"/>
    <mergeCell ref="B323:D323"/>
    <mergeCell ref="E323:F323"/>
    <mergeCell ref="B325:Y325"/>
    <mergeCell ref="B326:Y328"/>
    <mergeCell ref="B330:Y330"/>
    <mergeCell ref="B331:Y333"/>
    <mergeCell ref="R314:Y314"/>
    <mergeCell ref="B315:E315"/>
    <mergeCell ref="R315:Y315"/>
    <mergeCell ref="B312:E312"/>
    <mergeCell ref="B320:E320"/>
    <mergeCell ref="R320:Y320"/>
    <mergeCell ref="B321:E321"/>
    <mergeCell ref="R321:Y321"/>
    <mergeCell ref="B318:E318"/>
    <mergeCell ref="R318:Y318"/>
    <mergeCell ref="B319:E319"/>
    <mergeCell ref="R319:Y319"/>
    <mergeCell ref="B316:E316"/>
    <mergeCell ref="R316:Y316"/>
    <mergeCell ref="B317:E317"/>
    <mergeCell ref="R312:Y312"/>
    <mergeCell ref="B313:E313"/>
    <mergeCell ref="R313:Y313"/>
    <mergeCell ref="B310:E310"/>
    <mergeCell ref="R310:Y310"/>
    <mergeCell ref="B311:E311"/>
    <mergeCell ref="R311:Y311"/>
    <mergeCell ref="R278:Y278"/>
    <mergeCell ref="B279:E279"/>
    <mergeCell ref="R279:Y279"/>
    <mergeCell ref="B276:E276"/>
    <mergeCell ref="R276:Y276"/>
    <mergeCell ref="B277:E277"/>
    <mergeCell ref="R277:Y277"/>
    <mergeCell ref="B274:E274"/>
    <mergeCell ref="R274:Y274"/>
    <mergeCell ref="B275:E275"/>
    <mergeCell ref="R275:Y275"/>
    <mergeCell ref="R301:Y301"/>
    <mergeCell ref="B297:Y299"/>
    <mergeCell ref="R305:Y305"/>
    <mergeCell ref="B302:E302"/>
    <mergeCell ref="R302:Y302"/>
    <mergeCell ref="B303:E303"/>
    <mergeCell ref="R303:Y303"/>
    <mergeCell ref="B308:E308"/>
    <mergeCell ref="R308:Y308"/>
    <mergeCell ref="B309:E309"/>
    <mergeCell ref="R309:Y309"/>
    <mergeCell ref="B306:E306"/>
    <mergeCell ref="R306:Y306"/>
    <mergeCell ref="B307:E307"/>
    <mergeCell ref="R307:Y307"/>
    <mergeCell ref="B304:E304"/>
    <mergeCell ref="R304:Y304"/>
    <mergeCell ref="B272:E272"/>
    <mergeCell ref="R272:Y272"/>
    <mergeCell ref="B273:E273"/>
    <mergeCell ref="R273:Y273"/>
    <mergeCell ref="B270:E270"/>
    <mergeCell ref="B296:Y296"/>
    <mergeCell ref="R270:Y270"/>
    <mergeCell ref="B271:E271"/>
    <mergeCell ref="R271:Y271"/>
    <mergeCell ref="B268:E268"/>
    <mergeCell ref="R268:Y268"/>
    <mergeCell ref="B269:E269"/>
    <mergeCell ref="R269:Y269"/>
    <mergeCell ref="B266:E266"/>
    <mergeCell ref="R266:Y266"/>
    <mergeCell ref="B267:E267"/>
    <mergeCell ref="R267:Y267"/>
    <mergeCell ref="B280:E280"/>
    <mergeCell ref="R280:Y280"/>
    <mergeCell ref="B281:D281"/>
    <mergeCell ref="E281:F281"/>
    <mergeCell ref="B282:D282"/>
    <mergeCell ref="E282:F282"/>
    <mergeCell ref="B278:E278"/>
    <mergeCell ref="B264:E264"/>
    <mergeCell ref="R264:Y264"/>
    <mergeCell ref="B265:E265"/>
    <mergeCell ref="R265:Y265"/>
    <mergeCell ref="B262:E262"/>
    <mergeCell ref="R262:Y262"/>
    <mergeCell ref="B263:E263"/>
    <mergeCell ref="R263:Y263"/>
    <mergeCell ref="C253:D253"/>
    <mergeCell ref="B260:E260"/>
    <mergeCell ref="R260:Y260"/>
    <mergeCell ref="B261:E261"/>
    <mergeCell ref="R261:Y261"/>
    <mergeCell ref="B240:D240"/>
    <mergeCell ref="E240:F240"/>
    <mergeCell ref="B241:D241"/>
    <mergeCell ref="E241:F241"/>
    <mergeCell ref="B243:Y243"/>
    <mergeCell ref="B244:Y246"/>
    <mergeCell ref="B248:Y248"/>
    <mergeCell ref="B249:Y251"/>
    <mergeCell ref="B238:E238"/>
    <mergeCell ref="R238:Y238"/>
    <mergeCell ref="B239:E239"/>
    <mergeCell ref="R239:Y239"/>
    <mergeCell ref="B255:Y255"/>
    <mergeCell ref="B256:Y258"/>
    <mergeCell ref="B236:E236"/>
    <mergeCell ref="R236:Y236"/>
    <mergeCell ref="B237:E237"/>
    <mergeCell ref="R237:Y237"/>
    <mergeCell ref="B234:E234"/>
    <mergeCell ref="R234:Y234"/>
    <mergeCell ref="B235:E235"/>
    <mergeCell ref="R235:Y235"/>
    <mergeCell ref="B232:E232"/>
    <mergeCell ref="R232:Y232"/>
    <mergeCell ref="B233:E233"/>
    <mergeCell ref="R233:Y233"/>
    <mergeCell ref="B230:E230"/>
    <mergeCell ref="R230:Y230"/>
    <mergeCell ref="B231:E231"/>
    <mergeCell ref="R231:Y231"/>
    <mergeCell ref="B228:E228"/>
    <mergeCell ref="R228:Y228"/>
    <mergeCell ref="B229:E229"/>
    <mergeCell ref="R229:Y229"/>
    <mergeCell ref="B226:E226"/>
    <mergeCell ref="R226:Y226"/>
    <mergeCell ref="B227:E227"/>
    <mergeCell ref="R227:Y227"/>
    <mergeCell ref="B224:E224"/>
    <mergeCell ref="R224:Y224"/>
    <mergeCell ref="B225:E225"/>
    <mergeCell ref="R225:Y225"/>
    <mergeCell ref="B222:E222"/>
    <mergeCell ref="R222:Y222"/>
    <mergeCell ref="B223:E223"/>
    <mergeCell ref="R223:Y223"/>
    <mergeCell ref="B220:E220"/>
    <mergeCell ref="R220:Y220"/>
    <mergeCell ref="B221:E221"/>
    <mergeCell ref="R221:Y221"/>
    <mergeCell ref="B202:Y202"/>
    <mergeCell ref="B203:Y205"/>
    <mergeCell ref="B207:Y207"/>
    <mergeCell ref="B208:Y210"/>
    <mergeCell ref="B173:Y173"/>
    <mergeCell ref="B174:Y176"/>
    <mergeCell ref="C212:D212"/>
    <mergeCell ref="B219:E219"/>
    <mergeCell ref="R219:Y219"/>
    <mergeCell ref="B198:E198"/>
    <mergeCell ref="R198:Y198"/>
    <mergeCell ref="B199:D199"/>
    <mergeCell ref="E199:F199"/>
    <mergeCell ref="B200:D200"/>
    <mergeCell ref="E200:F200"/>
    <mergeCell ref="B215:Y217"/>
    <mergeCell ref="B214:Y214"/>
    <mergeCell ref="B196:E196"/>
    <mergeCell ref="R196:Y196"/>
    <mergeCell ref="B197:E197"/>
    <mergeCell ref="R197:Y197"/>
    <mergeCell ref="B194:E194"/>
    <mergeCell ref="R194:Y194"/>
    <mergeCell ref="B195:E195"/>
    <mergeCell ref="R195:Y195"/>
    <mergeCell ref="B192:E192"/>
    <mergeCell ref="R192:Y192"/>
    <mergeCell ref="B193:E193"/>
    <mergeCell ref="R193:Y193"/>
    <mergeCell ref="B190:E190"/>
    <mergeCell ref="R190:Y190"/>
    <mergeCell ref="B191:E191"/>
    <mergeCell ref="R191:Y191"/>
    <mergeCell ref="B188:E188"/>
    <mergeCell ref="R188:Y188"/>
    <mergeCell ref="B189:E189"/>
    <mergeCell ref="R189:Y189"/>
    <mergeCell ref="B186:E186"/>
    <mergeCell ref="R186:Y186"/>
    <mergeCell ref="B187:E187"/>
    <mergeCell ref="R187:Y187"/>
    <mergeCell ref="B184:E184"/>
    <mergeCell ref="R184:Y184"/>
    <mergeCell ref="B185:E185"/>
    <mergeCell ref="R185:Y185"/>
    <mergeCell ref="B182:E182"/>
    <mergeCell ref="R182:Y182"/>
    <mergeCell ref="B183:E183"/>
    <mergeCell ref="R183:Y183"/>
    <mergeCell ref="B180:E180"/>
    <mergeCell ref="R180:Y180"/>
    <mergeCell ref="B181:E181"/>
    <mergeCell ref="R181:Y181"/>
    <mergeCell ref="B133:Y135"/>
    <mergeCell ref="C171:D171"/>
    <mergeCell ref="B178:E178"/>
    <mergeCell ref="R178:Y178"/>
    <mergeCell ref="B179:E179"/>
    <mergeCell ref="R179:Y179"/>
    <mergeCell ref="B158:D158"/>
    <mergeCell ref="E158:F158"/>
    <mergeCell ref="B159:D159"/>
    <mergeCell ref="E159:F159"/>
    <mergeCell ref="B161:Y161"/>
    <mergeCell ref="B162:Y164"/>
    <mergeCell ref="B166:Y166"/>
    <mergeCell ref="B167:Y169"/>
    <mergeCell ref="R150:Y150"/>
    <mergeCell ref="B151:E151"/>
    <mergeCell ref="R151:Y151"/>
    <mergeCell ref="B148:E148"/>
    <mergeCell ref="R141:Y141"/>
    <mergeCell ref="B138:E138"/>
    <mergeCell ref="R138:Y138"/>
    <mergeCell ref="B139:E139"/>
    <mergeCell ref="R139:Y139"/>
    <mergeCell ref="B156:E156"/>
    <mergeCell ref="R156:Y156"/>
    <mergeCell ref="B157:E157"/>
    <mergeCell ref="R157:Y157"/>
    <mergeCell ref="B154:E154"/>
    <mergeCell ref="R154:Y154"/>
    <mergeCell ref="B155:E155"/>
    <mergeCell ref="R155:Y155"/>
    <mergeCell ref="B152:E152"/>
    <mergeCell ref="R152:Y152"/>
    <mergeCell ref="B153:E153"/>
    <mergeCell ref="R153:Y153"/>
    <mergeCell ref="B150:E150"/>
    <mergeCell ref="R148:Y148"/>
    <mergeCell ref="B149:E149"/>
    <mergeCell ref="R149:Y149"/>
    <mergeCell ref="B146:E146"/>
    <mergeCell ref="R146:Y146"/>
    <mergeCell ref="B147:E147"/>
    <mergeCell ref="R147:Y147"/>
    <mergeCell ref="B91:Y91"/>
    <mergeCell ref="B92:Y94"/>
    <mergeCell ref="C130:D130"/>
    <mergeCell ref="B137:E137"/>
    <mergeCell ref="R137:Y137"/>
    <mergeCell ref="B116:E116"/>
    <mergeCell ref="R116:Y116"/>
    <mergeCell ref="B117:D117"/>
    <mergeCell ref="E117:F117"/>
    <mergeCell ref="B118:D118"/>
    <mergeCell ref="E118:F118"/>
    <mergeCell ref="B114:E114"/>
    <mergeCell ref="R114:Y114"/>
    <mergeCell ref="B115:E115"/>
    <mergeCell ref="R115:Y115"/>
    <mergeCell ref="B112:E112"/>
    <mergeCell ref="R112:Y112"/>
    <mergeCell ref="R100:Y100"/>
    <mergeCell ref="B101:E101"/>
    <mergeCell ref="R101:Y101"/>
    <mergeCell ref="B98:E98"/>
    <mergeCell ref="R98:Y98"/>
    <mergeCell ref="B107:E107"/>
    <mergeCell ref="R107:Y107"/>
    <mergeCell ref="B144:E144"/>
    <mergeCell ref="R144:Y144"/>
    <mergeCell ref="B145:E145"/>
    <mergeCell ref="R145:Y145"/>
    <mergeCell ref="B142:E142"/>
    <mergeCell ref="R142:Y142"/>
    <mergeCell ref="B143:E143"/>
    <mergeCell ref="R143:Y143"/>
    <mergeCell ref="B140:E140"/>
    <mergeCell ref="R140:Y140"/>
    <mergeCell ref="B141:E141"/>
    <mergeCell ref="B120:Y120"/>
    <mergeCell ref="B121:Y123"/>
    <mergeCell ref="B125:Y125"/>
    <mergeCell ref="B126:Y128"/>
    <mergeCell ref="B70:E70"/>
    <mergeCell ref="R72:Y72"/>
    <mergeCell ref="B73:E73"/>
    <mergeCell ref="B72:E72"/>
    <mergeCell ref="E77:F77"/>
    <mergeCell ref="B113:E113"/>
    <mergeCell ref="R113:Y113"/>
    <mergeCell ref="B110:E110"/>
    <mergeCell ref="R110:Y110"/>
    <mergeCell ref="B111:E111"/>
    <mergeCell ref="R111:Y111"/>
    <mergeCell ref="B108:E108"/>
    <mergeCell ref="R108:Y108"/>
    <mergeCell ref="B109:E109"/>
    <mergeCell ref="R109:Y109"/>
    <mergeCell ref="B106:E106"/>
    <mergeCell ref="R106:Y106"/>
    <mergeCell ref="B74:E74"/>
    <mergeCell ref="R74:Y74"/>
    <mergeCell ref="B75:E75"/>
    <mergeCell ref="B97:E97"/>
    <mergeCell ref="B104:E104"/>
    <mergeCell ref="R104:Y104"/>
    <mergeCell ref="B105:E105"/>
    <mergeCell ref="R105:Y105"/>
    <mergeCell ref="B102:E102"/>
    <mergeCell ref="R102:Y102"/>
    <mergeCell ref="B103:E103"/>
    <mergeCell ref="R103:Y103"/>
    <mergeCell ref="B100:E100"/>
    <mergeCell ref="B62:E62"/>
    <mergeCell ref="R62:Y62"/>
    <mergeCell ref="B44:I44"/>
    <mergeCell ref="AN18:AQ18"/>
    <mergeCell ref="B33:D33"/>
    <mergeCell ref="B32:D32"/>
    <mergeCell ref="AN24:AQ24"/>
    <mergeCell ref="R24:Y24"/>
    <mergeCell ref="B25:E25"/>
    <mergeCell ref="AF25:AI25"/>
    <mergeCell ref="B99:E99"/>
    <mergeCell ref="R99:Y99"/>
    <mergeCell ref="R97:Y97"/>
    <mergeCell ref="R75:Y75"/>
    <mergeCell ref="B85:Y87"/>
    <mergeCell ref="C89:D89"/>
    <mergeCell ref="B96:E96"/>
    <mergeCell ref="R96:Y96"/>
    <mergeCell ref="B76:D76"/>
    <mergeCell ref="E76:F76"/>
    <mergeCell ref="B77:D77"/>
    <mergeCell ref="B79:Y79"/>
    <mergeCell ref="B80:Y82"/>
    <mergeCell ref="B84:Y84"/>
    <mergeCell ref="B66:E66"/>
    <mergeCell ref="R66:Y66"/>
    <mergeCell ref="B67:E67"/>
    <mergeCell ref="R67:Y67"/>
    <mergeCell ref="B68:E68"/>
    <mergeCell ref="R68:Y68"/>
    <mergeCell ref="B69:E69"/>
    <mergeCell ref="R69:Y69"/>
    <mergeCell ref="B20:E20"/>
    <mergeCell ref="AF20:AI20"/>
    <mergeCell ref="AJ20:AM20"/>
    <mergeCell ref="AN20:AQ20"/>
    <mergeCell ref="R20:Y20"/>
    <mergeCell ref="B21:E21"/>
    <mergeCell ref="AF21:AI21"/>
    <mergeCell ref="AJ21:AM21"/>
    <mergeCell ref="R70:Y70"/>
    <mergeCell ref="B71:E71"/>
    <mergeCell ref="R71:Y71"/>
    <mergeCell ref="B64:E64"/>
    <mergeCell ref="R64:Y64"/>
    <mergeCell ref="B55:E55"/>
    <mergeCell ref="R55:Y55"/>
    <mergeCell ref="B56:E56"/>
    <mergeCell ref="B59:E59"/>
    <mergeCell ref="R58:Y58"/>
    <mergeCell ref="B51:Y53"/>
    <mergeCell ref="R23:Y23"/>
    <mergeCell ref="B24:E24"/>
    <mergeCell ref="AF24:AI24"/>
    <mergeCell ref="AJ24:AM24"/>
    <mergeCell ref="B28:E28"/>
    <mergeCell ref="AF28:AI28"/>
    <mergeCell ref="AJ28:AM28"/>
    <mergeCell ref="AN21:AQ21"/>
    <mergeCell ref="R21:Y21"/>
    <mergeCell ref="B22:E22"/>
    <mergeCell ref="AF22:AI22"/>
    <mergeCell ref="AJ22:AM22"/>
    <mergeCell ref="AN22:AQ22"/>
    <mergeCell ref="R22:Y22"/>
    <mergeCell ref="B23:E23"/>
    <mergeCell ref="AF23:AI23"/>
    <mergeCell ref="AJ23:AM23"/>
    <mergeCell ref="AN23:AQ23"/>
    <mergeCell ref="AJ25:AM25"/>
    <mergeCell ref="AN25:AQ25"/>
    <mergeCell ref="R25:Y25"/>
    <mergeCell ref="B26:E26"/>
    <mergeCell ref="AF26:AI26"/>
    <mergeCell ref="AJ26:AM26"/>
    <mergeCell ref="AN26:AQ26"/>
    <mergeCell ref="R26:Y26"/>
    <mergeCell ref="B27:E27"/>
    <mergeCell ref="AF27:AI27"/>
    <mergeCell ref="AJ27:AM27"/>
    <mergeCell ref="AN27:AQ27"/>
    <mergeCell ref="R27:Y27"/>
    <mergeCell ref="AN28:AQ28"/>
    <mergeCell ref="AN17:AQ17"/>
    <mergeCell ref="R14:Y14"/>
    <mergeCell ref="R15:Y15"/>
    <mergeCell ref="B12:E12"/>
    <mergeCell ref="B13:E13"/>
    <mergeCell ref="B14:E14"/>
    <mergeCell ref="B15:E15"/>
    <mergeCell ref="B16:E16"/>
    <mergeCell ref="B17:E17"/>
    <mergeCell ref="AJ14:AM14"/>
    <mergeCell ref="AN14:AQ14"/>
    <mergeCell ref="AF15:AI15"/>
    <mergeCell ref="AJ15:AM15"/>
    <mergeCell ref="AN15:AQ15"/>
    <mergeCell ref="R16:Y16"/>
    <mergeCell ref="R17:Y17"/>
    <mergeCell ref="R18:Y18"/>
    <mergeCell ref="B18:E18"/>
    <mergeCell ref="AF18:AI18"/>
    <mergeCell ref="AJ18:AM18"/>
    <mergeCell ref="B11:E11"/>
    <mergeCell ref="B19:E19"/>
    <mergeCell ref="AF19:AI19"/>
    <mergeCell ref="AJ19:AM19"/>
    <mergeCell ref="AN19:AQ19"/>
    <mergeCell ref="R19:Y19"/>
    <mergeCell ref="AF14:AI14"/>
    <mergeCell ref="B2:D2"/>
    <mergeCell ref="F2:H2"/>
    <mergeCell ref="C4:D4"/>
    <mergeCell ref="I2:O2"/>
    <mergeCell ref="AF12:AI12"/>
    <mergeCell ref="AN12:AQ12"/>
    <mergeCell ref="AJ12:AM12"/>
    <mergeCell ref="AF13:AI13"/>
    <mergeCell ref="AJ13:AM13"/>
    <mergeCell ref="AN13:AQ13"/>
    <mergeCell ref="F4:K4"/>
    <mergeCell ref="L4:O4"/>
    <mergeCell ref="AF11:AI11"/>
    <mergeCell ref="AJ11:AM11"/>
    <mergeCell ref="AN11:AQ11"/>
    <mergeCell ref="B6:Y6"/>
    <mergeCell ref="B7:Y9"/>
    <mergeCell ref="R11:Y11"/>
    <mergeCell ref="R12:Y12"/>
    <mergeCell ref="R13:Y13"/>
    <mergeCell ref="AF16:AI16"/>
    <mergeCell ref="AJ16:AM16"/>
    <mergeCell ref="AN16:AQ16"/>
    <mergeCell ref="AF17:AI17"/>
    <mergeCell ref="AJ17:AM17"/>
    <mergeCell ref="R28:Y28"/>
    <mergeCell ref="B29:E29"/>
    <mergeCell ref="AF29:AI29"/>
    <mergeCell ref="AJ29:AM29"/>
    <mergeCell ref="AN29:AQ29"/>
    <mergeCell ref="R29:Y29"/>
    <mergeCell ref="B30:E30"/>
    <mergeCell ref="AF30:AI30"/>
    <mergeCell ref="AJ30:AM30"/>
    <mergeCell ref="AN30:AQ30"/>
    <mergeCell ref="R30:Y30"/>
    <mergeCell ref="B50:Y50"/>
    <mergeCell ref="B31:E31"/>
    <mergeCell ref="AF31:AI31"/>
    <mergeCell ref="AJ31:AM31"/>
    <mergeCell ref="AN31:AQ31"/>
    <mergeCell ref="R31:Y31"/>
    <mergeCell ref="E32:F32"/>
    <mergeCell ref="E33:F33"/>
    <mergeCell ref="B35:Y35"/>
    <mergeCell ref="B36:Y38"/>
    <mergeCell ref="B40:Y40"/>
    <mergeCell ref="B41:Y43"/>
    <mergeCell ref="B46:D46"/>
    <mergeCell ref="C48:D48"/>
    <mergeCell ref="R59:Y59"/>
    <mergeCell ref="B60:E60"/>
    <mergeCell ref="R60:Y60"/>
    <mergeCell ref="R56:Y56"/>
    <mergeCell ref="B57:E57"/>
    <mergeCell ref="R57:Y57"/>
    <mergeCell ref="B58:E58"/>
    <mergeCell ref="B63:E63"/>
    <mergeCell ref="R63:Y63"/>
    <mergeCell ref="B65:E65"/>
    <mergeCell ref="R65:Y65"/>
    <mergeCell ref="B61:E61"/>
    <mergeCell ref="R73:Y73"/>
    <mergeCell ref="B563:E563"/>
    <mergeCell ref="R563:Y563"/>
    <mergeCell ref="B530:Y530"/>
    <mergeCell ref="B531:Y533"/>
    <mergeCell ref="B535:Y535"/>
    <mergeCell ref="B536:Y538"/>
    <mergeCell ref="C540:D540"/>
    <mergeCell ref="B554:E554"/>
    <mergeCell ref="R554:Y554"/>
    <mergeCell ref="B557:E557"/>
    <mergeCell ref="R555:Y555"/>
    <mergeCell ref="B556:E556"/>
    <mergeCell ref="B284:Y284"/>
    <mergeCell ref="B285:Y287"/>
    <mergeCell ref="B289:Y289"/>
    <mergeCell ref="B290:Y292"/>
    <mergeCell ref="C294:D294"/>
    <mergeCell ref="B301:E301"/>
    <mergeCell ref="R61:Y61"/>
    <mergeCell ref="B565:E565"/>
    <mergeCell ref="R565:Y565"/>
    <mergeCell ref="B549:E549"/>
    <mergeCell ref="R549:Y549"/>
    <mergeCell ref="B550:E550"/>
    <mergeCell ref="R550:Y550"/>
    <mergeCell ref="B564:E564"/>
    <mergeCell ref="R564:Y564"/>
    <mergeCell ref="R557:Y557"/>
    <mergeCell ref="B558:E558"/>
    <mergeCell ref="R558:Y558"/>
    <mergeCell ref="B555:E555"/>
    <mergeCell ref="R556:Y556"/>
    <mergeCell ref="B592:E592"/>
    <mergeCell ref="R592:Y592"/>
    <mergeCell ref="B595:E595"/>
    <mergeCell ref="B617:Y617"/>
    <mergeCell ref="B603:E603"/>
    <mergeCell ref="R603:Y603"/>
    <mergeCell ref="B572:Y574"/>
    <mergeCell ref="B576:Y576"/>
    <mergeCell ref="E568:F568"/>
    <mergeCell ref="B569:D569"/>
    <mergeCell ref="E569:F569"/>
    <mergeCell ref="B583:Y583"/>
    <mergeCell ref="B584:Y586"/>
    <mergeCell ref="B577:Y579"/>
    <mergeCell ref="C581:D581"/>
    <mergeCell ref="B571:Y571"/>
    <mergeCell ref="B559:E559"/>
    <mergeCell ref="R559:Y559"/>
    <mergeCell ref="B560:E560"/>
    <mergeCell ref="E651:F651"/>
    <mergeCell ref="B665:Y665"/>
    <mergeCell ref="B666:Y668"/>
    <mergeCell ref="B686:E686"/>
    <mergeCell ref="R686:Y686"/>
    <mergeCell ref="B624:Y624"/>
    <mergeCell ref="B625:Y627"/>
    <mergeCell ref="B645:E645"/>
    <mergeCell ref="R645:Y645"/>
    <mergeCell ref="B646:E646"/>
    <mergeCell ref="R646:Y646"/>
    <mergeCell ref="B647:E647"/>
    <mergeCell ref="B653:Y653"/>
    <mergeCell ref="B654:Y656"/>
    <mergeCell ref="B658:Y658"/>
    <mergeCell ref="B675:E675"/>
    <mergeCell ref="R675:Y675"/>
    <mergeCell ref="B676:E676"/>
    <mergeCell ref="R676:Y676"/>
    <mergeCell ref="B673:E673"/>
    <mergeCell ref="R673:Y673"/>
    <mergeCell ref="B637:E637"/>
    <mergeCell ref="R637:Y637"/>
    <mergeCell ref="B638:E638"/>
    <mergeCell ref="R638:Y638"/>
    <mergeCell ref="B635:E635"/>
    <mergeCell ref="R635:Y635"/>
    <mergeCell ref="B636:E636"/>
    <mergeCell ref="R636:Y636"/>
    <mergeCell ref="R630:Y630"/>
    <mergeCell ref="B633:E633"/>
    <mergeCell ref="R633:Y633"/>
    <mergeCell ref="B727:E727"/>
    <mergeCell ref="R727:Y727"/>
    <mergeCell ref="B728:E728"/>
    <mergeCell ref="R728:Y728"/>
    <mergeCell ref="B729:E729"/>
    <mergeCell ref="R729:Y729"/>
    <mergeCell ref="B694:Y694"/>
    <mergeCell ref="B695:Y697"/>
    <mergeCell ref="B699:Y699"/>
    <mergeCell ref="B700:Y702"/>
    <mergeCell ref="C704:D704"/>
    <mergeCell ref="B714:E714"/>
    <mergeCell ref="R714:Y714"/>
    <mergeCell ref="B717:E717"/>
    <mergeCell ref="B733:D733"/>
    <mergeCell ref="E733:F733"/>
    <mergeCell ref="B747:Y747"/>
    <mergeCell ref="B741:Y743"/>
    <mergeCell ref="C745:D745"/>
    <mergeCell ref="B735:Y735"/>
    <mergeCell ref="B736:Y738"/>
    <mergeCell ref="B740:Y740"/>
    <mergeCell ref="B706:Y706"/>
    <mergeCell ref="B707:Y709"/>
    <mergeCell ref="B725:E725"/>
    <mergeCell ref="R725:Y725"/>
    <mergeCell ref="B726:E726"/>
    <mergeCell ref="R726:Y726"/>
    <mergeCell ref="B723:E723"/>
    <mergeCell ref="R723:Y723"/>
    <mergeCell ref="B724:E724"/>
    <mergeCell ref="R724:Y724"/>
    <mergeCell ref="R840:Y840"/>
    <mergeCell ref="B837:E837"/>
    <mergeCell ref="R837:Y837"/>
    <mergeCell ref="B838:E838"/>
    <mergeCell ref="R838:Y838"/>
    <mergeCell ref="B801:E801"/>
    <mergeCell ref="R801:Y801"/>
    <mergeCell ref="B802:E802"/>
    <mergeCell ref="R802:Y802"/>
    <mergeCell ref="B799:E799"/>
    <mergeCell ref="R799:Y799"/>
    <mergeCell ref="B800:E800"/>
    <mergeCell ref="R800:Y800"/>
    <mergeCell ref="R794:Y794"/>
    <mergeCell ref="B891:E891"/>
    <mergeCell ref="R891:Y891"/>
    <mergeCell ref="B892:E892"/>
    <mergeCell ref="R892:Y892"/>
    <mergeCell ref="B858:Y858"/>
    <mergeCell ref="B859:Y861"/>
    <mergeCell ref="B863:Y863"/>
    <mergeCell ref="B864:Y866"/>
    <mergeCell ref="C868:D868"/>
    <mergeCell ref="B878:E878"/>
    <mergeCell ref="R878:Y878"/>
    <mergeCell ref="B881:E881"/>
    <mergeCell ref="B794:E794"/>
    <mergeCell ref="E815:F815"/>
    <mergeCell ref="B829:Y829"/>
    <mergeCell ref="B830:Y832"/>
    <mergeCell ref="R834:Y834"/>
    <mergeCell ref="B797:E797"/>
    <mergeCell ref="B963:E963"/>
    <mergeCell ref="R963:Y963"/>
    <mergeCell ref="B964:E964"/>
    <mergeCell ref="R964:Y964"/>
    <mergeCell ref="R958:Y958"/>
    <mergeCell ref="B961:E961"/>
    <mergeCell ref="R961:Y961"/>
    <mergeCell ref="B962:E962"/>
    <mergeCell ref="R962:Y962"/>
    <mergeCell ref="B959:E959"/>
    <mergeCell ref="R959:Y959"/>
    <mergeCell ref="B960:E960"/>
    <mergeCell ref="R960:Y960"/>
    <mergeCell ref="B1055:E1055"/>
    <mergeCell ref="R1055:Y1055"/>
    <mergeCell ref="B1056:E1056"/>
    <mergeCell ref="R1056:Y1056"/>
    <mergeCell ref="B973:E973"/>
    <mergeCell ref="R973:Y973"/>
    <mergeCell ref="B974:E974"/>
    <mergeCell ref="R974:Y974"/>
    <mergeCell ref="B975:E975"/>
    <mergeCell ref="B981:Y981"/>
    <mergeCell ref="B982:Y984"/>
    <mergeCell ref="B986:Y986"/>
    <mergeCell ref="B1003:E1003"/>
    <mergeCell ref="R1003:Y1003"/>
    <mergeCell ref="B1004:E1004"/>
    <mergeCell ref="R1004:Y1004"/>
    <mergeCell ref="B1001:E1001"/>
    <mergeCell ref="R1001:Y1001"/>
    <mergeCell ref="B1002:E1002"/>
    <mergeCell ref="C1073:D1073"/>
    <mergeCell ref="B1063:Y1063"/>
    <mergeCell ref="B1064:Y1066"/>
    <mergeCell ref="B1068:Y1068"/>
    <mergeCell ref="B1043:E1043"/>
    <mergeCell ref="R1043:Y1043"/>
    <mergeCell ref="B1044:E1044"/>
    <mergeCell ref="R1044:Y1044"/>
    <mergeCell ref="B1053:E1053"/>
    <mergeCell ref="R1053:Y1053"/>
    <mergeCell ref="B1054:E1054"/>
    <mergeCell ref="R1054:Y1054"/>
    <mergeCell ref="B1051:E1051"/>
    <mergeCell ref="R1051:Y1051"/>
    <mergeCell ref="B1052:E1052"/>
    <mergeCell ref="R1052:Y1052"/>
    <mergeCell ref="B1049:E1049"/>
    <mergeCell ref="R1049:Y1049"/>
    <mergeCell ref="B1129:E1129"/>
    <mergeCell ref="R1129:Y1129"/>
    <mergeCell ref="B1130:E1130"/>
    <mergeCell ref="R1130:Y1130"/>
    <mergeCell ref="B1127:E1127"/>
    <mergeCell ref="R1127:Y1127"/>
    <mergeCell ref="B1128:E1128"/>
    <mergeCell ref="R1128:Y1128"/>
    <mergeCell ref="B1135:E1135"/>
    <mergeCell ref="R1135:Y1135"/>
    <mergeCell ref="B1136:E1136"/>
    <mergeCell ref="R1136:Y1136"/>
    <mergeCell ref="B1140:E1140"/>
    <mergeCell ref="R1140:Y1140"/>
    <mergeCell ref="B1141:E1141"/>
    <mergeCell ref="R1141:Y1141"/>
    <mergeCell ref="R1139:Y1139"/>
    <mergeCell ref="B1133:E1133"/>
    <mergeCell ref="R1133:Y1133"/>
    <mergeCell ref="B1134:E1134"/>
    <mergeCell ref="R1134:Y1134"/>
    <mergeCell ref="B1131:E1131"/>
    <mergeCell ref="R1131:Y1131"/>
    <mergeCell ref="B1132:E1132"/>
    <mergeCell ref="R1132:Y1132"/>
    <mergeCell ref="R957:Y957"/>
    <mergeCell ref="B958:E958"/>
    <mergeCell ref="B1109:Y1109"/>
    <mergeCell ref="B1110:Y1112"/>
    <mergeCell ref="C1114:D1114"/>
    <mergeCell ref="B1121:E1121"/>
    <mergeCell ref="R1121:Y1121"/>
    <mergeCell ref="B1122:E1122"/>
    <mergeCell ref="B1192:Y1194"/>
    <mergeCell ref="C1196:D1196"/>
    <mergeCell ref="B1206:E1206"/>
    <mergeCell ref="R1206:Y1206"/>
    <mergeCell ref="B1209:E1209"/>
    <mergeCell ref="E1184:F1184"/>
    <mergeCell ref="B1198:Y1198"/>
    <mergeCell ref="B1199:Y1201"/>
    <mergeCell ref="B1186:Y1186"/>
    <mergeCell ref="B1187:Y1189"/>
    <mergeCell ref="B1191:Y1191"/>
    <mergeCell ref="B1178:E1178"/>
    <mergeCell ref="R1178:Y1178"/>
    <mergeCell ref="B1116:Y1116"/>
    <mergeCell ref="B1117:Y1119"/>
    <mergeCell ref="B1137:E1137"/>
    <mergeCell ref="R1137:Y1137"/>
    <mergeCell ref="B1138:E1138"/>
    <mergeCell ref="R1138:Y1138"/>
    <mergeCell ref="B1139:E1139"/>
    <mergeCell ref="B1167:E1167"/>
    <mergeCell ref="R1167:Y1167"/>
    <mergeCell ref="B1168:E1168"/>
    <mergeCell ref="R1168:Y1168"/>
  </mergeCells>
  <phoneticPr fontId="31" type="noConversion"/>
  <conditionalFormatting sqref="AF12:AQ31 F12:O31">
    <cfRule type="expression" dxfId="240" priority="5144">
      <formula>ISODD(ROW())</formula>
    </cfRule>
    <cfRule type="expression" dxfId="239" priority="5145">
      <formula>ISEVEN(ROW())</formula>
    </cfRule>
    <cfRule type="expression" dxfId="238" priority="5146">
      <formula>LEN(TRIM(F12))&gt;0</formula>
    </cfRule>
  </conditionalFormatting>
  <conditionalFormatting sqref="F56:O75">
    <cfRule type="expression" dxfId="237" priority="88">
      <formula>ISODD(ROW())</formula>
    </cfRule>
    <cfRule type="expression" dxfId="236" priority="89">
      <formula>ISEVEN(ROW())</formula>
    </cfRule>
    <cfRule type="expression" dxfId="235" priority="90">
      <formula>LEN(TRIM(F56))&gt;0</formula>
    </cfRule>
  </conditionalFormatting>
  <conditionalFormatting sqref="F97:O116">
    <cfRule type="expression" dxfId="234" priority="85">
      <formula>ISODD(ROW())</formula>
    </cfRule>
    <cfRule type="expression" dxfId="233" priority="86">
      <formula>ISEVEN(ROW())</formula>
    </cfRule>
    <cfRule type="expression" dxfId="232" priority="87">
      <formula>LEN(TRIM(F97))&gt;0</formula>
    </cfRule>
  </conditionalFormatting>
  <conditionalFormatting sqref="F138:O157">
    <cfRule type="expression" dxfId="231" priority="82">
      <formula>ISODD(ROW())</formula>
    </cfRule>
    <cfRule type="expression" dxfId="230" priority="83">
      <formula>ISEVEN(ROW())</formula>
    </cfRule>
    <cfRule type="expression" dxfId="229" priority="84">
      <formula>LEN(TRIM(F138))&gt;0</formula>
    </cfRule>
  </conditionalFormatting>
  <conditionalFormatting sqref="F179:O198">
    <cfRule type="expression" dxfId="228" priority="79">
      <formula>ISODD(ROW())</formula>
    </cfRule>
    <cfRule type="expression" dxfId="227" priority="80">
      <formula>ISEVEN(ROW())</formula>
    </cfRule>
    <cfRule type="expression" dxfId="226" priority="81">
      <formula>LEN(TRIM(F179))&gt;0</formula>
    </cfRule>
  </conditionalFormatting>
  <conditionalFormatting sqref="F220:O239">
    <cfRule type="expression" dxfId="225" priority="76">
      <formula>ISODD(ROW())</formula>
    </cfRule>
    <cfRule type="expression" dxfId="224" priority="77">
      <formula>ISEVEN(ROW())</formula>
    </cfRule>
    <cfRule type="expression" dxfId="223" priority="78">
      <formula>LEN(TRIM(F220))&gt;0</formula>
    </cfRule>
  </conditionalFormatting>
  <conditionalFormatting sqref="F261:O280">
    <cfRule type="expression" dxfId="222" priority="73">
      <formula>ISODD(ROW())</formula>
    </cfRule>
    <cfRule type="expression" dxfId="221" priority="74">
      <formula>ISEVEN(ROW())</formula>
    </cfRule>
    <cfRule type="expression" dxfId="220" priority="75">
      <formula>LEN(TRIM(F261))&gt;0</formula>
    </cfRule>
  </conditionalFormatting>
  <conditionalFormatting sqref="F302:O321">
    <cfRule type="expression" dxfId="219" priority="70">
      <formula>ISODD(ROW())</formula>
    </cfRule>
    <cfRule type="expression" dxfId="218" priority="71">
      <formula>ISEVEN(ROW())</formula>
    </cfRule>
    <cfRule type="expression" dxfId="217" priority="72">
      <formula>LEN(TRIM(F302))&gt;0</formula>
    </cfRule>
  </conditionalFormatting>
  <conditionalFormatting sqref="F343:O362">
    <cfRule type="expression" dxfId="216" priority="67">
      <formula>ISODD(ROW())</formula>
    </cfRule>
    <cfRule type="expression" dxfId="215" priority="68">
      <formula>ISEVEN(ROW())</formula>
    </cfRule>
    <cfRule type="expression" dxfId="214" priority="69">
      <formula>LEN(TRIM(F343))&gt;0</formula>
    </cfRule>
  </conditionalFormatting>
  <conditionalFormatting sqref="F384:O403">
    <cfRule type="expression" dxfId="213" priority="64">
      <formula>ISODD(ROW())</formula>
    </cfRule>
    <cfRule type="expression" dxfId="212" priority="65">
      <formula>ISEVEN(ROW())</formula>
    </cfRule>
    <cfRule type="expression" dxfId="211" priority="66">
      <formula>LEN(TRIM(F384))&gt;0</formula>
    </cfRule>
  </conditionalFormatting>
  <conditionalFormatting sqref="F425:O444">
    <cfRule type="expression" dxfId="210" priority="61">
      <formula>ISODD(ROW())</formula>
    </cfRule>
    <cfRule type="expression" dxfId="209" priority="62">
      <formula>ISEVEN(ROW())</formula>
    </cfRule>
    <cfRule type="expression" dxfId="208" priority="63">
      <formula>LEN(TRIM(F425))&gt;0</formula>
    </cfRule>
  </conditionalFormatting>
  <conditionalFormatting sqref="F466:O485">
    <cfRule type="expression" dxfId="207" priority="58">
      <formula>ISODD(ROW())</formula>
    </cfRule>
    <cfRule type="expression" dxfId="206" priority="59">
      <formula>ISEVEN(ROW())</formula>
    </cfRule>
    <cfRule type="expression" dxfId="205" priority="60">
      <formula>LEN(TRIM(F466))&gt;0</formula>
    </cfRule>
  </conditionalFormatting>
  <conditionalFormatting sqref="F507:O526">
    <cfRule type="expression" dxfId="204" priority="55">
      <formula>ISODD(ROW())</formula>
    </cfRule>
    <cfRule type="expression" dxfId="203" priority="56">
      <formula>ISEVEN(ROW())</formula>
    </cfRule>
    <cfRule type="expression" dxfId="202" priority="57">
      <formula>LEN(TRIM(F507))&gt;0</formula>
    </cfRule>
  </conditionalFormatting>
  <conditionalFormatting sqref="F548:O567">
    <cfRule type="expression" dxfId="201" priority="52">
      <formula>ISODD(ROW())</formula>
    </cfRule>
    <cfRule type="expression" dxfId="200" priority="53">
      <formula>ISEVEN(ROW())</formula>
    </cfRule>
    <cfRule type="expression" dxfId="199" priority="54">
      <formula>LEN(TRIM(F548))&gt;0</formula>
    </cfRule>
  </conditionalFormatting>
  <conditionalFormatting sqref="F589:O608">
    <cfRule type="expression" dxfId="198" priority="49">
      <formula>ISODD(ROW())</formula>
    </cfRule>
    <cfRule type="expression" dxfId="197" priority="50">
      <formula>ISEVEN(ROW())</formula>
    </cfRule>
    <cfRule type="expression" dxfId="196" priority="51">
      <formula>LEN(TRIM(F589))&gt;0</formula>
    </cfRule>
  </conditionalFormatting>
  <conditionalFormatting sqref="F630:O649">
    <cfRule type="expression" dxfId="195" priority="46">
      <formula>ISODD(ROW())</formula>
    </cfRule>
    <cfRule type="expression" dxfId="194" priority="47">
      <formula>ISEVEN(ROW())</formula>
    </cfRule>
    <cfRule type="expression" dxfId="193" priority="48">
      <formula>LEN(TRIM(F630))&gt;0</formula>
    </cfRule>
  </conditionalFormatting>
  <conditionalFormatting sqref="F671:O690">
    <cfRule type="expression" dxfId="192" priority="43">
      <formula>ISODD(ROW())</formula>
    </cfRule>
    <cfRule type="expression" dxfId="191" priority="44">
      <formula>ISEVEN(ROW())</formula>
    </cfRule>
    <cfRule type="expression" dxfId="190" priority="45">
      <formula>LEN(TRIM(F671))&gt;0</formula>
    </cfRule>
  </conditionalFormatting>
  <conditionalFormatting sqref="F712:O731">
    <cfRule type="expression" dxfId="189" priority="40">
      <formula>ISODD(ROW())</formula>
    </cfRule>
    <cfRule type="expression" dxfId="188" priority="41">
      <formula>ISEVEN(ROW())</formula>
    </cfRule>
    <cfRule type="expression" dxfId="187" priority="42">
      <formula>LEN(TRIM(F712))&gt;0</formula>
    </cfRule>
  </conditionalFormatting>
  <conditionalFormatting sqref="F753:O772">
    <cfRule type="expression" dxfId="186" priority="37">
      <formula>ISODD(ROW())</formula>
    </cfRule>
    <cfRule type="expression" dxfId="185" priority="38">
      <formula>ISEVEN(ROW())</formula>
    </cfRule>
    <cfRule type="expression" dxfId="184" priority="39">
      <formula>LEN(TRIM(F753))&gt;0</formula>
    </cfRule>
  </conditionalFormatting>
  <conditionalFormatting sqref="F794:O813">
    <cfRule type="expression" dxfId="183" priority="34">
      <formula>ISODD(ROW())</formula>
    </cfRule>
    <cfRule type="expression" dxfId="182" priority="35">
      <formula>ISEVEN(ROW())</formula>
    </cfRule>
    <cfRule type="expression" dxfId="181" priority="36">
      <formula>LEN(TRIM(F794))&gt;0</formula>
    </cfRule>
  </conditionalFormatting>
  <conditionalFormatting sqref="F835:O854">
    <cfRule type="expression" dxfId="180" priority="31">
      <formula>ISODD(ROW())</formula>
    </cfRule>
    <cfRule type="expression" dxfId="179" priority="32">
      <formula>ISEVEN(ROW())</formula>
    </cfRule>
    <cfRule type="expression" dxfId="178" priority="33">
      <formula>LEN(TRIM(F835))&gt;0</formula>
    </cfRule>
  </conditionalFormatting>
  <conditionalFormatting sqref="F876:O895">
    <cfRule type="expression" dxfId="177" priority="28">
      <formula>ISODD(ROW())</formula>
    </cfRule>
    <cfRule type="expression" dxfId="176" priority="29">
      <formula>ISEVEN(ROW())</formula>
    </cfRule>
    <cfRule type="expression" dxfId="175" priority="30">
      <formula>LEN(TRIM(F876))&gt;0</formula>
    </cfRule>
  </conditionalFormatting>
  <conditionalFormatting sqref="F917:O936">
    <cfRule type="expression" dxfId="174" priority="25">
      <formula>ISODD(ROW())</formula>
    </cfRule>
    <cfRule type="expression" dxfId="173" priority="26">
      <formula>ISEVEN(ROW())</formula>
    </cfRule>
    <cfRule type="expression" dxfId="172" priority="27">
      <formula>LEN(TRIM(F917))&gt;0</formula>
    </cfRule>
  </conditionalFormatting>
  <conditionalFormatting sqref="F958:O977">
    <cfRule type="expression" dxfId="171" priority="22">
      <formula>ISODD(ROW())</formula>
    </cfRule>
    <cfRule type="expression" dxfId="170" priority="23">
      <formula>ISEVEN(ROW())</formula>
    </cfRule>
    <cfRule type="expression" dxfId="169" priority="24">
      <formula>LEN(TRIM(F958))&gt;0</formula>
    </cfRule>
  </conditionalFormatting>
  <conditionalFormatting sqref="F999:O1018">
    <cfRule type="expression" dxfId="168" priority="19">
      <formula>ISODD(ROW())</formula>
    </cfRule>
    <cfRule type="expression" dxfId="167" priority="20">
      <formula>ISEVEN(ROW())</formula>
    </cfRule>
    <cfRule type="expression" dxfId="166" priority="21">
      <formula>LEN(TRIM(F999))&gt;0</formula>
    </cfRule>
  </conditionalFormatting>
  <conditionalFormatting sqref="F1040:O1059">
    <cfRule type="expression" dxfId="165" priority="16">
      <formula>ISODD(ROW())</formula>
    </cfRule>
    <cfRule type="expression" dxfId="164" priority="17">
      <formula>ISEVEN(ROW())</formula>
    </cfRule>
    <cfRule type="expression" dxfId="163" priority="18">
      <formula>LEN(TRIM(F1040))&gt;0</formula>
    </cfRule>
  </conditionalFormatting>
  <conditionalFormatting sqref="F1081:O1100">
    <cfRule type="expression" dxfId="162" priority="13">
      <formula>ISODD(ROW())</formula>
    </cfRule>
    <cfRule type="expression" dxfId="161" priority="14">
      <formula>ISEVEN(ROW())</formula>
    </cfRule>
    <cfRule type="expression" dxfId="160" priority="15">
      <formula>LEN(TRIM(F1081))&gt;0</formula>
    </cfRule>
  </conditionalFormatting>
  <conditionalFormatting sqref="F1122:O1141">
    <cfRule type="expression" dxfId="159" priority="10">
      <formula>ISODD(ROW())</formula>
    </cfRule>
    <cfRule type="expression" dxfId="158" priority="11">
      <formula>ISEVEN(ROW())</formula>
    </cfRule>
    <cfRule type="expression" dxfId="157" priority="12">
      <formula>LEN(TRIM(F1122))&gt;0</formula>
    </cfRule>
  </conditionalFormatting>
  <conditionalFormatting sqref="F1163:O1182">
    <cfRule type="expression" dxfId="156" priority="7">
      <formula>ISODD(ROW())</formula>
    </cfRule>
    <cfRule type="expression" dxfId="155" priority="8">
      <formula>ISEVEN(ROW())</formula>
    </cfRule>
    <cfRule type="expression" dxfId="154" priority="9">
      <formula>LEN(TRIM(F1163))&gt;0</formula>
    </cfRule>
  </conditionalFormatting>
  <conditionalFormatting sqref="F1204:O1223">
    <cfRule type="expression" dxfId="153" priority="4">
      <formula>ISODD(ROW())</formula>
    </cfRule>
    <cfRule type="expression" dxfId="152" priority="5">
      <formula>ISEVEN(ROW())</formula>
    </cfRule>
    <cfRule type="expression" dxfId="151" priority="6">
      <formula>LEN(TRIM(F1204))&gt;0</formula>
    </cfRule>
  </conditionalFormatting>
  <conditionalFormatting sqref="F1245:O1264">
    <cfRule type="expression" dxfId="150" priority="1">
      <formula>ISODD(ROW())</formula>
    </cfRule>
    <cfRule type="expression" dxfId="149" priority="2">
      <formula>ISEVEN(ROW())</formula>
    </cfRule>
    <cfRule type="expression" dxfId="148" priority="3">
      <formula>LEN(TRIM(F1245))&gt;0</formula>
    </cfRule>
  </conditionalFormatting>
  <dataValidations count="2">
    <dataValidation type="list" allowBlank="1" showInputMessage="1" showErrorMessage="1" sqref="L4:O4" xr:uid="{48F52EF9-7532-4D7C-97DF-72CAEC023E8A}">
      <formula1>ListEmployeeNames</formula1>
    </dataValidation>
    <dataValidation type="list" allowBlank="1" showDropDown="1" showErrorMessage="1" errorTitle="wrong value" error="type in capital P to make a tick" sqref="AF21:AQ31" xr:uid="{61259896-E6D2-47C4-95B6-2DBD54626560}">
      <formula1>"P"</formula1>
    </dataValidation>
  </dataValidations>
  <hyperlinks>
    <hyperlink ref="B44:I44" r:id="rId1" display="Spreadsheet provided by: www.YourSpreadsheets.co.uk" xr:uid="{C07B4826-B827-43DB-8861-699ABDAACC0B}"/>
  </hyperlinks>
  <pageMargins left="0.48" right="0.18" top="0.48" bottom="0.43307086614173229" header="0" footer="0"/>
  <pageSetup paperSize="9" scale="59" orientation="portrait" r:id="rId2"/>
  <headerFooter scaleWithDoc="0"/>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F5219-0CFD-4F72-901A-2EBC2852EA58}">
  <sheetPr codeName="Sheet1"/>
  <dimension ref="B2:BB3"/>
  <sheetViews>
    <sheetView zoomScaleNormal="100" workbookViewId="0">
      <selection activeCell="N8" sqref="N8"/>
    </sheetView>
  </sheetViews>
  <sheetFormatPr defaultRowHeight="15"/>
  <cols>
    <col min="3" max="3" width="18.5703125" bestFit="1" customWidth="1"/>
    <col min="4" max="4" width="11.7109375" bestFit="1" customWidth="1"/>
    <col min="5" max="5" width="9.140625" style="53" customWidth="1"/>
    <col min="14" max="25" width="9.140625" customWidth="1"/>
  </cols>
  <sheetData>
    <row r="2" spans="2:54">
      <c r="B2" s="47" t="s">
        <v>30</v>
      </c>
      <c r="C2" s="44" t="s">
        <v>31</v>
      </c>
      <c r="D2" s="44" t="s">
        <v>39</v>
      </c>
      <c r="E2" s="52" t="s">
        <v>60</v>
      </c>
      <c r="F2" s="44" t="s">
        <v>61</v>
      </c>
      <c r="G2" s="44" t="s">
        <v>62</v>
      </c>
      <c r="H2" s="44" t="s">
        <v>63</v>
      </c>
      <c r="I2" s="44" t="s">
        <v>64</v>
      </c>
      <c r="J2" s="44" t="s">
        <v>65</v>
      </c>
      <c r="K2" s="44" t="s">
        <v>66</v>
      </c>
      <c r="L2" s="44" t="s">
        <v>67</v>
      </c>
      <c r="M2" s="44" t="s">
        <v>68</v>
      </c>
      <c r="N2" s="44" t="s">
        <v>69</v>
      </c>
      <c r="O2" s="44" t="s">
        <v>70</v>
      </c>
      <c r="P2" s="44" t="s">
        <v>71</v>
      </c>
      <c r="Q2" s="44" t="s">
        <v>72</v>
      </c>
      <c r="R2" s="44" t="s">
        <v>73</v>
      </c>
      <c r="S2" s="44" t="s">
        <v>74</v>
      </c>
      <c r="T2" s="44" t="s">
        <v>75</v>
      </c>
      <c r="U2" s="44" t="s">
        <v>76</v>
      </c>
      <c r="V2" s="44" t="s">
        <v>77</v>
      </c>
      <c r="W2" s="44" t="s">
        <v>78</v>
      </c>
      <c r="X2" s="44" t="s">
        <v>79</v>
      </c>
      <c r="Y2" s="44" t="s">
        <v>80</v>
      </c>
      <c r="Z2" s="44" t="s">
        <v>81</v>
      </c>
      <c r="AA2" s="44" t="s">
        <v>82</v>
      </c>
      <c r="AB2" s="44" t="s">
        <v>83</v>
      </c>
      <c r="AC2" s="44" t="s">
        <v>84</v>
      </c>
      <c r="AD2" s="44" t="s">
        <v>85</v>
      </c>
      <c r="AE2" s="44" t="s">
        <v>86</v>
      </c>
      <c r="AF2" s="44" t="s">
        <v>87</v>
      </c>
      <c r="AG2" s="44" t="s">
        <v>88</v>
      </c>
      <c r="AH2" s="44" t="s">
        <v>89</v>
      </c>
      <c r="AI2" s="44" t="s">
        <v>90</v>
      </c>
      <c r="AJ2" s="44" t="s">
        <v>91</v>
      </c>
      <c r="AK2" s="44" t="s">
        <v>92</v>
      </c>
      <c r="AL2" s="44" t="s">
        <v>93</v>
      </c>
      <c r="AM2" s="44" t="s">
        <v>94</v>
      </c>
      <c r="AN2" s="44" t="s">
        <v>95</v>
      </c>
      <c r="AO2" s="44" t="s">
        <v>96</v>
      </c>
      <c r="AP2" s="44" t="s">
        <v>97</v>
      </c>
      <c r="AQ2" s="44" t="s">
        <v>98</v>
      </c>
      <c r="AR2" s="44" t="s">
        <v>99</v>
      </c>
      <c r="AS2" s="44" t="s">
        <v>100</v>
      </c>
      <c r="AT2" s="44" t="s">
        <v>101</v>
      </c>
      <c r="AU2" s="44" t="s">
        <v>102</v>
      </c>
      <c r="AV2" s="44" t="s">
        <v>103</v>
      </c>
      <c r="AW2" s="44" t="s">
        <v>59</v>
      </c>
      <c r="AX2" s="44" t="s">
        <v>220</v>
      </c>
      <c r="AY2" s="44" t="s">
        <v>181</v>
      </c>
      <c r="AZ2" s="44" t="s">
        <v>185</v>
      </c>
      <c r="BA2" s="44" t="s">
        <v>187</v>
      </c>
      <c r="BB2" s="44" t="s">
        <v>188</v>
      </c>
    </row>
    <row r="3" spans="2:54">
      <c r="B3" s="47">
        <v>8</v>
      </c>
      <c r="C3" s="44" t="str">
        <f>INDEX(TblEmployeeList[#All],MATCH(TblDatabase[[#This Row],[ID]],TblEmployeeList[[#All],[ID]],0),4)</f>
        <v>baker makaylin</v>
      </c>
      <c r="D3" s="44" t="str">
        <f>INDEX(TblEmployeeList[#All],MATCH(TblDatabase[[#This Row],[ID]],TblEmployeeList[[#All],[ID]],0),7)</f>
        <v>Fo phones</v>
      </c>
      <c r="E3" s="52">
        <v>2018</v>
      </c>
      <c r="F3" s="44">
        <v>5</v>
      </c>
      <c r="G3" s="44">
        <v>8</v>
      </c>
      <c r="H3" s="44">
        <v>7</v>
      </c>
      <c r="I3" s="44">
        <v>5</v>
      </c>
      <c r="J3" s="44">
        <v>9</v>
      </c>
      <c r="K3" s="44">
        <v>8</v>
      </c>
      <c r="L3" s="44">
        <v>10</v>
      </c>
      <c r="M3">
        <v>9</v>
      </c>
      <c r="Z3" s="44"/>
      <c r="AA3" s="44"/>
      <c r="AB3" s="44"/>
      <c r="AC3" s="44"/>
      <c r="AD3" s="44"/>
      <c r="AE3" s="44"/>
      <c r="AF3" s="44"/>
      <c r="AT3" s="44"/>
      <c r="AU3" s="44"/>
      <c r="AV3" s="44"/>
      <c r="AW3" s="44">
        <f t="shared" ref="AW3" si="0">ROW()-2</f>
        <v>1</v>
      </c>
      <c r="AX3" s="189">
        <f>IF(TblDatabase[[#This Row],[Valid?]],AVERAGEIFS(TblDatabase[Averate rating],TblDatabase[Year],"="&amp;TblDatabase[[#This Row],[Year]]),"")</f>
        <v>7.625</v>
      </c>
      <c r="AY3" s="188">
        <f>IF(COUNTIF(TblDatabase[[#This Row],[Competency1]:[Competency20]],"&gt;0")=NumberOfCompetencies,SUM(TblDatabase[[#This Row],[Competency1]:[Competency20]])/NumberOfCompetencies,0)</f>
        <v>7.625</v>
      </c>
      <c r="AZ3" s="44" t="b">
        <f>TblDatabase[[#This Row],[Averate rating]]&gt;0</f>
        <v>1</v>
      </c>
      <c r="BA3" s="44" t="b">
        <f>TblDatabase[[#This Row],[Year]]&gt;MAX(TblDatabase[Year])-3</f>
        <v>1</v>
      </c>
      <c r="BB3" s="44" t="b">
        <f>TblDatabase[[#This Row],[Year]]=MAX(TblDatabase[Year])</f>
        <v>1</v>
      </c>
    </row>
  </sheetData>
  <phoneticPr fontId="3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953F0A-D14D-4E38-94B2-5DDB17787953}">
  <sheetPr codeName="Sheet2"/>
  <dimension ref="A1:AG1428"/>
  <sheetViews>
    <sheetView showGridLines="0" showRowColHeaders="0" topLeftCell="J1" zoomScaleNormal="100" workbookViewId="0">
      <selection activeCell="M5" sqref="M5:Q5"/>
    </sheetView>
  </sheetViews>
  <sheetFormatPr defaultRowHeight="17.100000000000001" customHeight="1"/>
  <cols>
    <col min="1" max="2" width="5.42578125" style="121" customWidth="1"/>
    <col min="3" max="4" width="15.85546875" style="121" customWidth="1"/>
    <col min="5" max="5" width="8.7109375" style="121" hidden="1" customWidth="1"/>
    <col min="6" max="6" width="23" style="121" hidden="1" customWidth="1"/>
    <col min="7" max="7" width="14.28515625" style="121" hidden="1" customWidth="1"/>
    <col min="8" max="8" width="14.28515625" style="121" customWidth="1"/>
    <col min="9" max="9" width="24" style="121" customWidth="1"/>
    <col min="10" max="10" width="3.7109375" style="120" customWidth="1"/>
    <col min="11" max="11" width="32.7109375" style="121" customWidth="1"/>
    <col min="12" max="12" width="6.28515625" style="121" hidden="1" customWidth="1"/>
    <col min="13" max="14" width="3.140625" style="121" customWidth="1"/>
    <col min="15" max="17" width="9.7109375" style="121" customWidth="1"/>
    <col min="18" max="18" width="3.5703125" style="121" customWidth="1"/>
    <col min="19" max="19" width="21" style="121" hidden="1" customWidth="1"/>
    <col min="20" max="20" width="9.85546875" style="121" hidden="1" customWidth="1"/>
    <col min="21" max="21" width="17.140625" style="121" hidden="1" customWidth="1"/>
    <col min="22" max="22" width="32.140625" style="121" hidden="1" customWidth="1"/>
    <col min="23" max="25" width="17.140625" style="121" hidden="1" customWidth="1"/>
    <col min="26" max="28" width="9.140625" style="121" hidden="1" customWidth="1"/>
    <col min="29" max="16384" width="9.140625" style="121"/>
  </cols>
  <sheetData>
    <row r="1" spans="1:33" ht="17.100000000000001" customHeight="1">
      <c r="A1" s="119"/>
      <c r="B1" s="119"/>
      <c r="C1" s="119"/>
      <c r="D1" s="119"/>
      <c r="E1" s="119"/>
      <c r="F1" s="119"/>
      <c r="G1" s="119"/>
      <c r="H1" s="119"/>
      <c r="I1" s="119"/>
    </row>
    <row r="2" spans="1:33" ht="17.100000000000001" customHeight="1">
      <c r="A2" s="119"/>
      <c r="B2" s="119"/>
      <c r="C2" s="450" t="str">
        <f>UPPER($M$6)&amp;" LIST"</f>
        <v>EMPLOYEE LIST</v>
      </c>
      <c r="D2" s="451"/>
      <c r="E2" s="451"/>
      <c r="F2" s="451"/>
      <c r="G2" s="451"/>
      <c r="H2" s="451"/>
      <c r="I2" s="452"/>
      <c r="J2" s="122"/>
      <c r="K2" s="425" t="s">
        <v>35</v>
      </c>
      <c r="L2" s="426"/>
      <c r="M2" s="426"/>
      <c r="N2" s="426"/>
      <c r="O2" s="426"/>
      <c r="P2" s="426"/>
      <c r="Q2" s="427"/>
      <c r="T2" s="118" t="s">
        <v>157</v>
      </c>
      <c r="U2" s="123" t="s">
        <v>41</v>
      </c>
      <c r="V2" s="123" t="s">
        <v>44</v>
      </c>
      <c r="W2" s="124" t="s">
        <v>45</v>
      </c>
      <c r="X2" s="124" t="s">
        <v>49</v>
      </c>
      <c r="Y2" s="124" t="s">
        <v>54</v>
      </c>
      <c r="Z2" s="118" t="s">
        <v>155</v>
      </c>
    </row>
    <row r="3" spans="1:33" ht="17.100000000000001" customHeight="1">
      <c r="A3" s="119"/>
      <c r="B3" s="119"/>
      <c r="C3" s="455" t="s">
        <v>28</v>
      </c>
      <c r="D3" s="459" t="s">
        <v>29</v>
      </c>
      <c r="E3" s="463" t="s">
        <v>30</v>
      </c>
      <c r="F3" s="461" t="s">
        <v>31</v>
      </c>
      <c r="G3" s="461" t="s">
        <v>136</v>
      </c>
      <c r="H3" s="434" t="str">
        <f>$M$6&amp;" ID"</f>
        <v>Employee ID</v>
      </c>
      <c r="I3" s="453" t="str">
        <f>$M$7</f>
        <v>Department</v>
      </c>
      <c r="J3" s="122"/>
      <c r="K3" s="438" t="str">
        <f>IF(OR($M$6=$W$6,$M$6=$W$7),"Organization name:","Company name:")</f>
        <v>Company name:</v>
      </c>
      <c r="L3" s="439"/>
      <c r="M3" s="440" t="s">
        <v>234</v>
      </c>
      <c r="N3" s="440"/>
      <c r="O3" s="440"/>
      <c r="P3" s="440"/>
      <c r="Q3" s="441"/>
      <c r="T3" s="118" t="s">
        <v>160</v>
      </c>
      <c r="U3" s="123" t="s">
        <v>42</v>
      </c>
      <c r="V3" s="123" t="str">
        <f>"Name - Surname - "&amp;M7</f>
        <v>Name - Surname - Department</v>
      </c>
      <c r="W3" s="125" t="s">
        <v>46</v>
      </c>
      <c r="X3" s="124" t="s">
        <v>39</v>
      </c>
      <c r="Y3" s="124" t="s">
        <v>55</v>
      </c>
      <c r="Z3" s="118" t="s">
        <v>154</v>
      </c>
      <c r="AB3" s="126" t="s">
        <v>137</v>
      </c>
    </row>
    <row r="4" spans="1:33" ht="17.100000000000001" customHeight="1">
      <c r="A4" s="119"/>
      <c r="B4" s="119"/>
      <c r="C4" s="456"/>
      <c r="D4" s="460"/>
      <c r="E4" s="435"/>
      <c r="F4" s="462"/>
      <c r="G4" s="462"/>
      <c r="H4" s="435"/>
      <c r="I4" s="454"/>
      <c r="J4" s="122"/>
      <c r="K4" s="421" t="s">
        <v>153</v>
      </c>
      <c r="L4" s="422"/>
      <c r="M4" s="423" t="s">
        <v>56</v>
      </c>
      <c r="N4" s="423"/>
      <c r="O4" s="423"/>
      <c r="P4" s="423"/>
      <c r="Q4" s="424"/>
      <c r="T4" s="118" t="s">
        <v>158</v>
      </c>
      <c r="U4" s="123" t="s">
        <v>40</v>
      </c>
      <c r="V4" s="123" t="str">
        <f>"Surname - Name - "&amp;M7</f>
        <v>Surname - Name - Department</v>
      </c>
      <c r="W4" s="124" t="s">
        <v>38</v>
      </c>
      <c r="X4" s="124" t="s">
        <v>49</v>
      </c>
      <c r="Y4" s="124" t="s">
        <v>56</v>
      </c>
      <c r="Z4" s="118" t="s">
        <v>156</v>
      </c>
      <c r="AB4" s="121">
        <v>0</v>
      </c>
    </row>
    <row r="5" spans="1:33" ht="17.100000000000001" customHeight="1">
      <c r="A5" s="418" t="s">
        <v>32</v>
      </c>
      <c r="B5" s="418"/>
      <c r="C5" s="68"/>
      <c r="D5" s="69"/>
      <c r="E5" s="127"/>
      <c r="F5" s="127"/>
      <c r="G5" s="128"/>
      <c r="H5" s="108"/>
      <c r="I5" s="70"/>
      <c r="J5" s="122"/>
      <c r="K5" s="421" t="s">
        <v>36</v>
      </c>
      <c r="L5" s="422"/>
      <c r="M5" s="442">
        <f>MIN(TblDatabase[Year])</f>
        <v>2018</v>
      </c>
      <c r="N5" s="442"/>
      <c r="O5" s="442"/>
      <c r="P5" s="442"/>
      <c r="Q5" s="443"/>
      <c r="U5" s="123" t="s">
        <v>43</v>
      </c>
      <c r="V5" s="123" t="str">
        <f>M7&amp;" - Name - Surname"</f>
        <v>Department - Name - Surname</v>
      </c>
      <c r="W5" s="124" t="s">
        <v>47</v>
      </c>
      <c r="X5" s="125" t="s">
        <v>53</v>
      </c>
      <c r="Y5" s="125" t="s">
        <v>57</v>
      </c>
      <c r="AA5" s="121" t="s">
        <v>135</v>
      </c>
      <c r="AB5" s="126" t="s">
        <v>162</v>
      </c>
    </row>
    <row r="6" spans="1:33" ht="17.100000000000001" customHeight="1">
      <c r="A6" s="417" t="s">
        <v>33</v>
      </c>
      <c r="B6" s="417"/>
      <c r="C6" s="45" t="s">
        <v>228</v>
      </c>
      <c r="D6" s="67" t="s">
        <v>229</v>
      </c>
      <c r="E6" s="129">
        <v>8</v>
      </c>
      <c r="F6" s="130" t="str">
        <f>CHOOSE(MATCH($M$9,$U$3:$U$5,0),TblEmployeeList[[#This Row],[Name]]&amp;" "&amp;TblEmployeeList[[#This Row],[Surname]],TblEmployeeList[[#This Row],[Surname]]&amp;" "&amp;TblEmployeeList[[#This Row],[Name]],TblEmployeeList[[#This Row],[Surname]]&amp;", "&amp;TblEmployeeList[[#This Row],[Name]])</f>
        <v>baker makaylin</v>
      </c>
      <c r="G6" s="130">
        <f>IF(OR(GroupSelection=$AA$5,GroupSelection=TblEmployeeList[[#This Row],[Department]]),G5+1,G5)</f>
        <v>1</v>
      </c>
      <c r="H6" s="67" t="s">
        <v>230</v>
      </c>
      <c r="I6" s="46" t="s">
        <v>231</v>
      </c>
      <c r="J6" s="122"/>
      <c r="K6" s="421" t="s">
        <v>37</v>
      </c>
      <c r="L6" s="422"/>
      <c r="M6" s="423" t="s">
        <v>38</v>
      </c>
      <c r="N6" s="423"/>
      <c r="O6" s="423"/>
      <c r="P6" s="423"/>
      <c r="Q6" s="424"/>
      <c r="V6" s="123" t="str">
        <f>M7&amp;" - Surname - Name"</f>
        <v>Department - Surname - Name</v>
      </c>
      <c r="W6" s="125" t="s">
        <v>48</v>
      </c>
      <c r="AA6" s="121" t="s">
        <v>231</v>
      </c>
      <c r="AB6" s="121">
        <v>0</v>
      </c>
    </row>
    <row r="7" spans="1:33" ht="17.100000000000001" customHeight="1">
      <c r="A7" s="417"/>
      <c r="B7" s="417"/>
      <c r="C7" s="183" t="s">
        <v>171</v>
      </c>
      <c r="D7" s="67" t="s">
        <v>172</v>
      </c>
      <c r="E7" s="129">
        <v>2</v>
      </c>
      <c r="F7" s="130" t="str">
        <f>CHOOSE(MATCH($M$9,$U$3:$U$5,0),TblEmployeeList[[#This Row],[Name]]&amp;" "&amp;TblEmployeeList[[#This Row],[Surname]],TblEmployeeList[[#This Row],[Surname]]&amp;" "&amp;TblEmployeeList[[#This Row],[Name]],TblEmployeeList[[#This Row],[Surname]]&amp;", "&amp;TblEmployeeList[[#This Row],[Name]])</f>
        <v>Bartholomew Danette</v>
      </c>
      <c r="G7" s="130">
        <f>IF(OR(GroupSelection=$AA$5,GroupSelection=TblEmployeeList[[#This Row],[Department]]),G6+1,G6)</f>
        <v>2</v>
      </c>
      <c r="H7" s="67" t="s">
        <v>173</v>
      </c>
      <c r="I7" s="183" t="s">
        <v>174</v>
      </c>
      <c r="J7" s="120" t="s">
        <v>175</v>
      </c>
      <c r="K7" s="421" t="s">
        <v>51</v>
      </c>
      <c r="L7" s="422"/>
      <c r="M7" s="423" t="s">
        <v>39</v>
      </c>
      <c r="N7" s="423"/>
      <c r="O7" s="423"/>
      <c r="P7" s="423"/>
      <c r="Q7" s="424"/>
      <c r="V7" s="131" t="str">
        <f>M7&amp;" - "&amp;M6&amp;"'s ID"</f>
        <v>Department - Employee's ID</v>
      </c>
      <c r="W7" s="125" t="s">
        <v>50</v>
      </c>
      <c r="AA7" t="s">
        <v>174</v>
      </c>
    </row>
    <row r="8" spans="1:33" ht="17.100000000000001" customHeight="1">
      <c r="A8" s="119"/>
      <c r="B8" s="119"/>
      <c r="C8" s="67" t="s">
        <v>168</v>
      </c>
      <c r="D8" s="67" t="s">
        <v>169</v>
      </c>
      <c r="E8" s="129">
        <v>7</v>
      </c>
      <c r="F8" s="130" t="str">
        <f>CHOOSE(MATCH($M$9,$U$3:$U$5,0),TblEmployeeList[[#This Row],[Name]]&amp;" "&amp;TblEmployeeList[[#This Row],[Surname]],TblEmployeeList[[#This Row],[Surname]]&amp;" "&amp;TblEmployeeList[[#This Row],[Name]],TblEmployeeList[[#This Row],[Surname]]&amp;", "&amp;TblEmployeeList[[#This Row],[Name]])</f>
        <v>Ruark Nola</v>
      </c>
      <c r="G8" s="130">
        <f>IF(OR(GroupSelection=$AA$5,GroupSelection=TblEmployeeList[[#This Row],[Department]]),G7+1,G7)</f>
        <v>3</v>
      </c>
      <c r="H8" s="67" t="s">
        <v>170</v>
      </c>
      <c r="I8" s="67" t="s">
        <v>227</v>
      </c>
      <c r="J8" s="120" t="s">
        <v>175</v>
      </c>
      <c r="K8" s="421" t="str">
        <f>"Sort "&amp;LOWER($M$6)&amp;"s by:"</f>
        <v>Sort employees by:</v>
      </c>
      <c r="L8" s="422"/>
      <c r="M8" s="423" t="s">
        <v>177</v>
      </c>
      <c r="N8" s="423"/>
      <c r="O8" s="423"/>
      <c r="P8" s="423"/>
      <c r="Q8" s="424"/>
      <c r="V8" s="131" t="str">
        <f>M6&amp;"'s ID"</f>
        <v>Employee's ID</v>
      </c>
      <c r="AA8" t="s">
        <v>227</v>
      </c>
    </row>
    <row r="9" spans="1:33" ht="17.100000000000001" customHeight="1">
      <c r="A9" s="119"/>
      <c r="B9" s="119"/>
      <c r="K9" s="421" t="str">
        <f>"Show "&amp;LOWER($M$6)&amp;" names as:"</f>
        <v>Show employee names as:</v>
      </c>
      <c r="L9" s="422"/>
      <c r="M9" s="423" t="s">
        <v>40</v>
      </c>
      <c r="N9" s="423"/>
      <c r="O9" s="423"/>
      <c r="P9" s="423"/>
      <c r="Q9" s="424"/>
      <c r="AA9"/>
    </row>
    <row r="10" spans="1:33" ht="17.100000000000001" customHeight="1">
      <c r="K10" s="421" t="str">
        <f>"Show "&amp;$M$6&amp;"'s ID:"</f>
        <v>Show Employee's ID:</v>
      </c>
      <c r="L10" s="422"/>
      <c r="M10" s="436" t="s">
        <v>154</v>
      </c>
      <c r="N10" s="436"/>
      <c r="O10" s="436"/>
      <c r="P10" s="436"/>
      <c r="Q10" s="437"/>
      <c r="U10" s="132" t="s">
        <v>138</v>
      </c>
      <c r="AA10"/>
    </row>
    <row r="11" spans="1:33" ht="17.100000000000001" customHeight="1">
      <c r="K11" s="430" t="s">
        <v>159</v>
      </c>
      <c r="L11" s="431"/>
      <c r="M11" s="432" t="s">
        <v>158</v>
      </c>
      <c r="N11" s="432"/>
      <c r="O11" s="432"/>
      <c r="P11" s="432"/>
      <c r="Q11" s="433"/>
      <c r="U11" s="121">
        <f>SUBTOTAL(103,Overview!G12:J15)</f>
        <v>4</v>
      </c>
      <c r="AA11"/>
    </row>
    <row r="12" spans="1:33" ht="17.100000000000001" customHeight="1">
      <c r="U12" s="132" t="s">
        <v>124</v>
      </c>
      <c r="AA12"/>
    </row>
    <row r="13" spans="1:33" ht="17.100000000000001" customHeight="1">
      <c r="K13" s="137" t="s">
        <v>34</v>
      </c>
      <c r="L13" s="133"/>
      <c r="N13" s="425" t="s">
        <v>216</v>
      </c>
      <c r="O13" s="426"/>
      <c r="P13" s="426"/>
      <c r="Q13" s="427"/>
      <c r="U13" s="121">
        <f>COUNTA(TblCompetencies[[#All],[Type]])</f>
        <v>8</v>
      </c>
      <c r="AA13"/>
    </row>
    <row r="14" spans="1:33" ht="17.100000000000001" customHeight="1">
      <c r="K14" s="41" t="s">
        <v>5</v>
      </c>
      <c r="L14" s="134">
        <v>1</v>
      </c>
      <c r="N14" s="444" t="s">
        <v>217</v>
      </c>
      <c r="O14" s="428"/>
      <c r="P14" s="428"/>
      <c r="Q14" s="429"/>
      <c r="U14" s="132" t="s">
        <v>126</v>
      </c>
      <c r="AA14"/>
    </row>
    <row r="15" spans="1:33" ht="17.100000000000001" customHeight="1">
      <c r="K15" s="41" t="s">
        <v>232</v>
      </c>
      <c r="L15" s="134">
        <v>2</v>
      </c>
      <c r="N15" s="445" t="s">
        <v>218</v>
      </c>
      <c r="O15" s="419"/>
      <c r="P15" s="419"/>
      <c r="Q15" s="420"/>
      <c r="U15" s="121">
        <f>COUNTA(TblEmployeeList[[#All],[Name and Surname]])</f>
        <v>3</v>
      </c>
      <c r="W15" s="135" t="s">
        <v>212</v>
      </c>
      <c r="Z15" s="119"/>
      <c r="AA15"/>
      <c r="AB15" s="119"/>
      <c r="AC15" s="119"/>
      <c r="AD15" s="119"/>
      <c r="AE15" s="119"/>
      <c r="AF15" s="119"/>
      <c r="AG15" s="122"/>
    </row>
    <row r="16" spans="1:33" ht="17.100000000000001" customHeight="1">
      <c r="K16" s="41" t="s">
        <v>6</v>
      </c>
      <c r="L16" s="134">
        <v>3</v>
      </c>
      <c r="N16" s="446" t="s">
        <v>219</v>
      </c>
      <c r="O16" s="447"/>
      <c r="P16" s="447"/>
      <c r="Q16" s="448"/>
      <c r="U16" s="132" t="s">
        <v>163</v>
      </c>
      <c r="W16" s="135" t="s">
        <v>214</v>
      </c>
      <c r="AA16"/>
    </row>
    <row r="17" spans="11:27" ht="17.100000000000001" customHeight="1">
      <c r="K17" s="41" t="s">
        <v>7</v>
      </c>
      <c r="L17" s="134">
        <v>4</v>
      </c>
      <c r="U17" s="121">
        <f t="array" ref="U17">SUM(IF(FREQUENCY(IF(LEN(TblEmployeeList[Department])&gt;0,MATCH(TblEmployeeList[Department],TblEmployeeList[Department],0),""),IF(LEN(TblEmployeeList[Department])&gt;0,MATCH(TblEmployeeList[Department],TblEmployeeList[Department],0),""))&gt;0,1))</f>
        <v>3</v>
      </c>
      <c r="W17" s="135" t="s">
        <v>213</v>
      </c>
      <c r="AA17"/>
    </row>
    <row r="18" spans="11:27" ht="17.100000000000001" customHeight="1">
      <c r="K18" s="41" t="s">
        <v>9</v>
      </c>
      <c r="L18" s="134">
        <v>5</v>
      </c>
      <c r="N18" s="425" t="s">
        <v>58</v>
      </c>
      <c r="O18" s="426"/>
      <c r="P18" s="426"/>
      <c r="Q18" s="427"/>
      <c r="U18" s="132" t="s">
        <v>164</v>
      </c>
      <c r="AA18"/>
    </row>
    <row r="19" spans="11:27" ht="17.100000000000001" customHeight="1">
      <c r="K19" s="41" t="s">
        <v>10</v>
      </c>
      <c r="L19" s="134">
        <v>6</v>
      </c>
      <c r="N19" s="138">
        <v>1</v>
      </c>
      <c r="O19" s="428" t="s">
        <v>23</v>
      </c>
      <c r="P19" s="428"/>
      <c r="Q19" s="429"/>
      <c r="U19" s="231" t="s">
        <v>56</v>
      </c>
      <c r="AA19"/>
    </row>
    <row r="20" spans="11:27" ht="17.100000000000001" customHeight="1">
      <c r="K20" s="41" t="s">
        <v>11</v>
      </c>
      <c r="L20" s="134">
        <v>7</v>
      </c>
      <c r="N20" s="139">
        <v>2</v>
      </c>
      <c r="O20" s="419" t="s">
        <v>22</v>
      </c>
      <c r="P20" s="419"/>
      <c r="Q20" s="420"/>
      <c r="U20" s="132" t="s">
        <v>215</v>
      </c>
      <c r="AA20"/>
    </row>
    <row r="21" spans="11:27" ht="17.100000000000001" customHeight="1">
      <c r="K21" s="41" t="s">
        <v>12</v>
      </c>
      <c r="L21" s="134">
        <v>8</v>
      </c>
      <c r="N21" s="140">
        <v>3</v>
      </c>
      <c r="O21" s="457" t="s">
        <v>21</v>
      </c>
      <c r="P21" s="457"/>
      <c r="Q21" s="458"/>
      <c r="U21" s="213">
        <f>IF(SUM(TblDatabase[Averate rating])=0,1,0)</f>
        <v>0</v>
      </c>
      <c r="AA21"/>
    </row>
    <row r="22" spans="11:27" ht="17.100000000000001" customHeight="1">
      <c r="K22" s="41"/>
      <c r="L22" s="134">
        <v>9</v>
      </c>
      <c r="AA22"/>
    </row>
    <row r="23" spans="11:27" ht="17.100000000000001" customHeight="1">
      <c r="K23" s="41"/>
      <c r="L23" s="134">
        <v>10</v>
      </c>
      <c r="AA23"/>
    </row>
    <row r="24" spans="11:27" ht="17.100000000000001" customHeight="1">
      <c r="K24" s="41"/>
      <c r="L24" s="134">
        <v>11</v>
      </c>
      <c r="AA24"/>
    </row>
    <row r="25" spans="11:27" ht="17.100000000000001" customHeight="1">
      <c r="K25" s="42"/>
      <c r="L25" s="134">
        <v>12</v>
      </c>
      <c r="AA25"/>
    </row>
    <row r="26" spans="11:27" ht="17.100000000000001" customHeight="1">
      <c r="K26" s="42"/>
      <c r="L26" s="134">
        <v>13</v>
      </c>
      <c r="AA26"/>
    </row>
    <row r="27" spans="11:27" ht="17.100000000000001" customHeight="1">
      <c r="K27" s="42"/>
      <c r="L27" s="134">
        <v>14</v>
      </c>
      <c r="AA27"/>
    </row>
    <row r="28" spans="11:27" ht="17.100000000000001" customHeight="1">
      <c r="K28" s="42"/>
      <c r="L28" s="134">
        <v>15</v>
      </c>
      <c r="AA28"/>
    </row>
    <row r="29" spans="11:27" ht="17.100000000000001" customHeight="1">
      <c r="K29" s="42"/>
      <c r="L29" s="134">
        <v>16</v>
      </c>
      <c r="AA29"/>
    </row>
    <row r="30" spans="11:27" ht="17.100000000000001" customHeight="1">
      <c r="K30" s="42"/>
      <c r="L30" s="134">
        <v>17</v>
      </c>
      <c r="AA30"/>
    </row>
    <row r="31" spans="11:27" ht="17.100000000000001" customHeight="1">
      <c r="K31" s="42"/>
      <c r="L31" s="134">
        <v>18</v>
      </c>
      <c r="AA31"/>
    </row>
    <row r="32" spans="11:27" ht="17.100000000000001" customHeight="1">
      <c r="K32" s="42"/>
      <c r="L32" s="134">
        <v>19</v>
      </c>
      <c r="AA32"/>
    </row>
    <row r="33" spans="11:27" ht="17.100000000000001" customHeight="1">
      <c r="K33" s="43"/>
      <c r="L33" s="136">
        <v>20</v>
      </c>
      <c r="AA33"/>
    </row>
    <row r="34" spans="11:27" ht="17.100000000000001" customHeight="1">
      <c r="K34" s="449" t="s">
        <v>52</v>
      </c>
      <c r="L34" s="449"/>
      <c r="AA34"/>
    </row>
    <row r="35" spans="11:27" ht="17.100000000000001" customHeight="1">
      <c r="AA35"/>
    </row>
    <row r="36" spans="11:27" ht="17.100000000000001" customHeight="1">
      <c r="AA36"/>
    </row>
    <row r="37" spans="11:27" ht="17.100000000000001" customHeight="1">
      <c r="AA37"/>
    </row>
    <row r="38" spans="11:27" ht="17.100000000000001" customHeight="1">
      <c r="AA38"/>
    </row>
    <row r="39" spans="11:27" ht="17.100000000000001" customHeight="1">
      <c r="AA39"/>
    </row>
    <row r="40" spans="11:27" ht="17.100000000000001" customHeight="1">
      <c r="AA40"/>
    </row>
    <row r="41" spans="11:27" ht="17.100000000000001" customHeight="1">
      <c r="AA41"/>
    </row>
    <row r="42" spans="11:27" ht="17.100000000000001" customHeight="1">
      <c r="AA42"/>
    </row>
    <row r="43" spans="11:27" ht="17.100000000000001" customHeight="1">
      <c r="AA43"/>
    </row>
    <row r="44" spans="11:27" ht="17.100000000000001" customHeight="1">
      <c r="AA44"/>
    </row>
    <row r="45" spans="11:27" ht="17.100000000000001" customHeight="1">
      <c r="AA45"/>
    </row>
    <row r="46" spans="11:27" ht="17.100000000000001" customHeight="1">
      <c r="AA46"/>
    </row>
    <row r="47" spans="11:27" ht="17.100000000000001" customHeight="1">
      <c r="AA47"/>
    </row>
    <row r="48" spans="11:27" ht="17.100000000000001" customHeight="1">
      <c r="AA48"/>
    </row>
    <row r="49" spans="27:27" ht="17.100000000000001" customHeight="1">
      <c r="AA49"/>
    </row>
    <row r="50" spans="27:27" ht="17.100000000000001" customHeight="1">
      <c r="AA50"/>
    </row>
    <row r="51" spans="27:27" ht="17.100000000000001" customHeight="1">
      <c r="AA51"/>
    </row>
    <row r="52" spans="27:27" ht="17.100000000000001" customHeight="1">
      <c r="AA52"/>
    </row>
    <row r="53" spans="27:27" ht="17.100000000000001" customHeight="1">
      <c r="AA53"/>
    </row>
    <row r="54" spans="27:27" ht="17.100000000000001" customHeight="1">
      <c r="AA54"/>
    </row>
    <row r="55" spans="27:27" ht="17.100000000000001" customHeight="1">
      <c r="AA55"/>
    </row>
    <row r="56" spans="27:27" ht="17.100000000000001" customHeight="1">
      <c r="AA56"/>
    </row>
    <row r="57" spans="27:27" ht="17.100000000000001" customHeight="1">
      <c r="AA57"/>
    </row>
    <row r="58" spans="27:27" ht="17.100000000000001" customHeight="1">
      <c r="AA58"/>
    </row>
    <row r="59" spans="27:27" ht="17.100000000000001" customHeight="1">
      <c r="AA59"/>
    </row>
    <row r="60" spans="27:27" ht="17.100000000000001" customHeight="1">
      <c r="AA60"/>
    </row>
    <row r="61" spans="27:27" ht="17.100000000000001" customHeight="1">
      <c r="AA61"/>
    </row>
    <row r="62" spans="27:27" ht="17.100000000000001" customHeight="1">
      <c r="AA62"/>
    </row>
    <row r="63" spans="27:27" ht="17.100000000000001" customHeight="1">
      <c r="AA63"/>
    </row>
    <row r="64" spans="27:27" ht="17.100000000000001" customHeight="1">
      <c r="AA64"/>
    </row>
    <row r="65" spans="27:27" ht="17.100000000000001" customHeight="1">
      <c r="AA65"/>
    </row>
    <row r="66" spans="27:27" ht="17.100000000000001" customHeight="1">
      <c r="AA66"/>
    </row>
    <row r="67" spans="27:27" ht="17.100000000000001" customHeight="1">
      <c r="AA67"/>
    </row>
    <row r="68" spans="27:27" ht="17.100000000000001" customHeight="1">
      <c r="AA68"/>
    </row>
    <row r="69" spans="27:27" ht="17.100000000000001" customHeight="1">
      <c r="AA69"/>
    </row>
    <row r="70" spans="27:27" ht="17.100000000000001" customHeight="1">
      <c r="AA70"/>
    </row>
    <row r="71" spans="27:27" ht="17.100000000000001" customHeight="1">
      <c r="AA71"/>
    </row>
    <row r="72" spans="27:27" ht="17.100000000000001" customHeight="1">
      <c r="AA72"/>
    </row>
    <row r="73" spans="27:27" ht="17.100000000000001" customHeight="1">
      <c r="AA73"/>
    </row>
    <row r="74" spans="27:27" ht="17.100000000000001" customHeight="1">
      <c r="AA74"/>
    </row>
    <row r="75" spans="27:27" ht="17.100000000000001" customHeight="1">
      <c r="AA75"/>
    </row>
    <row r="76" spans="27:27" ht="17.100000000000001" customHeight="1">
      <c r="AA76"/>
    </row>
    <row r="77" spans="27:27" ht="17.100000000000001" customHeight="1">
      <c r="AA77"/>
    </row>
    <row r="78" spans="27:27" ht="17.100000000000001" customHeight="1">
      <c r="AA78"/>
    </row>
    <row r="79" spans="27:27" ht="17.100000000000001" customHeight="1">
      <c r="AA79"/>
    </row>
    <row r="80" spans="27:27" ht="17.100000000000001" customHeight="1">
      <c r="AA80"/>
    </row>
    <row r="81" spans="27:27" ht="17.100000000000001" customHeight="1">
      <c r="AA81"/>
    </row>
    <row r="82" spans="27:27" ht="17.100000000000001" customHeight="1">
      <c r="AA82"/>
    </row>
    <row r="83" spans="27:27" ht="17.100000000000001" customHeight="1">
      <c r="AA83"/>
    </row>
    <row r="84" spans="27:27" ht="17.100000000000001" customHeight="1">
      <c r="AA84"/>
    </row>
    <row r="85" spans="27:27" ht="17.100000000000001" customHeight="1">
      <c r="AA85"/>
    </row>
    <row r="86" spans="27:27" ht="17.100000000000001" customHeight="1">
      <c r="AA86"/>
    </row>
    <row r="87" spans="27:27" ht="17.100000000000001" customHeight="1">
      <c r="AA87"/>
    </row>
    <row r="88" spans="27:27" ht="17.100000000000001" customHeight="1">
      <c r="AA88"/>
    </row>
    <row r="89" spans="27:27" ht="17.100000000000001" customHeight="1">
      <c r="AA89"/>
    </row>
    <row r="90" spans="27:27" ht="17.100000000000001" customHeight="1">
      <c r="AA90"/>
    </row>
    <row r="91" spans="27:27" ht="17.100000000000001" customHeight="1">
      <c r="AA91"/>
    </row>
    <row r="92" spans="27:27" ht="17.100000000000001" customHeight="1">
      <c r="AA92"/>
    </row>
    <row r="93" spans="27:27" ht="17.100000000000001" customHeight="1">
      <c r="AA93"/>
    </row>
    <row r="94" spans="27:27" ht="17.100000000000001" customHeight="1">
      <c r="AA94"/>
    </row>
    <row r="95" spans="27:27" ht="17.100000000000001" customHeight="1">
      <c r="AA95"/>
    </row>
    <row r="96" spans="27:27" ht="17.100000000000001" customHeight="1">
      <c r="AA96"/>
    </row>
    <row r="97" spans="27:27" ht="17.100000000000001" customHeight="1">
      <c r="AA97"/>
    </row>
    <row r="98" spans="27:27" ht="17.100000000000001" customHeight="1">
      <c r="AA98"/>
    </row>
    <row r="99" spans="27:27" ht="17.100000000000001" customHeight="1">
      <c r="AA99"/>
    </row>
    <row r="100" spans="27:27" ht="17.100000000000001" customHeight="1">
      <c r="AA100"/>
    </row>
    <row r="101" spans="27:27" ht="17.100000000000001" customHeight="1">
      <c r="AA101"/>
    </row>
    <row r="102" spans="27:27" ht="17.100000000000001" customHeight="1">
      <c r="AA102"/>
    </row>
    <row r="103" spans="27:27" ht="17.100000000000001" customHeight="1">
      <c r="AA103"/>
    </row>
    <row r="104" spans="27:27" ht="17.100000000000001" customHeight="1">
      <c r="AA104"/>
    </row>
    <row r="105" spans="27:27" ht="17.100000000000001" customHeight="1">
      <c r="AA105"/>
    </row>
    <row r="106" spans="27:27" ht="17.100000000000001" customHeight="1">
      <c r="AA106"/>
    </row>
    <row r="107" spans="27:27" ht="17.100000000000001" customHeight="1">
      <c r="AA107"/>
    </row>
    <row r="108" spans="27:27" ht="17.100000000000001" customHeight="1">
      <c r="AA108"/>
    </row>
    <row r="109" spans="27:27" ht="17.100000000000001" customHeight="1">
      <c r="AA109"/>
    </row>
    <row r="110" spans="27:27" ht="17.100000000000001" customHeight="1">
      <c r="AA110"/>
    </row>
    <row r="111" spans="27:27" ht="17.100000000000001" customHeight="1">
      <c r="AA111"/>
    </row>
    <row r="112" spans="27:27" ht="17.100000000000001" customHeight="1">
      <c r="AA112"/>
    </row>
    <row r="113" spans="27:27" ht="17.100000000000001" customHeight="1">
      <c r="AA113"/>
    </row>
    <row r="114" spans="27:27" ht="17.100000000000001" customHeight="1">
      <c r="AA114"/>
    </row>
    <row r="115" spans="27:27" ht="17.100000000000001" customHeight="1">
      <c r="AA115"/>
    </row>
    <row r="116" spans="27:27" ht="17.100000000000001" customHeight="1">
      <c r="AA116"/>
    </row>
    <row r="117" spans="27:27" ht="17.100000000000001" customHeight="1">
      <c r="AA117"/>
    </row>
    <row r="118" spans="27:27" ht="17.100000000000001" customHeight="1">
      <c r="AA118"/>
    </row>
    <row r="119" spans="27:27" ht="17.100000000000001" customHeight="1">
      <c r="AA119"/>
    </row>
    <row r="120" spans="27:27" ht="17.100000000000001" customHeight="1">
      <c r="AA120"/>
    </row>
    <row r="121" spans="27:27" ht="17.100000000000001" customHeight="1">
      <c r="AA121"/>
    </row>
    <row r="122" spans="27:27" ht="17.100000000000001" customHeight="1">
      <c r="AA122"/>
    </row>
    <row r="123" spans="27:27" ht="17.100000000000001" customHeight="1">
      <c r="AA123"/>
    </row>
    <row r="124" spans="27:27" ht="17.100000000000001" customHeight="1">
      <c r="AA124"/>
    </row>
    <row r="125" spans="27:27" ht="17.100000000000001" customHeight="1">
      <c r="AA125"/>
    </row>
    <row r="126" spans="27:27" ht="17.100000000000001" customHeight="1">
      <c r="AA126"/>
    </row>
    <row r="127" spans="27:27" ht="17.100000000000001" customHeight="1">
      <c r="AA127"/>
    </row>
    <row r="128" spans="27:27" ht="17.100000000000001" customHeight="1">
      <c r="AA128"/>
    </row>
    <row r="129" spans="27:27" ht="17.100000000000001" customHeight="1">
      <c r="AA129"/>
    </row>
    <row r="130" spans="27:27" ht="17.100000000000001" customHeight="1">
      <c r="AA130"/>
    </row>
    <row r="131" spans="27:27" ht="17.100000000000001" customHeight="1">
      <c r="AA131"/>
    </row>
    <row r="132" spans="27:27" ht="17.100000000000001" customHeight="1">
      <c r="AA132"/>
    </row>
    <row r="133" spans="27:27" ht="17.100000000000001" customHeight="1">
      <c r="AA133"/>
    </row>
    <row r="134" spans="27:27" ht="17.100000000000001" customHeight="1">
      <c r="AA134"/>
    </row>
    <row r="135" spans="27:27" ht="17.100000000000001" customHeight="1">
      <c r="AA135"/>
    </row>
    <row r="136" spans="27:27" ht="17.100000000000001" customHeight="1">
      <c r="AA136"/>
    </row>
    <row r="137" spans="27:27" ht="17.100000000000001" customHeight="1">
      <c r="AA137"/>
    </row>
    <row r="138" spans="27:27" ht="17.100000000000001" customHeight="1">
      <c r="AA138"/>
    </row>
    <row r="139" spans="27:27" ht="17.100000000000001" customHeight="1">
      <c r="AA139"/>
    </row>
    <row r="140" spans="27:27" ht="17.100000000000001" customHeight="1">
      <c r="AA140"/>
    </row>
    <row r="141" spans="27:27" ht="17.100000000000001" customHeight="1">
      <c r="AA141"/>
    </row>
    <row r="142" spans="27:27" ht="17.100000000000001" customHeight="1">
      <c r="AA142"/>
    </row>
    <row r="143" spans="27:27" ht="17.100000000000001" customHeight="1">
      <c r="AA143"/>
    </row>
    <row r="144" spans="27:27" ht="17.100000000000001" customHeight="1">
      <c r="AA144"/>
    </row>
    <row r="145" spans="27:27" ht="17.100000000000001" customHeight="1">
      <c r="AA145"/>
    </row>
    <row r="146" spans="27:27" ht="17.100000000000001" customHeight="1">
      <c r="AA146"/>
    </row>
    <row r="147" spans="27:27" ht="17.100000000000001" customHeight="1">
      <c r="AA147"/>
    </row>
    <row r="148" spans="27:27" ht="17.100000000000001" customHeight="1">
      <c r="AA148"/>
    </row>
    <row r="149" spans="27:27" ht="17.100000000000001" customHeight="1">
      <c r="AA149"/>
    </row>
    <row r="150" spans="27:27" ht="17.100000000000001" customHeight="1">
      <c r="AA150"/>
    </row>
    <row r="151" spans="27:27" ht="17.100000000000001" customHeight="1">
      <c r="AA151"/>
    </row>
    <row r="152" spans="27:27" ht="17.100000000000001" customHeight="1">
      <c r="AA152"/>
    </row>
    <row r="153" spans="27:27" ht="17.100000000000001" customHeight="1">
      <c r="AA153"/>
    </row>
    <row r="154" spans="27:27" ht="17.100000000000001" customHeight="1">
      <c r="AA154"/>
    </row>
    <row r="155" spans="27:27" ht="17.100000000000001" customHeight="1">
      <c r="AA155"/>
    </row>
    <row r="156" spans="27:27" ht="17.100000000000001" customHeight="1">
      <c r="AA156"/>
    </row>
    <row r="157" spans="27:27" ht="17.100000000000001" customHeight="1">
      <c r="AA157"/>
    </row>
    <row r="158" spans="27:27" ht="17.100000000000001" customHeight="1">
      <c r="AA158"/>
    </row>
    <row r="159" spans="27:27" ht="17.100000000000001" customHeight="1">
      <c r="AA159"/>
    </row>
    <row r="160" spans="27:27" ht="17.100000000000001" customHeight="1">
      <c r="AA160"/>
    </row>
    <row r="161" spans="27:27" ht="17.100000000000001" customHeight="1">
      <c r="AA161"/>
    </row>
    <row r="162" spans="27:27" ht="17.100000000000001" customHeight="1">
      <c r="AA162"/>
    </row>
    <row r="163" spans="27:27" ht="17.100000000000001" customHeight="1">
      <c r="AA163"/>
    </row>
    <row r="164" spans="27:27" ht="17.100000000000001" customHeight="1">
      <c r="AA164"/>
    </row>
    <row r="165" spans="27:27" ht="17.100000000000001" customHeight="1">
      <c r="AA165"/>
    </row>
    <row r="166" spans="27:27" ht="17.100000000000001" customHeight="1">
      <c r="AA166"/>
    </row>
    <row r="167" spans="27:27" ht="17.100000000000001" customHeight="1">
      <c r="AA167"/>
    </row>
    <row r="168" spans="27:27" ht="17.100000000000001" customHeight="1">
      <c r="AA168"/>
    </row>
    <row r="169" spans="27:27" ht="17.100000000000001" customHeight="1">
      <c r="AA169"/>
    </row>
    <row r="170" spans="27:27" ht="17.100000000000001" customHeight="1">
      <c r="AA170"/>
    </row>
    <row r="171" spans="27:27" ht="17.100000000000001" customHeight="1">
      <c r="AA171"/>
    </row>
    <row r="172" spans="27:27" ht="17.100000000000001" customHeight="1">
      <c r="AA172"/>
    </row>
    <row r="173" spans="27:27" ht="17.100000000000001" customHeight="1">
      <c r="AA173"/>
    </row>
    <row r="174" spans="27:27" ht="17.100000000000001" customHeight="1">
      <c r="AA174"/>
    </row>
    <row r="175" spans="27:27" ht="17.100000000000001" customHeight="1">
      <c r="AA175"/>
    </row>
    <row r="176" spans="27:27" ht="17.100000000000001" customHeight="1">
      <c r="AA176"/>
    </row>
    <row r="177" spans="27:27" ht="17.100000000000001" customHeight="1">
      <c r="AA177"/>
    </row>
    <row r="178" spans="27:27" ht="17.100000000000001" customHeight="1">
      <c r="AA178"/>
    </row>
    <row r="179" spans="27:27" ht="17.100000000000001" customHeight="1">
      <c r="AA179"/>
    </row>
    <row r="180" spans="27:27" ht="17.100000000000001" customHeight="1">
      <c r="AA180"/>
    </row>
    <row r="181" spans="27:27" ht="17.100000000000001" customHeight="1">
      <c r="AA181"/>
    </row>
    <row r="182" spans="27:27" ht="17.100000000000001" customHeight="1">
      <c r="AA182"/>
    </row>
    <row r="183" spans="27:27" ht="17.100000000000001" customHeight="1">
      <c r="AA183"/>
    </row>
    <row r="184" spans="27:27" ht="17.100000000000001" customHeight="1">
      <c r="AA184"/>
    </row>
    <row r="185" spans="27:27" ht="17.100000000000001" customHeight="1">
      <c r="AA185"/>
    </row>
    <row r="186" spans="27:27" ht="17.100000000000001" customHeight="1">
      <c r="AA186"/>
    </row>
    <row r="187" spans="27:27" ht="17.100000000000001" customHeight="1">
      <c r="AA187"/>
    </row>
    <row r="188" spans="27:27" ht="17.100000000000001" customHeight="1">
      <c r="AA188"/>
    </row>
    <row r="189" spans="27:27" ht="17.100000000000001" customHeight="1">
      <c r="AA189"/>
    </row>
    <row r="190" spans="27:27" ht="17.100000000000001" customHeight="1">
      <c r="AA190"/>
    </row>
    <row r="191" spans="27:27" ht="17.100000000000001" customHeight="1">
      <c r="AA191"/>
    </row>
    <row r="192" spans="27:27" ht="17.100000000000001" customHeight="1">
      <c r="AA192"/>
    </row>
    <row r="193" spans="27:27" ht="17.100000000000001" customHeight="1">
      <c r="AA193"/>
    </row>
    <row r="194" spans="27:27" ht="17.100000000000001" customHeight="1">
      <c r="AA194"/>
    </row>
    <row r="195" spans="27:27" ht="17.100000000000001" customHeight="1">
      <c r="AA195"/>
    </row>
    <row r="196" spans="27:27" ht="17.100000000000001" customHeight="1">
      <c r="AA196"/>
    </row>
    <row r="197" spans="27:27" ht="17.100000000000001" customHeight="1">
      <c r="AA197"/>
    </row>
    <row r="198" spans="27:27" ht="17.100000000000001" customHeight="1">
      <c r="AA198"/>
    </row>
    <row r="199" spans="27:27" ht="17.100000000000001" customHeight="1">
      <c r="AA199"/>
    </row>
    <row r="200" spans="27:27" ht="17.100000000000001" customHeight="1">
      <c r="AA200"/>
    </row>
    <row r="201" spans="27:27" ht="17.100000000000001" customHeight="1">
      <c r="AA201"/>
    </row>
    <row r="202" spans="27:27" ht="17.100000000000001" customHeight="1">
      <c r="AA202"/>
    </row>
    <row r="203" spans="27:27" ht="17.100000000000001" customHeight="1">
      <c r="AA203"/>
    </row>
    <row r="204" spans="27:27" ht="17.100000000000001" customHeight="1">
      <c r="AA204"/>
    </row>
    <row r="205" spans="27:27" ht="17.100000000000001" customHeight="1">
      <c r="AA205"/>
    </row>
    <row r="206" spans="27:27" ht="17.100000000000001" customHeight="1">
      <c r="AA206"/>
    </row>
    <row r="207" spans="27:27" ht="17.100000000000001" customHeight="1">
      <c r="AA207"/>
    </row>
    <row r="208" spans="27:27" ht="17.100000000000001" customHeight="1">
      <c r="AA208"/>
    </row>
    <row r="209" spans="27:27" ht="17.100000000000001" customHeight="1">
      <c r="AA209"/>
    </row>
    <row r="210" spans="27:27" ht="17.100000000000001" customHeight="1">
      <c r="AA210"/>
    </row>
    <row r="211" spans="27:27" ht="17.100000000000001" customHeight="1">
      <c r="AA211"/>
    </row>
    <row r="212" spans="27:27" ht="17.100000000000001" customHeight="1">
      <c r="AA212"/>
    </row>
    <row r="213" spans="27:27" ht="17.100000000000001" customHeight="1">
      <c r="AA213"/>
    </row>
    <row r="214" spans="27:27" ht="17.100000000000001" customHeight="1">
      <c r="AA214"/>
    </row>
    <row r="215" spans="27:27" ht="17.100000000000001" customHeight="1">
      <c r="AA215"/>
    </row>
    <row r="216" spans="27:27" ht="17.100000000000001" customHeight="1">
      <c r="AA216"/>
    </row>
    <row r="217" spans="27:27" ht="17.100000000000001" customHeight="1">
      <c r="AA217"/>
    </row>
    <row r="218" spans="27:27" ht="17.100000000000001" customHeight="1">
      <c r="AA218"/>
    </row>
    <row r="219" spans="27:27" ht="17.100000000000001" customHeight="1">
      <c r="AA219"/>
    </row>
    <row r="220" spans="27:27" ht="17.100000000000001" customHeight="1">
      <c r="AA220"/>
    </row>
    <row r="221" spans="27:27" ht="17.100000000000001" customHeight="1">
      <c r="AA221"/>
    </row>
    <row r="222" spans="27:27" ht="17.100000000000001" customHeight="1">
      <c r="AA222"/>
    </row>
    <row r="223" spans="27:27" ht="17.100000000000001" customHeight="1">
      <c r="AA223"/>
    </row>
    <row r="224" spans="27:27" ht="17.100000000000001" customHeight="1">
      <c r="AA224"/>
    </row>
    <row r="225" spans="27:27" ht="17.100000000000001" customHeight="1">
      <c r="AA225"/>
    </row>
    <row r="226" spans="27:27" ht="17.100000000000001" customHeight="1">
      <c r="AA226"/>
    </row>
    <row r="227" spans="27:27" ht="17.100000000000001" customHeight="1">
      <c r="AA227"/>
    </row>
    <row r="228" spans="27:27" ht="17.100000000000001" customHeight="1">
      <c r="AA228"/>
    </row>
    <row r="229" spans="27:27" ht="17.100000000000001" customHeight="1">
      <c r="AA229"/>
    </row>
    <row r="230" spans="27:27" ht="17.100000000000001" customHeight="1">
      <c r="AA230"/>
    </row>
    <row r="231" spans="27:27" ht="17.100000000000001" customHeight="1">
      <c r="AA231"/>
    </row>
    <row r="232" spans="27:27" ht="17.100000000000001" customHeight="1">
      <c r="AA232"/>
    </row>
    <row r="233" spans="27:27" ht="17.100000000000001" customHeight="1">
      <c r="AA233"/>
    </row>
    <row r="234" spans="27:27" ht="17.100000000000001" customHeight="1">
      <c r="AA234"/>
    </row>
    <row r="235" spans="27:27" ht="17.100000000000001" customHeight="1">
      <c r="AA235"/>
    </row>
    <row r="236" spans="27:27" ht="17.100000000000001" customHeight="1">
      <c r="AA236"/>
    </row>
    <row r="237" spans="27:27" ht="17.100000000000001" customHeight="1">
      <c r="AA237"/>
    </row>
    <row r="238" spans="27:27" ht="17.100000000000001" customHeight="1">
      <c r="AA238"/>
    </row>
    <row r="239" spans="27:27" ht="17.100000000000001" customHeight="1">
      <c r="AA239"/>
    </row>
    <row r="240" spans="27:27" ht="17.100000000000001" customHeight="1">
      <c r="AA240"/>
    </row>
    <row r="241" spans="27:27" ht="17.100000000000001" customHeight="1">
      <c r="AA241"/>
    </row>
    <row r="242" spans="27:27" ht="17.100000000000001" customHeight="1">
      <c r="AA242"/>
    </row>
    <row r="243" spans="27:27" ht="17.100000000000001" customHeight="1">
      <c r="AA243"/>
    </row>
    <row r="244" spans="27:27" ht="17.100000000000001" customHeight="1">
      <c r="AA244"/>
    </row>
    <row r="245" spans="27:27" ht="17.100000000000001" customHeight="1">
      <c r="AA245"/>
    </row>
    <row r="246" spans="27:27" ht="17.100000000000001" customHeight="1">
      <c r="AA246"/>
    </row>
    <row r="247" spans="27:27" ht="17.100000000000001" customHeight="1">
      <c r="AA247"/>
    </row>
    <row r="248" spans="27:27" ht="17.100000000000001" customHeight="1">
      <c r="AA248"/>
    </row>
    <row r="249" spans="27:27" ht="17.100000000000001" customHeight="1">
      <c r="AA249"/>
    </row>
    <row r="250" spans="27:27" ht="17.100000000000001" customHeight="1">
      <c r="AA250"/>
    </row>
    <row r="251" spans="27:27" ht="17.100000000000001" customHeight="1">
      <c r="AA251"/>
    </row>
    <row r="252" spans="27:27" ht="17.100000000000001" customHeight="1">
      <c r="AA252"/>
    </row>
    <row r="253" spans="27:27" ht="17.100000000000001" customHeight="1">
      <c r="AA253"/>
    </row>
    <row r="254" spans="27:27" ht="17.100000000000001" customHeight="1">
      <c r="AA254"/>
    </row>
    <row r="255" spans="27:27" ht="17.100000000000001" customHeight="1">
      <c r="AA255"/>
    </row>
    <row r="256" spans="27:27" ht="17.100000000000001" customHeight="1">
      <c r="AA256"/>
    </row>
    <row r="257" spans="27:27" ht="17.100000000000001" customHeight="1">
      <c r="AA257"/>
    </row>
    <row r="258" spans="27:27" ht="17.100000000000001" customHeight="1">
      <c r="AA258"/>
    </row>
    <row r="259" spans="27:27" ht="17.100000000000001" customHeight="1">
      <c r="AA259"/>
    </row>
    <row r="260" spans="27:27" ht="17.100000000000001" customHeight="1">
      <c r="AA260"/>
    </row>
    <row r="261" spans="27:27" ht="17.100000000000001" customHeight="1">
      <c r="AA261"/>
    </row>
    <row r="262" spans="27:27" ht="17.100000000000001" customHeight="1">
      <c r="AA262"/>
    </row>
    <row r="263" spans="27:27" ht="17.100000000000001" customHeight="1">
      <c r="AA263"/>
    </row>
    <row r="264" spans="27:27" ht="17.100000000000001" customHeight="1">
      <c r="AA264"/>
    </row>
    <row r="265" spans="27:27" ht="17.100000000000001" customHeight="1">
      <c r="AA265"/>
    </row>
    <row r="266" spans="27:27" ht="17.100000000000001" customHeight="1">
      <c r="AA266"/>
    </row>
    <row r="267" spans="27:27" ht="17.100000000000001" customHeight="1">
      <c r="AA267"/>
    </row>
    <row r="268" spans="27:27" ht="17.100000000000001" customHeight="1">
      <c r="AA268"/>
    </row>
    <row r="269" spans="27:27" ht="17.100000000000001" customHeight="1">
      <c r="AA269"/>
    </row>
    <row r="270" spans="27:27" ht="17.100000000000001" customHeight="1">
      <c r="AA270"/>
    </row>
    <row r="271" spans="27:27" ht="17.100000000000001" customHeight="1">
      <c r="AA271"/>
    </row>
    <row r="272" spans="27:27" ht="17.100000000000001" customHeight="1">
      <c r="AA272"/>
    </row>
    <row r="273" spans="27:27" ht="17.100000000000001" customHeight="1">
      <c r="AA273"/>
    </row>
    <row r="274" spans="27:27" ht="17.100000000000001" customHeight="1">
      <c r="AA274"/>
    </row>
    <row r="275" spans="27:27" ht="17.100000000000001" customHeight="1">
      <c r="AA275"/>
    </row>
    <row r="276" spans="27:27" ht="17.100000000000001" customHeight="1">
      <c r="AA276"/>
    </row>
    <row r="277" spans="27:27" ht="17.100000000000001" customHeight="1">
      <c r="AA277"/>
    </row>
    <row r="278" spans="27:27" ht="17.100000000000001" customHeight="1">
      <c r="AA278"/>
    </row>
    <row r="279" spans="27:27" ht="17.100000000000001" customHeight="1">
      <c r="AA279"/>
    </row>
    <row r="280" spans="27:27" ht="17.100000000000001" customHeight="1">
      <c r="AA280"/>
    </row>
    <row r="281" spans="27:27" ht="17.100000000000001" customHeight="1">
      <c r="AA281"/>
    </row>
    <row r="282" spans="27:27" ht="17.100000000000001" customHeight="1">
      <c r="AA282"/>
    </row>
    <row r="283" spans="27:27" ht="17.100000000000001" customHeight="1">
      <c r="AA283"/>
    </row>
    <row r="284" spans="27:27" ht="17.100000000000001" customHeight="1">
      <c r="AA284"/>
    </row>
    <row r="285" spans="27:27" ht="17.100000000000001" customHeight="1">
      <c r="AA285"/>
    </row>
    <row r="286" spans="27:27" ht="17.100000000000001" customHeight="1">
      <c r="AA286"/>
    </row>
    <row r="287" spans="27:27" ht="17.100000000000001" customHeight="1">
      <c r="AA287"/>
    </row>
    <row r="288" spans="27:27" ht="17.100000000000001" customHeight="1">
      <c r="AA288"/>
    </row>
    <row r="289" spans="27:27" ht="17.100000000000001" customHeight="1">
      <c r="AA289"/>
    </row>
    <row r="290" spans="27:27" ht="17.100000000000001" customHeight="1">
      <c r="AA290"/>
    </row>
    <row r="291" spans="27:27" ht="17.100000000000001" customHeight="1">
      <c r="AA291"/>
    </row>
    <row r="292" spans="27:27" ht="17.100000000000001" customHeight="1">
      <c r="AA292"/>
    </row>
    <row r="293" spans="27:27" ht="17.100000000000001" customHeight="1">
      <c r="AA293"/>
    </row>
    <row r="294" spans="27:27" ht="17.100000000000001" customHeight="1">
      <c r="AA294"/>
    </row>
    <row r="295" spans="27:27" ht="17.100000000000001" customHeight="1">
      <c r="AA295"/>
    </row>
    <row r="296" spans="27:27" ht="17.100000000000001" customHeight="1">
      <c r="AA296"/>
    </row>
    <row r="297" spans="27:27" ht="17.100000000000001" customHeight="1">
      <c r="AA297"/>
    </row>
    <row r="298" spans="27:27" ht="17.100000000000001" customHeight="1">
      <c r="AA298"/>
    </row>
    <row r="299" spans="27:27" ht="17.100000000000001" customHeight="1">
      <c r="AA299"/>
    </row>
    <row r="300" spans="27:27" ht="17.100000000000001" customHeight="1">
      <c r="AA300"/>
    </row>
    <row r="301" spans="27:27" ht="17.100000000000001" customHeight="1">
      <c r="AA301"/>
    </row>
    <row r="302" spans="27:27" ht="17.100000000000001" customHeight="1">
      <c r="AA302"/>
    </row>
    <row r="303" spans="27:27" ht="17.100000000000001" customHeight="1">
      <c r="AA303"/>
    </row>
    <row r="304" spans="27:27" ht="17.100000000000001" customHeight="1">
      <c r="AA304"/>
    </row>
    <row r="305" spans="27:27" ht="17.100000000000001" customHeight="1">
      <c r="AA305"/>
    </row>
    <row r="306" spans="27:27" ht="17.100000000000001" customHeight="1">
      <c r="AA306"/>
    </row>
    <row r="307" spans="27:27" ht="17.100000000000001" customHeight="1">
      <c r="AA307"/>
    </row>
    <row r="308" spans="27:27" ht="17.100000000000001" customHeight="1">
      <c r="AA308"/>
    </row>
    <row r="309" spans="27:27" ht="17.100000000000001" customHeight="1">
      <c r="AA309"/>
    </row>
    <row r="310" spans="27:27" ht="17.100000000000001" customHeight="1">
      <c r="AA310"/>
    </row>
    <row r="311" spans="27:27" ht="17.100000000000001" customHeight="1">
      <c r="AA311"/>
    </row>
    <row r="312" spans="27:27" ht="17.100000000000001" customHeight="1">
      <c r="AA312"/>
    </row>
    <row r="313" spans="27:27" ht="17.100000000000001" customHeight="1">
      <c r="AA313"/>
    </row>
    <row r="314" spans="27:27" ht="17.100000000000001" customHeight="1">
      <c r="AA314"/>
    </row>
    <row r="315" spans="27:27" ht="17.100000000000001" customHeight="1">
      <c r="AA315"/>
    </row>
    <row r="316" spans="27:27" ht="17.100000000000001" customHeight="1">
      <c r="AA316"/>
    </row>
    <row r="317" spans="27:27" ht="17.100000000000001" customHeight="1">
      <c r="AA317"/>
    </row>
    <row r="318" spans="27:27" ht="17.100000000000001" customHeight="1">
      <c r="AA318"/>
    </row>
    <row r="319" spans="27:27" ht="17.100000000000001" customHeight="1">
      <c r="AA319"/>
    </row>
    <row r="320" spans="27:27" ht="17.100000000000001" customHeight="1">
      <c r="AA320"/>
    </row>
    <row r="321" spans="27:27" ht="17.100000000000001" customHeight="1">
      <c r="AA321"/>
    </row>
    <row r="322" spans="27:27" ht="17.100000000000001" customHeight="1">
      <c r="AA322"/>
    </row>
    <row r="323" spans="27:27" ht="17.100000000000001" customHeight="1">
      <c r="AA323"/>
    </row>
    <row r="324" spans="27:27" ht="17.100000000000001" customHeight="1">
      <c r="AA324"/>
    </row>
    <row r="325" spans="27:27" ht="17.100000000000001" customHeight="1">
      <c r="AA325"/>
    </row>
    <row r="326" spans="27:27" ht="17.100000000000001" customHeight="1">
      <c r="AA326"/>
    </row>
    <row r="327" spans="27:27" ht="17.100000000000001" customHeight="1">
      <c r="AA327"/>
    </row>
    <row r="328" spans="27:27" ht="17.100000000000001" customHeight="1">
      <c r="AA328"/>
    </row>
    <row r="329" spans="27:27" ht="17.100000000000001" customHeight="1">
      <c r="AA329"/>
    </row>
    <row r="330" spans="27:27" ht="17.100000000000001" customHeight="1">
      <c r="AA330"/>
    </row>
    <row r="331" spans="27:27" ht="17.100000000000001" customHeight="1">
      <c r="AA331"/>
    </row>
    <row r="332" spans="27:27" ht="17.100000000000001" customHeight="1">
      <c r="AA332"/>
    </row>
    <row r="333" spans="27:27" ht="17.100000000000001" customHeight="1">
      <c r="AA333"/>
    </row>
    <row r="334" spans="27:27" ht="17.100000000000001" customHeight="1">
      <c r="AA334"/>
    </row>
    <row r="335" spans="27:27" ht="17.100000000000001" customHeight="1">
      <c r="AA335"/>
    </row>
    <row r="336" spans="27:27" ht="17.100000000000001" customHeight="1">
      <c r="AA336"/>
    </row>
    <row r="337" spans="27:27" ht="17.100000000000001" customHeight="1">
      <c r="AA337"/>
    </row>
    <row r="338" spans="27:27" ht="17.100000000000001" customHeight="1">
      <c r="AA338"/>
    </row>
    <row r="339" spans="27:27" ht="17.100000000000001" customHeight="1">
      <c r="AA339"/>
    </row>
    <row r="340" spans="27:27" ht="17.100000000000001" customHeight="1">
      <c r="AA340"/>
    </row>
    <row r="341" spans="27:27" ht="17.100000000000001" customHeight="1">
      <c r="AA341"/>
    </row>
    <row r="342" spans="27:27" ht="17.100000000000001" customHeight="1">
      <c r="AA342"/>
    </row>
    <row r="343" spans="27:27" ht="17.100000000000001" customHeight="1">
      <c r="AA343"/>
    </row>
    <row r="344" spans="27:27" ht="17.100000000000001" customHeight="1">
      <c r="AA344"/>
    </row>
    <row r="345" spans="27:27" ht="17.100000000000001" customHeight="1">
      <c r="AA345"/>
    </row>
    <row r="346" spans="27:27" ht="17.100000000000001" customHeight="1">
      <c r="AA346"/>
    </row>
    <row r="347" spans="27:27" ht="17.100000000000001" customHeight="1">
      <c r="AA347"/>
    </row>
    <row r="348" spans="27:27" ht="17.100000000000001" customHeight="1">
      <c r="AA348"/>
    </row>
    <row r="349" spans="27:27" ht="17.100000000000001" customHeight="1">
      <c r="AA349"/>
    </row>
    <row r="350" spans="27:27" ht="17.100000000000001" customHeight="1">
      <c r="AA350"/>
    </row>
    <row r="351" spans="27:27" ht="17.100000000000001" customHeight="1">
      <c r="AA351"/>
    </row>
    <row r="352" spans="27:27" ht="17.100000000000001" customHeight="1">
      <c r="AA352"/>
    </row>
    <row r="353" spans="27:27" ht="17.100000000000001" customHeight="1">
      <c r="AA353"/>
    </row>
    <row r="354" spans="27:27" ht="17.100000000000001" customHeight="1">
      <c r="AA354"/>
    </row>
    <row r="355" spans="27:27" ht="17.100000000000001" customHeight="1">
      <c r="AA355"/>
    </row>
    <row r="356" spans="27:27" ht="17.100000000000001" customHeight="1">
      <c r="AA356"/>
    </row>
    <row r="357" spans="27:27" ht="17.100000000000001" customHeight="1">
      <c r="AA357"/>
    </row>
    <row r="358" spans="27:27" ht="17.100000000000001" customHeight="1">
      <c r="AA358"/>
    </row>
    <row r="359" spans="27:27" ht="17.100000000000001" customHeight="1">
      <c r="AA359"/>
    </row>
    <row r="360" spans="27:27" ht="17.100000000000001" customHeight="1">
      <c r="AA360"/>
    </row>
    <row r="361" spans="27:27" ht="17.100000000000001" customHeight="1">
      <c r="AA361"/>
    </row>
    <row r="362" spans="27:27" ht="17.100000000000001" customHeight="1">
      <c r="AA362"/>
    </row>
    <row r="363" spans="27:27" ht="17.100000000000001" customHeight="1">
      <c r="AA363"/>
    </row>
    <row r="364" spans="27:27" ht="17.100000000000001" customHeight="1">
      <c r="AA364"/>
    </row>
    <row r="365" spans="27:27" ht="17.100000000000001" customHeight="1">
      <c r="AA365"/>
    </row>
    <row r="366" spans="27:27" ht="17.100000000000001" customHeight="1">
      <c r="AA366"/>
    </row>
    <row r="367" spans="27:27" ht="17.100000000000001" customHeight="1">
      <c r="AA367"/>
    </row>
    <row r="368" spans="27:27" ht="17.100000000000001" customHeight="1">
      <c r="AA368"/>
    </row>
    <row r="369" spans="27:27" ht="17.100000000000001" customHeight="1">
      <c r="AA369"/>
    </row>
    <row r="370" spans="27:27" ht="17.100000000000001" customHeight="1">
      <c r="AA370"/>
    </row>
    <row r="371" spans="27:27" ht="17.100000000000001" customHeight="1">
      <c r="AA371"/>
    </row>
    <row r="372" spans="27:27" ht="17.100000000000001" customHeight="1">
      <c r="AA372"/>
    </row>
    <row r="373" spans="27:27" ht="17.100000000000001" customHeight="1">
      <c r="AA373"/>
    </row>
    <row r="374" spans="27:27" ht="17.100000000000001" customHeight="1">
      <c r="AA374"/>
    </row>
    <row r="375" spans="27:27" ht="17.100000000000001" customHeight="1">
      <c r="AA375"/>
    </row>
    <row r="376" spans="27:27" ht="17.100000000000001" customHeight="1">
      <c r="AA376"/>
    </row>
    <row r="377" spans="27:27" ht="17.100000000000001" customHeight="1">
      <c r="AA377"/>
    </row>
    <row r="378" spans="27:27" ht="17.100000000000001" customHeight="1">
      <c r="AA378"/>
    </row>
    <row r="379" spans="27:27" ht="17.100000000000001" customHeight="1">
      <c r="AA379"/>
    </row>
    <row r="380" spans="27:27" ht="17.100000000000001" customHeight="1">
      <c r="AA380"/>
    </row>
    <row r="381" spans="27:27" ht="17.100000000000001" customHeight="1">
      <c r="AA381"/>
    </row>
    <row r="382" spans="27:27" ht="17.100000000000001" customHeight="1">
      <c r="AA382"/>
    </row>
    <row r="383" spans="27:27" ht="17.100000000000001" customHeight="1">
      <c r="AA383"/>
    </row>
    <row r="384" spans="27:27" ht="17.100000000000001" customHeight="1">
      <c r="AA384"/>
    </row>
    <row r="385" spans="27:27" ht="17.100000000000001" customHeight="1">
      <c r="AA385"/>
    </row>
    <row r="386" spans="27:27" ht="17.100000000000001" customHeight="1">
      <c r="AA386"/>
    </row>
    <row r="387" spans="27:27" ht="17.100000000000001" customHeight="1">
      <c r="AA387"/>
    </row>
    <row r="388" spans="27:27" ht="17.100000000000001" customHeight="1">
      <c r="AA388"/>
    </row>
    <row r="389" spans="27:27" ht="17.100000000000001" customHeight="1">
      <c r="AA389"/>
    </row>
    <row r="390" spans="27:27" ht="17.100000000000001" customHeight="1">
      <c r="AA390"/>
    </row>
    <row r="391" spans="27:27" ht="17.100000000000001" customHeight="1">
      <c r="AA391"/>
    </row>
    <row r="392" spans="27:27" ht="17.100000000000001" customHeight="1">
      <c r="AA392"/>
    </row>
    <row r="393" spans="27:27" ht="17.100000000000001" customHeight="1">
      <c r="AA393"/>
    </row>
    <row r="394" spans="27:27" ht="17.100000000000001" customHeight="1">
      <c r="AA394"/>
    </row>
    <row r="395" spans="27:27" ht="17.100000000000001" customHeight="1">
      <c r="AA395"/>
    </row>
    <row r="396" spans="27:27" ht="17.100000000000001" customHeight="1">
      <c r="AA396"/>
    </row>
    <row r="397" spans="27:27" ht="17.100000000000001" customHeight="1">
      <c r="AA397"/>
    </row>
    <row r="398" spans="27:27" ht="17.100000000000001" customHeight="1">
      <c r="AA398"/>
    </row>
    <row r="399" spans="27:27" ht="17.100000000000001" customHeight="1">
      <c r="AA399"/>
    </row>
    <row r="400" spans="27:27" ht="17.100000000000001" customHeight="1">
      <c r="AA400"/>
    </row>
    <row r="401" spans="27:27" ht="17.100000000000001" customHeight="1">
      <c r="AA401"/>
    </row>
    <row r="402" spans="27:27" ht="17.100000000000001" customHeight="1">
      <c r="AA402"/>
    </row>
    <row r="403" spans="27:27" ht="17.100000000000001" customHeight="1">
      <c r="AA403"/>
    </row>
    <row r="404" spans="27:27" ht="17.100000000000001" customHeight="1">
      <c r="AA404"/>
    </row>
    <row r="405" spans="27:27" ht="17.100000000000001" customHeight="1">
      <c r="AA405"/>
    </row>
    <row r="406" spans="27:27" ht="17.100000000000001" customHeight="1">
      <c r="AA406"/>
    </row>
    <row r="407" spans="27:27" ht="17.100000000000001" customHeight="1">
      <c r="AA407"/>
    </row>
    <row r="408" spans="27:27" ht="17.100000000000001" customHeight="1">
      <c r="AA408"/>
    </row>
    <row r="409" spans="27:27" ht="17.100000000000001" customHeight="1">
      <c r="AA409"/>
    </row>
    <row r="410" spans="27:27" ht="17.100000000000001" customHeight="1">
      <c r="AA410"/>
    </row>
    <row r="411" spans="27:27" ht="17.100000000000001" customHeight="1">
      <c r="AA411"/>
    </row>
    <row r="412" spans="27:27" ht="17.100000000000001" customHeight="1">
      <c r="AA412"/>
    </row>
    <row r="413" spans="27:27" ht="17.100000000000001" customHeight="1">
      <c r="AA413"/>
    </row>
    <row r="414" spans="27:27" ht="17.100000000000001" customHeight="1">
      <c r="AA414"/>
    </row>
    <row r="415" spans="27:27" ht="17.100000000000001" customHeight="1">
      <c r="AA415"/>
    </row>
    <row r="416" spans="27:27" ht="17.100000000000001" customHeight="1">
      <c r="AA416"/>
    </row>
    <row r="417" spans="27:27" ht="17.100000000000001" customHeight="1">
      <c r="AA417"/>
    </row>
    <row r="418" spans="27:27" ht="17.100000000000001" customHeight="1">
      <c r="AA418"/>
    </row>
    <row r="419" spans="27:27" ht="17.100000000000001" customHeight="1">
      <c r="AA419"/>
    </row>
    <row r="420" spans="27:27" ht="17.100000000000001" customHeight="1">
      <c r="AA420"/>
    </row>
    <row r="421" spans="27:27" ht="17.100000000000001" customHeight="1">
      <c r="AA421"/>
    </row>
    <row r="422" spans="27:27" ht="17.100000000000001" customHeight="1">
      <c r="AA422"/>
    </row>
    <row r="423" spans="27:27" ht="17.100000000000001" customHeight="1">
      <c r="AA423"/>
    </row>
    <row r="424" spans="27:27" ht="17.100000000000001" customHeight="1">
      <c r="AA424"/>
    </row>
    <row r="425" spans="27:27" ht="17.100000000000001" customHeight="1">
      <c r="AA425"/>
    </row>
    <row r="426" spans="27:27" ht="17.100000000000001" customHeight="1">
      <c r="AA426"/>
    </row>
    <row r="427" spans="27:27" ht="17.100000000000001" customHeight="1">
      <c r="AA427"/>
    </row>
    <row r="428" spans="27:27" ht="17.100000000000001" customHeight="1">
      <c r="AA428"/>
    </row>
    <row r="429" spans="27:27" ht="17.100000000000001" customHeight="1">
      <c r="AA429"/>
    </row>
    <row r="430" spans="27:27" ht="17.100000000000001" customHeight="1">
      <c r="AA430"/>
    </row>
    <row r="431" spans="27:27" ht="17.100000000000001" customHeight="1">
      <c r="AA431"/>
    </row>
    <row r="432" spans="27:27" ht="17.100000000000001" customHeight="1">
      <c r="AA432"/>
    </row>
    <row r="433" spans="27:27" ht="17.100000000000001" customHeight="1">
      <c r="AA433"/>
    </row>
    <row r="434" spans="27:27" ht="17.100000000000001" customHeight="1">
      <c r="AA434"/>
    </row>
    <row r="435" spans="27:27" ht="17.100000000000001" customHeight="1">
      <c r="AA435"/>
    </row>
    <row r="436" spans="27:27" ht="17.100000000000001" customHeight="1">
      <c r="AA436"/>
    </row>
    <row r="437" spans="27:27" ht="17.100000000000001" customHeight="1">
      <c r="AA437"/>
    </row>
    <row r="438" spans="27:27" ht="17.100000000000001" customHeight="1">
      <c r="AA438"/>
    </row>
    <row r="439" spans="27:27" ht="17.100000000000001" customHeight="1">
      <c r="AA439"/>
    </row>
    <row r="440" spans="27:27" ht="17.100000000000001" customHeight="1">
      <c r="AA440"/>
    </row>
    <row r="441" spans="27:27" ht="17.100000000000001" customHeight="1">
      <c r="AA441"/>
    </row>
    <row r="442" spans="27:27" ht="17.100000000000001" customHeight="1">
      <c r="AA442"/>
    </row>
    <row r="443" spans="27:27" ht="17.100000000000001" customHeight="1">
      <c r="AA443"/>
    </row>
    <row r="444" spans="27:27" ht="17.100000000000001" customHeight="1">
      <c r="AA444"/>
    </row>
    <row r="445" spans="27:27" ht="17.100000000000001" customHeight="1">
      <c r="AA445"/>
    </row>
    <row r="446" spans="27:27" ht="17.100000000000001" customHeight="1">
      <c r="AA446"/>
    </row>
    <row r="447" spans="27:27" ht="17.100000000000001" customHeight="1">
      <c r="AA447"/>
    </row>
    <row r="448" spans="27:27" ht="17.100000000000001" customHeight="1">
      <c r="AA448"/>
    </row>
    <row r="449" spans="27:27" ht="17.100000000000001" customHeight="1">
      <c r="AA449"/>
    </row>
    <row r="450" spans="27:27" ht="17.100000000000001" customHeight="1">
      <c r="AA450"/>
    </row>
    <row r="451" spans="27:27" ht="17.100000000000001" customHeight="1">
      <c r="AA451"/>
    </row>
    <row r="452" spans="27:27" ht="17.100000000000001" customHeight="1">
      <c r="AA452"/>
    </row>
    <row r="453" spans="27:27" ht="17.100000000000001" customHeight="1">
      <c r="AA453"/>
    </row>
    <row r="454" spans="27:27" ht="17.100000000000001" customHeight="1">
      <c r="AA454"/>
    </row>
    <row r="455" spans="27:27" ht="17.100000000000001" customHeight="1">
      <c r="AA455"/>
    </row>
    <row r="456" spans="27:27" ht="17.100000000000001" customHeight="1">
      <c r="AA456"/>
    </row>
    <row r="457" spans="27:27" ht="17.100000000000001" customHeight="1">
      <c r="AA457"/>
    </row>
    <row r="458" spans="27:27" ht="17.100000000000001" customHeight="1">
      <c r="AA458"/>
    </row>
    <row r="459" spans="27:27" ht="17.100000000000001" customHeight="1">
      <c r="AA459"/>
    </row>
    <row r="460" spans="27:27" ht="17.100000000000001" customHeight="1">
      <c r="AA460"/>
    </row>
    <row r="461" spans="27:27" ht="17.100000000000001" customHeight="1">
      <c r="AA461"/>
    </row>
    <row r="462" spans="27:27" ht="17.100000000000001" customHeight="1">
      <c r="AA462"/>
    </row>
    <row r="463" spans="27:27" ht="17.100000000000001" customHeight="1">
      <c r="AA463"/>
    </row>
    <row r="464" spans="27:27" ht="17.100000000000001" customHeight="1">
      <c r="AA464"/>
    </row>
    <row r="465" spans="27:27" ht="17.100000000000001" customHeight="1">
      <c r="AA465"/>
    </row>
    <row r="466" spans="27:27" ht="17.100000000000001" customHeight="1">
      <c r="AA466"/>
    </row>
    <row r="467" spans="27:27" ht="17.100000000000001" customHeight="1">
      <c r="AA467"/>
    </row>
    <row r="468" spans="27:27" ht="17.100000000000001" customHeight="1">
      <c r="AA468"/>
    </row>
    <row r="469" spans="27:27" ht="17.100000000000001" customHeight="1">
      <c r="AA469"/>
    </row>
    <row r="470" spans="27:27" ht="17.100000000000001" customHeight="1">
      <c r="AA470"/>
    </row>
    <row r="471" spans="27:27" ht="17.100000000000001" customHeight="1">
      <c r="AA471"/>
    </row>
    <row r="472" spans="27:27" ht="17.100000000000001" customHeight="1">
      <c r="AA472"/>
    </row>
    <row r="473" spans="27:27" ht="17.100000000000001" customHeight="1">
      <c r="AA473"/>
    </row>
    <row r="474" spans="27:27" ht="17.100000000000001" customHeight="1">
      <c r="AA474"/>
    </row>
    <row r="475" spans="27:27" ht="17.100000000000001" customHeight="1">
      <c r="AA475"/>
    </row>
    <row r="476" spans="27:27" ht="17.100000000000001" customHeight="1">
      <c r="AA476"/>
    </row>
    <row r="477" spans="27:27" ht="17.100000000000001" customHeight="1">
      <c r="AA477"/>
    </row>
    <row r="478" spans="27:27" ht="17.100000000000001" customHeight="1">
      <c r="AA478"/>
    </row>
    <row r="479" spans="27:27" ht="17.100000000000001" customHeight="1">
      <c r="AA479"/>
    </row>
    <row r="480" spans="27:27" ht="17.100000000000001" customHeight="1">
      <c r="AA480"/>
    </row>
    <row r="481" spans="27:27" ht="17.100000000000001" customHeight="1">
      <c r="AA481"/>
    </row>
    <row r="482" spans="27:27" ht="17.100000000000001" customHeight="1">
      <c r="AA482"/>
    </row>
    <row r="483" spans="27:27" ht="17.100000000000001" customHeight="1">
      <c r="AA483"/>
    </row>
    <row r="484" spans="27:27" ht="17.100000000000001" customHeight="1">
      <c r="AA484"/>
    </row>
    <row r="485" spans="27:27" ht="17.100000000000001" customHeight="1">
      <c r="AA485"/>
    </row>
    <row r="486" spans="27:27" ht="17.100000000000001" customHeight="1">
      <c r="AA486"/>
    </row>
    <row r="487" spans="27:27" ht="17.100000000000001" customHeight="1">
      <c r="AA487"/>
    </row>
    <row r="488" spans="27:27" ht="17.100000000000001" customHeight="1">
      <c r="AA488"/>
    </row>
    <row r="489" spans="27:27" ht="17.100000000000001" customHeight="1">
      <c r="AA489"/>
    </row>
    <row r="490" spans="27:27" ht="17.100000000000001" customHeight="1">
      <c r="AA490"/>
    </row>
    <row r="491" spans="27:27" ht="17.100000000000001" customHeight="1">
      <c r="AA491"/>
    </row>
    <row r="492" spans="27:27" ht="17.100000000000001" customHeight="1">
      <c r="AA492"/>
    </row>
    <row r="493" spans="27:27" ht="17.100000000000001" customHeight="1">
      <c r="AA493"/>
    </row>
    <row r="494" spans="27:27" ht="17.100000000000001" customHeight="1">
      <c r="AA494"/>
    </row>
    <row r="495" spans="27:27" ht="17.100000000000001" customHeight="1">
      <c r="AA495"/>
    </row>
    <row r="496" spans="27:27" ht="17.100000000000001" customHeight="1">
      <c r="AA496"/>
    </row>
    <row r="497" spans="27:27" ht="17.100000000000001" customHeight="1">
      <c r="AA497"/>
    </row>
    <row r="498" spans="27:27" ht="17.100000000000001" customHeight="1">
      <c r="AA498"/>
    </row>
    <row r="499" spans="27:27" ht="17.100000000000001" customHeight="1">
      <c r="AA499"/>
    </row>
    <row r="500" spans="27:27" ht="17.100000000000001" customHeight="1">
      <c r="AA500"/>
    </row>
    <row r="501" spans="27:27" ht="17.100000000000001" customHeight="1">
      <c r="AA501"/>
    </row>
    <row r="502" spans="27:27" ht="17.100000000000001" customHeight="1">
      <c r="AA502"/>
    </row>
    <row r="503" spans="27:27" ht="17.100000000000001" customHeight="1">
      <c r="AA503"/>
    </row>
    <row r="504" spans="27:27" ht="17.100000000000001" customHeight="1">
      <c r="AA504"/>
    </row>
    <row r="505" spans="27:27" ht="17.100000000000001" customHeight="1">
      <c r="AA505"/>
    </row>
    <row r="506" spans="27:27" ht="17.100000000000001" customHeight="1">
      <c r="AA506"/>
    </row>
    <row r="507" spans="27:27" ht="17.100000000000001" customHeight="1">
      <c r="AA507"/>
    </row>
    <row r="508" spans="27:27" ht="17.100000000000001" customHeight="1">
      <c r="AA508"/>
    </row>
    <row r="509" spans="27:27" ht="17.100000000000001" customHeight="1">
      <c r="AA509"/>
    </row>
    <row r="510" spans="27:27" ht="17.100000000000001" customHeight="1">
      <c r="AA510"/>
    </row>
    <row r="511" spans="27:27" ht="17.100000000000001" customHeight="1">
      <c r="AA511"/>
    </row>
    <row r="512" spans="27:27" ht="17.100000000000001" customHeight="1">
      <c r="AA512"/>
    </row>
    <row r="513" spans="27:27" ht="17.100000000000001" customHeight="1">
      <c r="AA513"/>
    </row>
    <row r="514" spans="27:27" ht="17.100000000000001" customHeight="1">
      <c r="AA514"/>
    </row>
    <row r="515" spans="27:27" ht="17.100000000000001" customHeight="1">
      <c r="AA515"/>
    </row>
    <row r="516" spans="27:27" ht="17.100000000000001" customHeight="1">
      <c r="AA516"/>
    </row>
    <row r="517" spans="27:27" ht="17.100000000000001" customHeight="1">
      <c r="AA517"/>
    </row>
    <row r="518" spans="27:27" ht="17.100000000000001" customHeight="1">
      <c r="AA518"/>
    </row>
    <row r="519" spans="27:27" ht="17.100000000000001" customHeight="1">
      <c r="AA519"/>
    </row>
    <row r="520" spans="27:27" ht="17.100000000000001" customHeight="1">
      <c r="AA520"/>
    </row>
    <row r="521" spans="27:27" ht="17.100000000000001" customHeight="1">
      <c r="AA521"/>
    </row>
    <row r="522" spans="27:27" ht="17.100000000000001" customHeight="1">
      <c r="AA522"/>
    </row>
    <row r="523" spans="27:27" ht="17.100000000000001" customHeight="1">
      <c r="AA523"/>
    </row>
    <row r="524" spans="27:27" ht="17.100000000000001" customHeight="1">
      <c r="AA524"/>
    </row>
    <row r="525" spans="27:27" ht="17.100000000000001" customHeight="1">
      <c r="AA525"/>
    </row>
    <row r="526" spans="27:27" ht="17.100000000000001" customHeight="1">
      <c r="AA526"/>
    </row>
    <row r="527" spans="27:27" ht="17.100000000000001" customHeight="1">
      <c r="AA527"/>
    </row>
    <row r="528" spans="27:27" ht="17.100000000000001" customHeight="1">
      <c r="AA528"/>
    </row>
    <row r="529" spans="27:27" ht="17.100000000000001" customHeight="1">
      <c r="AA529"/>
    </row>
    <row r="530" spans="27:27" ht="17.100000000000001" customHeight="1">
      <c r="AA530"/>
    </row>
    <row r="531" spans="27:27" ht="17.100000000000001" customHeight="1">
      <c r="AA531"/>
    </row>
    <row r="532" spans="27:27" ht="17.100000000000001" customHeight="1">
      <c r="AA532"/>
    </row>
    <row r="533" spans="27:27" ht="17.100000000000001" customHeight="1">
      <c r="AA533"/>
    </row>
    <row r="534" spans="27:27" ht="17.100000000000001" customHeight="1">
      <c r="AA534"/>
    </row>
    <row r="535" spans="27:27" ht="17.100000000000001" customHeight="1">
      <c r="AA535"/>
    </row>
    <row r="536" spans="27:27" ht="17.100000000000001" customHeight="1">
      <c r="AA536"/>
    </row>
    <row r="537" spans="27:27" ht="17.100000000000001" customHeight="1">
      <c r="AA537"/>
    </row>
    <row r="538" spans="27:27" ht="17.100000000000001" customHeight="1">
      <c r="AA538"/>
    </row>
    <row r="539" spans="27:27" ht="17.100000000000001" customHeight="1">
      <c r="AA539"/>
    </row>
    <row r="540" spans="27:27" ht="17.100000000000001" customHeight="1">
      <c r="AA540"/>
    </row>
    <row r="541" spans="27:27" ht="17.100000000000001" customHeight="1">
      <c r="AA541"/>
    </row>
    <row r="542" spans="27:27" ht="17.100000000000001" customHeight="1">
      <c r="AA542"/>
    </row>
    <row r="543" spans="27:27" ht="17.100000000000001" customHeight="1">
      <c r="AA543"/>
    </row>
    <row r="544" spans="27:27" ht="17.100000000000001" customHeight="1">
      <c r="AA544"/>
    </row>
    <row r="545" spans="27:27" ht="17.100000000000001" customHeight="1">
      <c r="AA545"/>
    </row>
    <row r="546" spans="27:27" ht="17.100000000000001" customHeight="1">
      <c r="AA546"/>
    </row>
    <row r="547" spans="27:27" ht="17.100000000000001" customHeight="1">
      <c r="AA547"/>
    </row>
    <row r="548" spans="27:27" ht="17.100000000000001" customHeight="1">
      <c r="AA548"/>
    </row>
    <row r="549" spans="27:27" ht="17.100000000000001" customHeight="1">
      <c r="AA549"/>
    </row>
    <row r="550" spans="27:27" ht="17.100000000000001" customHeight="1">
      <c r="AA550"/>
    </row>
    <row r="551" spans="27:27" ht="17.100000000000001" customHeight="1">
      <c r="AA551"/>
    </row>
    <row r="552" spans="27:27" ht="17.100000000000001" customHeight="1">
      <c r="AA552"/>
    </row>
    <row r="553" spans="27:27" ht="17.100000000000001" customHeight="1">
      <c r="AA553"/>
    </row>
    <row r="554" spans="27:27" ht="17.100000000000001" customHeight="1">
      <c r="AA554"/>
    </row>
    <row r="555" spans="27:27" ht="17.100000000000001" customHeight="1">
      <c r="AA555"/>
    </row>
    <row r="556" spans="27:27" ht="17.100000000000001" customHeight="1">
      <c r="AA556"/>
    </row>
    <row r="557" spans="27:27" ht="17.100000000000001" customHeight="1">
      <c r="AA557"/>
    </row>
    <row r="558" spans="27:27" ht="17.100000000000001" customHeight="1">
      <c r="AA558"/>
    </row>
    <row r="559" spans="27:27" ht="17.100000000000001" customHeight="1">
      <c r="AA559"/>
    </row>
    <row r="560" spans="27:27" ht="17.100000000000001" customHeight="1">
      <c r="AA560"/>
    </row>
    <row r="561" spans="27:27" ht="17.100000000000001" customHeight="1">
      <c r="AA561"/>
    </row>
    <row r="562" spans="27:27" ht="17.100000000000001" customHeight="1">
      <c r="AA562"/>
    </row>
    <row r="563" spans="27:27" ht="17.100000000000001" customHeight="1">
      <c r="AA563"/>
    </row>
    <row r="564" spans="27:27" ht="17.100000000000001" customHeight="1">
      <c r="AA564"/>
    </row>
    <row r="565" spans="27:27" ht="17.100000000000001" customHeight="1">
      <c r="AA565"/>
    </row>
    <row r="566" spans="27:27" ht="17.100000000000001" customHeight="1">
      <c r="AA566"/>
    </row>
    <row r="567" spans="27:27" ht="17.100000000000001" customHeight="1">
      <c r="AA567"/>
    </row>
    <row r="568" spans="27:27" ht="17.100000000000001" customHeight="1">
      <c r="AA568"/>
    </row>
    <row r="569" spans="27:27" ht="17.100000000000001" customHeight="1">
      <c r="AA569"/>
    </row>
    <row r="570" spans="27:27" ht="17.100000000000001" customHeight="1">
      <c r="AA570"/>
    </row>
    <row r="571" spans="27:27" ht="17.100000000000001" customHeight="1">
      <c r="AA571"/>
    </row>
    <row r="572" spans="27:27" ht="17.100000000000001" customHeight="1">
      <c r="AA572"/>
    </row>
    <row r="573" spans="27:27" ht="17.100000000000001" customHeight="1">
      <c r="AA573"/>
    </row>
    <row r="574" spans="27:27" ht="17.100000000000001" customHeight="1">
      <c r="AA574"/>
    </row>
    <row r="575" spans="27:27" ht="17.100000000000001" customHeight="1">
      <c r="AA575"/>
    </row>
    <row r="576" spans="27:27" ht="17.100000000000001" customHeight="1">
      <c r="AA576"/>
    </row>
    <row r="577" spans="27:27" ht="17.100000000000001" customHeight="1">
      <c r="AA577"/>
    </row>
    <row r="578" spans="27:27" ht="17.100000000000001" customHeight="1">
      <c r="AA578"/>
    </row>
    <row r="579" spans="27:27" ht="17.100000000000001" customHeight="1">
      <c r="AA579"/>
    </row>
    <row r="580" spans="27:27" ht="17.100000000000001" customHeight="1">
      <c r="AA580"/>
    </row>
    <row r="581" spans="27:27" ht="17.100000000000001" customHeight="1">
      <c r="AA581"/>
    </row>
    <row r="582" spans="27:27" ht="17.100000000000001" customHeight="1">
      <c r="AA582"/>
    </row>
    <row r="583" spans="27:27" ht="17.100000000000001" customHeight="1">
      <c r="AA583"/>
    </row>
    <row r="584" spans="27:27" ht="17.100000000000001" customHeight="1">
      <c r="AA584"/>
    </row>
    <row r="585" spans="27:27" ht="17.100000000000001" customHeight="1">
      <c r="AA585"/>
    </row>
    <row r="586" spans="27:27" ht="17.100000000000001" customHeight="1">
      <c r="AA586"/>
    </row>
    <row r="587" spans="27:27" ht="17.100000000000001" customHeight="1">
      <c r="AA587"/>
    </row>
    <row r="588" spans="27:27" ht="17.100000000000001" customHeight="1">
      <c r="AA588"/>
    </row>
    <row r="589" spans="27:27" ht="17.100000000000001" customHeight="1">
      <c r="AA589"/>
    </row>
    <row r="590" spans="27:27" ht="17.100000000000001" customHeight="1">
      <c r="AA590"/>
    </row>
    <row r="591" spans="27:27" ht="17.100000000000001" customHeight="1">
      <c r="AA591"/>
    </row>
    <row r="592" spans="27:27" ht="17.100000000000001" customHeight="1">
      <c r="AA592"/>
    </row>
    <row r="593" spans="27:27" ht="17.100000000000001" customHeight="1">
      <c r="AA593"/>
    </row>
    <row r="594" spans="27:27" ht="17.100000000000001" customHeight="1">
      <c r="AA594"/>
    </row>
    <row r="595" spans="27:27" ht="17.100000000000001" customHeight="1">
      <c r="AA595"/>
    </row>
    <row r="596" spans="27:27" ht="17.100000000000001" customHeight="1">
      <c r="AA596"/>
    </row>
    <row r="597" spans="27:27" ht="17.100000000000001" customHeight="1">
      <c r="AA597"/>
    </row>
    <row r="598" spans="27:27" ht="17.100000000000001" customHeight="1">
      <c r="AA598"/>
    </row>
    <row r="599" spans="27:27" ht="17.100000000000001" customHeight="1">
      <c r="AA599"/>
    </row>
    <row r="600" spans="27:27" ht="17.100000000000001" customHeight="1">
      <c r="AA600"/>
    </row>
    <row r="601" spans="27:27" ht="17.100000000000001" customHeight="1">
      <c r="AA601"/>
    </row>
    <row r="602" spans="27:27" ht="17.100000000000001" customHeight="1">
      <c r="AA602"/>
    </row>
    <row r="603" spans="27:27" ht="17.100000000000001" customHeight="1">
      <c r="AA603"/>
    </row>
    <row r="604" spans="27:27" ht="17.100000000000001" customHeight="1">
      <c r="AA604"/>
    </row>
    <row r="605" spans="27:27" ht="17.100000000000001" customHeight="1">
      <c r="AA605"/>
    </row>
    <row r="606" spans="27:27" ht="17.100000000000001" customHeight="1">
      <c r="AA606"/>
    </row>
    <row r="607" spans="27:27" ht="17.100000000000001" customHeight="1">
      <c r="AA607"/>
    </row>
    <row r="608" spans="27:27" ht="17.100000000000001" customHeight="1">
      <c r="AA608"/>
    </row>
    <row r="609" spans="27:27" ht="17.100000000000001" customHeight="1">
      <c r="AA609"/>
    </row>
    <row r="610" spans="27:27" ht="17.100000000000001" customHeight="1">
      <c r="AA610"/>
    </row>
    <row r="611" spans="27:27" ht="17.100000000000001" customHeight="1">
      <c r="AA611"/>
    </row>
    <row r="612" spans="27:27" ht="17.100000000000001" customHeight="1">
      <c r="AA612"/>
    </row>
    <row r="613" spans="27:27" ht="17.100000000000001" customHeight="1">
      <c r="AA613"/>
    </row>
    <row r="614" spans="27:27" ht="17.100000000000001" customHeight="1">
      <c r="AA614"/>
    </row>
    <row r="615" spans="27:27" ht="17.100000000000001" customHeight="1">
      <c r="AA615"/>
    </row>
    <row r="616" spans="27:27" ht="17.100000000000001" customHeight="1">
      <c r="AA616"/>
    </row>
    <row r="617" spans="27:27" ht="17.100000000000001" customHeight="1">
      <c r="AA617"/>
    </row>
    <row r="618" spans="27:27" ht="17.100000000000001" customHeight="1">
      <c r="AA618"/>
    </row>
    <row r="619" spans="27:27" ht="17.100000000000001" customHeight="1">
      <c r="AA619"/>
    </row>
    <row r="620" spans="27:27" ht="17.100000000000001" customHeight="1">
      <c r="AA620"/>
    </row>
    <row r="621" spans="27:27" ht="17.100000000000001" customHeight="1">
      <c r="AA621"/>
    </row>
    <row r="622" spans="27:27" ht="17.100000000000001" customHeight="1">
      <c r="AA622"/>
    </row>
    <row r="623" spans="27:27" ht="17.100000000000001" customHeight="1">
      <c r="AA623"/>
    </row>
    <row r="624" spans="27:27" ht="17.100000000000001" customHeight="1">
      <c r="AA624"/>
    </row>
    <row r="625" spans="27:27" ht="17.100000000000001" customHeight="1">
      <c r="AA625"/>
    </row>
    <row r="626" spans="27:27" ht="17.100000000000001" customHeight="1">
      <c r="AA626"/>
    </row>
    <row r="627" spans="27:27" ht="17.100000000000001" customHeight="1">
      <c r="AA627"/>
    </row>
    <row r="628" spans="27:27" ht="17.100000000000001" customHeight="1">
      <c r="AA628"/>
    </row>
    <row r="629" spans="27:27" ht="17.100000000000001" customHeight="1">
      <c r="AA629"/>
    </row>
    <row r="630" spans="27:27" ht="17.100000000000001" customHeight="1">
      <c r="AA630"/>
    </row>
    <row r="631" spans="27:27" ht="17.100000000000001" customHeight="1">
      <c r="AA631"/>
    </row>
    <row r="632" spans="27:27" ht="17.100000000000001" customHeight="1">
      <c r="AA632"/>
    </row>
    <row r="633" spans="27:27" ht="17.100000000000001" customHeight="1">
      <c r="AA633"/>
    </row>
    <row r="634" spans="27:27" ht="17.100000000000001" customHeight="1">
      <c r="AA634"/>
    </row>
    <row r="635" spans="27:27" ht="17.100000000000001" customHeight="1">
      <c r="AA635"/>
    </row>
    <row r="636" spans="27:27" ht="17.100000000000001" customHeight="1">
      <c r="AA636"/>
    </row>
    <row r="637" spans="27:27" ht="17.100000000000001" customHeight="1">
      <c r="AA637"/>
    </row>
    <row r="638" spans="27:27" ht="17.100000000000001" customHeight="1">
      <c r="AA638"/>
    </row>
    <row r="639" spans="27:27" ht="17.100000000000001" customHeight="1">
      <c r="AA639"/>
    </row>
    <row r="640" spans="27:27" ht="17.100000000000001" customHeight="1">
      <c r="AA640"/>
    </row>
    <row r="641" spans="27:27" ht="17.100000000000001" customHeight="1">
      <c r="AA641"/>
    </row>
    <row r="642" spans="27:27" ht="17.100000000000001" customHeight="1">
      <c r="AA642"/>
    </row>
    <row r="643" spans="27:27" ht="17.100000000000001" customHeight="1">
      <c r="AA643"/>
    </row>
    <row r="644" spans="27:27" ht="17.100000000000001" customHeight="1">
      <c r="AA644"/>
    </row>
    <row r="645" spans="27:27" ht="17.100000000000001" customHeight="1">
      <c r="AA645"/>
    </row>
    <row r="646" spans="27:27" ht="17.100000000000001" customHeight="1">
      <c r="AA646"/>
    </row>
    <row r="647" spans="27:27" ht="17.100000000000001" customHeight="1">
      <c r="AA647"/>
    </row>
    <row r="648" spans="27:27" ht="17.100000000000001" customHeight="1">
      <c r="AA648"/>
    </row>
    <row r="649" spans="27:27" ht="17.100000000000001" customHeight="1">
      <c r="AA649"/>
    </row>
    <row r="650" spans="27:27" ht="17.100000000000001" customHeight="1">
      <c r="AA650"/>
    </row>
    <row r="651" spans="27:27" ht="17.100000000000001" customHeight="1">
      <c r="AA651"/>
    </row>
    <row r="652" spans="27:27" ht="17.100000000000001" customHeight="1">
      <c r="AA652"/>
    </row>
    <row r="653" spans="27:27" ht="17.100000000000001" customHeight="1">
      <c r="AA653"/>
    </row>
    <row r="654" spans="27:27" ht="17.100000000000001" customHeight="1">
      <c r="AA654"/>
    </row>
    <row r="655" spans="27:27" ht="17.100000000000001" customHeight="1">
      <c r="AA655"/>
    </row>
    <row r="656" spans="27:27" ht="17.100000000000001" customHeight="1">
      <c r="AA656"/>
    </row>
    <row r="657" spans="27:27" ht="17.100000000000001" customHeight="1">
      <c r="AA657"/>
    </row>
    <row r="658" spans="27:27" ht="17.100000000000001" customHeight="1">
      <c r="AA658"/>
    </row>
    <row r="659" spans="27:27" ht="17.100000000000001" customHeight="1">
      <c r="AA659"/>
    </row>
    <row r="660" spans="27:27" ht="17.100000000000001" customHeight="1">
      <c r="AA660"/>
    </row>
    <row r="661" spans="27:27" ht="17.100000000000001" customHeight="1">
      <c r="AA661"/>
    </row>
    <row r="662" spans="27:27" ht="17.100000000000001" customHeight="1">
      <c r="AA662"/>
    </row>
    <row r="663" spans="27:27" ht="17.100000000000001" customHeight="1">
      <c r="AA663"/>
    </row>
    <row r="664" spans="27:27" ht="17.100000000000001" customHeight="1">
      <c r="AA664"/>
    </row>
    <row r="665" spans="27:27" ht="17.100000000000001" customHeight="1">
      <c r="AA665"/>
    </row>
    <row r="666" spans="27:27" ht="17.100000000000001" customHeight="1">
      <c r="AA666"/>
    </row>
    <row r="667" spans="27:27" ht="17.100000000000001" customHeight="1">
      <c r="AA667"/>
    </row>
    <row r="668" spans="27:27" ht="17.100000000000001" customHeight="1">
      <c r="AA668"/>
    </row>
    <row r="669" spans="27:27" ht="17.100000000000001" customHeight="1">
      <c r="AA669"/>
    </row>
    <row r="670" spans="27:27" ht="17.100000000000001" customHeight="1">
      <c r="AA670"/>
    </row>
    <row r="671" spans="27:27" ht="17.100000000000001" customHeight="1">
      <c r="AA671"/>
    </row>
    <row r="672" spans="27:27" ht="17.100000000000001" customHeight="1">
      <c r="AA672"/>
    </row>
    <row r="673" spans="27:27" ht="17.100000000000001" customHeight="1">
      <c r="AA673"/>
    </row>
    <row r="674" spans="27:27" ht="17.100000000000001" customHeight="1">
      <c r="AA674"/>
    </row>
    <row r="675" spans="27:27" ht="17.100000000000001" customHeight="1">
      <c r="AA675"/>
    </row>
    <row r="676" spans="27:27" ht="17.100000000000001" customHeight="1">
      <c r="AA676"/>
    </row>
    <row r="677" spans="27:27" ht="17.100000000000001" customHeight="1">
      <c r="AA677"/>
    </row>
    <row r="678" spans="27:27" ht="17.100000000000001" customHeight="1">
      <c r="AA678"/>
    </row>
    <row r="679" spans="27:27" ht="17.100000000000001" customHeight="1">
      <c r="AA679"/>
    </row>
    <row r="680" spans="27:27" ht="17.100000000000001" customHeight="1">
      <c r="AA680"/>
    </row>
    <row r="681" spans="27:27" ht="17.100000000000001" customHeight="1">
      <c r="AA681"/>
    </row>
    <row r="682" spans="27:27" ht="17.100000000000001" customHeight="1">
      <c r="AA682"/>
    </row>
    <row r="683" spans="27:27" ht="17.100000000000001" customHeight="1">
      <c r="AA683"/>
    </row>
    <row r="684" spans="27:27" ht="17.100000000000001" customHeight="1">
      <c r="AA684"/>
    </row>
    <row r="685" spans="27:27" ht="17.100000000000001" customHeight="1">
      <c r="AA685"/>
    </row>
    <row r="686" spans="27:27" ht="17.100000000000001" customHeight="1">
      <c r="AA686"/>
    </row>
    <row r="687" spans="27:27" ht="17.100000000000001" customHeight="1">
      <c r="AA687"/>
    </row>
    <row r="688" spans="27:27" ht="17.100000000000001" customHeight="1">
      <c r="AA688"/>
    </row>
    <row r="689" spans="27:27" ht="17.100000000000001" customHeight="1">
      <c r="AA689"/>
    </row>
    <row r="690" spans="27:27" ht="17.100000000000001" customHeight="1">
      <c r="AA690"/>
    </row>
    <row r="691" spans="27:27" ht="17.100000000000001" customHeight="1">
      <c r="AA691"/>
    </row>
    <row r="692" spans="27:27" ht="17.100000000000001" customHeight="1">
      <c r="AA692"/>
    </row>
    <row r="693" spans="27:27" ht="17.100000000000001" customHeight="1">
      <c r="AA693"/>
    </row>
    <row r="694" spans="27:27" ht="17.100000000000001" customHeight="1">
      <c r="AA694"/>
    </row>
    <row r="695" spans="27:27" ht="17.100000000000001" customHeight="1">
      <c r="AA695"/>
    </row>
    <row r="696" spans="27:27" ht="17.100000000000001" customHeight="1">
      <c r="AA696"/>
    </row>
    <row r="697" spans="27:27" ht="17.100000000000001" customHeight="1">
      <c r="AA697"/>
    </row>
    <row r="698" spans="27:27" ht="17.100000000000001" customHeight="1">
      <c r="AA698"/>
    </row>
    <row r="699" spans="27:27" ht="17.100000000000001" customHeight="1">
      <c r="AA699"/>
    </row>
    <row r="700" spans="27:27" ht="17.100000000000001" customHeight="1">
      <c r="AA700"/>
    </row>
    <row r="701" spans="27:27" ht="17.100000000000001" customHeight="1">
      <c r="AA701"/>
    </row>
    <row r="702" spans="27:27" ht="17.100000000000001" customHeight="1">
      <c r="AA702"/>
    </row>
    <row r="703" spans="27:27" ht="17.100000000000001" customHeight="1">
      <c r="AA703"/>
    </row>
    <row r="704" spans="27:27" ht="17.100000000000001" customHeight="1">
      <c r="AA704"/>
    </row>
    <row r="705" spans="27:27" ht="17.100000000000001" customHeight="1">
      <c r="AA705"/>
    </row>
    <row r="706" spans="27:27" ht="17.100000000000001" customHeight="1">
      <c r="AA706"/>
    </row>
    <row r="707" spans="27:27" ht="17.100000000000001" customHeight="1">
      <c r="AA707"/>
    </row>
    <row r="708" spans="27:27" ht="17.100000000000001" customHeight="1">
      <c r="AA708"/>
    </row>
    <row r="709" spans="27:27" ht="17.100000000000001" customHeight="1">
      <c r="AA709"/>
    </row>
    <row r="710" spans="27:27" ht="17.100000000000001" customHeight="1">
      <c r="AA710"/>
    </row>
    <row r="711" spans="27:27" ht="17.100000000000001" customHeight="1">
      <c r="AA711"/>
    </row>
    <row r="712" spans="27:27" ht="17.100000000000001" customHeight="1">
      <c r="AA712"/>
    </row>
    <row r="713" spans="27:27" ht="17.100000000000001" customHeight="1">
      <c r="AA713"/>
    </row>
    <row r="714" spans="27:27" ht="17.100000000000001" customHeight="1">
      <c r="AA714"/>
    </row>
    <row r="715" spans="27:27" ht="17.100000000000001" customHeight="1">
      <c r="AA715"/>
    </row>
    <row r="716" spans="27:27" ht="17.100000000000001" customHeight="1">
      <c r="AA716"/>
    </row>
    <row r="717" spans="27:27" ht="17.100000000000001" customHeight="1">
      <c r="AA717"/>
    </row>
    <row r="718" spans="27:27" ht="17.100000000000001" customHeight="1">
      <c r="AA718"/>
    </row>
    <row r="719" spans="27:27" ht="17.100000000000001" customHeight="1">
      <c r="AA719"/>
    </row>
    <row r="720" spans="27:27" ht="17.100000000000001" customHeight="1">
      <c r="AA720"/>
    </row>
    <row r="721" spans="27:27" ht="17.100000000000001" customHeight="1">
      <c r="AA721"/>
    </row>
    <row r="722" spans="27:27" ht="17.100000000000001" customHeight="1">
      <c r="AA722"/>
    </row>
    <row r="723" spans="27:27" ht="17.100000000000001" customHeight="1">
      <c r="AA723"/>
    </row>
    <row r="724" spans="27:27" ht="17.100000000000001" customHeight="1">
      <c r="AA724"/>
    </row>
    <row r="725" spans="27:27" ht="17.100000000000001" customHeight="1">
      <c r="AA725"/>
    </row>
    <row r="726" spans="27:27" ht="17.100000000000001" customHeight="1">
      <c r="AA726"/>
    </row>
    <row r="727" spans="27:27" ht="17.100000000000001" customHeight="1">
      <c r="AA727"/>
    </row>
    <row r="728" spans="27:27" ht="17.100000000000001" customHeight="1">
      <c r="AA728"/>
    </row>
    <row r="729" spans="27:27" ht="17.100000000000001" customHeight="1">
      <c r="AA729"/>
    </row>
    <row r="730" spans="27:27" ht="17.100000000000001" customHeight="1">
      <c r="AA730"/>
    </row>
    <row r="731" spans="27:27" ht="17.100000000000001" customHeight="1">
      <c r="AA731"/>
    </row>
    <row r="732" spans="27:27" ht="17.100000000000001" customHeight="1">
      <c r="AA732"/>
    </row>
    <row r="733" spans="27:27" ht="17.100000000000001" customHeight="1">
      <c r="AA733"/>
    </row>
    <row r="734" spans="27:27" ht="17.100000000000001" customHeight="1">
      <c r="AA734"/>
    </row>
    <row r="735" spans="27:27" ht="17.100000000000001" customHeight="1">
      <c r="AA735"/>
    </row>
    <row r="736" spans="27:27" ht="17.100000000000001" customHeight="1">
      <c r="AA736"/>
    </row>
    <row r="737" spans="27:27" ht="17.100000000000001" customHeight="1">
      <c r="AA737"/>
    </row>
    <row r="738" spans="27:27" ht="17.100000000000001" customHeight="1">
      <c r="AA738"/>
    </row>
    <row r="739" spans="27:27" ht="17.100000000000001" customHeight="1">
      <c r="AA739"/>
    </row>
    <row r="740" spans="27:27" ht="17.100000000000001" customHeight="1">
      <c r="AA740"/>
    </row>
    <row r="741" spans="27:27" ht="17.100000000000001" customHeight="1">
      <c r="AA741"/>
    </row>
    <row r="742" spans="27:27" ht="17.100000000000001" customHeight="1">
      <c r="AA742"/>
    </row>
    <row r="743" spans="27:27" ht="17.100000000000001" customHeight="1">
      <c r="AA743"/>
    </row>
    <row r="744" spans="27:27" ht="17.100000000000001" customHeight="1">
      <c r="AA744"/>
    </row>
    <row r="745" spans="27:27" ht="17.100000000000001" customHeight="1">
      <c r="AA745"/>
    </row>
    <row r="746" spans="27:27" ht="17.100000000000001" customHeight="1">
      <c r="AA746"/>
    </row>
    <row r="747" spans="27:27" ht="17.100000000000001" customHeight="1">
      <c r="AA747"/>
    </row>
    <row r="748" spans="27:27" ht="17.100000000000001" customHeight="1">
      <c r="AA748"/>
    </row>
    <row r="749" spans="27:27" ht="17.100000000000001" customHeight="1">
      <c r="AA749"/>
    </row>
    <row r="750" spans="27:27" ht="17.100000000000001" customHeight="1">
      <c r="AA750"/>
    </row>
    <row r="751" spans="27:27" ht="17.100000000000001" customHeight="1">
      <c r="AA751"/>
    </row>
    <row r="752" spans="27:27" ht="17.100000000000001" customHeight="1">
      <c r="AA752"/>
    </row>
    <row r="753" spans="27:27" ht="17.100000000000001" customHeight="1">
      <c r="AA753"/>
    </row>
    <row r="754" spans="27:27" ht="17.100000000000001" customHeight="1">
      <c r="AA754"/>
    </row>
    <row r="755" spans="27:27" ht="17.100000000000001" customHeight="1">
      <c r="AA755"/>
    </row>
    <row r="756" spans="27:27" ht="17.100000000000001" customHeight="1">
      <c r="AA756"/>
    </row>
    <row r="757" spans="27:27" ht="17.100000000000001" customHeight="1">
      <c r="AA757"/>
    </row>
    <row r="758" spans="27:27" ht="17.100000000000001" customHeight="1">
      <c r="AA758"/>
    </row>
    <row r="759" spans="27:27" ht="17.100000000000001" customHeight="1">
      <c r="AA759"/>
    </row>
    <row r="760" spans="27:27" ht="17.100000000000001" customHeight="1">
      <c r="AA760"/>
    </row>
    <row r="761" spans="27:27" ht="17.100000000000001" customHeight="1">
      <c r="AA761"/>
    </row>
    <row r="762" spans="27:27" ht="17.100000000000001" customHeight="1">
      <c r="AA762"/>
    </row>
    <row r="763" spans="27:27" ht="17.100000000000001" customHeight="1">
      <c r="AA763"/>
    </row>
    <row r="764" spans="27:27" ht="17.100000000000001" customHeight="1">
      <c r="AA764"/>
    </row>
    <row r="765" spans="27:27" ht="17.100000000000001" customHeight="1">
      <c r="AA765"/>
    </row>
    <row r="766" spans="27:27" ht="17.100000000000001" customHeight="1">
      <c r="AA766"/>
    </row>
    <row r="767" spans="27:27" ht="17.100000000000001" customHeight="1">
      <c r="AA767"/>
    </row>
    <row r="768" spans="27:27" ht="17.100000000000001" customHeight="1">
      <c r="AA768"/>
    </row>
    <row r="769" spans="27:27" ht="17.100000000000001" customHeight="1">
      <c r="AA769"/>
    </row>
    <row r="770" spans="27:27" ht="17.100000000000001" customHeight="1">
      <c r="AA770"/>
    </row>
    <row r="771" spans="27:27" ht="17.100000000000001" customHeight="1">
      <c r="AA771"/>
    </row>
    <row r="772" spans="27:27" ht="17.100000000000001" customHeight="1">
      <c r="AA772"/>
    </row>
    <row r="773" spans="27:27" ht="17.100000000000001" customHeight="1">
      <c r="AA773"/>
    </row>
    <row r="774" spans="27:27" ht="17.100000000000001" customHeight="1">
      <c r="AA774"/>
    </row>
    <row r="775" spans="27:27" ht="17.100000000000001" customHeight="1">
      <c r="AA775"/>
    </row>
    <row r="776" spans="27:27" ht="17.100000000000001" customHeight="1">
      <c r="AA776"/>
    </row>
    <row r="777" spans="27:27" ht="17.100000000000001" customHeight="1">
      <c r="AA777"/>
    </row>
    <row r="778" spans="27:27" ht="17.100000000000001" customHeight="1">
      <c r="AA778"/>
    </row>
    <row r="779" spans="27:27" ht="17.100000000000001" customHeight="1">
      <c r="AA779"/>
    </row>
    <row r="780" spans="27:27" ht="17.100000000000001" customHeight="1">
      <c r="AA780"/>
    </row>
    <row r="781" spans="27:27" ht="17.100000000000001" customHeight="1">
      <c r="AA781"/>
    </row>
    <row r="782" spans="27:27" ht="17.100000000000001" customHeight="1">
      <c r="AA782"/>
    </row>
    <row r="783" spans="27:27" ht="17.100000000000001" customHeight="1">
      <c r="AA783"/>
    </row>
    <row r="784" spans="27:27" ht="17.100000000000001" customHeight="1">
      <c r="AA784"/>
    </row>
    <row r="785" spans="27:27" ht="17.100000000000001" customHeight="1">
      <c r="AA785"/>
    </row>
    <row r="786" spans="27:27" ht="17.100000000000001" customHeight="1">
      <c r="AA786"/>
    </row>
    <row r="787" spans="27:27" ht="17.100000000000001" customHeight="1">
      <c r="AA787"/>
    </row>
    <row r="788" spans="27:27" ht="17.100000000000001" customHeight="1">
      <c r="AA788"/>
    </row>
    <row r="789" spans="27:27" ht="17.100000000000001" customHeight="1">
      <c r="AA789"/>
    </row>
    <row r="790" spans="27:27" ht="17.100000000000001" customHeight="1">
      <c r="AA790"/>
    </row>
    <row r="791" spans="27:27" ht="17.100000000000001" customHeight="1">
      <c r="AA791"/>
    </row>
    <row r="792" spans="27:27" ht="17.100000000000001" customHeight="1">
      <c r="AA792"/>
    </row>
    <row r="793" spans="27:27" ht="17.100000000000001" customHeight="1">
      <c r="AA793"/>
    </row>
    <row r="794" spans="27:27" ht="17.100000000000001" customHeight="1">
      <c r="AA794"/>
    </row>
    <row r="795" spans="27:27" ht="17.100000000000001" customHeight="1">
      <c r="AA795"/>
    </row>
    <row r="796" spans="27:27" ht="17.100000000000001" customHeight="1">
      <c r="AA796"/>
    </row>
    <row r="797" spans="27:27" ht="17.100000000000001" customHeight="1">
      <c r="AA797"/>
    </row>
    <row r="798" spans="27:27" ht="17.100000000000001" customHeight="1">
      <c r="AA798"/>
    </row>
    <row r="799" spans="27:27" ht="17.100000000000001" customHeight="1">
      <c r="AA799"/>
    </row>
    <row r="800" spans="27:27" ht="17.100000000000001" customHeight="1">
      <c r="AA800"/>
    </row>
    <row r="801" spans="27:27" ht="17.100000000000001" customHeight="1">
      <c r="AA801"/>
    </row>
    <row r="802" spans="27:27" ht="17.100000000000001" customHeight="1">
      <c r="AA802"/>
    </row>
    <row r="803" spans="27:27" ht="17.100000000000001" customHeight="1">
      <c r="AA803"/>
    </row>
    <row r="804" spans="27:27" ht="17.100000000000001" customHeight="1">
      <c r="AA804"/>
    </row>
    <row r="805" spans="27:27" ht="17.100000000000001" customHeight="1">
      <c r="AA805"/>
    </row>
    <row r="806" spans="27:27" ht="17.100000000000001" customHeight="1">
      <c r="AA806"/>
    </row>
    <row r="807" spans="27:27" ht="17.100000000000001" customHeight="1">
      <c r="AA807"/>
    </row>
    <row r="808" spans="27:27" ht="17.100000000000001" customHeight="1">
      <c r="AA808"/>
    </row>
    <row r="809" spans="27:27" ht="17.100000000000001" customHeight="1">
      <c r="AA809"/>
    </row>
    <row r="810" spans="27:27" ht="17.100000000000001" customHeight="1">
      <c r="AA810"/>
    </row>
    <row r="811" spans="27:27" ht="17.100000000000001" customHeight="1">
      <c r="AA811"/>
    </row>
    <row r="812" spans="27:27" ht="17.100000000000001" customHeight="1">
      <c r="AA812"/>
    </row>
    <row r="813" spans="27:27" ht="17.100000000000001" customHeight="1">
      <c r="AA813"/>
    </row>
    <row r="814" spans="27:27" ht="17.100000000000001" customHeight="1">
      <c r="AA814"/>
    </row>
    <row r="815" spans="27:27" ht="17.100000000000001" customHeight="1">
      <c r="AA815"/>
    </row>
    <row r="816" spans="27:27" ht="17.100000000000001" customHeight="1">
      <c r="AA816"/>
    </row>
    <row r="817" spans="27:27" ht="17.100000000000001" customHeight="1">
      <c r="AA817"/>
    </row>
    <row r="818" spans="27:27" ht="17.100000000000001" customHeight="1">
      <c r="AA818"/>
    </row>
    <row r="819" spans="27:27" ht="17.100000000000001" customHeight="1">
      <c r="AA819"/>
    </row>
    <row r="820" spans="27:27" ht="17.100000000000001" customHeight="1">
      <c r="AA820"/>
    </row>
    <row r="821" spans="27:27" ht="17.100000000000001" customHeight="1">
      <c r="AA821"/>
    </row>
    <row r="822" spans="27:27" ht="17.100000000000001" customHeight="1">
      <c r="AA822"/>
    </row>
    <row r="823" spans="27:27" ht="17.100000000000001" customHeight="1">
      <c r="AA823"/>
    </row>
    <row r="824" spans="27:27" ht="17.100000000000001" customHeight="1">
      <c r="AA824"/>
    </row>
    <row r="825" spans="27:27" ht="17.100000000000001" customHeight="1">
      <c r="AA825"/>
    </row>
    <row r="826" spans="27:27" ht="17.100000000000001" customHeight="1">
      <c r="AA826"/>
    </row>
    <row r="827" spans="27:27" ht="17.100000000000001" customHeight="1">
      <c r="AA827"/>
    </row>
    <row r="828" spans="27:27" ht="17.100000000000001" customHeight="1">
      <c r="AA828"/>
    </row>
    <row r="829" spans="27:27" ht="17.100000000000001" customHeight="1">
      <c r="AA829"/>
    </row>
    <row r="830" spans="27:27" ht="17.100000000000001" customHeight="1">
      <c r="AA830"/>
    </row>
    <row r="831" spans="27:27" ht="17.100000000000001" customHeight="1">
      <c r="AA831"/>
    </row>
    <row r="832" spans="27:27" ht="17.100000000000001" customHeight="1">
      <c r="AA832"/>
    </row>
    <row r="833" spans="27:27" ht="17.100000000000001" customHeight="1">
      <c r="AA833"/>
    </row>
    <row r="834" spans="27:27" ht="17.100000000000001" customHeight="1">
      <c r="AA834"/>
    </row>
    <row r="835" spans="27:27" ht="17.100000000000001" customHeight="1">
      <c r="AA835"/>
    </row>
    <row r="836" spans="27:27" ht="17.100000000000001" customHeight="1">
      <c r="AA836"/>
    </row>
    <row r="837" spans="27:27" ht="17.100000000000001" customHeight="1">
      <c r="AA837"/>
    </row>
    <row r="838" spans="27:27" ht="17.100000000000001" customHeight="1">
      <c r="AA838"/>
    </row>
    <row r="839" spans="27:27" ht="17.100000000000001" customHeight="1">
      <c r="AA839"/>
    </row>
    <row r="840" spans="27:27" ht="17.100000000000001" customHeight="1">
      <c r="AA840"/>
    </row>
    <row r="841" spans="27:27" ht="17.100000000000001" customHeight="1">
      <c r="AA841"/>
    </row>
    <row r="842" spans="27:27" ht="17.100000000000001" customHeight="1">
      <c r="AA842"/>
    </row>
    <row r="843" spans="27:27" ht="17.100000000000001" customHeight="1">
      <c r="AA843"/>
    </row>
    <row r="844" spans="27:27" ht="17.100000000000001" customHeight="1">
      <c r="AA844"/>
    </row>
    <row r="845" spans="27:27" ht="17.100000000000001" customHeight="1">
      <c r="AA845"/>
    </row>
    <row r="846" spans="27:27" ht="17.100000000000001" customHeight="1">
      <c r="AA846"/>
    </row>
    <row r="847" spans="27:27" ht="17.100000000000001" customHeight="1">
      <c r="AA847"/>
    </row>
    <row r="848" spans="27:27" ht="17.100000000000001" customHeight="1">
      <c r="AA848"/>
    </row>
    <row r="849" spans="27:27" ht="17.100000000000001" customHeight="1">
      <c r="AA849"/>
    </row>
    <row r="850" spans="27:27" ht="17.100000000000001" customHeight="1">
      <c r="AA850"/>
    </row>
    <row r="851" spans="27:27" ht="17.100000000000001" customHeight="1">
      <c r="AA851"/>
    </row>
    <row r="852" spans="27:27" ht="17.100000000000001" customHeight="1">
      <c r="AA852"/>
    </row>
    <row r="853" spans="27:27" ht="17.100000000000001" customHeight="1">
      <c r="AA853"/>
    </row>
    <row r="854" spans="27:27" ht="17.100000000000001" customHeight="1">
      <c r="AA854"/>
    </row>
    <row r="855" spans="27:27" ht="17.100000000000001" customHeight="1">
      <c r="AA855"/>
    </row>
    <row r="856" spans="27:27" ht="17.100000000000001" customHeight="1">
      <c r="AA856"/>
    </row>
    <row r="857" spans="27:27" ht="17.100000000000001" customHeight="1">
      <c r="AA857"/>
    </row>
    <row r="858" spans="27:27" ht="17.100000000000001" customHeight="1">
      <c r="AA858"/>
    </row>
    <row r="859" spans="27:27" ht="17.100000000000001" customHeight="1">
      <c r="AA859"/>
    </row>
    <row r="860" spans="27:27" ht="17.100000000000001" customHeight="1">
      <c r="AA860"/>
    </row>
    <row r="861" spans="27:27" ht="17.100000000000001" customHeight="1">
      <c r="AA861"/>
    </row>
    <row r="862" spans="27:27" ht="17.100000000000001" customHeight="1">
      <c r="AA862"/>
    </row>
    <row r="863" spans="27:27" ht="17.100000000000001" customHeight="1">
      <c r="AA863"/>
    </row>
    <row r="864" spans="27:27" ht="17.100000000000001" customHeight="1">
      <c r="AA864"/>
    </row>
    <row r="865" spans="27:27" ht="17.100000000000001" customHeight="1">
      <c r="AA865"/>
    </row>
    <row r="866" spans="27:27" ht="17.100000000000001" customHeight="1">
      <c r="AA866"/>
    </row>
    <row r="867" spans="27:27" ht="17.100000000000001" customHeight="1">
      <c r="AA867"/>
    </row>
    <row r="868" spans="27:27" ht="17.100000000000001" customHeight="1">
      <c r="AA868"/>
    </row>
    <row r="869" spans="27:27" ht="17.100000000000001" customHeight="1">
      <c r="AA869"/>
    </row>
    <row r="870" spans="27:27" ht="17.100000000000001" customHeight="1">
      <c r="AA870"/>
    </row>
    <row r="871" spans="27:27" ht="17.100000000000001" customHeight="1">
      <c r="AA871"/>
    </row>
    <row r="872" spans="27:27" ht="17.100000000000001" customHeight="1">
      <c r="AA872"/>
    </row>
    <row r="873" spans="27:27" ht="17.100000000000001" customHeight="1">
      <c r="AA873"/>
    </row>
    <row r="874" spans="27:27" ht="17.100000000000001" customHeight="1">
      <c r="AA874"/>
    </row>
    <row r="875" spans="27:27" ht="17.100000000000001" customHeight="1">
      <c r="AA875"/>
    </row>
    <row r="876" spans="27:27" ht="17.100000000000001" customHeight="1">
      <c r="AA876"/>
    </row>
    <row r="877" spans="27:27" ht="17.100000000000001" customHeight="1">
      <c r="AA877"/>
    </row>
    <row r="878" spans="27:27" ht="17.100000000000001" customHeight="1">
      <c r="AA878"/>
    </row>
    <row r="879" spans="27:27" ht="17.100000000000001" customHeight="1">
      <c r="AA879"/>
    </row>
    <row r="880" spans="27:27" ht="17.100000000000001" customHeight="1">
      <c r="AA880"/>
    </row>
    <row r="881" spans="27:27" ht="17.100000000000001" customHeight="1">
      <c r="AA881"/>
    </row>
    <row r="882" spans="27:27" ht="17.100000000000001" customHeight="1">
      <c r="AA882"/>
    </row>
    <row r="883" spans="27:27" ht="17.100000000000001" customHeight="1">
      <c r="AA883"/>
    </row>
    <row r="884" spans="27:27" ht="17.100000000000001" customHeight="1">
      <c r="AA884"/>
    </row>
    <row r="885" spans="27:27" ht="17.100000000000001" customHeight="1">
      <c r="AA885"/>
    </row>
    <row r="886" spans="27:27" ht="17.100000000000001" customHeight="1">
      <c r="AA886"/>
    </row>
    <row r="887" spans="27:27" ht="17.100000000000001" customHeight="1">
      <c r="AA887"/>
    </row>
    <row r="888" spans="27:27" ht="17.100000000000001" customHeight="1">
      <c r="AA888"/>
    </row>
    <row r="889" spans="27:27" ht="17.100000000000001" customHeight="1">
      <c r="AA889"/>
    </row>
    <row r="890" spans="27:27" ht="17.100000000000001" customHeight="1">
      <c r="AA890"/>
    </row>
    <row r="891" spans="27:27" ht="17.100000000000001" customHeight="1">
      <c r="AA891"/>
    </row>
    <row r="892" spans="27:27" ht="17.100000000000001" customHeight="1">
      <c r="AA892"/>
    </row>
    <row r="893" spans="27:27" ht="17.100000000000001" customHeight="1">
      <c r="AA893"/>
    </row>
    <row r="894" spans="27:27" ht="17.100000000000001" customHeight="1">
      <c r="AA894"/>
    </row>
    <row r="895" spans="27:27" ht="17.100000000000001" customHeight="1">
      <c r="AA895"/>
    </row>
    <row r="896" spans="27:27" ht="17.100000000000001" customHeight="1">
      <c r="AA896"/>
    </row>
    <row r="897" spans="27:27" ht="17.100000000000001" customHeight="1">
      <c r="AA897"/>
    </row>
    <row r="898" spans="27:27" ht="17.100000000000001" customHeight="1">
      <c r="AA898"/>
    </row>
    <row r="899" spans="27:27" ht="17.100000000000001" customHeight="1">
      <c r="AA899"/>
    </row>
    <row r="900" spans="27:27" ht="17.100000000000001" customHeight="1">
      <c r="AA900"/>
    </row>
    <row r="901" spans="27:27" ht="17.100000000000001" customHeight="1">
      <c r="AA901"/>
    </row>
    <row r="902" spans="27:27" ht="17.100000000000001" customHeight="1">
      <c r="AA902"/>
    </row>
    <row r="903" spans="27:27" ht="17.100000000000001" customHeight="1">
      <c r="AA903"/>
    </row>
    <row r="904" spans="27:27" ht="17.100000000000001" customHeight="1">
      <c r="AA904"/>
    </row>
    <row r="905" spans="27:27" ht="17.100000000000001" customHeight="1">
      <c r="AA905"/>
    </row>
    <row r="906" spans="27:27" ht="17.100000000000001" customHeight="1">
      <c r="AA906"/>
    </row>
    <row r="907" spans="27:27" ht="17.100000000000001" customHeight="1">
      <c r="AA907"/>
    </row>
    <row r="908" spans="27:27" ht="17.100000000000001" customHeight="1">
      <c r="AA908"/>
    </row>
    <row r="909" spans="27:27" ht="17.100000000000001" customHeight="1">
      <c r="AA909"/>
    </row>
    <row r="910" spans="27:27" ht="17.100000000000001" customHeight="1">
      <c r="AA910"/>
    </row>
    <row r="911" spans="27:27" ht="17.100000000000001" customHeight="1">
      <c r="AA911"/>
    </row>
    <row r="912" spans="27:27" ht="17.100000000000001" customHeight="1">
      <c r="AA912"/>
    </row>
    <row r="913" spans="27:27" ht="17.100000000000001" customHeight="1">
      <c r="AA913"/>
    </row>
    <row r="914" spans="27:27" ht="17.100000000000001" customHeight="1">
      <c r="AA914"/>
    </row>
    <row r="915" spans="27:27" ht="17.100000000000001" customHeight="1">
      <c r="AA915"/>
    </row>
    <row r="916" spans="27:27" ht="17.100000000000001" customHeight="1">
      <c r="AA916"/>
    </row>
    <row r="917" spans="27:27" ht="17.100000000000001" customHeight="1">
      <c r="AA917"/>
    </row>
    <row r="918" spans="27:27" ht="17.100000000000001" customHeight="1">
      <c r="AA918"/>
    </row>
    <row r="919" spans="27:27" ht="17.100000000000001" customHeight="1">
      <c r="AA919"/>
    </row>
    <row r="920" spans="27:27" ht="17.100000000000001" customHeight="1">
      <c r="AA920"/>
    </row>
    <row r="921" spans="27:27" ht="17.100000000000001" customHeight="1">
      <c r="AA921"/>
    </row>
    <row r="922" spans="27:27" ht="17.100000000000001" customHeight="1">
      <c r="AA922"/>
    </row>
    <row r="923" spans="27:27" ht="17.100000000000001" customHeight="1">
      <c r="AA923"/>
    </row>
    <row r="924" spans="27:27" ht="17.100000000000001" customHeight="1">
      <c r="AA924"/>
    </row>
    <row r="925" spans="27:27" ht="17.100000000000001" customHeight="1">
      <c r="AA925"/>
    </row>
    <row r="926" spans="27:27" ht="17.100000000000001" customHeight="1">
      <c r="AA926"/>
    </row>
    <row r="927" spans="27:27" ht="17.100000000000001" customHeight="1">
      <c r="AA927"/>
    </row>
    <row r="928" spans="27:27" ht="17.100000000000001" customHeight="1">
      <c r="AA928"/>
    </row>
    <row r="929" spans="27:27" ht="17.100000000000001" customHeight="1">
      <c r="AA929"/>
    </row>
    <row r="930" spans="27:27" ht="17.100000000000001" customHeight="1">
      <c r="AA930"/>
    </row>
    <row r="931" spans="27:27" ht="17.100000000000001" customHeight="1">
      <c r="AA931"/>
    </row>
    <row r="932" spans="27:27" ht="17.100000000000001" customHeight="1">
      <c r="AA932"/>
    </row>
    <row r="933" spans="27:27" ht="17.100000000000001" customHeight="1">
      <c r="AA933"/>
    </row>
    <row r="934" spans="27:27" ht="17.100000000000001" customHeight="1">
      <c r="AA934"/>
    </row>
    <row r="935" spans="27:27" ht="17.100000000000001" customHeight="1">
      <c r="AA935"/>
    </row>
    <row r="936" spans="27:27" ht="17.100000000000001" customHeight="1">
      <c r="AA936"/>
    </row>
    <row r="937" spans="27:27" ht="17.100000000000001" customHeight="1">
      <c r="AA937"/>
    </row>
    <row r="938" spans="27:27" ht="17.100000000000001" customHeight="1">
      <c r="AA938"/>
    </row>
    <row r="939" spans="27:27" ht="17.100000000000001" customHeight="1">
      <c r="AA939"/>
    </row>
    <row r="940" spans="27:27" ht="17.100000000000001" customHeight="1">
      <c r="AA940"/>
    </row>
    <row r="941" spans="27:27" ht="17.100000000000001" customHeight="1">
      <c r="AA941"/>
    </row>
    <row r="942" spans="27:27" ht="17.100000000000001" customHeight="1">
      <c r="AA942"/>
    </row>
    <row r="943" spans="27:27" ht="17.100000000000001" customHeight="1">
      <c r="AA943"/>
    </row>
    <row r="944" spans="27:27" ht="17.100000000000001" customHeight="1">
      <c r="AA944"/>
    </row>
    <row r="945" spans="27:27" ht="17.100000000000001" customHeight="1">
      <c r="AA945"/>
    </row>
    <row r="946" spans="27:27" ht="17.100000000000001" customHeight="1">
      <c r="AA946"/>
    </row>
    <row r="947" spans="27:27" ht="17.100000000000001" customHeight="1">
      <c r="AA947"/>
    </row>
    <row r="948" spans="27:27" ht="17.100000000000001" customHeight="1">
      <c r="AA948"/>
    </row>
    <row r="949" spans="27:27" ht="17.100000000000001" customHeight="1">
      <c r="AA949"/>
    </row>
    <row r="950" spans="27:27" ht="17.100000000000001" customHeight="1">
      <c r="AA950"/>
    </row>
    <row r="951" spans="27:27" ht="17.100000000000001" customHeight="1">
      <c r="AA951"/>
    </row>
    <row r="952" spans="27:27" ht="17.100000000000001" customHeight="1">
      <c r="AA952"/>
    </row>
    <row r="953" spans="27:27" ht="17.100000000000001" customHeight="1">
      <c r="AA953"/>
    </row>
    <row r="954" spans="27:27" ht="17.100000000000001" customHeight="1">
      <c r="AA954"/>
    </row>
    <row r="955" spans="27:27" ht="17.100000000000001" customHeight="1">
      <c r="AA955"/>
    </row>
    <row r="956" spans="27:27" ht="17.100000000000001" customHeight="1">
      <c r="AA956"/>
    </row>
    <row r="957" spans="27:27" ht="17.100000000000001" customHeight="1">
      <c r="AA957"/>
    </row>
    <row r="958" spans="27:27" ht="17.100000000000001" customHeight="1">
      <c r="AA958"/>
    </row>
    <row r="959" spans="27:27" ht="17.100000000000001" customHeight="1">
      <c r="AA959"/>
    </row>
    <row r="960" spans="27:27" ht="17.100000000000001" customHeight="1">
      <c r="AA960"/>
    </row>
    <row r="961" spans="27:27" ht="17.100000000000001" customHeight="1">
      <c r="AA961"/>
    </row>
    <row r="962" spans="27:27" ht="17.100000000000001" customHeight="1">
      <c r="AA962"/>
    </row>
    <row r="963" spans="27:27" ht="17.100000000000001" customHeight="1">
      <c r="AA963"/>
    </row>
    <row r="964" spans="27:27" ht="17.100000000000001" customHeight="1">
      <c r="AA964"/>
    </row>
    <row r="965" spans="27:27" ht="17.100000000000001" customHeight="1">
      <c r="AA965"/>
    </row>
    <row r="966" spans="27:27" ht="17.100000000000001" customHeight="1">
      <c r="AA966"/>
    </row>
    <row r="967" spans="27:27" ht="17.100000000000001" customHeight="1">
      <c r="AA967"/>
    </row>
    <row r="968" spans="27:27" ht="17.100000000000001" customHeight="1">
      <c r="AA968"/>
    </row>
    <row r="969" spans="27:27" ht="17.100000000000001" customHeight="1">
      <c r="AA969"/>
    </row>
    <row r="970" spans="27:27" ht="17.100000000000001" customHeight="1">
      <c r="AA970"/>
    </row>
    <row r="971" spans="27:27" ht="17.100000000000001" customHeight="1">
      <c r="AA971"/>
    </row>
    <row r="972" spans="27:27" ht="17.100000000000001" customHeight="1">
      <c r="AA972"/>
    </row>
    <row r="973" spans="27:27" ht="17.100000000000001" customHeight="1">
      <c r="AA973"/>
    </row>
    <row r="974" spans="27:27" ht="17.100000000000001" customHeight="1">
      <c r="AA974"/>
    </row>
    <row r="975" spans="27:27" ht="17.100000000000001" customHeight="1">
      <c r="AA975"/>
    </row>
    <row r="976" spans="27:27" ht="17.100000000000001" customHeight="1">
      <c r="AA976"/>
    </row>
    <row r="977" spans="27:27" ht="17.100000000000001" customHeight="1">
      <c r="AA977"/>
    </row>
    <row r="978" spans="27:27" ht="17.100000000000001" customHeight="1">
      <c r="AA978"/>
    </row>
    <row r="979" spans="27:27" ht="17.100000000000001" customHeight="1">
      <c r="AA979"/>
    </row>
    <row r="980" spans="27:27" ht="17.100000000000001" customHeight="1">
      <c r="AA980"/>
    </row>
    <row r="981" spans="27:27" ht="17.100000000000001" customHeight="1">
      <c r="AA981"/>
    </row>
    <row r="982" spans="27:27" ht="17.100000000000001" customHeight="1">
      <c r="AA982"/>
    </row>
    <row r="983" spans="27:27" ht="17.100000000000001" customHeight="1">
      <c r="AA983"/>
    </row>
    <row r="984" spans="27:27" ht="17.100000000000001" customHeight="1">
      <c r="AA984"/>
    </row>
    <row r="985" spans="27:27" ht="17.100000000000001" customHeight="1">
      <c r="AA985"/>
    </row>
    <row r="986" spans="27:27" ht="17.100000000000001" customHeight="1">
      <c r="AA986"/>
    </row>
    <row r="987" spans="27:27" ht="17.100000000000001" customHeight="1">
      <c r="AA987"/>
    </row>
    <row r="988" spans="27:27" ht="17.100000000000001" customHeight="1">
      <c r="AA988"/>
    </row>
    <row r="989" spans="27:27" ht="17.100000000000001" customHeight="1">
      <c r="AA989"/>
    </row>
    <row r="990" spans="27:27" ht="17.100000000000001" customHeight="1">
      <c r="AA990"/>
    </row>
    <row r="991" spans="27:27" ht="17.100000000000001" customHeight="1">
      <c r="AA991"/>
    </row>
    <row r="992" spans="27:27" ht="17.100000000000001" customHeight="1">
      <c r="AA992"/>
    </row>
    <row r="993" spans="27:27" ht="17.100000000000001" customHeight="1">
      <c r="AA993"/>
    </row>
    <row r="994" spans="27:27" ht="17.100000000000001" customHeight="1">
      <c r="AA994"/>
    </row>
    <row r="995" spans="27:27" ht="17.100000000000001" customHeight="1">
      <c r="AA995"/>
    </row>
    <row r="996" spans="27:27" ht="17.100000000000001" customHeight="1">
      <c r="AA996"/>
    </row>
    <row r="997" spans="27:27" ht="17.100000000000001" customHeight="1">
      <c r="AA997"/>
    </row>
    <row r="998" spans="27:27" ht="17.100000000000001" customHeight="1">
      <c r="AA998"/>
    </row>
    <row r="999" spans="27:27" ht="17.100000000000001" customHeight="1">
      <c r="AA999"/>
    </row>
    <row r="1000" spans="27:27" ht="17.100000000000001" customHeight="1">
      <c r="AA1000"/>
    </row>
    <row r="1001" spans="27:27" ht="17.100000000000001" customHeight="1">
      <c r="AA1001"/>
    </row>
    <row r="1002" spans="27:27" ht="17.100000000000001" customHeight="1">
      <c r="AA1002"/>
    </row>
    <row r="1003" spans="27:27" ht="17.100000000000001" customHeight="1">
      <c r="AA1003"/>
    </row>
    <row r="1004" spans="27:27" ht="17.100000000000001" customHeight="1">
      <c r="AA1004"/>
    </row>
    <row r="1005" spans="27:27" ht="17.100000000000001" customHeight="1">
      <c r="AA1005"/>
    </row>
    <row r="1006" spans="27:27" ht="17.100000000000001" customHeight="1">
      <c r="AA1006"/>
    </row>
    <row r="1007" spans="27:27" ht="17.100000000000001" customHeight="1">
      <c r="AA1007"/>
    </row>
    <row r="1008" spans="27:27" ht="17.100000000000001" customHeight="1">
      <c r="AA1008"/>
    </row>
    <row r="1009" spans="27:27" ht="17.100000000000001" customHeight="1">
      <c r="AA1009"/>
    </row>
    <row r="1010" spans="27:27" ht="17.100000000000001" customHeight="1">
      <c r="AA1010"/>
    </row>
    <row r="1011" spans="27:27" ht="17.100000000000001" customHeight="1">
      <c r="AA1011"/>
    </row>
    <row r="1012" spans="27:27" ht="17.100000000000001" customHeight="1">
      <c r="AA1012"/>
    </row>
    <row r="1013" spans="27:27" ht="17.100000000000001" customHeight="1">
      <c r="AA1013"/>
    </row>
    <row r="1014" spans="27:27" ht="17.100000000000001" customHeight="1">
      <c r="AA1014"/>
    </row>
    <row r="1015" spans="27:27" ht="17.100000000000001" customHeight="1">
      <c r="AA1015"/>
    </row>
    <row r="1016" spans="27:27" ht="17.100000000000001" customHeight="1">
      <c r="AA1016"/>
    </row>
    <row r="1017" spans="27:27" ht="17.100000000000001" customHeight="1">
      <c r="AA1017"/>
    </row>
    <row r="1018" spans="27:27" ht="17.100000000000001" customHeight="1">
      <c r="AA1018"/>
    </row>
    <row r="1019" spans="27:27" ht="17.100000000000001" customHeight="1">
      <c r="AA1019"/>
    </row>
    <row r="1020" spans="27:27" ht="17.100000000000001" customHeight="1">
      <c r="AA1020"/>
    </row>
    <row r="1021" spans="27:27" ht="17.100000000000001" customHeight="1">
      <c r="AA1021"/>
    </row>
    <row r="1022" spans="27:27" ht="17.100000000000001" customHeight="1">
      <c r="AA1022"/>
    </row>
    <row r="1023" spans="27:27" ht="17.100000000000001" customHeight="1">
      <c r="AA1023"/>
    </row>
    <row r="1024" spans="27:27" ht="17.100000000000001" customHeight="1">
      <c r="AA1024"/>
    </row>
    <row r="1025" spans="27:27" ht="17.100000000000001" customHeight="1">
      <c r="AA1025"/>
    </row>
    <row r="1026" spans="27:27" ht="17.100000000000001" customHeight="1">
      <c r="AA1026"/>
    </row>
    <row r="1027" spans="27:27" ht="17.100000000000001" customHeight="1">
      <c r="AA1027"/>
    </row>
    <row r="1028" spans="27:27" ht="17.100000000000001" customHeight="1">
      <c r="AA1028"/>
    </row>
    <row r="1029" spans="27:27" ht="17.100000000000001" customHeight="1">
      <c r="AA1029"/>
    </row>
    <row r="1030" spans="27:27" ht="17.100000000000001" customHeight="1">
      <c r="AA1030"/>
    </row>
    <row r="1031" spans="27:27" ht="17.100000000000001" customHeight="1">
      <c r="AA1031"/>
    </row>
    <row r="1032" spans="27:27" ht="17.100000000000001" customHeight="1">
      <c r="AA1032"/>
    </row>
    <row r="1033" spans="27:27" ht="17.100000000000001" customHeight="1">
      <c r="AA1033"/>
    </row>
    <row r="1034" spans="27:27" ht="17.100000000000001" customHeight="1">
      <c r="AA1034"/>
    </row>
    <row r="1035" spans="27:27" ht="17.100000000000001" customHeight="1">
      <c r="AA1035"/>
    </row>
    <row r="1036" spans="27:27" ht="17.100000000000001" customHeight="1">
      <c r="AA1036"/>
    </row>
    <row r="1037" spans="27:27" ht="17.100000000000001" customHeight="1">
      <c r="AA1037"/>
    </row>
    <row r="1038" spans="27:27" ht="17.100000000000001" customHeight="1">
      <c r="AA1038"/>
    </row>
    <row r="1039" spans="27:27" ht="17.100000000000001" customHeight="1">
      <c r="AA1039"/>
    </row>
    <row r="1040" spans="27:27" ht="17.100000000000001" customHeight="1">
      <c r="AA1040"/>
    </row>
    <row r="1041" spans="27:27" ht="17.100000000000001" customHeight="1">
      <c r="AA1041"/>
    </row>
    <row r="1042" spans="27:27" ht="17.100000000000001" customHeight="1">
      <c r="AA1042"/>
    </row>
    <row r="1043" spans="27:27" ht="17.100000000000001" customHeight="1">
      <c r="AA1043"/>
    </row>
    <row r="1044" spans="27:27" ht="17.100000000000001" customHeight="1">
      <c r="AA1044"/>
    </row>
    <row r="1045" spans="27:27" ht="17.100000000000001" customHeight="1">
      <c r="AA1045"/>
    </row>
    <row r="1046" spans="27:27" ht="17.100000000000001" customHeight="1">
      <c r="AA1046"/>
    </row>
    <row r="1047" spans="27:27" ht="17.100000000000001" customHeight="1">
      <c r="AA1047"/>
    </row>
    <row r="1048" spans="27:27" ht="17.100000000000001" customHeight="1">
      <c r="AA1048"/>
    </row>
    <row r="1049" spans="27:27" ht="17.100000000000001" customHeight="1">
      <c r="AA1049"/>
    </row>
    <row r="1050" spans="27:27" ht="17.100000000000001" customHeight="1">
      <c r="AA1050"/>
    </row>
    <row r="1051" spans="27:27" ht="17.100000000000001" customHeight="1">
      <c r="AA1051"/>
    </row>
    <row r="1052" spans="27:27" ht="17.100000000000001" customHeight="1">
      <c r="AA1052"/>
    </row>
    <row r="1053" spans="27:27" ht="17.100000000000001" customHeight="1">
      <c r="AA1053"/>
    </row>
    <row r="1054" spans="27:27" ht="17.100000000000001" customHeight="1">
      <c r="AA1054"/>
    </row>
    <row r="1055" spans="27:27" ht="17.100000000000001" customHeight="1">
      <c r="AA1055"/>
    </row>
    <row r="1056" spans="27:27" ht="17.100000000000001" customHeight="1">
      <c r="AA1056"/>
    </row>
    <row r="1057" spans="27:27" ht="17.100000000000001" customHeight="1">
      <c r="AA1057"/>
    </row>
    <row r="1058" spans="27:27" ht="17.100000000000001" customHeight="1">
      <c r="AA1058"/>
    </row>
    <row r="1059" spans="27:27" ht="17.100000000000001" customHeight="1">
      <c r="AA1059"/>
    </row>
    <row r="1060" spans="27:27" ht="17.100000000000001" customHeight="1">
      <c r="AA1060"/>
    </row>
    <row r="1061" spans="27:27" ht="17.100000000000001" customHeight="1">
      <c r="AA1061"/>
    </row>
    <row r="1062" spans="27:27" ht="17.100000000000001" customHeight="1">
      <c r="AA1062"/>
    </row>
    <row r="1063" spans="27:27" ht="17.100000000000001" customHeight="1">
      <c r="AA1063"/>
    </row>
    <row r="1064" spans="27:27" ht="17.100000000000001" customHeight="1">
      <c r="AA1064"/>
    </row>
    <row r="1065" spans="27:27" ht="17.100000000000001" customHeight="1">
      <c r="AA1065"/>
    </row>
    <row r="1066" spans="27:27" ht="17.100000000000001" customHeight="1">
      <c r="AA1066"/>
    </row>
    <row r="1067" spans="27:27" ht="17.100000000000001" customHeight="1">
      <c r="AA1067"/>
    </row>
    <row r="1068" spans="27:27" ht="17.100000000000001" customHeight="1">
      <c r="AA1068"/>
    </row>
    <row r="1069" spans="27:27" ht="17.100000000000001" customHeight="1">
      <c r="AA1069"/>
    </row>
    <row r="1070" spans="27:27" ht="17.100000000000001" customHeight="1">
      <c r="AA1070"/>
    </row>
    <row r="1071" spans="27:27" ht="17.100000000000001" customHeight="1">
      <c r="AA1071"/>
    </row>
    <row r="1072" spans="27:27" ht="17.100000000000001" customHeight="1">
      <c r="AA1072"/>
    </row>
    <row r="1073" spans="27:27" ht="17.100000000000001" customHeight="1">
      <c r="AA1073"/>
    </row>
    <row r="1074" spans="27:27" ht="17.100000000000001" customHeight="1">
      <c r="AA1074"/>
    </row>
    <row r="1075" spans="27:27" ht="17.100000000000001" customHeight="1">
      <c r="AA1075"/>
    </row>
    <row r="1076" spans="27:27" ht="17.100000000000001" customHeight="1">
      <c r="AA1076"/>
    </row>
    <row r="1077" spans="27:27" ht="17.100000000000001" customHeight="1">
      <c r="AA1077"/>
    </row>
    <row r="1078" spans="27:27" ht="17.100000000000001" customHeight="1">
      <c r="AA1078"/>
    </row>
    <row r="1079" spans="27:27" ht="17.100000000000001" customHeight="1">
      <c r="AA1079"/>
    </row>
    <row r="1080" spans="27:27" ht="17.100000000000001" customHeight="1">
      <c r="AA1080"/>
    </row>
    <row r="1081" spans="27:27" ht="17.100000000000001" customHeight="1">
      <c r="AA1081"/>
    </row>
    <row r="1082" spans="27:27" ht="17.100000000000001" customHeight="1">
      <c r="AA1082"/>
    </row>
    <row r="1083" spans="27:27" ht="17.100000000000001" customHeight="1">
      <c r="AA1083"/>
    </row>
    <row r="1084" spans="27:27" ht="17.100000000000001" customHeight="1">
      <c r="AA1084"/>
    </row>
    <row r="1085" spans="27:27" ht="17.100000000000001" customHeight="1">
      <c r="AA1085"/>
    </row>
    <row r="1086" spans="27:27" ht="17.100000000000001" customHeight="1">
      <c r="AA1086"/>
    </row>
    <row r="1087" spans="27:27" ht="17.100000000000001" customHeight="1">
      <c r="AA1087"/>
    </row>
    <row r="1088" spans="27:27" ht="17.100000000000001" customHeight="1">
      <c r="AA1088"/>
    </row>
    <row r="1089" spans="27:27" ht="17.100000000000001" customHeight="1">
      <c r="AA1089"/>
    </row>
    <row r="1090" spans="27:27" ht="17.100000000000001" customHeight="1">
      <c r="AA1090"/>
    </row>
    <row r="1091" spans="27:27" ht="17.100000000000001" customHeight="1">
      <c r="AA1091"/>
    </row>
    <row r="1092" spans="27:27" ht="17.100000000000001" customHeight="1">
      <c r="AA1092"/>
    </row>
    <row r="1093" spans="27:27" ht="17.100000000000001" customHeight="1">
      <c r="AA1093"/>
    </row>
    <row r="1094" spans="27:27" ht="17.100000000000001" customHeight="1">
      <c r="AA1094"/>
    </row>
    <row r="1095" spans="27:27" ht="17.100000000000001" customHeight="1">
      <c r="AA1095"/>
    </row>
    <row r="1096" spans="27:27" ht="17.100000000000001" customHeight="1">
      <c r="AA1096"/>
    </row>
    <row r="1097" spans="27:27" ht="17.100000000000001" customHeight="1">
      <c r="AA1097"/>
    </row>
    <row r="1098" spans="27:27" ht="17.100000000000001" customHeight="1">
      <c r="AA1098"/>
    </row>
    <row r="1099" spans="27:27" ht="17.100000000000001" customHeight="1">
      <c r="AA1099"/>
    </row>
    <row r="1100" spans="27:27" ht="17.100000000000001" customHeight="1">
      <c r="AA1100"/>
    </row>
    <row r="1101" spans="27:27" ht="17.100000000000001" customHeight="1">
      <c r="AA1101"/>
    </row>
    <row r="1102" spans="27:27" ht="17.100000000000001" customHeight="1">
      <c r="AA1102"/>
    </row>
    <row r="1103" spans="27:27" ht="17.100000000000001" customHeight="1">
      <c r="AA1103"/>
    </row>
    <row r="1104" spans="27:27" ht="17.100000000000001" customHeight="1">
      <c r="AA1104"/>
    </row>
    <row r="1105" spans="27:27" ht="17.100000000000001" customHeight="1">
      <c r="AA1105"/>
    </row>
    <row r="1106" spans="27:27" ht="17.100000000000001" customHeight="1">
      <c r="AA1106"/>
    </row>
    <row r="1107" spans="27:27" ht="17.100000000000001" customHeight="1">
      <c r="AA1107"/>
    </row>
    <row r="1108" spans="27:27" ht="17.100000000000001" customHeight="1">
      <c r="AA1108"/>
    </row>
    <row r="1109" spans="27:27" ht="17.100000000000001" customHeight="1">
      <c r="AA1109"/>
    </row>
    <row r="1110" spans="27:27" ht="17.100000000000001" customHeight="1">
      <c r="AA1110"/>
    </row>
    <row r="1111" spans="27:27" ht="17.100000000000001" customHeight="1">
      <c r="AA1111"/>
    </row>
    <row r="1112" spans="27:27" ht="17.100000000000001" customHeight="1">
      <c r="AA1112"/>
    </row>
    <row r="1113" spans="27:27" ht="17.100000000000001" customHeight="1">
      <c r="AA1113"/>
    </row>
    <row r="1114" spans="27:27" ht="17.100000000000001" customHeight="1">
      <c r="AA1114"/>
    </row>
    <row r="1115" spans="27:27" ht="17.100000000000001" customHeight="1">
      <c r="AA1115"/>
    </row>
    <row r="1116" spans="27:27" ht="17.100000000000001" customHeight="1">
      <c r="AA1116"/>
    </row>
    <row r="1117" spans="27:27" ht="17.100000000000001" customHeight="1">
      <c r="AA1117"/>
    </row>
    <row r="1118" spans="27:27" ht="17.100000000000001" customHeight="1">
      <c r="AA1118"/>
    </row>
    <row r="1119" spans="27:27" ht="17.100000000000001" customHeight="1">
      <c r="AA1119"/>
    </row>
    <row r="1120" spans="27:27" ht="17.100000000000001" customHeight="1">
      <c r="AA1120"/>
    </row>
    <row r="1121" spans="27:27" ht="17.100000000000001" customHeight="1">
      <c r="AA1121"/>
    </row>
    <row r="1122" spans="27:27" ht="17.100000000000001" customHeight="1">
      <c r="AA1122"/>
    </row>
    <row r="1123" spans="27:27" ht="17.100000000000001" customHeight="1">
      <c r="AA1123"/>
    </row>
    <row r="1124" spans="27:27" ht="17.100000000000001" customHeight="1">
      <c r="AA1124"/>
    </row>
    <row r="1125" spans="27:27" ht="17.100000000000001" customHeight="1">
      <c r="AA1125"/>
    </row>
    <row r="1126" spans="27:27" ht="17.100000000000001" customHeight="1">
      <c r="AA1126"/>
    </row>
    <row r="1127" spans="27:27" ht="17.100000000000001" customHeight="1">
      <c r="AA1127"/>
    </row>
    <row r="1128" spans="27:27" ht="17.100000000000001" customHeight="1">
      <c r="AA1128"/>
    </row>
    <row r="1129" spans="27:27" ht="17.100000000000001" customHeight="1">
      <c r="AA1129"/>
    </row>
    <row r="1130" spans="27:27" ht="17.100000000000001" customHeight="1">
      <c r="AA1130"/>
    </row>
    <row r="1131" spans="27:27" ht="17.100000000000001" customHeight="1">
      <c r="AA1131"/>
    </row>
    <row r="1132" spans="27:27" ht="17.100000000000001" customHeight="1">
      <c r="AA1132"/>
    </row>
    <row r="1133" spans="27:27" ht="17.100000000000001" customHeight="1">
      <c r="AA1133"/>
    </row>
    <row r="1134" spans="27:27" ht="17.100000000000001" customHeight="1">
      <c r="AA1134"/>
    </row>
    <row r="1135" spans="27:27" ht="17.100000000000001" customHeight="1">
      <c r="AA1135"/>
    </row>
    <row r="1136" spans="27:27" ht="17.100000000000001" customHeight="1">
      <c r="AA1136"/>
    </row>
    <row r="1137" spans="27:27" ht="17.100000000000001" customHeight="1">
      <c r="AA1137"/>
    </row>
    <row r="1138" spans="27:27" ht="17.100000000000001" customHeight="1">
      <c r="AA1138"/>
    </row>
    <row r="1139" spans="27:27" ht="17.100000000000001" customHeight="1">
      <c r="AA1139"/>
    </row>
    <row r="1140" spans="27:27" ht="17.100000000000001" customHeight="1">
      <c r="AA1140"/>
    </row>
    <row r="1141" spans="27:27" ht="17.100000000000001" customHeight="1">
      <c r="AA1141"/>
    </row>
    <row r="1142" spans="27:27" ht="17.100000000000001" customHeight="1">
      <c r="AA1142"/>
    </row>
    <row r="1143" spans="27:27" ht="17.100000000000001" customHeight="1">
      <c r="AA1143"/>
    </row>
    <row r="1144" spans="27:27" ht="17.100000000000001" customHeight="1">
      <c r="AA1144"/>
    </row>
    <row r="1145" spans="27:27" ht="17.100000000000001" customHeight="1">
      <c r="AA1145"/>
    </row>
    <row r="1146" spans="27:27" ht="17.100000000000001" customHeight="1">
      <c r="AA1146"/>
    </row>
    <row r="1147" spans="27:27" ht="17.100000000000001" customHeight="1">
      <c r="AA1147"/>
    </row>
    <row r="1148" spans="27:27" ht="17.100000000000001" customHeight="1">
      <c r="AA1148"/>
    </row>
    <row r="1149" spans="27:27" ht="17.100000000000001" customHeight="1">
      <c r="AA1149"/>
    </row>
    <row r="1150" spans="27:27" ht="17.100000000000001" customHeight="1">
      <c r="AA1150"/>
    </row>
    <row r="1151" spans="27:27" ht="17.100000000000001" customHeight="1">
      <c r="AA1151"/>
    </row>
    <row r="1152" spans="27:27" ht="17.100000000000001" customHeight="1">
      <c r="AA1152"/>
    </row>
    <row r="1153" spans="27:27" ht="17.100000000000001" customHeight="1">
      <c r="AA1153"/>
    </row>
    <row r="1154" spans="27:27" ht="17.100000000000001" customHeight="1">
      <c r="AA1154"/>
    </row>
    <row r="1155" spans="27:27" ht="17.100000000000001" customHeight="1">
      <c r="AA1155"/>
    </row>
    <row r="1156" spans="27:27" ht="17.100000000000001" customHeight="1">
      <c r="AA1156"/>
    </row>
    <row r="1157" spans="27:27" ht="17.100000000000001" customHeight="1">
      <c r="AA1157"/>
    </row>
    <row r="1158" spans="27:27" ht="17.100000000000001" customHeight="1">
      <c r="AA1158"/>
    </row>
    <row r="1159" spans="27:27" ht="17.100000000000001" customHeight="1">
      <c r="AA1159"/>
    </row>
    <row r="1160" spans="27:27" ht="17.100000000000001" customHeight="1">
      <c r="AA1160"/>
    </row>
    <row r="1161" spans="27:27" ht="17.100000000000001" customHeight="1">
      <c r="AA1161"/>
    </row>
    <row r="1162" spans="27:27" ht="17.100000000000001" customHeight="1">
      <c r="AA1162"/>
    </row>
    <row r="1163" spans="27:27" ht="17.100000000000001" customHeight="1">
      <c r="AA1163"/>
    </row>
    <row r="1164" spans="27:27" ht="17.100000000000001" customHeight="1">
      <c r="AA1164"/>
    </row>
    <row r="1165" spans="27:27" ht="17.100000000000001" customHeight="1">
      <c r="AA1165"/>
    </row>
    <row r="1166" spans="27:27" ht="17.100000000000001" customHeight="1">
      <c r="AA1166"/>
    </row>
    <row r="1167" spans="27:27" ht="17.100000000000001" customHeight="1">
      <c r="AA1167"/>
    </row>
    <row r="1168" spans="27:27" ht="17.100000000000001" customHeight="1">
      <c r="AA1168"/>
    </row>
    <row r="1169" spans="27:27" ht="17.100000000000001" customHeight="1">
      <c r="AA1169"/>
    </row>
    <row r="1170" spans="27:27" ht="17.100000000000001" customHeight="1">
      <c r="AA1170"/>
    </row>
    <row r="1171" spans="27:27" ht="17.100000000000001" customHeight="1">
      <c r="AA1171"/>
    </row>
    <row r="1172" spans="27:27" ht="17.100000000000001" customHeight="1">
      <c r="AA1172"/>
    </row>
    <row r="1173" spans="27:27" ht="17.100000000000001" customHeight="1">
      <c r="AA1173"/>
    </row>
    <row r="1174" spans="27:27" ht="17.100000000000001" customHeight="1">
      <c r="AA1174"/>
    </row>
    <row r="1175" spans="27:27" ht="17.100000000000001" customHeight="1">
      <c r="AA1175"/>
    </row>
    <row r="1176" spans="27:27" ht="17.100000000000001" customHeight="1">
      <c r="AA1176"/>
    </row>
    <row r="1177" spans="27:27" ht="17.100000000000001" customHeight="1">
      <c r="AA1177"/>
    </row>
    <row r="1178" spans="27:27" ht="17.100000000000001" customHeight="1">
      <c r="AA1178"/>
    </row>
    <row r="1179" spans="27:27" ht="17.100000000000001" customHeight="1">
      <c r="AA1179"/>
    </row>
    <row r="1180" spans="27:27" ht="17.100000000000001" customHeight="1">
      <c r="AA1180"/>
    </row>
    <row r="1181" spans="27:27" ht="17.100000000000001" customHeight="1">
      <c r="AA1181"/>
    </row>
    <row r="1182" spans="27:27" ht="17.100000000000001" customHeight="1">
      <c r="AA1182"/>
    </row>
    <row r="1183" spans="27:27" ht="17.100000000000001" customHeight="1">
      <c r="AA1183"/>
    </row>
    <row r="1184" spans="27:27" ht="17.100000000000001" customHeight="1">
      <c r="AA1184"/>
    </row>
    <row r="1185" spans="27:27" ht="17.100000000000001" customHeight="1">
      <c r="AA1185"/>
    </row>
    <row r="1186" spans="27:27" ht="17.100000000000001" customHeight="1">
      <c r="AA1186"/>
    </row>
    <row r="1187" spans="27:27" ht="17.100000000000001" customHeight="1">
      <c r="AA1187"/>
    </row>
    <row r="1188" spans="27:27" ht="17.100000000000001" customHeight="1">
      <c r="AA1188"/>
    </row>
    <row r="1189" spans="27:27" ht="17.100000000000001" customHeight="1">
      <c r="AA1189"/>
    </row>
    <row r="1190" spans="27:27" ht="17.100000000000001" customHeight="1">
      <c r="AA1190"/>
    </row>
    <row r="1191" spans="27:27" ht="17.100000000000001" customHeight="1">
      <c r="AA1191"/>
    </row>
    <row r="1192" spans="27:27" ht="17.100000000000001" customHeight="1">
      <c r="AA1192"/>
    </row>
    <row r="1193" spans="27:27" ht="17.100000000000001" customHeight="1">
      <c r="AA1193"/>
    </row>
    <row r="1194" spans="27:27" ht="17.100000000000001" customHeight="1">
      <c r="AA1194"/>
    </row>
    <row r="1195" spans="27:27" ht="17.100000000000001" customHeight="1">
      <c r="AA1195"/>
    </row>
    <row r="1196" spans="27:27" ht="17.100000000000001" customHeight="1">
      <c r="AA1196"/>
    </row>
    <row r="1197" spans="27:27" ht="17.100000000000001" customHeight="1">
      <c r="AA1197"/>
    </row>
    <row r="1198" spans="27:27" ht="17.100000000000001" customHeight="1">
      <c r="AA1198"/>
    </row>
    <row r="1199" spans="27:27" ht="17.100000000000001" customHeight="1">
      <c r="AA1199"/>
    </row>
    <row r="1200" spans="27:27" ht="17.100000000000001" customHeight="1">
      <c r="AA1200"/>
    </row>
    <row r="1201" spans="27:27" ht="17.100000000000001" customHeight="1">
      <c r="AA1201"/>
    </row>
    <row r="1202" spans="27:27" ht="17.100000000000001" customHeight="1">
      <c r="AA1202"/>
    </row>
    <row r="1203" spans="27:27" ht="17.100000000000001" customHeight="1">
      <c r="AA1203"/>
    </row>
    <row r="1204" spans="27:27" ht="17.100000000000001" customHeight="1">
      <c r="AA1204"/>
    </row>
    <row r="1205" spans="27:27" ht="17.100000000000001" customHeight="1">
      <c r="AA1205"/>
    </row>
    <row r="1206" spans="27:27" ht="17.100000000000001" customHeight="1">
      <c r="AA1206"/>
    </row>
    <row r="1207" spans="27:27" ht="17.100000000000001" customHeight="1">
      <c r="AA1207"/>
    </row>
    <row r="1208" spans="27:27" ht="17.100000000000001" customHeight="1">
      <c r="AA1208"/>
    </row>
    <row r="1209" spans="27:27" ht="17.100000000000001" customHeight="1">
      <c r="AA1209"/>
    </row>
    <row r="1210" spans="27:27" ht="17.100000000000001" customHeight="1">
      <c r="AA1210"/>
    </row>
    <row r="1211" spans="27:27" ht="17.100000000000001" customHeight="1">
      <c r="AA1211"/>
    </row>
    <row r="1212" spans="27:27" ht="17.100000000000001" customHeight="1">
      <c r="AA1212"/>
    </row>
    <row r="1213" spans="27:27" ht="17.100000000000001" customHeight="1">
      <c r="AA1213"/>
    </row>
    <row r="1214" spans="27:27" ht="17.100000000000001" customHeight="1">
      <c r="AA1214"/>
    </row>
    <row r="1215" spans="27:27" ht="17.100000000000001" customHeight="1">
      <c r="AA1215"/>
    </row>
    <row r="1216" spans="27:27" ht="17.100000000000001" customHeight="1">
      <c r="AA1216"/>
    </row>
    <row r="1217" spans="27:27" ht="17.100000000000001" customHeight="1">
      <c r="AA1217"/>
    </row>
    <row r="1218" spans="27:27" ht="17.100000000000001" customHeight="1">
      <c r="AA1218"/>
    </row>
    <row r="1219" spans="27:27" ht="17.100000000000001" customHeight="1">
      <c r="AA1219"/>
    </row>
    <row r="1220" spans="27:27" ht="17.100000000000001" customHeight="1">
      <c r="AA1220"/>
    </row>
    <row r="1221" spans="27:27" ht="17.100000000000001" customHeight="1">
      <c r="AA1221"/>
    </row>
    <row r="1222" spans="27:27" ht="17.100000000000001" customHeight="1">
      <c r="AA1222"/>
    </row>
    <row r="1223" spans="27:27" ht="17.100000000000001" customHeight="1">
      <c r="AA1223"/>
    </row>
    <row r="1224" spans="27:27" ht="17.100000000000001" customHeight="1">
      <c r="AA1224"/>
    </row>
    <row r="1225" spans="27:27" ht="17.100000000000001" customHeight="1">
      <c r="AA1225"/>
    </row>
    <row r="1226" spans="27:27" ht="17.100000000000001" customHeight="1">
      <c r="AA1226"/>
    </row>
    <row r="1227" spans="27:27" ht="17.100000000000001" customHeight="1">
      <c r="AA1227"/>
    </row>
    <row r="1228" spans="27:27" ht="17.100000000000001" customHeight="1">
      <c r="AA1228"/>
    </row>
    <row r="1229" spans="27:27" ht="17.100000000000001" customHeight="1">
      <c r="AA1229"/>
    </row>
    <row r="1230" spans="27:27" ht="17.100000000000001" customHeight="1">
      <c r="AA1230"/>
    </row>
    <row r="1231" spans="27:27" ht="17.100000000000001" customHeight="1">
      <c r="AA1231"/>
    </row>
    <row r="1232" spans="27:27" ht="17.100000000000001" customHeight="1">
      <c r="AA1232"/>
    </row>
    <row r="1233" spans="27:27" ht="17.100000000000001" customHeight="1">
      <c r="AA1233"/>
    </row>
    <row r="1234" spans="27:27" ht="17.100000000000001" customHeight="1">
      <c r="AA1234"/>
    </row>
    <row r="1235" spans="27:27" ht="17.100000000000001" customHeight="1">
      <c r="AA1235"/>
    </row>
    <row r="1236" spans="27:27" ht="17.100000000000001" customHeight="1">
      <c r="AA1236"/>
    </row>
    <row r="1237" spans="27:27" ht="17.100000000000001" customHeight="1">
      <c r="AA1237"/>
    </row>
    <row r="1238" spans="27:27" ht="17.100000000000001" customHeight="1">
      <c r="AA1238"/>
    </row>
    <row r="1239" spans="27:27" ht="17.100000000000001" customHeight="1">
      <c r="AA1239"/>
    </row>
    <row r="1240" spans="27:27" ht="17.100000000000001" customHeight="1">
      <c r="AA1240"/>
    </row>
    <row r="1241" spans="27:27" ht="17.100000000000001" customHeight="1">
      <c r="AA1241"/>
    </row>
    <row r="1242" spans="27:27" ht="17.100000000000001" customHeight="1">
      <c r="AA1242"/>
    </row>
    <row r="1243" spans="27:27" ht="17.100000000000001" customHeight="1">
      <c r="AA1243"/>
    </row>
    <row r="1244" spans="27:27" ht="17.100000000000001" customHeight="1">
      <c r="AA1244"/>
    </row>
    <row r="1245" spans="27:27" ht="17.100000000000001" customHeight="1">
      <c r="AA1245"/>
    </row>
    <row r="1246" spans="27:27" ht="17.100000000000001" customHeight="1">
      <c r="AA1246"/>
    </row>
    <row r="1247" spans="27:27" ht="17.100000000000001" customHeight="1">
      <c r="AA1247"/>
    </row>
    <row r="1248" spans="27:27" ht="17.100000000000001" customHeight="1">
      <c r="AA1248"/>
    </row>
    <row r="1249" spans="27:27" ht="17.100000000000001" customHeight="1">
      <c r="AA1249"/>
    </row>
    <row r="1250" spans="27:27" ht="17.100000000000001" customHeight="1">
      <c r="AA1250"/>
    </row>
    <row r="1251" spans="27:27" ht="17.100000000000001" customHeight="1">
      <c r="AA1251"/>
    </row>
    <row r="1252" spans="27:27" ht="17.100000000000001" customHeight="1">
      <c r="AA1252"/>
    </row>
    <row r="1253" spans="27:27" ht="17.100000000000001" customHeight="1">
      <c r="AA1253"/>
    </row>
    <row r="1254" spans="27:27" ht="17.100000000000001" customHeight="1">
      <c r="AA1254"/>
    </row>
    <row r="1255" spans="27:27" ht="17.100000000000001" customHeight="1">
      <c r="AA1255"/>
    </row>
    <row r="1256" spans="27:27" ht="17.100000000000001" customHeight="1">
      <c r="AA1256"/>
    </row>
    <row r="1257" spans="27:27" ht="17.100000000000001" customHeight="1">
      <c r="AA1257"/>
    </row>
    <row r="1258" spans="27:27" ht="17.100000000000001" customHeight="1">
      <c r="AA1258"/>
    </row>
    <row r="1259" spans="27:27" ht="17.100000000000001" customHeight="1">
      <c r="AA1259"/>
    </row>
    <row r="1260" spans="27:27" ht="17.100000000000001" customHeight="1">
      <c r="AA1260"/>
    </row>
    <row r="1261" spans="27:27" ht="17.100000000000001" customHeight="1">
      <c r="AA1261"/>
    </row>
    <row r="1262" spans="27:27" ht="17.100000000000001" customHeight="1">
      <c r="AA1262"/>
    </row>
    <row r="1263" spans="27:27" ht="17.100000000000001" customHeight="1">
      <c r="AA1263"/>
    </row>
    <row r="1264" spans="27:27" ht="17.100000000000001" customHeight="1">
      <c r="AA1264"/>
    </row>
    <row r="1265" spans="27:27" ht="17.100000000000001" customHeight="1">
      <c r="AA1265"/>
    </row>
    <row r="1266" spans="27:27" ht="17.100000000000001" customHeight="1">
      <c r="AA1266"/>
    </row>
    <row r="1267" spans="27:27" ht="17.100000000000001" customHeight="1">
      <c r="AA1267"/>
    </row>
    <row r="1268" spans="27:27" ht="17.100000000000001" customHeight="1">
      <c r="AA1268"/>
    </row>
    <row r="1269" spans="27:27" ht="17.100000000000001" customHeight="1">
      <c r="AA1269"/>
    </row>
    <row r="1270" spans="27:27" ht="17.100000000000001" customHeight="1">
      <c r="AA1270"/>
    </row>
    <row r="1271" spans="27:27" ht="17.100000000000001" customHeight="1">
      <c r="AA1271"/>
    </row>
    <row r="1272" spans="27:27" ht="17.100000000000001" customHeight="1">
      <c r="AA1272"/>
    </row>
    <row r="1273" spans="27:27" ht="17.100000000000001" customHeight="1">
      <c r="AA1273"/>
    </row>
    <row r="1274" spans="27:27" ht="17.100000000000001" customHeight="1">
      <c r="AA1274"/>
    </row>
    <row r="1275" spans="27:27" ht="17.100000000000001" customHeight="1">
      <c r="AA1275"/>
    </row>
    <row r="1276" spans="27:27" ht="17.100000000000001" customHeight="1">
      <c r="AA1276"/>
    </row>
    <row r="1277" spans="27:27" ht="17.100000000000001" customHeight="1">
      <c r="AA1277"/>
    </row>
    <row r="1278" spans="27:27" ht="17.100000000000001" customHeight="1">
      <c r="AA1278"/>
    </row>
    <row r="1279" spans="27:27" ht="17.100000000000001" customHeight="1">
      <c r="AA1279"/>
    </row>
    <row r="1280" spans="27:27" ht="17.100000000000001" customHeight="1">
      <c r="AA1280"/>
    </row>
    <row r="1281" spans="27:27" ht="17.100000000000001" customHeight="1">
      <c r="AA1281"/>
    </row>
    <row r="1282" spans="27:27" ht="17.100000000000001" customHeight="1">
      <c r="AA1282"/>
    </row>
    <row r="1283" spans="27:27" ht="17.100000000000001" customHeight="1">
      <c r="AA1283"/>
    </row>
    <row r="1284" spans="27:27" ht="17.100000000000001" customHeight="1">
      <c r="AA1284"/>
    </row>
    <row r="1285" spans="27:27" ht="17.100000000000001" customHeight="1">
      <c r="AA1285"/>
    </row>
    <row r="1286" spans="27:27" ht="17.100000000000001" customHeight="1">
      <c r="AA1286"/>
    </row>
    <row r="1287" spans="27:27" ht="17.100000000000001" customHeight="1">
      <c r="AA1287"/>
    </row>
    <row r="1288" spans="27:27" ht="17.100000000000001" customHeight="1">
      <c r="AA1288"/>
    </row>
    <row r="1289" spans="27:27" ht="17.100000000000001" customHeight="1">
      <c r="AA1289"/>
    </row>
    <row r="1290" spans="27:27" ht="17.100000000000001" customHeight="1">
      <c r="AA1290"/>
    </row>
    <row r="1291" spans="27:27" ht="17.100000000000001" customHeight="1">
      <c r="AA1291"/>
    </row>
    <row r="1292" spans="27:27" ht="17.100000000000001" customHeight="1">
      <c r="AA1292"/>
    </row>
    <row r="1293" spans="27:27" ht="17.100000000000001" customHeight="1">
      <c r="AA1293"/>
    </row>
    <row r="1294" spans="27:27" ht="17.100000000000001" customHeight="1">
      <c r="AA1294"/>
    </row>
    <row r="1295" spans="27:27" ht="17.100000000000001" customHeight="1">
      <c r="AA1295"/>
    </row>
    <row r="1296" spans="27:27" ht="17.100000000000001" customHeight="1">
      <c r="AA1296"/>
    </row>
    <row r="1297" spans="27:27" ht="17.100000000000001" customHeight="1">
      <c r="AA1297"/>
    </row>
    <row r="1298" spans="27:27" ht="17.100000000000001" customHeight="1">
      <c r="AA1298"/>
    </row>
    <row r="1299" spans="27:27" ht="17.100000000000001" customHeight="1">
      <c r="AA1299"/>
    </row>
    <row r="1300" spans="27:27" ht="17.100000000000001" customHeight="1">
      <c r="AA1300"/>
    </row>
    <row r="1301" spans="27:27" ht="17.100000000000001" customHeight="1">
      <c r="AA1301"/>
    </row>
    <row r="1302" spans="27:27" ht="17.100000000000001" customHeight="1">
      <c r="AA1302"/>
    </row>
    <row r="1303" spans="27:27" ht="17.100000000000001" customHeight="1">
      <c r="AA1303"/>
    </row>
    <row r="1304" spans="27:27" ht="17.100000000000001" customHeight="1">
      <c r="AA1304"/>
    </row>
    <row r="1305" spans="27:27" ht="17.100000000000001" customHeight="1">
      <c r="AA1305"/>
    </row>
    <row r="1306" spans="27:27" ht="17.100000000000001" customHeight="1">
      <c r="AA1306"/>
    </row>
    <row r="1307" spans="27:27" ht="17.100000000000001" customHeight="1">
      <c r="AA1307"/>
    </row>
    <row r="1308" spans="27:27" ht="17.100000000000001" customHeight="1">
      <c r="AA1308"/>
    </row>
    <row r="1309" spans="27:27" ht="17.100000000000001" customHeight="1">
      <c r="AA1309"/>
    </row>
    <row r="1310" spans="27:27" ht="17.100000000000001" customHeight="1">
      <c r="AA1310"/>
    </row>
    <row r="1311" spans="27:27" ht="17.100000000000001" customHeight="1">
      <c r="AA1311"/>
    </row>
    <row r="1312" spans="27:27" ht="17.100000000000001" customHeight="1">
      <c r="AA1312"/>
    </row>
    <row r="1313" spans="27:27" ht="17.100000000000001" customHeight="1">
      <c r="AA1313"/>
    </row>
    <row r="1314" spans="27:27" ht="17.100000000000001" customHeight="1">
      <c r="AA1314"/>
    </row>
    <row r="1315" spans="27:27" ht="17.100000000000001" customHeight="1">
      <c r="AA1315"/>
    </row>
    <row r="1316" spans="27:27" ht="17.100000000000001" customHeight="1">
      <c r="AA1316"/>
    </row>
    <row r="1317" spans="27:27" ht="17.100000000000001" customHeight="1">
      <c r="AA1317"/>
    </row>
    <row r="1318" spans="27:27" ht="17.100000000000001" customHeight="1">
      <c r="AA1318"/>
    </row>
    <row r="1319" spans="27:27" ht="17.100000000000001" customHeight="1">
      <c r="AA1319"/>
    </row>
    <row r="1320" spans="27:27" ht="17.100000000000001" customHeight="1">
      <c r="AA1320"/>
    </row>
    <row r="1321" spans="27:27" ht="17.100000000000001" customHeight="1">
      <c r="AA1321"/>
    </row>
    <row r="1322" spans="27:27" ht="17.100000000000001" customHeight="1">
      <c r="AA1322"/>
    </row>
    <row r="1323" spans="27:27" ht="17.100000000000001" customHeight="1">
      <c r="AA1323"/>
    </row>
    <row r="1324" spans="27:27" ht="17.100000000000001" customHeight="1">
      <c r="AA1324"/>
    </row>
    <row r="1325" spans="27:27" ht="17.100000000000001" customHeight="1">
      <c r="AA1325"/>
    </row>
    <row r="1326" spans="27:27" ht="17.100000000000001" customHeight="1">
      <c r="AA1326"/>
    </row>
    <row r="1327" spans="27:27" ht="17.100000000000001" customHeight="1">
      <c r="AA1327"/>
    </row>
    <row r="1328" spans="27:27" ht="17.100000000000001" customHeight="1">
      <c r="AA1328"/>
    </row>
    <row r="1329" spans="27:27" ht="17.100000000000001" customHeight="1">
      <c r="AA1329"/>
    </row>
    <row r="1330" spans="27:27" ht="17.100000000000001" customHeight="1">
      <c r="AA1330"/>
    </row>
    <row r="1331" spans="27:27" ht="17.100000000000001" customHeight="1">
      <c r="AA1331"/>
    </row>
    <row r="1332" spans="27:27" ht="17.100000000000001" customHeight="1">
      <c r="AA1332"/>
    </row>
    <row r="1333" spans="27:27" ht="17.100000000000001" customHeight="1">
      <c r="AA1333"/>
    </row>
    <row r="1334" spans="27:27" ht="17.100000000000001" customHeight="1">
      <c r="AA1334"/>
    </row>
    <row r="1335" spans="27:27" ht="17.100000000000001" customHeight="1">
      <c r="AA1335"/>
    </row>
    <row r="1336" spans="27:27" ht="17.100000000000001" customHeight="1">
      <c r="AA1336"/>
    </row>
    <row r="1337" spans="27:27" ht="17.100000000000001" customHeight="1">
      <c r="AA1337"/>
    </row>
    <row r="1338" spans="27:27" ht="17.100000000000001" customHeight="1">
      <c r="AA1338"/>
    </row>
    <row r="1339" spans="27:27" ht="17.100000000000001" customHeight="1">
      <c r="AA1339"/>
    </row>
    <row r="1340" spans="27:27" ht="17.100000000000001" customHeight="1">
      <c r="AA1340"/>
    </row>
    <row r="1341" spans="27:27" ht="17.100000000000001" customHeight="1">
      <c r="AA1341"/>
    </row>
    <row r="1342" spans="27:27" ht="17.100000000000001" customHeight="1">
      <c r="AA1342"/>
    </row>
    <row r="1343" spans="27:27" ht="17.100000000000001" customHeight="1">
      <c r="AA1343"/>
    </row>
    <row r="1344" spans="27:27" ht="17.100000000000001" customHeight="1">
      <c r="AA1344"/>
    </row>
    <row r="1345" spans="27:27" ht="17.100000000000001" customHeight="1">
      <c r="AA1345"/>
    </row>
    <row r="1346" spans="27:27" ht="17.100000000000001" customHeight="1">
      <c r="AA1346"/>
    </row>
    <row r="1347" spans="27:27" ht="17.100000000000001" customHeight="1">
      <c r="AA1347"/>
    </row>
    <row r="1348" spans="27:27" ht="17.100000000000001" customHeight="1">
      <c r="AA1348"/>
    </row>
    <row r="1349" spans="27:27" ht="17.100000000000001" customHeight="1">
      <c r="AA1349"/>
    </row>
    <row r="1350" spans="27:27" ht="17.100000000000001" customHeight="1">
      <c r="AA1350"/>
    </row>
    <row r="1351" spans="27:27" ht="17.100000000000001" customHeight="1">
      <c r="AA1351"/>
    </row>
    <row r="1352" spans="27:27" ht="17.100000000000001" customHeight="1">
      <c r="AA1352"/>
    </row>
    <row r="1353" spans="27:27" ht="17.100000000000001" customHeight="1">
      <c r="AA1353"/>
    </row>
    <row r="1354" spans="27:27" ht="17.100000000000001" customHeight="1">
      <c r="AA1354"/>
    </row>
    <row r="1355" spans="27:27" ht="17.100000000000001" customHeight="1">
      <c r="AA1355"/>
    </row>
    <row r="1356" spans="27:27" ht="17.100000000000001" customHeight="1">
      <c r="AA1356"/>
    </row>
    <row r="1357" spans="27:27" ht="17.100000000000001" customHeight="1">
      <c r="AA1357"/>
    </row>
    <row r="1358" spans="27:27" ht="17.100000000000001" customHeight="1">
      <c r="AA1358"/>
    </row>
    <row r="1359" spans="27:27" ht="17.100000000000001" customHeight="1">
      <c r="AA1359"/>
    </row>
    <row r="1360" spans="27:27" ht="17.100000000000001" customHeight="1">
      <c r="AA1360"/>
    </row>
    <row r="1361" spans="27:27" ht="17.100000000000001" customHeight="1">
      <c r="AA1361"/>
    </row>
    <row r="1362" spans="27:27" ht="17.100000000000001" customHeight="1">
      <c r="AA1362"/>
    </row>
    <row r="1363" spans="27:27" ht="17.100000000000001" customHeight="1">
      <c r="AA1363"/>
    </row>
    <row r="1364" spans="27:27" ht="17.100000000000001" customHeight="1">
      <c r="AA1364"/>
    </row>
    <row r="1365" spans="27:27" ht="17.100000000000001" customHeight="1">
      <c r="AA1365"/>
    </row>
    <row r="1366" spans="27:27" ht="17.100000000000001" customHeight="1">
      <c r="AA1366"/>
    </row>
    <row r="1367" spans="27:27" ht="17.100000000000001" customHeight="1">
      <c r="AA1367"/>
    </row>
    <row r="1368" spans="27:27" ht="17.100000000000001" customHeight="1">
      <c r="AA1368"/>
    </row>
    <row r="1369" spans="27:27" ht="17.100000000000001" customHeight="1">
      <c r="AA1369"/>
    </row>
    <row r="1370" spans="27:27" ht="17.100000000000001" customHeight="1">
      <c r="AA1370"/>
    </row>
    <row r="1371" spans="27:27" ht="17.100000000000001" customHeight="1">
      <c r="AA1371"/>
    </row>
    <row r="1372" spans="27:27" ht="17.100000000000001" customHeight="1">
      <c r="AA1372"/>
    </row>
    <row r="1373" spans="27:27" ht="17.100000000000001" customHeight="1">
      <c r="AA1373"/>
    </row>
    <row r="1374" spans="27:27" ht="17.100000000000001" customHeight="1">
      <c r="AA1374"/>
    </row>
    <row r="1375" spans="27:27" ht="17.100000000000001" customHeight="1">
      <c r="AA1375"/>
    </row>
    <row r="1376" spans="27:27" ht="17.100000000000001" customHeight="1">
      <c r="AA1376"/>
    </row>
    <row r="1377" spans="27:27" ht="17.100000000000001" customHeight="1">
      <c r="AA1377"/>
    </row>
    <row r="1378" spans="27:27" ht="17.100000000000001" customHeight="1">
      <c r="AA1378"/>
    </row>
    <row r="1379" spans="27:27" ht="17.100000000000001" customHeight="1">
      <c r="AA1379"/>
    </row>
    <row r="1380" spans="27:27" ht="17.100000000000001" customHeight="1">
      <c r="AA1380"/>
    </row>
    <row r="1381" spans="27:27" ht="17.100000000000001" customHeight="1">
      <c r="AA1381"/>
    </row>
    <row r="1382" spans="27:27" ht="17.100000000000001" customHeight="1">
      <c r="AA1382"/>
    </row>
    <row r="1383" spans="27:27" ht="17.100000000000001" customHeight="1">
      <c r="AA1383"/>
    </row>
    <row r="1384" spans="27:27" ht="17.100000000000001" customHeight="1">
      <c r="AA1384"/>
    </row>
    <row r="1385" spans="27:27" ht="17.100000000000001" customHeight="1">
      <c r="AA1385"/>
    </row>
    <row r="1386" spans="27:27" ht="17.100000000000001" customHeight="1">
      <c r="AA1386"/>
    </row>
    <row r="1387" spans="27:27" ht="17.100000000000001" customHeight="1">
      <c r="AA1387"/>
    </row>
    <row r="1388" spans="27:27" ht="17.100000000000001" customHeight="1">
      <c r="AA1388"/>
    </row>
    <row r="1389" spans="27:27" ht="17.100000000000001" customHeight="1">
      <c r="AA1389"/>
    </row>
    <row r="1390" spans="27:27" ht="17.100000000000001" customHeight="1">
      <c r="AA1390"/>
    </row>
    <row r="1391" spans="27:27" ht="17.100000000000001" customHeight="1">
      <c r="AA1391"/>
    </row>
    <row r="1392" spans="27:27" ht="17.100000000000001" customHeight="1">
      <c r="AA1392"/>
    </row>
    <row r="1393" spans="27:27" ht="17.100000000000001" customHeight="1">
      <c r="AA1393"/>
    </row>
    <row r="1394" spans="27:27" ht="17.100000000000001" customHeight="1">
      <c r="AA1394"/>
    </row>
    <row r="1395" spans="27:27" ht="17.100000000000001" customHeight="1">
      <c r="AA1395"/>
    </row>
    <row r="1396" spans="27:27" ht="17.100000000000001" customHeight="1">
      <c r="AA1396"/>
    </row>
    <row r="1397" spans="27:27" ht="17.100000000000001" customHeight="1">
      <c r="AA1397"/>
    </row>
    <row r="1398" spans="27:27" ht="17.100000000000001" customHeight="1">
      <c r="AA1398"/>
    </row>
    <row r="1399" spans="27:27" ht="17.100000000000001" customHeight="1">
      <c r="AA1399"/>
    </row>
    <row r="1400" spans="27:27" ht="17.100000000000001" customHeight="1">
      <c r="AA1400"/>
    </row>
    <row r="1401" spans="27:27" ht="17.100000000000001" customHeight="1">
      <c r="AA1401"/>
    </row>
    <row r="1402" spans="27:27" ht="17.100000000000001" customHeight="1">
      <c r="AA1402"/>
    </row>
    <row r="1403" spans="27:27" ht="17.100000000000001" customHeight="1">
      <c r="AA1403"/>
    </row>
    <row r="1404" spans="27:27" ht="17.100000000000001" customHeight="1">
      <c r="AA1404"/>
    </row>
    <row r="1405" spans="27:27" ht="17.100000000000001" customHeight="1">
      <c r="AA1405"/>
    </row>
    <row r="1406" spans="27:27" ht="17.100000000000001" customHeight="1">
      <c r="AA1406"/>
    </row>
    <row r="1407" spans="27:27" ht="17.100000000000001" customHeight="1">
      <c r="AA1407"/>
    </row>
    <row r="1408" spans="27:27" ht="17.100000000000001" customHeight="1">
      <c r="AA1408"/>
    </row>
    <row r="1409" spans="27:27" ht="17.100000000000001" customHeight="1">
      <c r="AA1409"/>
    </row>
    <row r="1410" spans="27:27" ht="17.100000000000001" customHeight="1">
      <c r="AA1410"/>
    </row>
    <row r="1411" spans="27:27" ht="17.100000000000001" customHeight="1">
      <c r="AA1411"/>
    </row>
    <row r="1412" spans="27:27" ht="17.100000000000001" customHeight="1">
      <c r="AA1412"/>
    </row>
    <row r="1413" spans="27:27" ht="17.100000000000001" customHeight="1">
      <c r="AA1413"/>
    </row>
    <row r="1414" spans="27:27" ht="17.100000000000001" customHeight="1">
      <c r="AA1414"/>
    </row>
    <row r="1415" spans="27:27" ht="17.100000000000001" customHeight="1">
      <c r="AA1415"/>
    </row>
    <row r="1416" spans="27:27" ht="17.100000000000001" customHeight="1">
      <c r="AA1416"/>
    </row>
    <row r="1417" spans="27:27" ht="17.100000000000001" customHeight="1">
      <c r="AA1417"/>
    </row>
    <row r="1418" spans="27:27" ht="17.100000000000001" customHeight="1">
      <c r="AA1418"/>
    </row>
    <row r="1419" spans="27:27" ht="17.100000000000001" customHeight="1">
      <c r="AA1419"/>
    </row>
    <row r="1420" spans="27:27" ht="17.100000000000001" customHeight="1">
      <c r="AA1420"/>
    </row>
    <row r="1421" spans="27:27" ht="17.100000000000001" customHeight="1">
      <c r="AA1421"/>
    </row>
    <row r="1422" spans="27:27" ht="17.100000000000001" customHeight="1">
      <c r="AA1422"/>
    </row>
    <row r="1423" spans="27:27" ht="17.100000000000001" customHeight="1">
      <c r="AA1423"/>
    </row>
    <row r="1424" spans="27:27" ht="17.100000000000001" customHeight="1">
      <c r="AA1424"/>
    </row>
    <row r="1425" spans="27:27" ht="17.100000000000001" customHeight="1">
      <c r="AA1425"/>
    </row>
    <row r="1426" spans="27:27" ht="17.100000000000001" customHeight="1">
      <c r="AA1426"/>
    </row>
    <row r="1427" spans="27:27" ht="17.100000000000001" customHeight="1">
      <c r="AA1427"/>
    </row>
    <row r="1428" spans="27:27" ht="17.100000000000001" customHeight="1">
      <c r="AA1428"/>
    </row>
  </sheetData>
  <sheetProtection algorithmName="SHA-512" hashValue="dB0B5SaeFt/pJ/sU890eAHfImKAajuF2UOq6x9b2O6igys5HcdZebUHAHXTuUmDcsrBC9nC4LFXeWc0CFxC4kw==" saltValue="Ihcn9/Dv93fX/ZgTAEKRrA==" spinCount="100000" sheet="1" objects="1" scenarios="1"/>
  <sortState xmlns:xlrd2="http://schemas.microsoft.com/office/spreadsheetml/2017/richdata2" ref="AA6">
    <sortCondition ref="AA6"/>
  </sortState>
  <mergeCells count="38">
    <mergeCell ref="N14:Q14"/>
    <mergeCell ref="N15:Q15"/>
    <mergeCell ref="N16:Q16"/>
    <mergeCell ref="K34:L34"/>
    <mergeCell ref="C2:I2"/>
    <mergeCell ref="I3:I4"/>
    <mergeCell ref="C3:C4"/>
    <mergeCell ref="O21:Q21"/>
    <mergeCell ref="K8:L8"/>
    <mergeCell ref="K9:L9"/>
    <mergeCell ref="K7:L7"/>
    <mergeCell ref="D3:D4"/>
    <mergeCell ref="F3:F4"/>
    <mergeCell ref="E3:E4"/>
    <mergeCell ref="K2:Q2"/>
    <mergeCell ref="G3:G4"/>
    <mergeCell ref="K3:L3"/>
    <mergeCell ref="K5:L5"/>
    <mergeCell ref="K6:L6"/>
    <mergeCell ref="M3:Q3"/>
    <mergeCell ref="M5:Q5"/>
    <mergeCell ref="M6:Q6"/>
    <mergeCell ref="A6:B7"/>
    <mergeCell ref="A5:B5"/>
    <mergeCell ref="O20:Q20"/>
    <mergeCell ref="K4:L4"/>
    <mergeCell ref="M4:Q4"/>
    <mergeCell ref="N18:Q18"/>
    <mergeCell ref="O19:Q19"/>
    <mergeCell ref="M9:Q9"/>
    <mergeCell ref="M8:Q8"/>
    <mergeCell ref="M7:Q7"/>
    <mergeCell ref="K11:L11"/>
    <mergeCell ref="M11:Q11"/>
    <mergeCell ref="N13:Q13"/>
    <mergeCell ref="H3:H4"/>
    <mergeCell ref="K10:L10"/>
    <mergeCell ref="M10:Q10"/>
  </mergeCells>
  <phoneticPr fontId="31" type="noConversion"/>
  <conditionalFormatting sqref="N18:Q21">
    <cfRule type="expression" dxfId="65" priority="1">
      <formula>$M$4&lt;&gt;$Y$3</formula>
    </cfRule>
  </conditionalFormatting>
  <dataValidations count="8">
    <dataValidation type="list" allowBlank="1" sqref="M9:Q9" xr:uid="{434EB240-79FF-4C38-9566-A7C774353040}">
      <formula1>INDIRECT("TblShowNamesAs[Show names as]")</formula1>
    </dataValidation>
    <dataValidation type="list" allowBlank="1" sqref="M8:Q8" xr:uid="{913D0D6D-B0C2-420A-998E-436CFEE0D6E9}">
      <formula1>INDIRECT("TblSortBy[Sort names by]")</formula1>
    </dataValidation>
    <dataValidation allowBlank="1" sqref="M5" xr:uid="{62E04D04-C7AD-4F19-8564-61089D921BB5}"/>
    <dataValidation type="list" allowBlank="1" sqref="M6:Q6" xr:uid="{70242B6A-6257-4225-BE26-EC3178596896}">
      <formula1>INDIRECT("TblPeople[People]")</formula1>
    </dataValidation>
    <dataValidation type="list" allowBlank="1" sqref="M7:Q7" xr:uid="{41D9428D-3A20-4641-B31A-BB6A616B1A6F}">
      <formula1>INDIRECT("TblGroup[Group]")</formula1>
    </dataValidation>
    <dataValidation type="list" allowBlank="1" sqref="M4:Q4" xr:uid="{FEC725BE-ABCB-432B-A7E8-D590DDA9533F}">
      <formula1>INDIRECT("TblScoring[Scoring]")</formula1>
    </dataValidation>
    <dataValidation type="list" allowBlank="1" sqref="M10:Q10" xr:uid="{FA255230-0B11-4071-9C59-238069D94A04}">
      <formula1>INDIRECT("TblYesNo[YesNo]")</formula1>
    </dataValidation>
    <dataValidation type="list" allowBlank="1" sqref="M11:Q11" xr:uid="{3DCA7E86-371D-4117-BBA7-1CAF619A7567}">
      <formula1>INDIRECT("TblFormatting[Formatting]")</formula1>
    </dataValidation>
  </dataValidations>
  <pageMargins left="0.7" right="0.7" top="0.75" bottom="0.75" header="0.3" footer="0.3"/>
  <pageSetup paperSize="9" orientation="portrait" r:id="rId1"/>
  <ignoredErrors>
    <ignoredError sqref="C2 I3 K3:L3 K5:L7 L4 K9:L9 L8" unlockedFormula="1"/>
  </ignoredErrors>
  <drawing r:id="rId2"/>
  <tableParts count="9">
    <tablePart r:id="rId3"/>
    <tablePart r:id="rId4"/>
    <tablePart r:id="rId5"/>
    <tablePart r:id="rId6"/>
    <tablePart r:id="rId7"/>
    <tablePart r:id="rId8"/>
    <tablePart r:id="rId9"/>
    <tablePart r:id="rId10"/>
    <tablePart r:id="rId1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6F150-C37F-4832-BAEB-E3CE4EC6BEBE}">
  <sheetPr codeName="Sheet6"/>
  <dimension ref="B1:G10"/>
  <sheetViews>
    <sheetView showRowColHeaders="0" zoomScaleNormal="100" workbookViewId="0">
      <selection activeCell="C10" sqref="C10"/>
    </sheetView>
  </sheetViews>
  <sheetFormatPr defaultRowHeight="18" customHeight="1"/>
  <cols>
    <col min="1" max="1" width="4" style="170" customWidth="1"/>
    <col min="2" max="2" width="1.7109375" style="170" customWidth="1"/>
    <col min="3" max="3" width="15.85546875" style="180" customWidth="1"/>
    <col min="4" max="4" width="15.85546875" style="181" customWidth="1"/>
    <col min="5" max="5" width="14.28515625" style="181" customWidth="1"/>
    <col min="6" max="6" width="24" style="182" customWidth="1"/>
    <col min="7" max="7" width="1.7109375" style="170" customWidth="1"/>
    <col min="8" max="8" width="3" style="170" customWidth="1"/>
    <col min="9" max="16384" width="9.140625" style="170"/>
  </cols>
  <sheetData>
    <row r="1" spans="2:7" ht="15">
      <c r="C1" s="170"/>
      <c r="D1" s="170"/>
      <c r="E1" s="170"/>
      <c r="F1" s="170"/>
    </row>
    <row r="2" spans="2:7" ht="29.25" customHeight="1">
      <c r="C2" s="464" t="str">
        <f>"IMPORT "&amp;UPPER(Settings!$M$6)&amp;" DETAILS"</f>
        <v>IMPORT EMPLOYEE DETAILS</v>
      </c>
      <c r="D2" s="465"/>
      <c r="E2" s="465"/>
      <c r="F2" s="466"/>
    </row>
    <row r="3" spans="2:7" ht="15.95" customHeight="1">
      <c r="B3" s="171"/>
      <c r="C3" s="467" t="str">
        <f>"Use this table to add details of multiple "&amp;LOWER(Settings!$M$6)&amp;"s in one quick step. You may either type their details or simply paste these from a tabulated database. When ready click the 'Import details' button. The "&amp;LOWER(Settings!$M$6)&amp;"s will be added below existing ones in the Settings view.
Make sure there are no empty rows between your entries as these will be imported as well.
NOTE: key combination Ctrl+V has been overwritten to paste values only."</f>
        <v>Use this table to add details of multiple employees in one quick step. You may either type their details or simply paste these from a tabulated database. When ready click the 'Import details' button. The employees will be added below existing ones in the Settings view.
Make sure there are no empty rows between your entries as these will be imported as well.
NOTE: key combination Ctrl+V has been overwritten to paste values only.</v>
      </c>
      <c r="D3" s="467"/>
      <c r="E3" s="467"/>
      <c r="F3" s="467"/>
      <c r="G3" s="172"/>
    </row>
    <row r="4" spans="2:7" ht="15.95" customHeight="1">
      <c r="B4" s="173"/>
      <c r="C4" s="468"/>
      <c r="D4" s="468"/>
      <c r="E4" s="468"/>
      <c r="F4" s="468"/>
      <c r="G4" s="174"/>
    </row>
    <row r="5" spans="2:7" ht="15.95" customHeight="1">
      <c r="B5" s="173"/>
      <c r="C5" s="468"/>
      <c r="D5" s="468"/>
      <c r="E5" s="468"/>
      <c r="F5" s="468"/>
      <c r="G5" s="174"/>
    </row>
    <row r="6" spans="2:7" ht="15.95" customHeight="1">
      <c r="B6" s="173"/>
      <c r="C6" s="468"/>
      <c r="D6" s="468"/>
      <c r="E6" s="468"/>
      <c r="F6" s="468"/>
      <c r="G6" s="174"/>
    </row>
    <row r="7" spans="2:7" ht="15.95" customHeight="1">
      <c r="B7" s="175"/>
      <c r="C7" s="469"/>
      <c r="D7" s="469"/>
      <c r="E7" s="469"/>
      <c r="F7" s="469"/>
      <c r="G7" s="176"/>
    </row>
    <row r="8" spans="2:7" ht="15">
      <c r="C8" s="470" t="s">
        <v>28</v>
      </c>
      <c r="D8" s="472" t="s">
        <v>29</v>
      </c>
      <c r="E8" s="472" t="str">
        <f>Settings!$M$6&amp;" ID"</f>
        <v>Employee ID</v>
      </c>
      <c r="F8" s="474" t="str">
        <f>Settings!$M$7</f>
        <v>Department</v>
      </c>
    </row>
    <row r="9" spans="2:7" ht="15">
      <c r="C9" s="471"/>
      <c r="D9" s="473"/>
      <c r="E9" s="473"/>
      <c r="F9" s="475"/>
    </row>
    <row r="10" spans="2:7" ht="18" customHeight="1">
      <c r="C10" s="177"/>
      <c r="D10" s="178"/>
      <c r="E10" s="178"/>
      <c r="F10" s="179"/>
    </row>
  </sheetData>
  <sheetProtection algorithmName="SHA-512" hashValue="CnFAF8w8Vx0LSjT8zsFIdPHC3710KtLnnfrCrDLoCdeGpl0PVvvwVg57MxuiVDmzT1PJAax41vAwKXt5anTc+A==" saltValue="A7x6RPeKqM/B8+LAbypBBw==" spinCount="100000" sheet="1" objects="1" scenarios="1"/>
  <mergeCells count="6">
    <mergeCell ref="C2:F2"/>
    <mergeCell ref="C3:F7"/>
    <mergeCell ref="C8:C9"/>
    <mergeCell ref="D8:D9"/>
    <mergeCell ref="E8:E9"/>
    <mergeCell ref="F8:F9"/>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sz4"/>
  <dimension ref="A1:U47"/>
  <sheetViews>
    <sheetView showGridLines="0" showRowColHeaders="0" tabSelected="1" zoomScaleNormal="100" workbookViewId="0"/>
  </sheetViews>
  <sheetFormatPr defaultRowHeight="15"/>
  <cols>
    <col min="1" max="1" width="2.85546875" style="4" customWidth="1"/>
    <col min="2" max="2" width="5.5703125" style="4" customWidth="1"/>
    <col min="3" max="10" width="9.7109375" style="4" customWidth="1"/>
    <col min="11" max="11" width="5.5703125" style="4" customWidth="1"/>
    <col min="12" max="12" width="2.28515625" style="4" customWidth="1"/>
    <col min="13" max="13" width="5.5703125" style="4" customWidth="1"/>
    <col min="14" max="20" width="9.140625" style="4"/>
    <col min="21" max="21" width="5.5703125" style="4" customWidth="1"/>
    <col min="22" max="256" width="9.140625" style="4"/>
    <col min="257" max="257" width="2.85546875" style="4" customWidth="1"/>
    <col min="258" max="258" width="8.5703125" style="4" customWidth="1"/>
    <col min="259" max="266" width="9.7109375" style="4" customWidth="1"/>
    <col min="267" max="267" width="8.5703125" style="4" customWidth="1"/>
    <col min="268" max="268" width="2.85546875" style="4" customWidth="1"/>
    <col min="269" max="269" width="6.85546875" style="4" customWidth="1"/>
    <col min="270" max="270" width="7.5703125" style="4" customWidth="1"/>
    <col min="271" max="276" width="0" style="4" hidden="1" customWidth="1"/>
    <col min="277" max="512" width="9.140625" style="4"/>
    <col min="513" max="513" width="2.85546875" style="4" customWidth="1"/>
    <col min="514" max="514" width="8.5703125" style="4" customWidth="1"/>
    <col min="515" max="522" width="9.7109375" style="4" customWidth="1"/>
    <col min="523" max="523" width="8.5703125" style="4" customWidth="1"/>
    <col min="524" max="524" width="2.85546875" style="4" customWidth="1"/>
    <col min="525" max="525" width="6.85546875" style="4" customWidth="1"/>
    <col min="526" max="526" width="7.5703125" style="4" customWidth="1"/>
    <col min="527" max="532" width="0" style="4" hidden="1" customWidth="1"/>
    <col min="533" max="768" width="9.140625" style="4"/>
    <col min="769" max="769" width="2.85546875" style="4" customWidth="1"/>
    <col min="770" max="770" width="8.5703125" style="4" customWidth="1"/>
    <col min="771" max="778" width="9.7109375" style="4" customWidth="1"/>
    <col min="779" max="779" width="8.5703125" style="4" customWidth="1"/>
    <col min="780" max="780" width="2.85546875" style="4" customWidth="1"/>
    <col min="781" max="781" width="6.85546875" style="4" customWidth="1"/>
    <col min="782" max="782" width="7.5703125" style="4" customWidth="1"/>
    <col min="783" max="788" width="0" style="4" hidden="1" customWidth="1"/>
    <col min="789" max="1024" width="9.140625" style="4"/>
    <col min="1025" max="1025" width="2.85546875" style="4" customWidth="1"/>
    <col min="1026" max="1026" width="8.5703125" style="4" customWidth="1"/>
    <col min="1027" max="1034" width="9.7109375" style="4" customWidth="1"/>
    <col min="1035" max="1035" width="8.5703125" style="4" customWidth="1"/>
    <col min="1036" max="1036" width="2.85546875" style="4" customWidth="1"/>
    <col min="1037" max="1037" width="6.85546875" style="4" customWidth="1"/>
    <col min="1038" max="1038" width="7.5703125" style="4" customWidth="1"/>
    <col min="1039" max="1044" width="0" style="4" hidden="1" customWidth="1"/>
    <col min="1045" max="1280" width="9.140625" style="4"/>
    <col min="1281" max="1281" width="2.85546875" style="4" customWidth="1"/>
    <col min="1282" max="1282" width="8.5703125" style="4" customWidth="1"/>
    <col min="1283" max="1290" width="9.7109375" style="4" customWidth="1"/>
    <col min="1291" max="1291" width="8.5703125" style="4" customWidth="1"/>
    <col min="1292" max="1292" width="2.85546875" style="4" customWidth="1"/>
    <col min="1293" max="1293" width="6.85546875" style="4" customWidth="1"/>
    <col min="1294" max="1294" width="7.5703125" style="4" customWidth="1"/>
    <col min="1295" max="1300" width="0" style="4" hidden="1" customWidth="1"/>
    <col min="1301" max="1536" width="9.140625" style="4"/>
    <col min="1537" max="1537" width="2.85546875" style="4" customWidth="1"/>
    <col min="1538" max="1538" width="8.5703125" style="4" customWidth="1"/>
    <col min="1539" max="1546" width="9.7109375" style="4" customWidth="1"/>
    <col min="1547" max="1547" width="8.5703125" style="4" customWidth="1"/>
    <col min="1548" max="1548" width="2.85546875" style="4" customWidth="1"/>
    <col min="1549" max="1549" width="6.85546875" style="4" customWidth="1"/>
    <col min="1550" max="1550" width="7.5703125" style="4" customWidth="1"/>
    <col min="1551" max="1556" width="0" style="4" hidden="1" customWidth="1"/>
    <col min="1557" max="1792" width="9.140625" style="4"/>
    <col min="1793" max="1793" width="2.85546875" style="4" customWidth="1"/>
    <col min="1794" max="1794" width="8.5703125" style="4" customWidth="1"/>
    <col min="1795" max="1802" width="9.7109375" style="4" customWidth="1"/>
    <col min="1803" max="1803" width="8.5703125" style="4" customWidth="1"/>
    <col min="1804" max="1804" width="2.85546875" style="4" customWidth="1"/>
    <col min="1805" max="1805" width="6.85546875" style="4" customWidth="1"/>
    <col min="1806" max="1806" width="7.5703125" style="4" customWidth="1"/>
    <col min="1807" max="1812" width="0" style="4" hidden="1" customWidth="1"/>
    <col min="1813" max="2048" width="9.140625" style="4"/>
    <col min="2049" max="2049" width="2.85546875" style="4" customWidth="1"/>
    <col min="2050" max="2050" width="8.5703125" style="4" customWidth="1"/>
    <col min="2051" max="2058" width="9.7109375" style="4" customWidth="1"/>
    <col min="2059" max="2059" width="8.5703125" style="4" customWidth="1"/>
    <col min="2060" max="2060" width="2.85546875" style="4" customWidth="1"/>
    <col min="2061" max="2061" width="6.85546875" style="4" customWidth="1"/>
    <col min="2062" max="2062" width="7.5703125" style="4" customWidth="1"/>
    <col min="2063" max="2068" width="0" style="4" hidden="1" customWidth="1"/>
    <col min="2069" max="2304" width="9.140625" style="4"/>
    <col min="2305" max="2305" width="2.85546875" style="4" customWidth="1"/>
    <col min="2306" max="2306" width="8.5703125" style="4" customWidth="1"/>
    <col min="2307" max="2314" width="9.7109375" style="4" customWidth="1"/>
    <col min="2315" max="2315" width="8.5703125" style="4" customWidth="1"/>
    <col min="2316" max="2316" width="2.85546875" style="4" customWidth="1"/>
    <col min="2317" max="2317" width="6.85546875" style="4" customWidth="1"/>
    <col min="2318" max="2318" width="7.5703125" style="4" customWidth="1"/>
    <col min="2319" max="2324" width="0" style="4" hidden="1" customWidth="1"/>
    <col min="2325" max="2560" width="9.140625" style="4"/>
    <col min="2561" max="2561" width="2.85546875" style="4" customWidth="1"/>
    <col min="2562" max="2562" width="8.5703125" style="4" customWidth="1"/>
    <col min="2563" max="2570" width="9.7109375" style="4" customWidth="1"/>
    <col min="2571" max="2571" width="8.5703125" style="4" customWidth="1"/>
    <col min="2572" max="2572" width="2.85546875" style="4" customWidth="1"/>
    <col min="2573" max="2573" width="6.85546875" style="4" customWidth="1"/>
    <col min="2574" max="2574" width="7.5703125" style="4" customWidth="1"/>
    <col min="2575" max="2580" width="0" style="4" hidden="1" customWidth="1"/>
    <col min="2581" max="2816" width="9.140625" style="4"/>
    <col min="2817" max="2817" width="2.85546875" style="4" customWidth="1"/>
    <col min="2818" max="2818" width="8.5703125" style="4" customWidth="1"/>
    <col min="2819" max="2826" width="9.7109375" style="4" customWidth="1"/>
    <col min="2827" max="2827" width="8.5703125" style="4" customWidth="1"/>
    <col min="2828" max="2828" width="2.85546875" style="4" customWidth="1"/>
    <col min="2829" max="2829" width="6.85546875" style="4" customWidth="1"/>
    <col min="2830" max="2830" width="7.5703125" style="4" customWidth="1"/>
    <col min="2831" max="2836" width="0" style="4" hidden="1" customWidth="1"/>
    <col min="2837" max="3072" width="9.140625" style="4"/>
    <col min="3073" max="3073" width="2.85546875" style="4" customWidth="1"/>
    <col min="3074" max="3074" width="8.5703125" style="4" customWidth="1"/>
    <col min="3075" max="3082" width="9.7109375" style="4" customWidth="1"/>
    <col min="3083" max="3083" width="8.5703125" style="4" customWidth="1"/>
    <col min="3084" max="3084" width="2.85546875" style="4" customWidth="1"/>
    <col min="3085" max="3085" width="6.85546875" style="4" customWidth="1"/>
    <col min="3086" max="3086" width="7.5703125" style="4" customWidth="1"/>
    <col min="3087" max="3092" width="0" style="4" hidden="1" customWidth="1"/>
    <col min="3093" max="3328" width="9.140625" style="4"/>
    <col min="3329" max="3329" width="2.85546875" style="4" customWidth="1"/>
    <col min="3330" max="3330" width="8.5703125" style="4" customWidth="1"/>
    <col min="3331" max="3338" width="9.7109375" style="4" customWidth="1"/>
    <col min="3339" max="3339" width="8.5703125" style="4" customWidth="1"/>
    <col min="3340" max="3340" width="2.85546875" style="4" customWidth="1"/>
    <col min="3341" max="3341" width="6.85546875" style="4" customWidth="1"/>
    <col min="3342" max="3342" width="7.5703125" style="4" customWidth="1"/>
    <col min="3343" max="3348" width="0" style="4" hidden="1" customWidth="1"/>
    <col min="3349" max="3584" width="9.140625" style="4"/>
    <col min="3585" max="3585" width="2.85546875" style="4" customWidth="1"/>
    <col min="3586" max="3586" width="8.5703125" style="4" customWidth="1"/>
    <col min="3587" max="3594" width="9.7109375" style="4" customWidth="1"/>
    <col min="3595" max="3595" width="8.5703125" style="4" customWidth="1"/>
    <col min="3596" max="3596" width="2.85546875" style="4" customWidth="1"/>
    <col min="3597" max="3597" width="6.85546875" style="4" customWidth="1"/>
    <col min="3598" max="3598" width="7.5703125" style="4" customWidth="1"/>
    <col min="3599" max="3604" width="0" style="4" hidden="1" customWidth="1"/>
    <col min="3605" max="3840" width="9.140625" style="4"/>
    <col min="3841" max="3841" width="2.85546875" style="4" customWidth="1"/>
    <col min="3842" max="3842" width="8.5703125" style="4" customWidth="1"/>
    <col min="3843" max="3850" width="9.7109375" style="4" customWidth="1"/>
    <col min="3851" max="3851" width="8.5703125" style="4" customWidth="1"/>
    <col min="3852" max="3852" width="2.85546875" style="4" customWidth="1"/>
    <col min="3853" max="3853" width="6.85546875" style="4" customWidth="1"/>
    <col min="3854" max="3854" width="7.5703125" style="4" customWidth="1"/>
    <col min="3855" max="3860" width="0" style="4" hidden="1" customWidth="1"/>
    <col min="3861" max="4096" width="9.140625" style="4"/>
    <col min="4097" max="4097" width="2.85546875" style="4" customWidth="1"/>
    <col min="4098" max="4098" width="8.5703125" style="4" customWidth="1"/>
    <col min="4099" max="4106" width="9.7109375" style="4" customWidth="1"/>
    <col min="4107" max="4107" width="8.5703125" style="4" customWidth="1"/>
    <col min="4108" max="4108" width="2.85546875" style="4" customWidth="1"/>
    <col min="4109" max="4109" width="6.85546875" style="4" customWidth="1"/>
    <col min="4110" max="4110" width="7.5703125" style="4" customWidth="1"/>
    <col min="4111" max="4116" width="0" style="4" hidden="1" customWidth="1"/>
    <col min="4117" max="4352" width="9.140625" style="4"/>
    <col min="4353" max="4353" width="2.85546875" style="4" customWidth="1"/>
    <col min="4354" max="4354" width="8.5703125" style="4" customWidth="1"/>
    <col min="4355" max="4362" width="9.7109375" style="4" customWidth="1"/>
    <col min="4363" max="4363" width="8.5703125" style="4" customWidth="1"/>
    <col min="4364" max="4364" width="2.85546875" style="4" customWidth="1"/>
    <col min="4365" max="4365" width="6.85546875" style="4" customWidth="1"/>
    <col min="4366" max="4366" width="7.5703125" style="4" customWidth="1"/>
    <col min="4367" max="4372" width="0" style="4" hidden="1" customWidth="1"/>
    <col min="4373" max="4608" width="9.140625" style="4"/>
    <col min="4609" max="4609" width="2.85546875" style="4" customWidth="1"/>
    <col min="4610" max="4610" width="8.5703125" style="4" customWidth="1"/>
    <col min="4611" max="4618" width="9.7109375" style="4" customWidth="1"/>
    <col min="4619" max="4619" width="8.5703125" style="4" customWidth="1"/>
    <col min="4620" max="4620" width="2.85546875" style="4" customWidth="1"/>
    <col min="4621" max="4621" width="6.85546875" style="4" customWidth="1"/>
    <col min="4622" max="4622" width="7.5703125" style="4" customWidth="1"/>
    <col min="4623" max="4628" width="0" style="4" hidden="1" customWidth="1"/>
    <col min="4629" max="4864" width="9.140625" style="4"/>
    <col min="4865" max="4865" width="2.85546875" style="4" customWidth="1"/>
    <col min="4866" max="4866" width="8.5703125" style="4" customWidth="1"/>
    <col min="4867" max="4874" width="9.7109375" style="4" customWidth="1"/>
    <col min="4875" max="4875" width="8.5703125" style="4" customWidth="1"/>
    <col min="4876" max="4876" width="2.85546875" style="4" customWidth="1"/>
    <col min="4877" max="4877" width="6.85546875" style="4" customWidth="1"/>
    <col min="4878" max="4878" width="7.5703125" style="4" customWidth="1"/>
    <col min="4879" max="4884" width="0" style="4" hidden="1" customWidth="1"/>
    <col min="4885" max="5120" width="9.140625" style="4"/>
    <col min="5121" max="5121" width="2.85546875" style="4" customWidth="1"/>
    <col min="5122" max="5122" width="8.5703125" style="4" customWidth="1"/>
    <col min="5123" max="5130" width="9.7109375" style="4" customWidth="1"/>
    <col min="5131" max="5131" width="8.5703125" style="4" customWidth="1"/>
    <col min="5132" max="5132" width="2.85546875" style="4" customWidth="1"/>
    <col min="5133" max="5133" width="6.85546875" style="4" customWidth="1"/>
    <col min="5134" max="5134" width="7.5703125" style="4" customWidth="1"/>
    <col min="5135" max="5140" width="0" style="4" hidden="1" customWidth="1"/>
    <col min="5141" max="5376" width="9.140625" style="4"/>
    <col min="5377" max="5377" width="2.85546875" style="4" customWidth="1"/>
    <col min="5378" max="5378" width="8.5703125" style="4" customWidth="1"/>
    <col min="5379" max="5386" width="9.7109375" style="4" customWidth="1"/>
    <col min="5387" max="5387" width="8.5703125" style="4" customWidth="1"/>
    <col min="5388" max="5388" width="2.85546875" style="4" customWidth="1"/>
    <col min="5389" max="5389" width="6.85546875" style="4" customWidth="1"/>
    <col min="5390" max="5390" width="7.5703125" style="4" customWidth="1"/>
    <col min="5391" max="5396" width="0" style="4" hidden="1" customWidth="1"/>
    <col min="5397" max="5632" width="9.140625" style="4"/>
    <col min="5633" max="5633" width="2.85546875" style="4" customWidth="1"/>
    <col min="5634" max="5634" width="8.5703125" style="4" customWidth="1"/>
    <col min="5635" max="5642" width="9.7109375" style="4" customWidth="1"/>
    <col min="5643" max="5643" width="8.5703125" style="4" customWidth="1"/>
    <col min="5644" max="5644" width="2.85546875" style="4" customWidth="1"/>
    <col min="5645" max="5645" width="6.85546875" style="4" customWidth="1"/>
    <col min="5646" max="5646" width="7.5703125" style="4" customWidth="1"/>
    <col min="5647" max="5652" width="0" style="4" hidden="1" customWidth="1"/>
    <col min="5653" max="5888" width="9.140625" style="4"/>
    <col min="5889" max="5889" width="2.85546875" style="4" customWidth="1"/>
    <col min="5890" max="5890" width="8.5703125" style="4" customWidth="1"/>
    <col min="5891" max="5898" width="9.7109375" style="4" customWidth="1"/>
    <col min="5899" max="5899" width="8.5703125" style="4" customWidth="1"/>
    <col min="5900" max="5900" width="2.85546875" style="4" customWidth="1"/>
    <col min="5901" max="5901" width="6.85546875" style="4" customWidth="1"/>
    <col min="5902" max="5902" width="7.5703125" style="4" customWidth="1"/>
    <col min="5903" max="5908" width="0" style="4" hidden="1" customWidth="1"/>
    <col min="5909" max="6144" width="9.140625" style="4"/>
    <col min="6145" max="6145" width="2.85546875" style="4" customWidth="1"/>
    <col min="6146" max="6146" width="8.5703125" style="4" customWidth="1"/>
    <col min="6147" max="6154" width="9.7109375" style="4" customWidth="1"/>
    <col min="6155" max="6155" width="8.5703125" style="4" customWidth="1"/>
    <col min="6156" max="6156" width="2.85546875" style="4" customWidth="1"/>
    <col min="6157" max="6157" width="6.85546875" style="4" customWidth="1"/>
    <col min="6158" max="6158" width="7.5703125" style="4" customWidth="1"/>
    <col min="6159" max="6164" width="0" style="4" hidden="1" customWidth="1"/>
    <col min="6165" max="6400" width="9.140625" style="4"/>
    <col min="6401" max="6401" width="2.85546875" style="4" customWidth="1"/>
    <col min="6402" max="6402" width="8.5703125" style="4" customWidth="1"/>
    <col min="6403" max="6410" width="9.7109375" style="4" customWidth="1"/>
    <col min="6411" max="6411" width="8.5703125" style="4" customWidth="1"/>
    <col min="6412" max="6412" width="2.85546875" style="4" customWidth="1"/>
    <col min="6413" max="6413" width="6.85546875" style="4" customWidth="1"/>
    <col min="6414" max="6414" width="7.5703125" style="4" customWidth="1"/>
    <col min="6415" max="6420" width="0" style="4" hidden="1" customWidth="1"/>
    <col min="6421" max="6656" width="9.140625" style="4"/>
    <col min="6657" max="6657" width="2.85546875" style="4" customWidth="1"/>
    <col min="6658" max="6658" width="8.5703125" style="4" customWidth="1"/>
    <col min="6659" max="6666" width="9.7109375" style="4" customWidth="1"/>
    <col min="6667" max="6667" width="8.5703125" style="4" customWidth="1"/>
    <col min="6668" max="6668" width="2.85546875" style="4" customWidth="1"/>
    <col min="6669" max="6669" width="6.85546875" style="4" customWidth="1"/>
    <col min="6670" max="6670" width="7.5703125" style="4" customWidth="1"/>
    <col min="6671" max="6676" width="0" style="4" hidden="1" customWidth="1"/>
    <col min="6677" max="6912" width="9.140625" style="4"/>
    <col min="6913" max="6913" width="2.85546875" style="4" customWidth="1"/>
    <col min="6914" max="6914" width="8.5703125" style="4" customWidth="1"/>
    <col min="6915" max="6922" width="9.7109375" style="4" customWidth="1"/>
    <col min="6923" max="6923" width="8.5703125" style="4" customWidth="1"/>
    <col min="6924" max="6924" width="2.85546875" style="4" customWidth="1"/>
    <col min="6925" max="6925" width="6.85546875" style="4" customWidth="1"/>
    <col min="6926" max="6926" width="7.5703125" style="4" customWidth="1"/>
    <col min="6927" max="6932" width="0" style="4" hidden="1" customWidth="1"/>
    <col min="6933" max="7168" width="9.140625" style="4"/>
    <col min="7169" max="7169" width="2.85546875" style="4" customWidth="1"/>
    <col min="7170" max="7170" width="8.5703125" style="4" customWidth="1"/>
    <col min="7171" max="7178" width="9.7109375" style="4" customWidth="1"/>
    <col min="7179" max="7179" width="8.5703125" style="4" customWidth="1"/>
    <col min="7180" max="7180" width="2.85546875" style="4" customWidth="1"/>
    <col min="7181" max="7181" width="6.85546875" style="4" customWidth="1"/>
    <col min="7182" max="7182" width="7.5703125" style="4" customWidth="1"/>
    <col min="7183" max="7188" width="0" style="4" hidden="1" customWidth="1"/>
    <col min="7189" max="7424" width="9.140625" style="4"/>
    <col min="7425" max="7425" width="2.85546875" style="4" customWidth="1"/>
    <col min="7426" max="7426" width="8.5703125" style="4" customWidth="1"/>
    <col min="7427" max="7434" width="9.7109375" style="4" customWidth="1"/>
    <col min="7435" max="7435" width="8.5703125" style="4" customWidth="1"/>
    <col min="7436" max="7436" width="2.85546875" style="4" customWidth="1"/>
    <col min="7437" max="7437" width="6.85546875" style="4" customWidth="1"/>
    <col min="7438" max="7438" width="7.5703125" style="4" customWidth="1"/>
    <col min="7439" max="7444" width="0" style="4" hidden="1" customWidth="1"/>
    <col min="7445" max="7680" width="9.140625" style="4"/>
    <col min="7681" max="7681" width="2.85546875" style="4" customWidth="1"/>
    <col min="7682" max="7682" width="8.5703125" style="4" customWidth="1"/>
    <col min="7683" max="7690" width="9.7109375" style="4" customWidth="1"/>
    <col min="7691" max="7691" width="8.5703125" style="4" customWidth="1"/>
    <col min="7692" max="7692" width="2.85546875" style="4" customWidth="1"/>
    <col min="7693" max="7693" width="6.85546875" style="4" customWidth="1"/>
    <col min="7694" max="7694" width="7.5703125" style="4" customWidth="1"/>
    <col min="7695" max="7700" width="0" style="4" hidden="1" customWidth="1"/>
    <col min="7701" max="7936" width="9.140625" style="4"/>
    <col min="7937" max="7937" width="2.85546875" style="4" customWidth="1"/>
    <col min="7938" max="7938" width="8.5703125" style="4" customWidth="1"/>
    <col min="7939" max="7946" width="9.7109375" style="4" customWidth="1"/>
    <col min="7947" max="7947" width="8.5703125" style="4" customWidth="1"/>
    <col min="7948" max="7948" width="2.85546875" style="4" customWidth="1"/>
    <col min="7949" max="7949" width="6.85546875" style="4" customWidth="1"/>
    <col min="7950" max="7950" width="7.5703125" style="4" customWidth="1"/>
    <col min="7951" max="7956" width="0" style="4" hidden="1" customWidth="1"/>
    <col min="7957" max="8192" width="9.140625" style="4"/>
    <col min="8193" max="8193" width="2.85546875" style="4" customWidth="1"/>
    <col min="8194" max="8194" width="8.5703125" style="4" customWidth="1"/>
    <col min="8195" max="8202" width="9.7109375" style="4" customWidth="1"/>
    <col min="8203" max="8203" width="8.5703125" style="4" customWidth="1"/>
    <col min="8204" max="8204" width="2.85546875" style="4" customWidth="1"/>
    <col min="8205" max="8205" width="6.85546875" style="4" customWidth="1"/>
    <col min="8206" max="8206" width="7.5703125" style="4" customWidth="1"/>
    <col min="8207" max="8212" width="0" style="4" hidden="1" customWidth="1"/>
    <col min="8213" max="8448" width="9.140625" style="4"/>
    <col min="8449" max="8449" width="2.85546875" style="4" customWidth="1"/>
    <col min="8450" max="8450" width="8.5703125" style="4" customWidth="1"/>
    <col min="8451" max="8458" width="9.7109375" style="4" customWidth="1"/>
    <col min="8459" max="8459" width="8.5703125" style="4" customWidth="1"/>
    <col min="8460" max="8460" width="2.85546875" style="4" customWidth="1"/>
    <col min="8461" max="8461" width="6.85546875" style="4" customWidth="1"/>
    <col min="8462" max="8462" width="7.5703125" style="4" customWidth="1"/>
    <col min="8463" max="8468" width="0" style="4" hidden="1" customWidth="1"/>
    <col min="8469" max="8704" width="9.140625" style="4"/>
    <col min="8705" max="8705" width="2.85546875" style="4" customWidth="1"/>
    <col min="8706" max="8706" width="8.5703125" style="4" customWidth="1"/>
    <col min="8707" max="8714" width="9.7109375" style="4" customWidth="1"/>
    <col min="8715" max="8715" width="8.5703125" style="4" customWidth="1"/>
    <col min="8716" max="8716" width="2.85546875" style="4" customWidth="1"/>
    <col min="8717" max="8717" width="6.85546875" style="4" customWidth="1"/>
    <col min="8718" max="8718" width="7.5703125" style="4" customWidth="1"/>
    <col min="8719" max="8724" width="0" style="4" hidden="1" customWidth="1"/>
    <col min="8725" max="8960" width="9.140625" style="4"/>
    <col min="8961" max="8961" width="2.85546875" style="4" customWidth="1"/>
    <col min="8962" max="8962" width="8.5703125" style="4" customWidth="1"/>
    <col min="8963" max="8970" width="9.7109375" style="4" customWidth="1"/>
    <col min="8971" max="8971" width="8.5703125" style="4" customWidth="1"/>
    <col min="8972" max="8972" width="2.85546875" style="4" customWidth="1"/>
    <col min="8973" max="8973" width="6.85546875" style="4" customWidth="1"/>
    <col min="8974" max="8974" width="7.5703125" style="4" customWidth="1"/>
    <col min="8975" max="8980" width="0" style="4" hidden="1" customWidth="1"/>
    <col min="8981" max="9216" width="9.140625" style="4"/>
    <col min="9217" max="9217" width="2.85546875" style="4" customWidth="1"/>
    <col min="9218" max="9218" width="8.5703125" style="4" customWidth="1"/>
    <col min="9219" max="9226" width="9.7109375" style="4" customWidth="1"/>
    <col min="9227" max="9227" width="8.5703125" style="4" customWidth="1"/>
    <col min="9228" max="9228" width="2.85546875" style="4" customWidth="1"/>
    <col min="9229" max="9229" width="6.85546875" style="4" customWidth="1"/>
    <col min="9230" max="9230" width="7.5703125" style="4" customWidth="1"/>
    <col min="9231" max="9236" width="0" style="4" hidden="1" customWidth="1"/>
    <col min="9237" max="9472" width="9.140625" style="4"/>
    <col min="9473" max="9473" width="2.85546875" style="4" customWidth="1"/>
    <col min="9474" max="9474" width="8.5703125" style="4" customWidth="1"/>
    <col min="9475" max="9482" width="9.7109375" style="4" customWidth="1"/>
    <col min="9483" max="9483" width="8.5703125" style="4" customWidth="1"/>
    <col min="9484" max="9484" width="2.85546875" style="4" customWidth="1"/>
    <col min="9485" max="9485" width="6.85546875" style="4" customWidth="1"/>
    <col min="9486" max="9486" width="7.5703125" style="4" customWidth="1"/>
    <col min="9487" max="9492" width="0" style="4" hidden="1" customWidth="1"/>
    <col min="9493" max="9728" width="9.140625" style="4"/>
    <col min="9729" max="9729" width="2.85546875" style="4" customWidth="1"/>
    <col min="9730" max="9730" width="8.5703125" style="4" customWidth="1"/>
    <col min="9731" max="9738" width="9.7109375" style="4" customWidth="1"/>
    <col min="9739" max="9739" width="8.5703125" style="4" customWidth="1"/>
    <col min="9740" max="9740" width="2.85546875" style="4" customWidth="1"/>
    <col min="9741" max="9741" width="6.85546875" style="4" customWidth="1"/>
    <col min="9742" max="9742" width="7.5703125" style="4" customWidth="1"/>
    <col min="9743" max="9748" width="0" style="4" hidden="1" customWidth="1"/>
    <col min="9749" max="9984" width="9.140625" style="4"/>
    <col min="9985" max="9985" width="2.85546875" style="4" customWidth="1"/>
    <col min="9986" max="9986" width="8.5703125" style="4" customWidth="1"/>
    <col min="9987" max="9994" width="9.7109375" style="4" customWidth="1"/>
    <col min="9995" max="9995" width="8.5703125" style="4" customWidth="1"/>
    <col min="9996" max="9996" width="2.85546875" style="4" customWidth="1"/>
    <col min="9997" max="9997" width="6.85546875" style="4" customWidth="1"/>
    <col min="9998" max="9998" width="7.5703125" style="4" customWidth="1"/>
    <col min="9999" max="10004" width="0" style="4" hidden="1" customWidth="1"/>
    <col min="10005" max="10240" width="9.140625" style="4"/>
    <col min="10241" max="10241" width="2.85546875" style="4" customWidth="1"/>
    <col min="10242" max="10242" width="8.5703125" style="4" customWidth="1"/>
    <col min="10243" max="10250" width="9.7109375" style="4" customWidth="1"/>
    <col min="10251" max="10251" width="8.5703125" style="4" customWidth="1"/>
    <col min="10252" max="10252" width="2.85546875" style="4" customWidth="1"/>
    <col min="10253" max="10253" width="6.85546875" style="4" customWidth="1"/>
    <col min="10254" max="10254" width="7.5703125" style="4" customWidth="1"/>
    <col min="10255" max="10260" width="0" style="4" hidden="1" customWidth="1"/>
    <col min="10261" max="10496" width="9.140625" style="4"/>
    <col min="10497" max="10497" width="2.85546875" style="4" customWidth="1"/>
    <col min="10498" max="10498" width="8.5703125" style="4" customWidth="1"/>
    <col min="10499" max="10506" width="9.7109375" style="4" customWidth="1"/>
    <col min="10507" max="10507" width="8.5703125" style="4" customWidth="1"/>
    <col min="10508" max="10508" width="2.85546875" style="4" customWidth="1"/>
    <col min="10509" max="10509" width="6.85546875" style="4" customWidth="1"/>
    <col min="10510" max="10510" width="7.5703125" style="4" customWidth="1"/>
    <col min="10511" max="10516" width="0" style="4" hidden="1" customWidth="1"/>
    <col min="10517" max="10752" width="9.140625" style="4"/>
    <col min="10753" max="10753" width="2.85546875" style="4" customWidth="1"/>
    <col min="10754" max="10754" width="8.5703125" style="4" customWidth="1"/>
    <col min="10755" max="10762" width="9.7109375" style="4" customWidth="1"/>
    <col min="10763" max="10763" width="8.5703125" style="4" customWidth="1"/>
    <col min="10764" max="10764" width="2.85546875" style="4" customWidth="1"/>
    <col min="10765" max="10765" width="6.85546875" style="4" customWidth="1"/>
    <col min="10766" max="10766" width="7.5703125" style="4" customWidth="1"/>
    <col min="10767" max="10772" width="0" style="4" hidden="1" customWidth="1"/>
    <col min="10773" max="11008" width="9.140625" style="4"/>
    <col min="11009" max="11009" width="2.85546875" style="4" customWidth="1"/>
    <col min="11010" max="11010" width="8.5703125" style="4" customWidth="1"/>
    <col min="11011" max="11018" width="9.7109375" style="4" customWidth="1"/>
    <col min="11019" max="11019" width="8.5703125" style="4" customWidth="1"/>
    <col min="11020" max="11020" width="2.85546875" style="4" customWidth="1"/>
    <col min="11021" max="11021" width="6.85546875" style="4" customWidth="1"/>
    <col min="11022" max="11022" width="7.5703125" style="4" customWidth="1"/>
    <col min="11023" max="11028" width="0" style="4" hidden="1" customWidth="1"/>
    <col min="11029" max="11264" width="9.140625" style="4"/>
    <col min="11265" max="11265" width="2.85546875" style="4" customWidth="1"/>
    <col min="11266" max="11266" width="8.5703125" style="4" customWidth="1"/>
    <col min="11267" max="11274" width="9.7109375" style="4" customWidth="1"/>
    <col min="11275" max="11275" width="8.5703125" style="4" customWidth="1"/>
    <col min="11276" max="11276" width="2.85546875" style="4" customWidth="1"/>
    <col min="11277" max="11277" width="6.85546875" style="4" customWidth="1"/>
    <col min="11278" max="11278" width="7.5703125" style="4" customWidth="1"/>
    <col min="11279" max="11284" width="0" style="4" hidden="1" customWidth="1"/>
    <col min="11285" max="11520" width="9.140625" style="4"/>
    <col min="11521" max="11521" width="2.85546875" style="4" customWidth="1"/>
    <col min="11522" max="11522" width="8.5703125" style="4" customWidth="1"/>
    <col min="11523" max="11530" width="9.7109375" style="4" customWidth="1"/>
    <col min="11531" max="11531" width="8.5703125" style="4" customWidth="1"/>
    <col min="11532" max="11532" width="2.85546875" style="4" customWidth="1"/>
    <col min="11533" max="11533" width="6.85546875" style="4" customWidth="1"/>
    <col min="11534" max="11534" width="7.5703125" style="4" customWidth="1"/>
    <col min="11535" max="11540" width="0" style="4" hidden="1" customWidth="1"/>
    <col min="11541" max="11776" width="9.140625" style="4"/>
    <col min="11777" max="11777" width="2.85546875" style="4" customWidth="1"/>
    <col min="11778" max="11778" width="8.5703125" style="4" customWidth="1"/>
    <col min="11779" max="11786" width="9.7109375" style="4" customWidth="1"/>
    <col min="11787" max="11787" width="8.5703125" style="4" customWidth="1"/>
    <col min="11788" max="11788" width="2.85546875" style="4" customWidth="1"/>
    <col min="11789" max="11789" width="6.85546875" style="4" customWidth="1"/>
    <col min="11790" max="11790" width="7.5703125" style="4" customWidth="1"/>
    <col min="11791" max="11796" width="0" style="4" hidden="1" customWidth="1"/>
    <col min="11797" max="12032" width="9.140625" style="4"/>
    <col min="12033" max="12033" width="2.85546875" style="4" customWidth="1"/>
    <col min="12034" max="12034" width="8.5703125" style="4" customWidth="1"/>
    <col min="12035" max="12042" width="9.7109375" style="4" customWidth="1"/>
    <col min="12043" max="12043" width="8.5703125" style="4" customWidth="1"/>
    <col min="12044" max="12044" width="2.85546875" style="4" customWidth="1"/>
    <col min="12045" max="12045" width="6.85546875" style="4" customWidth="1"/>
    <col min="12046" max="12046" width="7.5703125" style="4" customWidth="1"/>
    <col min="12047" max="12052" width="0" style="4" hidden="1" customWidth="1"/>
    <col min="12053" max="12288" width="9.140625" style="4"/>
    <col min="12289" max="12289" width="2.85546875" style="4" customWidth="1"/>
    <col min="12290" max="12290" width="8.5703125" style="4" customWidth="1"/>
    <col min="12291" max="12298" width="9.7109375" style="4" customWidth="1"/>
    <col min="12299" max="12299" width="8.5703125" style="4" customWidth="1"/>
    <col min="12300" max="12300" width="2.85546875" style="4" customWidth="1"/>
    <col min="12301" max="12301" width="6.85546875" style="4" customWidth="1"/>
    <col min="12302" max="12302" width="7.5703125" style="4" customWidth="1"/>
    <col min="12303" max="12308" width="0" style="4" hidden="1" customWidth="1"/>
    <col min="12309" max="12544" width="9.140625" style="4"/>
    <col min="12545" max="12545" width="2.85546875" style="4" customWidth="1"/>
    <col min="12546" max="12546" width="8.5703125" style="4" customWidth="1"/>
    <col min="12547" max="12554" width="9.7109375" style="4" customWidth="1"/>
    <col min="12555" max="12555" width="8.5703125" style="4" customWidth="1"/>
    <col min="12556" max="12556" width="2.85546875" style="4" customWidth="1"/>
    <col min="12557" max="12557" width="6.85546875" style="4" customWidth="1"/>
    <col min="12558" max="12558" width="7.5703125" style="4" customWidth="1"/>
    <col min="12559" max="12564" width="0" style="4" hidden="1" customWidth="1"/>
    <col min="12565" max="12800" width="9.140625" style="4"/>
    <col min="12801" max="12801" width="2.85546875" style="4" customWidth="1"/>
    <col min="12802" max="12802" width="8.5703125" style="4" customWidth="1"/>
    <col min="12803" max="12810" width="9.7109375" style="4" customWidth="1"/>
    <col min="12811" max="12811" width="8.5703125" style="4" customWidth="1"/>
    <col min="12812" max="12812" width="2.85546875" style="4" customWidth="1"/>
    <col min="12813" max="12813" width="6.85546875" style="4" customWidth="1"/>
    <col min="12814" max="12814" width="7.5703125" style="4" customWidth="1"/>
    <col min="12815" max="12820" width="0" style="4" hidden="1" customWidth="1"/>
    <col min="12821" max="13056" width="9.140625" style="4"/>
    <col min="13057" max="13057" width="2.85546875" style="4" customWidth="1"/>
    <col min="13058" max="13058" width="8.5703125" style="4" customWidth="1"/>
    <col min="13059" max="13066" width="9.7109375" style="4" customWidth="1"/>
    <col min="13067" max="13067" width="8.5703125" style="4" customWidth="1"/>
    <col min="13068" max="13068" width="2.85546875" style="4" customWidth="1"/>
    <col min="13069" max="13069" width="6.85546875" style="4" customWidth="1"/>
    <col min="13070" max="13070" width="7.5703125" style="4" customWidth="1"/>
    <col min="13071" max="13076" width="0" style="4" hidden="1" customWidth="1"/>
    <col min="13077" max="13312" width="9.140625" style="4"/>
    <col min="13313" max="13313" width="2.85546875" style="4" customWidth="1"/>
    <col min="13314" max="13314" width="8.5703125" style="4" customWidth="1"/>
    <col min="13315" max="13322" width="9.7109375" style="4" customWidth="1"/>
    <col min="13323" max="13323" width="8.5703125" style="4" customWidth="1"/>
    <col min="13324" max="13324" width="2.85546875" style="4" customWidth="1"/>
    <col min="13325" max="13325" width="6.85546875" style="4" customWidth="1"/>
    <col min="13326" max="13326" width="7.5703125" style="4" customWidth="1"/>
    <col min="13327" max="13332" width="0" style="4" hidden="1" customWidth="1"/>
    <col min="13333" max="13568" width="9.140625" style="4"/>
    <col min="13569" max="13569" width="2.85546875" style="4" customWidth="1"/>
    <col min="13570" max="13570" width="8.5703125" style="4" customWidth="1"/>
    <col min="13571" max="13578" width="9.7109375" style="4" customWidth="1"/>
    <col min="13579" max="13579" width="8.5703125" style="4" customWidth="1"/>
    <col min="13580" max="13580" width="2.85546875" style="4" customWidth="1"/>
    <col min="13581" max="13581" width="6.85546875" style="4" customWidth="1"/>
    <col min="13582" max="13582" width="7.5703125" style="4" customWidth="1"/>
    <col min="13583" max="13588" width="0" style="4" hidden="1" customWidth="1"/>
    <col min="13589" max="13824" width="9.140625" style="4"/>
    <col min="13825" max="13825" width="2.85546875" style="4" customWidth="1"/>
    <col min="13826" max="13826" width="8.5703125" style="4" customWidth="1"/>
    <col min="13827" max="13834" width="9.7109375" style="4" customWidth="1"/>
    <col min="13835" max="13835" width="8.5703125" style="4" customWidth="1"/>
    <col min="13836" max="13836" width="2.85546875" style="4" customWidth="1"/>
    <col min="13837" max="13837" width="6.85546875" style="4" customWidth="1"/>
    <col min="13838" max="13838" width="7.5703125" style="4" customWidth="1"/>
    <col min="13839" max="13844" width="0" style="4" hidden="1" customWidth="1"/>
    <col min="13845" max="14080" width="9.140625" style="4"/>
    <col min="14081" max="14081" width="2.85546875" style="4" customWidth="1"/>
    <col min="14082" max="14082" width="8.5703125" style="4" customWidth="1"/>
    <col min="14083" max="14090" width="9.7109375" style="4" customWidth="1"/>
    <col min="14091" max="14091" width="8.5703125" style="4" customWidth="1"/>
    <col min="14092" max="14092" width="2.85546875" style="4" customWidth="1"/>
    <col min="14093" max="14093" width="6.85546875" style="4" customWidth="1"/>
    <col min="14094" max="14094" width="7.5703125" style="4" customWidth="1"/>
    <col min="14095" max="14100" width="0" style="4" hidden="1" customWidth="1"/>
    <col min="14101" max="14336" width="9.140625" style="4"/>
    <col min="14337" max="14337" width="2.85546875" style="4" customWidth="1"/>
    <col min="14338" max="14338" width="8.5703125" style="4" customWidth="1"/>
    <col min="14339" max="14346" width="9.7109375" style="4" customWidth="1"/>
    <col min="14347" max="14347" width="8.5703125" style="4" customWidth="1"/>
    <col min="14348" max="14348" width="2.85546875" style="4" customWidth="1"/>
    <col min="14349" max="14349" width="6.85546875" style="4" customWidth="1"/>
    <col min="14350" max="14350" width="7.5703125" style="4" customWidth="1"/>
    <col min="14351" max="14356" width="0" style="4" hidden="1" customWidth="1"/>
    <col min="14357" max="14592" width="9.140625" style="4"/>
    <col min="14593" max="14593" width="2.85546875" style="4" customWidth="1"/>
    <col min="14594" max="14594" width="8.5703125" style="4" customWidth="1"/>
    <col min="14595" max="14602" width="9.7109375" style="4" customWidth="1"/>
    <col min="14603" max="14603" width="8.5703125" style="4" customWidth="1"/>
    <col min="14604" max="14604" width="2.85546875" style="4" customWidth="1"/>
    <col min="14605" max="14605" width="6.85546875" style="4" customWidth="1"/>
    <col min="14606" max="14606" width="7.5703125" style="4" customWidth="1"/>
    <col min="14607" max="14612" width="0" style="4" hidden="1" customWidth="1"/>
    <col min="14613" max="14848" width="9.140625" style="4"/>
    <col min="14849" max="14849" width="2.85546875" style="4" customWidth="1"/>
    <col min="14850" max="14850" width="8.5703125" style="4" customWidth="1"/>
    <col min="14851" max="14858" width="9.7109375" style="4" customWidth="1"/>
    <col min="14859" max="14859" width="8.5703125" style="4" customWidth="1"/>
    <col min="14860" max="14860" width="2.85546875" style="4" customWidth="1"/>
    <col min="14861" max="14861" width="6.85546875" style="4" customWidth="1"/>
    <col min="14862" max="14862" width="7.5703125" style="4" customWidth="1"/>
    <col min="14863" max="14868" width="0" style="4" hidden="1" customWidth="1"/>
    <col min="14869" max="15104" width="9.140625" style="4"/>
    <col min="15105" max="15105" width="2.85546875" style="4" customWidth="1"/>
    <col min="15106" max="15106" width="8.5703125" style="4" customWidth="1"/>
    <col min="15107" max="15114" width="9.7109375" style="4" customWidth="1"/>
    <col min="15115" max="15115" width="8.5703125" style="4" customWidth="1"/>
    <col min="15116" max="15116" width="2.85546875" style="4" customWidth="1"/>
    <col min="15117" max="15117" width="6.85546875" style="4" customWidth="1"/>
    <col min="15118" max="15118" width="7.5703125" style="4" customWidth="1"/>
    <col min="15119" max="15124" width="0" style="4" hidden="1" customWidth="1"/>
    <col min="15125" max="15360" width="9.140625" style="4"/>
    <col min="15361" max="15361" width="2.85546875" style="4" customWidth="1"/>
    <col min="15362" max="15362" width="8.5703125" style="4" customWidth="1"/>
    <col min="15363" max="15370" width="9.7109375" style="4" customWidth="1"/>
    <col min="15371" max="15371" width="8.5703125" style="4" customWidth="1"/>
    <col min="15372" max="15372" width="2.85546875" style="4" customWidth="1"/>
    <col min="15373" max="15373" width="6.85546875" style="4" customWidth="1"/>
    <col min="15374" max="15374" width="7.5703125" style="4" customWidth="1"/>
    <col min="15375" max="15380" width="0" style="4" hidden="1" customWidth="1"/>
    <col min="15381" max="15616" width="9.140625" style="4"/>
    <col min="15617" max="15617" width="2.85546875" style="4" customWidth="1"/>
    <col min="15618" max="15618" width="8.5703125" style="4" customWidth="1"/>
    <col min="15619" max="15626" width="9.7109375" style="4" customWidth="1"/>
    <col min="15627" max="15627" width="8.5703125" style="4" customWidth="1"/>
    <col min="15628" max="15628" width="2.85546875" style="4" customWidth="1"/>
    <col min="15629" max="15629" width="6.85546875" style="4" customWidth="1"/>
    <col min="15630" max="15630" width="7.5703125" style="4" customWidth="1"/>
    <col min="15631" max="15636" width="0" style="4" hidden="1" customWidth="1"/>
    <col min="15637" max="15872" width="9.140625" style="4"/>
    <col min="15873" max="15873" width="2.85546875" style="4" customWidth="1"/>
    <col min="15874" max="15874" width="8.5703125" style="4" customWidth="1"/>
    <col min="15875" max="15882" width="9.7109375" style="4" customWidth="1"/>
    <col min="15883" max="15883" width="8.5703125" style="4" customWidth="1"/>
    <col min="15884" max="15884" width="2.85546875" style="4" customWidth="1"/>
    <col min="15885" max="15885" width="6.85546875" style="4" customWidth="1"/>
    <col min="15886" max="15886" width="7.5703125" style="4" customWidth="1"/>
    <col min="15887" max="15892" width="0" style="4" hidden="1" customWidth="1"/>
    <col min="15893" max="16128" width="9.140625" style="4"/>
    <col min="16129" max="16129" width="2.85546875" style="4" customWidth="1"/>
    <col min="16130" max="16130" width="8.5703125" style="4" customWidth="1"/>
    <col min="16131" max="16138" width="9.7109375" style="4" customWidth="1"/>
    <col min="16139" max="16139" width="8.5703125" style="4" customWidth="1"/>
    <col min="16140" max="16140" width="2.85546875" style="4" customWidth="1"/>
    <col min="16141" max="16141" width="6.85546875" style="4" customWidth="1"/>
    <col min="16142" max="16142" width="7.5703125" style="4" customWidth="1"/>
    <col min="16143" max="16148" width="0" style="4" hidden="1" customWidth="1"/>
    <col min="16149" max="16384" width="9.140625" style="4"/>
  </cols>
  <sheetData>
    <row r="1" spans="1:21">
      <c r="A1" s="3"/>
      <c r="B1" s="484" t="s">
        <v>140</v>
      </c>
      <c r="C1" s="484"/>
      <c r="D1" s="484"/>
      <c r="E1" s="484"/>
      <c r="F1" s="484"/>
      <c r="G1" s="485" t="s">
        <v>139</v>
      </c>
      <c r="H1" s="485"/>
      <c r="I1" s="485"/>
      <c r="J1" s="485"/>
      <c r="K1" s="485"/>
      <c r="P1" s="5"/>
      <c r="Q1" s="5"/>
      <c r="R1" s="5"/>
      <c r="S1" s="5"/>
    </row>
    <row r="2" spans="1:21" ht="12.75" customHeight="1">
      <c r="B2" s="6"/>
      <c r="C2" s="7"/>
      <c r="D2" s="7"/>
      <c r="E2" s="7"/>
      <c r="F2" s="7"/>
      <c r="G2" s="7"/>
      <c r="H2" s="7"/>
      <c r="I2" s="7"/>
      <c r="J2" s="7"/>
      <c r="K2" s="8"/>
      <c r="M2" s="89"/>
      <c r="N2" s="90"/>
      <c r="O2" s="90"/>
      <c r="P2" s="90"/>
      <c r="Q2" s="90"/>
      <c r="R2" s="90"/>
      <c r="S2" s="90"/>
      <c r="T2" s="90"/>
      <c r="U2" s="97"/>
    </row>
    <row r="3" spans="1:21" ht="12.75" customHeight="1">
      <c r="B3" s="9"/>
      <c r="C3" s="481" t="s">
        <v>0</v>
      </c>
      <c r="D3" s="481"/>
      <c r="E3" s="481"/>
      <c r="F3" s="481"/>
      <c r="G3" s="486" t="s">
        <v>1</v>
      </c>
      <c r="H3" s="486"/>
      <c r="I3" s="486"/>
      <c r="J3" s="486"/>
      <c r="K3" s="10"/>
      <c r="M3" s="92"/>
      <c r="N3" s="478" t="s">
        <v>142</v>
      </c>
      <c r="O3" s="478"/>
      <c r="P3" s="478"/>
      <c r="Q3" s="478"/>
      <c r="R3" s="478"/>
      <c r="S3" s="478"/>
      <c r="T3" s="478"/>
      <c r="U3" s="98"/>
    </row>
    <row r="4" spans="1:21" ht="12.75" customHeight="1">
      <c r="B4" s="9"/>
      <c r="C4" s="487" t="s">
        <v>2</v>
      </c>
      <c r="D4" s="487"/>
      <c r="E4" s="487"/>
      <c r="F4" s="487"/>
      <c r="G4" s="488" t="s">
        <v>3</v>
      </c>
      <c r="H4" s="488"/>
      <c r="I4" s="488"/>
      <c r="J4" s="488"/>
      <c r="K4" s="10"/>
      <c r="M4" s="92"/>
      <c r="N4" s="476" t="s">
        <v>143</v>
      </c>
      <c r="O4" s="476"/>
      <c r="P4" s="476"/>
      <c r="Q4" s="476"/>
      <c r="R4" s="476"/>
      <c r="S4" s="476"/>
      <c r="T4" s="476"/>
      <c r="U4" s="98"/>
    </row>
    <row r="5" spans="1:21" ht="12.75" customHeight="1">
      <c r="B5" s="11"/>
      <c r="C5" s="12"/>
      <c r="D5" s="12"/>
      <c r="E5" s="12"/>
      <c r="F5" s="12"/>
      <c r="G5" s="12"/>
      <c r="H5" s="12"/>
      <c r="I5" s="12"/>
      <c r="J5" s="12"/>
      <c r="K5" s="13"/>
      <c r="M5" s="99"/>
      <c r="N5" s="476"/>
      <c r="O5" s="476"/>
      <c r="P5" s="476"/>
      <c r="Q5" s="476"/>
      <c r="R5" s="476"/>
      <c r="S5" s="476"/>
      <c r="T5" s="476"/>
      <c r="U5" s="100"/>
    </row>
    <row r="6" spans="1:21" ht="12.75" customHeight="1">
      <c r="M6" s="101"/>
      <c r="N6" s="102"/>
      <c r="O6" s="102"/>
      <c r="P6" s="102"/>
      <c r="Q6" s="102"/>
      <c r="R6" s="102"/>
      <c r="S6" s="102"/>
      <c r="T6" s="102"/>
      <c r="U6" s="103"/>
    </row>
    <row r="7" spans="1:21" ht="12.75" customHeight="1">
      <c r="B7" s="6"/>
      <c r="C7" s="482" t="s">
        <v>4</v>
      </c>
      <c r="D7" s="482"/>
      <c r="E7" s="482"/>
      <c r="F7" s="482"/>
      <c r="G7" s="482"/>
      <c r="H7" s="482"/>
      <c r="I7" s="482"/>
      <c r="J7" s="482"/>
      <c r="K7" s="14"/>
      <c r="M7" s="101"/>
      <c r="N7" s="102"/>
      <c r="O7" s="102"/>
      <c r="P7" s="102"/>
      <c r="Q7" s="102"/>
      <c r="R7" s="102"/>
      <c r="S7" s="102"/>
      <c r="T7" s="102"/>
      <c r="U7" s="103"/>
    </row>
    <row r="8" spans="1:21" ht="12.75" customHeight="1">
      <c r="B8" s="9"/>
      <c r="C8" s="481"/>
      <c r="D8" s="481"/>
      <c r="E8" s="481"/>
      <c r="F8" s="481"/>
      <c r="G8" s="481"/>
      <c r="H8" s="481"/>
      <c r="I8" s="481"/>
      <c r="J8" s="481"/>
      <c r="K8" s="15"/>
      <c r="M8" s="101"/>
      <c r="N8" s="102"/>
      <c r="O8" s="102"/>
      <c r="P8" s="102"/>
      <c r="Q8" s="102"/>
      <c r="R8" s="102"/>
      <c r="S8" s="102"/>
      <c r="T8" s="102"/>
      <c r="U8" s="103"/>
    </row>
    <row r="9" spans="1:21" ht="12.75" customHeight="1">
      <c r="B9" s="9"/>
      <c r="C9" s="481"/>
      <c r="D9" s="481"/>
      <c r="E9" s="481"/>
      <c r="F9" s="481"/>
      <c r="G9" s="481"/>
      <c r="H9" s="481"/>
      <c r="I9" s="481"/>
      <c r="J9" s="481"/>
      <c r="K9" s="15"/>
      <c r="M9" s="101"/>
      <c r="N9" s="102"/>
      <c r="O9" s="102"/>
      <c r="P9" s="102"/>
      <c r="Q9" s="102"/>
      <c r="R9" s="102"/>
      <c r="S9" s="102"/>
      <c r="T9" s="102"/>
      <c r="U9" s="103"/>
    </row>
    <row r="10" spans="1:21" ht="12.75" customHeight="1">
      <c r="B10" s="16"/>
      <c r="C10" s="483"/>
      <c r="D10" s="483"/>
      <c r="E10" s="483"/>
      <c r="F10" s="483"/>
      <c r="G10" s="483"/>
      <c r="H10" s="483"/>
      <c r="I10" s="483"/>
      <c r="J10" s="483"/>
      <c r="K10" s="17"/>
      <c r="M10" s="101"/>
      <c r="N10" s="102"/>
      <c r="O10" s="102"/>
      <c r="P10" s="102"/>
      <c r="Q10" s="102"/>
      <c r="R10" s="102"/>
      <c r="S10" s="102"/>
      <c r="T10" s="102"/>
      <c r="U10" s="103"/>
    </row>
    <row r="11" spans="1:21" ht="12.75" customHeight="1">
      <c r="M11" s="101"/>
      <c r="N11" s="102"/>
      <c r="O11" s="102"/>
      <c r="P11" s="102"/>
      <c r="Q11" s="102"/>
      <c r="R11" s="102"/>
      <c r="S11" s="102"/>
      <c r="T11" s="102"/>
      <c r="U11" s="103"/>
    </row>
    <row r="12" spans="1:21" ht="12.75" customHeight="1">
      <c r="B12" s="89"/>
      <c r="C12" s="90"/>
      <c r="D12" s="90"/>
      <c r="E12" s="90"/>
      <c r="F12" s="90"/>
      <c r="G12" s="90"/>
      <c r="H12" s="90"/>
      <c r="I12" s="90"/>
      <c r="J12" s="90"/>
      <c r="K12" s="91"/>
      <c r="M12" s="101"/>
      <c r="N12" s="102"/>
      <c r="O12" s="102"/>
      <c r="P12" s="102"/>
      <c r="Q12" s="102"/>
      <c r="R12" s="102"/>
      <c r="S12" s="102"/>
      <c r="T12" s="102"/>
      <c r="U12" s="103"/>
    </row>
    <row r="13" spans="1:21" ht="12.75" customHeight="1">
      <c r="B13" s="92"/>
      <c r="C13" s="477" t="s">
        <v>141</v>
      </c>
      <c r="D13" s="478"/>
      <c r="E13" s="478"/>
      <c r="F13" s="478"/>
      <c r="G13" s="478"/>
      <c r="H13" s="478"/>
      <c r="I13" s="478"/>
      <c r="J13" s="478"/>
      <c r="K13" s="93"/>
      <c r="M13" s="101"/>
      <c r="N13" s="102"/>
      <c r="O13" s="102"/>
      <c r="P13" s="102"/>
      <c r="Q13" s="102"/>
      <c r="R13" s="102"/>
      <c r="S13" s="102"/>
      <c r="T13" s="102"/>
      <c r="U13" s="103"/>
    </row>
    <row r="14" spans="1:21" ht="12.75" customHeight="1">
      <c r="B14" s="92"/>
      <c r="C14" s="478"/>
      <c r="D14" s="478"/>
      <c r="E14" s="478"/>
      <c r="F14" s="478"/>
      <c r="G14" s="478"/>
      <c r="H14" s="478"/>
      <c r="I14" s="478"/>
      <c r="J14" s="478"/>
      <c r="K14" s="93"/>
      <c r="M14" s="101"/>
      <c r="N14" s="102"/>
      <c r="O14" s="102"/>
      <c r="P14" s="102"/>
      <c r="Q14" s="102"/>
      <c r="R14" s="102"/>
      <c r="S14" s="102"/>
      <c r="T14" s="102"/>
      <c r="U14" s="103"/>
    </row>
    <row r="15" spans="1:21" ht="12.75" customHeight="1">
      <c r="B15" s="92"/>
      <c r="C15" s="478"/>
      <c r="D15" s="478"/>
      <c r="E15" s="478"/>
      <c r="F15" s="478"/>
      <c r="G15" s="478"/>
      <c r="H15" s="478"/>
      <c r="I15" s="478"/>
      <c r="J15" s="478"/>
      <c r="K15" s="93"/>
      <c r="M15" s="101"/>
      <c r="N15" s="102"/>
      <c r="O15" s="102"/>
      <c r="P15" s="102"/>
      <c r="Q15" s="102"/>
      <c r="R15" s="102"/>
      <c r="S15" s="102"/>
      <c r="T15" s="102"/>
      <c r="U15" s="103"/>
    </row>
    <row r="16" spans="1:21" ht="12.75" customHeight="1">
      <c r="B16" s="92"/>
      <c r="C16" s="478"/>
      <c r="D16" s="478"/>
      <c r="E16" s="478"/>
      <c r="F16" s="478"/>
      <c r="G16" s="478"/>
      <c r="H16" s="478"/>
      <c r="I16" s="478"/>
      <c r="J16" s="478"/>
      <c r="K16" s="93"/>
      <c r="M16" s="101"/>
      <c r="N16" s="102"/>
      <c r="O16" s="102"/>
      <c r="P16" s="102"/>
      <c r="Q16" s="102"/>
      <c r="R16" s="102"/>
      <c r="S16" s="102"/>
      <c r="T16" s="102"/>
      <c r="U16" s="103"/>
    </row>
    <row r="17" spans="2:21" ht="12.75" customHeight="1">
      <c r="B17" s="92"/>
      <c r="C17" s="478"/>
      <c r="D17" s="478"/>
      <c r="E17" s="478"/>
      <c r="F17" s="478"/>
      <c r="G17" s="478"/>
      <c r="H17" s="478"/>
      <c r="I17" s="478"/>
      <c r="J17" s="478"/>
      <c r="K17" s="93"/>
      <c r="M17" s="101"/>
      <c r="N17" s="102"/>
      <c r="O17" s="102"/>
      <c r="P17" s="102"/>
      <c r="Q17" s="102"/>
      <c r="R17" s="102"/>
      <c r="S17" s="102"/>
      <c r="T17" s="102"/>
      <c r="U17" s="103"/>
    </row>
    <row r="18" spans="2:21" ht="12.75" customHeight="1">
      <c r="B18" s="92"/>
      <c r="C18" s="478"/>
      <c r="D18" s="478"/>
      <c r="E18" s="478"/>
      <c r="F18" s="478"/>
      <c r="G18" s="478"/>
      <c r="H18" s="478"/>
      <c r="I18" s="478"/>
      <c r="J18" s="478"/>
      <c r="K18" s="93"/>
      <c r="M18" s="101"/>
      <c r="N18" s="102"/>
      <c r="O18" s="102"/>
      <c r="P18" s="102"/>
      <c r="Q18" s="102"/>
      <c r="R18" s="102"/>
      <c r="S18" s="102"/>
      <c r="T18" s="102"/>
      <c r="U18" s="103"/>
    </row>
    <row r="19" spans="2:21" ht="12.75" customHeight="1">
      <c r="B19" s="92"/>
      <c r="C19" s="478"/>
      <c r="D19" s="478"/>
      <c r="E19" s="478"/>
      <c r="F19" s="478"/>
      <c r="G19" s="478"/>
      <c r="H19" s="478"/>
      <c r="I19" s="478"/>
      <c r="J19" s="478"/>
      <c r="K19" s="93"/>
      <c r="M19" s="101"/>
      <c r="N19" s="102"/>
      <c r="O19" s="102"/>
      <c r="P19" s="102"/>
      <c r="Q19" s="102"/>
      <c r="R19" s="102"/>
      <c r="S19" s="102"/>
      <c r="T19" s="102"/>
      <c r="U19" s="103"/>
    </row>
    <row r="20" spans="2:21" ht="12.75" customHeight="1">
      <c r="B20" s="92"/>
      <c r="C20" s="478"/>
      <c r="D20" s="478"/>
      <c r="E20" s="478"/>
      <c r="F20" s="478"/>
      <c r="G20" s="478"/>
      <c r="H20" s="478"/>
      <c r="I20" s="478"/>
      <c r="J20" s="478"/>
      <c r="K20" s="93"/>
      <c r="M20" s="101"/>
      <c r="N20" s="102"/>
      <c r="O20" s="102"/>
      <c r="P20" s="102"/>
      <c r="Q20" s="102"/>
      <c r="R20" s="102"/>
      <c r="S20" s="102"/>
      <c r="T20" s="102"/>
      <c r="U20" s="103"/>
    </row>
    <row r="21" spans="2:21" ht="12.75" customHeight="1">
      <c r="B21" s="92"/>
      <c r="C21" s="478"/>
      <c r="D21" s="478"/>
      <c r="E21" s="478"/>
      <c r="F21" s="478"/>
      <c r="G21" s="478"/>
      <c r="H21" s="478"/>
      <c r="I21" s="478"/>
      <c r="J21" s="478"/>
      <c r="K21" s="93"/>
      <c r="M21" s="101"/>
      <c r="N21" s="102"/>
      <c r="O21" s="102"/>
      <c r="P21" s="102"/>
      <c r="Q21" s="102"/>
      <c r="R21" s="102"/>
      <c r="S21" s="102"/>
      <c r="T21" s="102"/>
      <c r="U21" s="103"/>
    </row>
    <row r="22" spans="2:21" ht="12.75" customHeight="1">
      <c r="B22" s="92"/>
      <c r="C22" s="478"/>
      <c r="D22" s="478"/>
      <c r="E22" s="478"/>
      <c r="F22" s="478"/>
      <c r="G22" s="478"/>
      <c r="H22" s="478"/>
      <c r="I22" s="478"/>
      <c r="J22" s="478"/>
      <c r="K22" s="93"/>
      <c r="M22" s="101"/>
      <c r="N22" s="102"/>
      <c r="O22" s="102"/>
      <c r="P22" s="102"/>
      <c r="Q22" s="102"/>
      <c r="R22" s="102"/>
      <c r="S22" s="102"/>
      <c r="T22" s="102"/>
      <c r="U22" s="103"/>
    </row>
    <row r="23" spans="2:21" ht="12.75" customHeight="1">
      <c r="B23" s="92"/>
      <c r="C23" s="478"/>
      <c r="D23" s="478"/>
      <c r="E23" s="478"/>
      <c r="F23" s="478"/>
      <c r="G23" s="478"/>
      <c r="H23" s="478"/>
      <c r="I23" s="478"/>
      <c r="J23" s="478"/>
      <c r="K23" s="93"/>
      <c r="M23" s="104"/>
      <c r="N23" s="105"/>
      <c r="O23" s="105"/>
      <c r="P23" s="105"/>
      <c r="Q23" s="105"/>
      <c r="R23" s="105"/>
      <c r="S23" s="105"/>
      <c r="T23" s="105"/>
      <c r="U23" s="106"/>
    </row>
    <row r="24" spans="2:21" ht="12.75" customHeight="1">
      <c r="B24" s="92"/>
      <c r="C24" s="478"/>
      <c r="D24" s="478"/>
      <c r="E24" s="478"/>
      <c r="F24" s="478"/>
      <c r="G24" s="478"/>
      <c r="H24" s="478"/>
      <c r="I24" s="478"/>
      <c r="J24" s="478"/>
      <c r="K24" s="93"/>
    </row>
    <row r="25" spans="2:21" ht="12.75" customHeight="1">
      <c r="B25" s="92"/>
      <c r="C25" s="478"/>
      <c r="D25" s="478"/>
      <c r="E25" s="478"/>
      <c r="F25" s="478"/>
      <c r="G25" s="478"/>
      <c r="H25" s="478"/>
      <c r="I25" s="478"/>
      <c r="J25" s="478"/>
      <c r="K25" s="93"/>
      <c r="M25" s="89"/>
      <c r="N25" s="90"/>
      <c r="O25" s="90"/>
      <c r="P25" s="90"/>
      <c r="Q25" s="90"/>
      <c r="R25" s="90"/>
      <c r="S25" s="90"/>
      <c r="T25" s="90"/>
      <c r="U25" s="97"/>
    </row>
    <row r="26" spans="2:21" ht="12.75" customHeight="1">
      <c r="B26" s="92"/>
      <c r="C26" s="478"/>
      <c r="D26" s="478"/>
      <c r="E26" s="478"/>
      <c r="F26" s="478"/>
      <c r="G26" s="478"/>
      <c r="H26" s="478"/>
      <c r="I26" s="478"/>
      <c r="J26" s="478"/>
      <c r="K26" s="93"/>
      <c r="M26" s="92"/>
      <c r="N26" s="479" t="s">
        <v>144</v>
      </c>
      <c r="O26" s="479"/>
      <c r="P26" s="479"/>
      <c r="Q26" s="479"/>
      <c r="R26" s="479"/>
      <c r="S26" s="479"/>
      <c r="T26" s="479"/>
      <c r="U26" s="98"/>
    </row>
    <row r="27" spans="2:21" ht="12.75" customHeight="1">
      <c r="B27" s="92"/>
      <c r="C27" s="478"/>
      <c r="D27" s="478"/>
      <c r="E27" s="478"/>
      <c r="F27" s="478"/>
      <c r="G27" s="478"/>
      <c r="H27" s="478"/>
      <c r="I27" s="478"/>
      <c r="J27" s="478"/>
      <c r="K27" s="93"/>
      <c r="M27" s="92"/>
      <c r="N27" s="480" t="s">
        <v>166</v>
      </c>
      <c r="O27" s="480"/>
      <c r="P27" s="480"/>
      <c r="Q27" s="480"/>
      <c r="R27" s="480"/>
      <c r="S27" s="480"/>
      <c r="T27" s="480"/>
      <c r="U27" s="98"/>
    </row>
    <row r="28" spans="2:21" ht="12.75" customHeight="1">
      <c r="B28" s="92"/>
      <c r="C28" s="478"/>
      <c r="D28" s="478"/>
      <c r="E28" s="478"/>
      <c r="F28" s="478"/>
      <c r="G28" s="478"/>
      <c r="H28" s="478"/>
      <c r="I28" s="478"/>
      <c r="J28" s="478"/>
      <c r="K28" s="93"/>
      <c r="M28" s="92"/>
      <c r="N28" s="480"/>
      <c r="O28" s="480"/>
      <c r="P28" s="480"/>
      <c r="Q28" s="480"/>
      <c r="R28" s="480"/>
      <c r="S28" s="480"/>
      <c r="T28" s="480"/>
      <c r="U28" s="98"/>
    </row>
    <row r="29" spans="2:21" ht="12.75" customHeight="1">
      <c r="B29" s="92"/>
      <c r="C29" s="478"/>
      <c r="D29" s="478"/>
      <c r="E29" s="478"/>
      <c r="F29" s="478"/>
      <c r="G29" s="478"/>
      <c r="H29" s="478"/>
      <c r="I29" s="478"/>
      <c r="J29" s="478"/>
      <c r="K29" s="93"/>
      <c r="M29" s="92"/>
      <c r="N29" s="480"/>
      <c r="O29" s="480"/>
      <c r="P29" s="480"/>
      <c r="Q29" s="480"/>
      <c r="R29" s="480"/>
      <c r="S29" s="480"/>
      <c r="T29" s="480"/>
      <c r="U29" s="98"/>
    </row>
    <row r="30" spans="2:21" ht="12.75" customHeight="1">
      <c r="B30" s="92"/>
      <c r="C30" s="478"/>
      <c r="D30" s="478"/>
      <c r="E30" s="478"/>
      <c r="F30" s="478"/>
      <c r="G30" s="478"/>
      <c r="H30" s="478"/>
      <c r="I30" s="478"/>
      <c r="J30" s="478"/>
      <c r="K30" s="93"/>
      <c r="M30" s="92"/>
      <c r="N30" s="480"/>
      <c r="O30" s="480"/>
      <c r="P30" s="480"/>
      <c r="Q30" s="480"/>
      <c r="R30" s="480"/>
      <c r="S30" s="480"/>
      <c r="T30" s="480"/>
      <c r="U30" s="98"/>
    </row>
    <row r="31" spans="2:21" ht="12.75" customHeight="1">
      <c r="B31" s="92"/>
      <c r="C31" s="478"/>
      <c r="D31" s="478"/>
      <c r="E31" s="478"/>
      <c r="F31" s="478"/>
      <c r="G31" s="478"/>
      <c r="H31" s="478"/>
      <c r="I31" s="478"/>
      <c r="J31" s="478"/>
      <c r="K31" s="93"/>
      <c r="M31" s="92"/>
      <c r="N31" s="480"/>
      <c r="O31" s="480"/>
      <c r="P31" s="480"/>
      <c r="Q31" s="480"/>
      <c r="R31" s="480"/>
      <c r="S31" s="480"/>
      <c r="T31" s="480"/>
      <c r="U31" s="98"/>
    </row>
    <row r="32" spans="2:21" ht="12.75" customHeight="1">
      <c r="B32" s="94"/>
      <c r="C32" s="95"/>
      <c r="D32" s="95"/>
      <c r="E32" s="95"/>
      <c r="F32" s="95"/>
      <c r="G32" s="95"/>
      <c r="H32" s="95"/>
      <c r="I32" s="95"/>
      <c r="J32" s="95"/>
      <c r="K32" s="96"/>
      <c r="M32" s="92"/>
      <c r="N32" s="480"/>
      <c r="O32" s="480"/>
      <c r="P32" s="480"/>
      <c r="Q32" s="480"/>
      <c r="R32" s="480"/>
      <c r="S32" s="480"/>
      <c r="T32" s="480"/>
      <c r="U32" s="98"/>
    </row>
    <row r="33" spans="2:21" ht="12.75" customHeight="1">
      <c r="M33" s="92"/>
      <c r="N33" s="480"/>
      <c r="O33" s="480"/>
      <c r="P33" s="480"/>
      <c r="Q33" s="480"/>
      <c r="R33" s="480"/>
      <c r="S33" s="480"/>
      <c r="T33" s="480"/>
      <c r="U33" s="98"/>
    </row>
    <row r="34" spans="2:21" ht="12.75" customHeight="1">
      <c r="B34" s="6"/>
      <c r="C34" s="7"/>
      <c r="D34" s="7"/>
      <c r="E34" s="7"/>
      <c r="F34" s="7"/>
      <c r="G34" s="7"/>
      <c r="H34" s="7"/>
      <c r="I34" s="7"/>
      <c r="J34" s="7"/>
      <c r="K34" s="8"/>
      <c r="M34" s="92"/>
      <c r="N34" s="480"/>
      <c r="O34" s="480"/>
      <c r="P34" s="480"/>
      <c r="Q34" s="480"/>
      <c r="R34" s="480"/>
      <c r="S34" s="480"/>
      <c r="T34" s="480"/>
      <c r="U34" s="98"/>
    </row>
    <row r="35" spans="2:21" ht="12.75" customHeight="1">
      <c r="B35" s="9"/>
      <c r="C35" s="481" t="s">
        <v>225</v>
      </c>
      <c r="D35" s="481"/>
      <c r="E35" s="481"/>
      <c r="F35" s="481"/>
      <c r="G35" s="481"/>
      <c r="H35" s="481"/>
      <c r="I35" s="481"/>
      <c r="J35" s="481"/>
      <c r="K35" s="10"/>
      <c r="M35" s="92"/>
      <c r="N35" s="480"/>
      <c r="O35" s="480"/>
      <c r="P35" s="480"/>
      <c r="Q35" s="480"/>
      <c r="R35" s="480"/>
      <c r="S35" s="480"/>
      <c r="T35" s="480"/>
      <c r="U35" s="98"/>
    </row>
    <row r="36" spans="2:21" ht="12.75" customHeight="1">
      <c r="B36" s="9"/>
      <c r="C36" s="481"/>
      <c r="D36" s="481"/>
      <c r="E36" s="481"/>
      <c r="F36" s="481"/>
      <c r="G36" s="481"/>
      <c r="H36" s="481"/>
      <c r="I36" s="481"/>
      <c r="J36" s="481"/>
      <c r="K36" s="10"/>
      <c r="M36" s="92"/>
      <c r="N36" s="480"/>
      <c r="O36" s="480"/>
      <c r="P36" s="480"/>
      <c r="Q36" s="480"/>
      <c r="R36" s="480"/>
      <c r="S36" s="480"/>
      <c r="T36" s="480"/>
      <c r="U36" s="98"/>
    </row>
    <row r="37" spans="2:21" ht="12.75" customHeight="1">
      <c r="B37" s="9"/>
      <c r="C37" s="481"/>
      <c r="D37" s="481"/>
      <c r="E37" s="481"/>
      <c r="F37" s="481"/>
      <c r="G37" s="481"/>
      <c r="H37" s="481"/>
      <c r="I37" s="481"/>
      <c r="J37" s="481"/>
      <c r="K37" s="10"/>
      <c r="M37" s="92"/>
      <c r="N37" s="107"/>
      <c r="O37" s="107"/>
      <c r="P37" s="107"/>
      <c r="Q37" s="107"/>
      <c r="R37" s="107"/>
      <c r="S37" s="107"/>
      <c r="T37" s="107"/>
      <c r="U37" s="98"/>
    </row>
    <row r="38" spans="2:21" ht="12.75" customHeight="1">
      <c r="B38" s="9"/>
      <c r="C38" s="481"/>
      <c r="D38" s="481"/>
      <c r="E38" s="481"/>
      <c r="F38" s="481"/>
      <c r="G38" s="481"/>
      <c r="H38" s="481"/>
      <c r="I38" s="481"/>
      <c r="J38" s="481"/>
      <c r="K38" s="10"/>
      <c r="M38" s="92"/>
      <c r="N38" s="107"/>
      <c r="O38" s="107"/>
      <c r="P38" s="107"/>
      <c r="Q38" s="107"/>
      <c r="R38" s="107"/>
      <c r="S38" s="107"/>
      <c r="T38" s="107"/>
      <c r="U38" s="98"/>
    </row>
    <row r="39" spans="2:21" ht="12.75" customHeight="1">
      <c r="B39" s="9"/>
      <c r="C39" s="481"/>
      <c r="D39" s="481"/>
      <c r="E39" s="481"/>
      <c r="F39" s="481"/>
      <c r="G39" s="481"/>
      <c r="H39" s="481"/>
      <c r="I39" s="481"/>
      <c r="J39" s="481"/>
      <c r="K39" s="10"/>
      <c r="M39" s="92"/>
      <c r="N39" s="107"/>
      <c r="O39" s="107"/>
      <c r="P39" s="107"/>
      <c r="Q39" s="107"/>
      <c r="R39" s="107"/>
      <c r="S39" s="107"/>
      <c r="T39" s="107"/>
      <c r="U39" s="98"/>
    </row>
    <row r="40" spans="2:21" ht="12.75" customHeight="1">
      <c r="B40" s="11"/>
      <c r="C40" s="12"/>
      <c r="D40" s="12"/>
      <c r="E40" s="12"/>
      <c r="F40" s="12"/>
      <c r="G40" s="12"/>
      <c r="H40" s="12"/>
      <c r="I40" s="12"/>
      <c r="J40" s="12"/>
      <c r="K40" s="13"/>
      <c r="M40" s="92"/>
      <c r="N40" s="107"/>
      <c r="O40" s="107"/>
      <c r="P40" s="107"/>
      <c r="Q40" s="107"/>
      <c r="R40" s="107"/>
      <c r="S40" s="107"/>
      <c r="T40" s="107"/>
      <c r="U40" s="98"/>
    </row>
    <row r="41" spans="2:21" ht="12.75" customHeight="1">
      <c r="M41" s="92"/>
      <c r="N41" s="107"/>
      <c r="O41" s="107"/>
      <c r="P41" s="107"/>
      <c r="Q41" s="107"/>
      <c r="R41" s="107"/>
      <c r="S41" s="107"/>
      <c r="T41" s="107"/>
      <c r="U41" s="98"/>
    </row>
    <row r="42" spans="2:21" ht="12.75" customHeight="1">
      <c r="M42" s="92"/>
      <c r="N42" s="107"/>
      <c r="O42" s="107"/>
      <c r="P42" s="107"/>
      <c r="Q42" s="107"/>
      <c r="R42" s="107"/>
      <c r="S42" s="107"/>
      <c r="T42" s="107"/>
      <c r="U42" s="98"/>
    </row>
    <row r="43" spans="2:21" ht="12.75" customHeight="1">
      <c r="M43" s="92"/>
      <c r="N43" s="107"/>
      <c r="O43" s="107"/>
      <c r="P43" s="107"/>
      <c r="Q43" s="107"/>
      <c r="R43" s="107"/>
      <c r="S43" s="107"/>
      <c r="T43" s="107"/>
      <c r="U43" s="98"/>
    </row>
    <row r="44" spans="2:21" ht="12.75" customHeight="1">
      <c r="M44" s="92"/>
      <c r="N44" s="476" t="s">
        <v>167</v>
      </c>
      <c r="O44" s="476"/>
      <c r="P44" s="476"/>
      <c r="Q44" s="476"/>
      <c r="R44" s="476"/>
      <c r="S44" s="476"/>
      <c r="T44" s="476"/>
      <c r="U44" s="98"/>
    </row>
    <row r="45" spans="2:21" ht="12.75" customHeight="1">
      <c r="M45" s="92"/>
      <c r="N45" s="476"/>
      <c r="O45" s="476"/>
      <c r="P45" s="476"/>
      <c r="Q45" s="476"/>
      <c r="R45" s="476"/>
      <c r="S45" s="476"/>
      <c r="T45" s="476"/>
      <c r="U45" s="98"/>
    </row>
    <row r="46" spans="2:21" ht="12.75" customHeight="1">
      <c r="M46" s="92"/>
      <c r="N46" s="476"/>
      <c r="O46" s="476"/>
      <c r="P46" s="476"/>
      <c r="Q46" s="476"/>
      <c r="R46" s="476"/>
      <c r="S46" s="476"/>
      <c r="T46" s="476"/>
      <c r="U46" s="98"/>
    </row>
    <row r="47" spans="2:21" ht="12.75" customHeight="1">
      <c r="M47" s="104"/>
      <c r="N47" s="105"/>
      <c r="O47" s="105"/>
      <c r="P47" s="105"/>
      <c r="Q47" s="105"/>
      <c r="R47" s="105"/>
      <c r="S47" s="105"/>
      <c r="T47" s="105"/>
      <c r="U47" s="106"/>
    </row>
  </sheetData>
  <sheetProtection algorithmName="SHA-512" hashValue="WgMAJuaGFLGCFSOLTglNlYS7ZamWE8JpguHdwobV+zrXidMl/hHnVZ9KKK/WN6XnXDiUgYK3aNC9wF7w2uTJQQ==" saltValue="q3NB7LeYue7F2uIdq4fQaA==" spinCount="100000" sheet="1" objects="1" scenarios="1" selectLockedCells="1"/>
  <mergeCells count="14">
    <mergeCell ref="B1:F1"/>
    <mergeCell ref="G1:K1"/>
    <mergeCell ref="C3:F3"/>
    <mergeCell ref="G3:J3"/>
    <mergeCell ref="C4:F4"/>
    <mergeCell ref="G4:J4"/>
    <mergeCell ref="N44:T46"/>
    <mergeCell ref="C13:J31"/>
    <mergeCell ref="N3:T3"/>
    <mergeCell ref="N4:T5"/>
    <mergeCell ref="N26:T26"/>
    <mergeCell ref="N27:T36"/>
    <mergeCell ref="C35:J39"/>
    <mergeCell ref="C7:J10"/>
  </mergeCells>
  <hyperlinks>
    <hyperlink ref="C4" r:id="rId1" xr:uid="{00000000-0004-0000-0100-000000000000}"/>
    <hyperlink ref="G4" r:id="rId2" xr:uid="{00000000-0004-0000-0100-000001000000}"/>
  </hyperlinks>
  <pageMargins left="0.75" right="0.75" top="1" bottom="1" header="0.5" footer="0.5"/>
  <pageSetup paperSize="9" scale="91" orientation="portrait" r:id="rId3"/>
  <headerFooter alignWithMargins="0"/>
  <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58B13-329B-4D3A-B045-9CE500655B59}">
  <sheetPr codeName="Sheet7"/>
  <dimension ref="A3:B7"/>
  <sheetViews>
    <sheetView workbookViewId="0">
      <selection activeCell="G25" sqref="G25"/>
    </sheetView>
  </sheetViews>
  <sheetFormatPr defaultRowHeight="15"/>
  <cols>
    <col min="1" max="1" width="16.140625" bestFit="1" customWidth="1"/>
    <col min="2" max="2" width="26.85546875" bestFit="1" customWidth="1"/>
  </cols>
  <sheetData>
    <row r="3" spans="1:2">
      <c r="A3" s="185" t="s">
        <v>39</v>
      </c>
      <c r="B3" t="s">
        <v>180</v>
      </c>
    </row>
    <row r="4" spans="1:2">
      <c r="A4" s="186" t="s">
        <v>227</v>
      </c>
      <c r="B4" s="187">
        <v>1</v>
      </c>
    </row>
    <row r="5" spans="1:2">
      <c r="A5" s="186" t="s">
        <v>231</v>
      </c>
      <c r="B5" s="187">
        <v>1</v>
      </c>
    </row>
    <row r="6" spans="1:2">
      <c r="A6" s="186" t="s">
        <v>174</v>
      </c>
      <c r="B6" s="187">
        <v>1</v>
      </c>
    </row>
    <row r="7" spans="1:2">
      <c r="A7" s="186" t="s">
        <v>179</v>
      </c>
      <c r="B7" s="187">
        <v>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D813D-B938-41BD-9E00-40ADB6E970AC}">
  <sheetPr codeName="Sheet8"/>
  <dimension ref="A1:C6"/>
  <sheetViews>
    <sheetView workbookViewId="0">
      <selection activeCell="L16" sqref="L16"/>
    </sheetView>
  </sheetViews>
  <sheetFormatPr defaultRowHeight="15"/>
  <cols>
    <col min="1" max="1" width="13.140625" bestFit="1" customWidth="1"/>
    <col min="2" max="2" width="16.28515625" bestFit="1" customWidth="1"/>
    <col min="3" max="3" width="4.5703125" bestFit="1" customWidth="1"/>
    <col min="4" max="4" width="12.42578125" bestFit="1" customWidth="1"/>
    <col min="5" max="5" width="4.5703125" bestFit="1" customWidth="1"/>
    <col min="6" max="6" width="14.7109375" bestFit="1" customWidth="1"/>
    <col min="7" max="7" width="4.5703125" customWidth="1"/>
    <col min="8" max="8" width="7.85546875" bestFit="1" customWidth="1"/>
    <col min="9" max="9" width="4.5703125" bestFit="1" customWidth="1"/>
    <col min="10" max="10" width="6.7109375" bestFit="1" customWidth="1"/>
    <col min="11" max="11" width="4.5703125" bestFit="1" customWidth="1"/>
    <col min="12" max="12" width="16.140625" bestFit="1" customWidth="1"/>
    <col min="13" max="13" width="4.5703125" bestFit="1" customWidth="1"/>
    <col min="14" max="14" width="9.5703125" bestFit="1" customWidth="1"/>
    <col min="15" max="15" width="4.5703125" bestFit="1" customWidth="1"/>
    <col min="16" max="16" width="16.140625" bestFit="1" customWidth="1"/>
    <col min="17" max="17" width="4.5703125" bestFit="1" customWidth="1"/>
    <col min="18" max="18" width="9.5703125" bestFit="1" customWidth="1"/>
    <col min="19" max="19" width="4.5703125" bestFit="1" customWidth="1"/>
    <col min="20" max="20" width="9.5703125" bestFit="1" customWidth="1"/>
    <col min="21" max="21" width="4.5703125" bestFit="1" customWidth="1"/>
    <col min="22" max="22" width="9.5703125" customWidth="1"/>
    <col min="23" max="23" width="4.5703125" bestFit="1" customWidth="1"/>
    <col min="24" max="24" width="9.5703125" bestFit="1" customWidth="1"/>
    <col min="25" max="25" width="9.85546875" bestFit="1" customWidth="1"/>
    <col min="27" max="27" width="12.140625" bestFit="1" customWidth="1"/>
    <col min="28" max="28" width="11.28515625" bestFit="1" customWidth="1"/>
  </cols>
  <sheetData>
    <row r="1" spans="1:3">
      <c r="A1" s="185" t="s">
        <v>185</v>
      </c>
      <c r="B1" t="s">
        <v>186</v>
      </c>
    </row>
    <row r="3" spans="1:3">
      <c r="B3" s="185" t="s">
        <v>182</v>
      </c>
    </row>
    <row r="4" spans="1:3">
      <c r="B4" t="s">
        <v>231</v>
      </c>
    </row>
    <row r="5" spans="1:3">
      <c r="A5" s="185" t="s">
        <v>178</v>
      </c>
      <c r="B5" t="s">
        <v>222</v>
      </c>
      <c r="C5" t="s">
        <v>221</v>
      </c>
    </row>
    <row r="6" spans="1:3">
      <c r="A6" s="186">
        <v>2018</v>
      </c>
      <c r="B6" s="190">
        <v>7.625</v>
      </c>
      <c r="C6" s="190">
        <v>7.625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B8BB9-F78C-48AB-96E4-437A8DE3204F}">
  <sheetPr codeName="Sheet12"/>
  <dimension ref="A1:B6"/>
  <sheetViews>
    <sheetView workbookViewId="0">
      <selection activeCell="B7" sqref="B7"/>
    </sheetView>
  </sheetViews>
  <sheetFormatPr defaultRowHeight="15"/>
  <cols>
    <col min="1" max="1" width="13.140625" bestFit="1" customWidth="1"/>
    <col min="2" max="2" width="24" bestFit="1" customWidth="1"/>
    <col min="3" max="4" width="5" bestFit="1" customWidth="1"/>
    <col min="5" max="6" width="11.28515625" bestFit="1" customWidth="1"/>
    <col min="7" max="7" width="16.140625" bestFit="1" customWidth="1"/>
    <col min="8" max="9" width="12" bestFit="1" customWidth="1"/>
  </cols>
  <sheetData>
    <row r="1" spans="1:2">
      <c r="A1" s="185" t="s">
        <v>185</v>
      </c>
      <c r="B1" t="s">
        <v>186</v>
      </c>
    </row>
    <row r="2" spans="1:2">
      <c r="A2" s="185" t="s">
        <v>187</v>
      </c>
      <c r="B2" t="s">
        <v>186</v>
      </c>
    </row>
    <row r="4" spans="1:2">
      <c r="A4" s="185" t="s">
        <v>178</v>
      </c>
      <c r="B4" t="s">
        <v>183</v>
      </c>
    </row>
    <row r="5" spans="1:2">
      <c r="A5" s="186" t="s">
        <v>231</v>
      </c>
      <c r="B5" s="190">
        <v>7.625</v>
      </c>
    </row>
    <row r="6" spans="1:2">
      <c r="A6" s="186" t="s">
        <v>179</v>
      </c>
      <c r="B6" s="190">
        <v>7.625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66437-66E4-410A-934C-978799038266}">
  <sheetPr codeName="Sheet18"/>
  <dimension ref="A1:E6"/>
  <sheetViews>
    <sheetView workbookViewId="0">
      <selection activeCell="D23" sqref="D22:D23"/>
    </sheetView>
  </sheetViews>
  <sheetFormatPr defaultRowHeight="15"/>
  <cols>
    <col min="1" max="1" width="13.140625" bestFit="1" customWidth="1"/>
    <col min="2" max="2" width="16.28515625" bestFit="1" customWidth="1"/>
    <col min="3" max="3" width="4.5703125" bestFit="1" customWidth="1"/>
    <col min="4" max="4" width="11.5703125" bestFit="1" customWidth="1"/>
    <col min="5" max="5" width="6.28515625" bestFit="1" customWidth="1"/>
    <col min="6" max="6" width="11.42578125" bestFit="1" customWidth="1"/>
    <col min="7" max="7" width="4.5703125" bestFit="1" customWidth="1"/>
    <col min="8" max="8" width="12" bestFit="1" customWidth="1"/>
    <col min="9" max="9" width="4.5703125" bestFit="1" customWidth="1"/>
    <col min="10" max="10" width="19" bestFit="1" customWidth="1"/>
    <col min="11" max="11" width="4.5703125" bestFit="1" customWidth="1"/>
    <col min="12" max="12" width="14.28515625" bestFit="1" customWidth="1"/>
    <col min="13" max="13" width="4.5703125" bestFit="1" customWidth="1"/>
    <col min="14" max="14" width="10.140625" bestFit="1" customWidth="1"/>
    <col min="15" max="15" width="4.5703125" bestFit="1" customWidth="1"/>
    <col min="16" max="16" width="14.28515625" bestFit="1" customWidth="1"/>
    <col min="17" max="17" width="4.5703125" bestFit="1" customWidth="1"/>
    <col min="18" max="18" width="18.7109375" bestFit="1" customWidth="1"/>
    <col min="19" max="19" width="4.5703125" bestFit="1" customWidth="1"/>
    <col min="20" max="20" width="10.7109375" bestFit="1" customWidth="1"/>
    <col min="21" max="21" width="4.5703125" bestFit="1" customWidth="1"/>
    <col min="22" max="22" width="11.5703125" bestFit="1" customWidth="1"/>
    <col min="23" max="23" width="6.28515625" bestFit="1" customWidth="1"/>
    <col min="24" max="24" width="14.28515625" bestFit="1" customWidth="1"/>
    <col min="25" max="25" width="4.5703125" bestFit="1" customWidth="1"/>
    <col min="26" max="26" width="12.28515625" bestFit="1" customWidth="1"/>
    <col min="27" max="27" width="4.5703125" bestFit="1" customWidth="1"/>
    <col min="28" max="28" width="18.7109375" bestFit="1" customWidth="1"/>
    <col min="29" max="29" width="4.5703125" bestFit="1" customWidth="1"/>
    <col min="30" max="30" width="11.5703125" bestFit="1" customWidth="1"/>
    <col min="31" max="31" width="6.28515625" bestFit="1" customWidth="1"/>
    <col min="32" max="33" width="12" bestFit="1" customWidth="1"/>
    <col min="34" max="34" width="24" bestFit="1" customWidth="1"/>
    <col min="35" max="35" width="16.140625" bestFit="1" customWidth="1"/>
    <col min="36" max="37" width="12" bestFit="1" customWidth="1"/>
    <col min="38" max="38" width="19.28515625" bestFit="1" customWidth="1"/>
    <col min="39" max="39" width="14.140625" bestFit="1" customWidth="1"/>
    <col min="40" max="41" width="12" bestFit="1" customWidth="1"/>
    <col min="42" max="42" width="17.42578125" bestFit="1" customWidth="1"/>
    <col min="43" max="43" width="20.5703125" bestFit="1" customWidth="1"/>
    <col min="44" max="44" width="8" bestFit="1" customWidth="1"/>
    <col min="45" max="46" width="12" bestFit="1" customWidth="1"/>
    <col min="47" max="47" width="23.7109375" bestFit="1" customWidth="1"/>
    <col min="48" max="48" width="11.28515625" bestFit="1" customWidth="1"/>
  </cols>
  <sheetData>
    <row r="1" spans="1:5">
      <c r="A1" s="185" t="s">
        <v>185</v>
      </c>
      <c r="B1" t="s">
        <v>186</v>
      </c>
    </row>
    <row r="3" spans="1:5">
      <c r="B3" s="185" t="s">
        <v>182</v>
      </c>
    </row>
    <row r="4" spans="1:5">
      <c r="B4" t="s">
        <v>233</v>
      </c>
      <c r="D4" t="s">
        <v>223</v>
      </c>
      <c r="E4" t="s">
        <v>224</v>
      </c>
    </row>
    <row r="5" spans="1:5">
      <c r="A5" s="185" t="s">
        <v>178</v>
      </c>
      <c r="B5" t="s">
        <v>222</v>
      </c>
      <c r="C5" t="s">
        <v>221</v>
      </c>
    </row>
    <row r="6" spans="1:5">
      <c r="A6" s="186">
        <v>2018</v>
      </c>
      <c r="B6" s="190">
        <v>7.625</v>
      </c>
      <c r="C6" s="190">
        <v>7.625</v>
      </c>
      <c r="D6" s="190">
        <v>7.625</v>
      </c>
      <c r="E6" s="190">
        <v>7.625</v>
      </c>
    </row>
  </sheetData>
  <pageMargins left="0.7" right="0.7" top="0.75" bottom="0.75" header="0.3" footer="0.3"/>
  <pageSetup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8D200-EBC2-4799-BDF9-4A24F76CC00B}">
  <sheetPr codeName="Sheet13"/>
  <dimension ref="A1:B4"/>
  <sheetViews>
    <sheetView workbookViewId="0">
      <selection activeCell="B8" sqref="B8"/>
    </sheetView>
  </sheetViews>
  <sheetFormatPr defaultRowHeight="15"/>
  <cols>
    <col min="1" max="1" width="20.85546875" bestFit="1" customWidth="1"/>
    <col min="2" max="2" width="24" bestFit="1" customWidth="1"/>
    <col min="3" max="5" width="7" bestFit="1" customWidth="1"/>
    <col min="6" max="6" width="7.28515625" bestFit="1" customWidth="1"/>
    <col min="7" max="7" width="11.28515625" bestFit="1" customWidth="1"/>
  </cols>
  <sheetData>
    <row r="1" spans="1:2">
      <c r="A1" s="185" t="s">
        <v>185</v>
      </c>
      <c r="B1" t="s">
        <v>186</v>
      </c>
    </row>
    <row r="3" spans="1:2">
      <c r="A3" s="185" t="s">
        <v>31</v>
      </c>
      <c r="B3" t="s">
        <v>183</v>
      </c>
    </row>
    <row r="4" spans="1:2">
      <c r="A4" t="s">
        <v>233</v>
      </c>
      <c r="B4" s="190">
        <v>7.625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7E30A-0DB7-4FC6-BEF4-6921C975F011}">
  <sheetPr codeName="Sheet14"/>
  <dimension ref="A1:B5"/>
  <sheetViews>
    <sheetView workbookViewId="0">
      <selection activeCell="B8" sqref="B8"/>
    </sheetView>
  </sheetViews>
  <sheetFormatPr defaultRowHeight="15"/>
  <cols>
    <col min="1" max="1" width="20.85546875" customWidth="1"/>
    <col min="2" max="3" width="24" bestFit="1" customWidth="1"/>
    <col min="4" max="5" width="7" bestFit="1" customWidth="1"/>
    <col min="6" max="6" width="7.28515625" bestFit="1" customWidth="1"/>
    <col min="7" max="7" width="11.28515625" bestFit="1" customWidth="1"/>
  </cols>
  <sheetData>
    <row r="1" spans="1:2">
      <c r="A1" s="185" t="s">
        <v>185</v>
      </c>
      <c r="B1" t="s">
        <v>186</v>
      </c>
    </row>
    <row r="2" spans="1:2">
      <c r="A2" s="185" t="s">
        <v>188</v>
      </c>
      <c r="B2" t="s">
        <v>186</v>
      </c>
    </row>
    <row r="4" spans="1:2">
      <c r="A4" s="185" t="s">
        <v>31</v>
      </c>
      <c r="B4" t="s">
        <v>183</v>
      </c>
    </row>
    <row r="5" spans="1:2">
      <c r="A5" t="s">
        <v>233</v>
      </c>
      <c r="B5" s="190">
        <v>7.625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75FDF-D4BB-42BB-ABF6-CAC6102326D1}">
  <sheetPr codeName="Sheet15"/>
  <dimension ref="A1:B4"/>
  <sheetViews>
    <sheetView workbookViewId="0">
      <selection activeCell="D25" sqref="D25"/>
    </sheetView>
  </sheetViews>
  <sheetFormatPr defaultRowHeight="15"/>
  <cols>
    <col min="1" max="1" width="14" bestFit="1" customWidth="1"/>
    <col min="2" max="3" width="24" bestFit="1" customWidth="1"/>
    <col min="4" max="5" width="7" bestFit="1" customWidth="1"/>
    <col min="6" max="6" width="7.28515625" bestFit="1" customWidth="1"/>
    <col min="7" max="7" width="11.28515625" bestFit="1" customWidth="1"/>
  </cols>
  <sheetData>
    <row r="1" spans="1:2">
      <c r="A1" s="185" t="s">
        <v>185</v>
      </c>
      <c r="B1" t="s">
        <v>186</v>
      </c>
    </row>
    <row r="3" spans="1:2">
      <c r="A3" s="185" t="s">
        <v>39</v>
      </c>
      <c r="B3" t="s">
        <v>183</v>
      </c>
    </row>
    <row r="4" spans="1:2">
      <c r="A4" t="s">
        <v>231</v>
      </c>
      <c r="B4" s="190">
        <v>7.625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C43FB-4F30-4E5C-AE83-ADF94F49157B}">
  <sheetPr codeName="Sheet16"/>
  <dimension ref="A1:B5"/>
  <sheetViews>
    <sheetView workbookViewId="0">
      <selection activeCell="B8" sqref="B8"/>
    </sheetView>
  </sheetViews>
  <sheetFormatPr defaultRowHeight="15"/>
  <cols>
    <col min="1" max="1" width="14" bestFit="1" customWidth="1"/>
    <col min="2" max="4" width="24" bestFit="1" customWidth="1"/>
    <col min="5" max="5" width="7" bestFit="1" customWidth="1"/>
    <col min="6" max="6" width="7.28515625" bestFit="1" customWidth="1"/>
    <col min="7" max="7" width="11.28515625" bestFit="1" customWidth="1"/>
  </cols>
  <sheetData>
    <row r="1" spans="1:2">
      <c r="A1" s="185" t="s">
        <v>185</v>
      </c>
      <c r="B1" t="s">
        <v>186</v>
      </c>
    </row>
    <row r="2" spans="1:2">
      <c r="A2" s="185" t="s">
        <v>188</v>
      </c>
      <c r="B2" t="s">
        <v>186</v>
      </c>
    </row>
    <row r="4" spans="1:2">
      <c r="A4" s="185" t="s">
        <v>39</v>
      </c>
      <c r="B4" t="s">
        <v>183</v>
      </c>
    </row>
    <row r="5" spans="1:2">
      <c r="A5" t="s">
        <v>231</v>
      </c>
      <c r="B5" s="190">
        <v>7.625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7F413-9F7C-4E85-811C-D7A4CA631E10}">
  <sheetPr codeName="Sheet17"/>
  <dimension ref="A2:U25"/>
  <sheetViews>
    <sheetView zoomScaleNormal="100" workbookViewId="0">
      <selection activeCell="D30" sqref="D30"/>
    </sheetView>
  </sheetViews>
  <sheetFormatPr defaultRowHeight="15"/>
  <cols>
    <col min="1" max="1" width="13.140625" bestFit="1" customWidth="1"/>
    <col min="2" max="10" width="23.5703125" bestFit="1" customWidth="1"/>
    <col min="11" max="21" width="24.5703125" bestFit="1" customWidth="1"/>
  </cols>
  <sheetData>
    <row r="2" spans="4:9">
      <c r="D2" s="191" t="s">
        <v>184</v>
      </c>
    </row>
    <row r="3" spans="4:9">
      <c r="D3" s="192" t="str">
        <f>Settings!K14</f>
        <v>Quality of Work</v>
      </c>
      <c r="E3" s="190">
        <f>AVERAGE(B25:B1048576)</f>
        <v>5</v>
      </c>
      <c r="F3">
        <f t="shared" ref="F3:F22" si="0">COUNTIF($E$3:$E$22,"&lt;="&amp;E3)-COUNTIF($E$3:$E$22,0)</f>
        <v>2</v>
      </c>
      <c r="G3" s="193">
        <f t="shared" ref="G3:G22" si="1">IF(F3&lt;&gt;0,MAX($F$3:$F$22)+1-F3,"")</f>
        <v>11</v>
      </c>
      <c r="H3" s="193">
        <f>IF(F3&lt;&gt;0,ROW()-2,"")</f>
        <v>1</v>
      </c>
      <c r="I3" s="196">
        <f t="shared" ref="I3:I22" si="2">INDEX($D$3:$D$22,MATCH(H3,$G$3:$G$22,0))</f>
        <v>0</v>
      </c>
    </row>
    <row r="4" spans="4:9">
      <c r="D4" s="192" t="str">
        <f>Settings!K15</f>
        <v>CaLL flow</v>
      </c>
      <c r="E4" s="190">
        <f>AVERAGE(C25:C1048576)</f>
        <v>8</v>
      </c>
      <c r="F4">
        <f t="shared" si="0"/>
        <v>5</v>
      </c>
      <c r="G4" s="194">
        <f t="shared" si="1"/>
        <v>8</v>
      </c>
      <c r="H4" s="194">
        <f t="shared" ref="H4:H22" si="3">IF(F4&lt;&gt;0,ROW()-2,"")</f>
        <v>2</v>
      </c>
      <c r="I4" s="196" t="e">
        <f t="shared" si="2"/>
        <v>#N/A</v>
      </c>
    </row>
    <row r="5" spans="4:9">
      <c r="D5" s="192" t="str">
        <f>Settings!K16</f>
        <v>Job Knowledge</v>
      </c>
      <c r="E5" s="190">
        <f>AVERAGE(D25:D1048576)</f>
        <v>7</v>
      </c>
      <c r="F5">
        <f t="shared" si="0"/>
        <v>3</v>
      </c>
      <c r="G5" s="194">
        <f t="shared" si="1"/>
        <v>10</v>
      </c>
      <c r="H5" s="194">
        <f t="shared" si="3"/>
        <v>3</v>
      </c>
      <c r="I5" s="196" t="e">
        <f t="shared" si="2"/>
        <v>#N/A</v>
      </c>
    </row>
    <row r="6" spans="4:9">
      <c r="D6" s="192" t="str">
        <f>Settings!K17</f>
        <v>Client Service</v>
      </c>
      <c r="E6" s="190">
        <f>AVERAGE(E25:E1048576)</f>
        <v>5</v>
      </c>
      <c r="F6">
        <f t="shared" si="0"/>
        <v>2</v>
      </c>
      <c r="G6" s="194">
        <f t="shared" si="1"/>
        <v>11</v>
      </c>
      <c r="H6" s="194">
        <f t="shared" si="3"/>
        <v>4</v>
      </c>
      <c r="I6" s="196" t="e">
        <f t="shared" si="2"/>
        <v>#N/A</v>
      </c>
    </row>
    <row r="7" spans="4:9">
      <c r="D7" s="192" t="str">
        <f>Settings!K18</f>
        <v>Teamwork</v>
      </c>
      <c r="E7" s="190">
        <f>AVERAGE(F25:F1048576)</f>
        <v>9</v>
      </c>
      <c r="F7">
        <f t="shared" si="0"/>
        <v>7</v>
      </c>
      <c r="G7" s="194">
        <f t="shared" si="1"/>
        <v>6</v>
      </c>
      <c r="H7" s="194">
        <f t="shared" si="3"/>
        <v>5</v>
      </c>
      <c r="I7" s="196" t="str">
        <f t="shared" si="2"/>
        <v>Reliability</v>
      </c>
    </row>
    <row r="8" spans="4:9">
      <c r="D8" s="192" t="str">
        <f>Settings!K19</f>
        <v>Safety</v>
      </c>
      <c r="E8" s="190">
        <f>AVERAGE(G25:G1048576)</f>
        <v>8</v>
      </c>
      <c r="F8">
        <f t="shared" si="0"/>
        <v>5</v>
      </c>
      <c r="G8" s="194">
        <f t="shared" si="1"/>
        <v>8</v>
      </c>
      <c r="H8" s="194">
        <f t="shared" si="3"/>
        <v>6</v>
      </c>
      <c r="I8" s="196" t="str">
        <f t="shared" si="2"/>
        <v>Teamwork</v>
      </c>
    </row>
    <row r="9" spans="4:9">
      <c r="D9" s="192" t="str">
        <f>Settings!K20</f>
        <v>Reliability</v>
      </c>
      <c r="E9" s="190">
        <f>AVERAGE(H25:H1048576)</f>
        <v>10</v>
      </c>
      <c r="F9">
        <f t="shared" si="0"/>
        <v>8</v>
      </c>
      <c r="G9" s="194">
        <f t="shared" si="1"/>
        <v>5</v>
      </c>
      <c r="H9" s="194">
        <f t="shared" si="3"/>
        <v>7</v>
      </c>
      <c r="I9" s="196" t="e">
        <f t="shared" si="2"/>
        <v>#N/A</v>
      </c>
    </row>
    <row r="10" spans="4:9">
      <c r="D10" s="192" t="str">
        <f>Settings!K21</f>
        <v>Initiative/Adaptability</v>
      </c>
      <c r="E10" s="190">
        <f>AVERAGE(I25:I1048576)</f>
        <v>9</v>
      </c>
      <c r="F10">
        <f t="shared" si="0"/>
        <v>7</v>
      </c>
      <c r="G10" s="194">
        <f t="shared" si="1"/>
        <v>6</v>
      </c>
      <c r="H10" s="194">
        <f t="shared" si="3"/>
        <v>8</v>
      </c>
      <c r="I10" s="196" t="str">
        <f t="shared" si="2"/>
        <v>CaLL flow</v>
      </c>
    </row>
    <row r="11" spans="4:9">
      <c r="D11" s="192">
        <f>Settings!K22</f>
        <v>0</v>
      </c>
      <c r="E11" s="190" t="e">
        <f>AVERAGE(J25:J1048576)</f>
        <v>#DIV/0!</v>
      </c>
      <c r="F11">
        <f t="shared" si="0"/>
        <v>12</v>
      </c>
      <c r="G11" s="194">
        <f t="shared" si="1"/>
        <v>1</v>
      </c>
      <c r="H11" s="194">
        <f t="shared" si="3"/>
        <v>9</v>
      </c>
      <c r="I11" s="196" t="e">
        <f t="shared" si="2"/>
        <v>#N/A</v>
      </c>
    </row>
    <row r="12" spans="4:9">
      <c r="D12" s="192">
        <f>Settings!K23</f>
        <v>0</v>
      </c>
      <c r="E12" s="190" t="e">
        <f>AVERAGE(K25:K1048576)</f>
        <v>#DIV/0!</v>
      </c>
      <c r="F12">
        <f t="shared" si="0"/>
        <v>12</v>
      </c>
      <c r="G12" s="194">
        <f t="shared" si="1"/>
        <v>1</v>
      </c>
      <c r="H12" s="194">
        <f t="shared" si="3"/>
        <v>10</v>
      </c>
      <c r="I12" s="196" t="str">
        <f t="shared" si="2"/>
        <v>Job Knowledge</v>
      </c>
    </row>
    <row r="13" spans="4:9">
      <c r="D13" s="192">
        <f>Settings!K24</f>
        <v>0</v>
      </c>
      <c r="E13" s="190" t="e">
        <f>AVERAGE(L25:L1048576)</f>
        <v>#DIV/0!</v>
      </c>
      <c r="F13">
        <f t="shared" si="0"/>
        <v>12</v>
      </c>
      <c r="G13" s="194">
        <f t="shared" si="1"/>
        <v>1</v>
      </c>
      <c r="H13" s="194">
        <f t="shared" si="3"/>
        <v>11</v>
      </c>
      <c r="I13" s="196" t="str">
        <f t="shared" si="2"/>
        <v>Quality of Work</v>
      </c>
    </row>
    <row r="14" spans="4:9">
      <c r="D14" s="192">
        <f>Settings!K25</f>
        <v>0</v>
      </c>
      <c r="E14" s="190" t="e">
        <f>AVERAGE(M25:M1048576)</f>
        <v>#DIV/0!</v>
      </c>
      <c r="F14">
        <f t="shared" si="0"/>
        <v>12</v>
      </c>
      <c r="G14" s="194">
        <f t="shared" si="1"/>
        <v>1</v>
      </c>
      <c r="H14" s="194">
        <f t="shared" si="3"/>
        <v>12</v>
      </c>
      <c r="I14" s="196" t="e">
        <f t="shared" si="2"/>
        <v>#N/A</v>
      </c>
    </row>
    <row r="15" spans="4:9">
      <c r="D15" s="192">
        <f>Settings!K26</f>
        <v>0</v>
      </c>
      <c r="E15" s="190" t="e">
        <f>AVERAGE(N25:N1048576)</f>
        <v>#DIV/0!</v>
      </c>
      <c r="F15">
        <f t="shared" si="0"/>
        <v>12</v>
      </c>
      <c r="G15" s="194">
        <f t="shared" si="1"/>
        <v>1</v>
      </c>
      <c r="H15" s="194">
        <f t="shared" si="3"/>
        <v>13</v>
      </c>
      <c r="I15" s="196" t="e">
        <f t="shared" si="2"/>
        <v>#N/A</v>
      </c>
    </row>
    <row r="16" spans="4:9">
      <c r="D16" s="192">
        <f>Settings!K27</f>
        <v>0</v>
      </c>
      <c r="E16" s="190" t="e">
        <f>AVERAGE(O25:O1048576)</f>
        <v>#DIV/0!</v>
      </c>
      <c r="F16">
        <f t="shared" si="0"/>
        <v>12</v>
      </c>
      <c r="G16" s="194">
        <f t="shared" si="1"/>
        <v>1</v>
      </c>
      <c r="H16" s="194">
        <f t="shared" si="3"/>
        <v>14</v>
      </c>
      <c r="I16" s="196" t="e">
        <f t="shared" si="2"/>
        <v>#N/A</v>
      </c>
    </row>
    <row r="17" spans="1:21">
      <c r="D17" s="192">
        <f>Settings!K28</f>
        <v>0</v>
      </c>
      <c r="E17" s="190" t="e">
        <f>AVERAGE(P25:P1048576)</f>
        <v>#DIV/0!</v>
      </c>
      <c r="F17">
        <f t="shared" si="0"/>
        <v>12</v>
      </c>
      <c r="G17" s="194">
        <f t="shared" si="1"/>
        <v>1</v>
      </c>
      <c r="H17" s="194">
        <f t="shared" si="3"/>
        <v>15</v>
      </c>
      <c r="I17" s="196" t="e">
        <f t="shared" si="2"/>
        <v>#N/A</v>
      </c>
    </row>
    <row r="18" spans="1:21">
      <c r="D18" s="192">
        <f>Settings!K29</f>
        <v>0</v>
      </c>
      <c r="E18" s="190" t="e">
        <f>AVERAGE(Q25:Q1048576)</f>
        <v>#DIV/0!</v>
      </c>
      <c r="F18">
        <f t="shared" si="0"/>
        <v>12</v>
      </c>
      <c r="G18" s="194">
        <f t="shared" si="1"/>
        <v>1</v>
      </c>
      <c r="H18" s="194">
        <f t="shared" si="3"/>
        <v>16</v>
      </c>
      <c r="I18" s="196" t="e">
        <f t="shared" si="2"/>
        <v>#N/A</v>
      </c>
    </row>
    <row r="19" spans="1:21">
      <c r="D19" s="192">
        <f>Settings!K30</f>
        <v>0</v>
      </c>
      <c r="E19" s="190" t="e">
        <f>AVERAGE(R25:R1048576)</f>
        <v>#DIV/0!</v>
      </c>
      <c r="F19">
        <f t="shared" si="0"/>
        <v>12</v>
      </c>
      <c r="G19" s="194">
        <f t="shared" si="1"/>
        <v>1</v>
      </c>
      <c r="H19" s="194">
        <f t="shared" si="3"/>
        <v>17</v>
      </c>
      <c r="I19" s="196" t="e">
        <f t="shared" si="2"/>
        <v>#N/A</v>
      </c>
    </row>
    <row r="20" spans="1:21">
      <c r="D20" s="192">
        <f>Settings!K31</f>
        <v>0</v>
      </c>
      <c r="E20" s="190" t="e">
        <f>AVERAGE(S25:S1048576)</f>
        <v>#DIV/0!</v>
      </c>
      <c r="F20">
        <f t="shared" si="0"/>
        <v>12</v>
      </c>
      <c r="G20" s="194">
        <f t="shared" si="1"/>
        <v>1</v>
      </c>
      <c r="H20" s="194">
        <f t="shared" si="3"/>
        <v>18</v>
      </c>
      <c r="I20" s="196" t="e">
        <f t="shared" si="2"/>
        <v>#N/A</v>
      </c>
    </row>
    <row r="21" spans="1:21">
      <c r="D21" s="192">
        <f>Settings!K32</f>
        <v>0</v>
      </c>
      <c r="E21" s="190" t="e">
        <f>AVERAGE(T25:T1048576)</f>
        <v>#DIV/0!</v>
      </c>
      <c r="F21">
        <f t="shared" si="0"/>
        <v>12</v>
      </c>
      <c r="G21" s="194">
        <f t="shared" si="1"/>
        <v>1</v>
      </c>
      <c r="H21" s="194">
        <f t="shared" si="3"/>
        <v>19</v>
      </c>
      <c r="I21" s="196" t="e">
        <f t="shared" si="2"/>
        <v>#N/A</v>
      </c>
    </row>
    <row r="22" spans="1:21">
      <c r="A22" s="185" t="s">
        <v>185</v>
      </c>
      <c r="B22" t="s">
        <v>186</v>
      </c>
      <c r="D22" s="192">
        <f>Settings!K33</f>
        <v>0</v>
      </c>
      <c r="E22" s="190" t="e">
        <f>AVERAGE(U25:U1048576)</f>
        <v>#DIV/0!</v>
      </c>
      <c r="F22">
        <f t="shared" si="0"/>
        <v>12</v>
      </c>
      <c r="G22" s="195">
        <f t="shared" si="1"/>
        <v>1</v>
      </c>
      <c r="H22" s="195">
        <f t="shared" si="3"/>
        <v>20</v>
      </c>
      <c r="I22" s="196" t="e">
        <f t="shared" si="2"/>
        <v>#N/A</v>
      </c>
    </row>
    <row r="24" spans="1:21">
      <c r="A24" s="185" t="s">
        <v>178</v>
      </c>
      <c r="B24" t="s">
        <v>189</v>
      </c>
      <c r="C24" t="s">
        <v>190</v>
      </c>
      <c r="D24" t="s">
        <v>191</v>
      </c>
      <c r="E24" t="s">
        <v>192</v>
      </c>
      <c r="F24" t="s">
        <v>193</v>
      </c>
      <c r="G24" t="s">
        <v>194</v>
      </c>
      <c r="H24" t="s">
        <v>195</v>
      </c>
      <c r="I24" t="s">
        <v>196</v>
      </c>
      <c r="J24" t="s">
        <v>197</v>
      </c>
      <c r="K24" t="s">
        <v>198</v>
      </c>
      <c r="L24" t="s">
        <v>199</v>
      </c>
      <c r="M24" t="s">
        <v>200</v>
      </c>
      <c r="N24" t="s">
        <v>201</v>
      </c>
      <c r="O24" t="s">
        <v>202</v>
      </c>
      <c r="P24" t="s">
        <v>203</v>
      </c>
      <c r="Q24" t="s">
        <v>204</v>
      </c>
      <c r="R24" t="s">
        <v>205</v>
      </c>
      <c r="S24" t="s">
        <v>206</v>
      </c>
      <c r="T24" t="s">
        <v>207</v>
      </c>
      <c r="U24" t="s">
        <v>208</v>
      </c>
    </row>
    <row r="25" spans="1:21">
      <c r="A25" s="186">
        <v>2018</v>
      </c>
      <c r="B25" s="190">
        <v>5</v>
      </c>
      <c r="C25" s="187">
        <v>8</v>
      </c>
      <c r="D25" s="190">
        <v>7</v>
      </c>
      <c r="E25" s="187">
        <v>5</v>
      </c>
      <c r="F25" s="187">
        <v>9</v>
      </c>
      <c r="G25" s="187">
        <v>8</v>
      </c>
      <c r="H25" s="187">
        <v>10</v>
      </c>
      <c r="I25" s="187">
        <v>9</v>
      </c>
      <c r="J25" s="187"/>
      <c r="K25" s="187"/>
      <c r="L25" s="187"/>
      <c r="M25" s="187"/>
      <c r="N25" s="187"/>
      <c r="O25" s="187"/>
      <c r="P25" s="187"/>
      <c r="Q25" s="187"/>
      <c r="R25" s="187"/>
      <c r="S25" s="187"/>
      <c r="T25" s="187"/>
      <c r="U25" s="190"/>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99D46A-582D-403B-8B17-5F21D7ED9A43}">
  <sheetPr codeName="Sheet19"/>
  <dimension ref="A2:H45"/>
  <sheetViews>
    <sheetView zoomScaleNormal="100" workbookViewId="0">
      <selection activeCell="J24" sqref="J24"/>
    </sheetView>
  </sheetViews>
  <sheetFormatPr defaultColWidth="16.42578125" defaultRowHeight="15"/>
  <cols>
    <col min="1" max="1" width="24.5703125" bestFit="1" customWidth="1"/>
    <col min="2" max="2" width="16.28515625" bestFit="1" customWidth="1"/>
    <col min="3" max="4" width="5" bestFit="1" customWidth="1"/>
  </cols>
  <sheetData>
    <row r="2" spans="5:8">
      <c r="E2" s="191"/>
      <c r="F2">
        <f>B25</f>
        <v>2018</v>
      </c>
      <c r="G2">
        <f>C25</f>
        <v>0</v>
      </c>
      <c r="H2">
        <f>D25</f>
        <v>0</v>
      </c>
    </row>
    <row r="3" spans="5:8">
      <c r="E3" s="206" t="str">
        <f>IF(Settings!$K14=0,"",Settings!K14)</f>
        <v>Quality of Work</v>
      </c>
      <c r="F3" s="198">
        <f>IF(Settings!$K14=0,"",B26)</f>
        <v>5</v>
      </c>
      <c r="G3" s="198">
        <f>IF(Settings!$K14=0,"",C26)</f>
        <v>0</v>
      </c>
      <c r="H3" s="203">
        <f>IF(Settings!$K14=0,"",D26)</f>
        <v>0</v>
      </c>
    </row>
    <row r="4" spans="5:8">
      <c r="E4" s="207" t="str">
        <f>IF(Settings!$K15=0,"",Settings!K15)</f>
        <v>CaLL flow</v>
      </c>
      <c r="F4" s="200">
        <f>IF(Settings!$K15=0,"",B27)</f>
        <v>8</v>
      </c>
      <c r="G4" s="200">
        <f>IF(Settings!$K15=0,"",C27)</f>
        <v>0</v>
      </c>
      <c r="H4" s="204">
        <f>IF(Settings!$K15=0,"",D27)</f>
        <v>0</v>
      </c>
    </row>
    <row r="5" spans="5:8">
      <c r="E5" s="207" t="str">
        <f>IF(Settings!$K16=0,"",Settings!K16)</f>
        <v>Job Knowledge</v>
      </c>
      <c r="F5" s="200">
        <f>IF(Settings!$K16=0,"",B28)</f>
        <v>7</v>
      </c>
      <c r="G5" s="200">
        <f>IF(Settings!$K16=0,"",C28)</f>
        <v>0</v>
      </c>
      <c r="H5" s="204">
        <f>IF(Settings!$K16=0,"",D28)</f>
        <v>0</v>
      </c>
    </row>
    <row r="6" spans="5:8">
      <c r="E6" s="207" t="str">
        <f>IF(Settings!$K17=0,"",Settings!K17)</f>
        <v>Client Service</v>
      </c>
      <c r="F6" s="200">
        <f>IF(Settings!$K17=0,"",B29)</f>
        <v>5</v>
      </c>
      <c r="G6" s="200">
        <f>IF(Settings!$K17=0,"",C29)</f>
        <v>0</v>
      </c>
      <c r="H6" s="204">
        <f>IF(Settings!$K17=0,"",D29)</f>
        <v>0</v>
      </c>
    </row>
    <row r="7" spans="5:8">
      <c r="E7" s="207" t="str">
        <f>IF(Settings!$K18=0,"",Settings!K18)</f>
        <v>Teamwork</v>
      </c>
      <c r="F7" s="200">
        <f>IF(Settings!$K18=0,"",B30)</f>
        <v>9</v>
      </c>
      <c r="G7" s="200">
        <f>IF(Settings!$K18=0,"",C30)</f>
        <v>0</v>
      </c>
      <c r="H7" s="204">
        <f>IF(Settings!$K18=0,"",D30)</f>
        <v>0</v>
      </c>
    </row>
    <row r="8" spans="5:8">
      <c r="E8" s="207" t="str">
        <f>IF(Settings!$K19=0,"",Settings!K19)</f>
        <v>Safety</v>
      </c>
      <c r="F8" s="200">
        <f>IF(Settings!$K19=0,"",B31)</f>
        <v>8</v>
      </c>
      <c r="G8" s="200">
        <f>IF(Settings!$K19=0,"",C31)</f>
        <v>0</v>
      </c>
      <c r="H8" s="204">
        <f>IF(Settings!$K19=0,"",D31)</f>
        <v>0</v>
      </c>
    </row>
    <row r="9" spans="5:8">
      <c r="E9" s="207" t="str">
        <f>IF(Settings!$K20=0,"",Settings!K20)</f>
        <v>Reliability</v>
      </c>
      <c r="F9" s="200">
        <f>IF(Settings!$K20=0,"",B32)</f>
        <v>10</v>
      </c>
      <c r="G9" s="200">
        <f>IF(Settings!$K20=0,"",C32)</f>
        <v>0</v>
      </c>
      <c r="H9" s="204">
        <f>IF(Settings!$K20=0,"",D32)</f>
        <v>0</v>
      </c>
    </row>
    <row r="10" spans="5:8">
      <c r="E10" s="207" t="str">
        <f>IF(Settings!$K21=0,"",Settings!K21)</f>
        <v>Initiative/Adaptability</v>
      </c>
      <c r="F10" s="200">
        <f>IF(Settings!$K21=0,"",B33)</f>
        <v>9</v>
      </c>
      <c r="G10" s="200">
        <f>IF(Settings!$K21=0,"",C33)</f>
        <v>0</v>
      </c>
      <c r="H10" s="204">
        <f>IF(Settings!$K21=0,"",D33)</f>
        <v>0</v>
      </c>
    </row>
    <row r="11" spans="5:8">
      <c r="E11" s="207" t="str">
        <f>IF(Settings!$K22=0,"",Settings!K22)</f>
        <v/>
      </c>
      <c r="F11" s="200" t="str">
        <f>IF(Settings!$K22=0,"",B34)</f>
        <v/>
      </c>
      <c r="G11" s="200" t="str">
        <f>IF(Settings!$K22=0,"",C34)</f>
        <v/>
      </c>
      <c r="H11" s="204" t="str">
        <f>IF(Settings!$K22=0,"",D34)</f>
        <v/>
      </c>
    </row>
    <row r="12" spans="5:8">
      <c r="E12" s="207" t="str">
        <f>IF(Settings!$K23=0,"",Settings!K23)</f>
        <v/>
      </c>
      <c r="F12" s="200" t="str">
        <f>IF(Settings!$K23=0,"",B35)</f>
        <v/>
      </c>
      <c r="G12" s="200" t="str">
        <f>IF(Settings!$K23=0,"",C35)</f>
        <v/>
      </c>
      <c r="H12" s="204" t="str">
        <f>IF(Settings!$K23=0,"",D35)</f>
        <v/>
      </c>
    </row>
    <row r="13" spans="5:8">
      <c r="E13" s="207" t="str">
        <f>IF(Settings!$K24=0,"",Settings!K24)</f>
        <v/>
      </c>
      <c r="F13" s="200" t="str">
        <f>IF(Settings!$K24=0,"",B36)</f>
        <v/>
      </c>
      <c r="G13" s="200" t="str">
        <f>IF(Settings!$K24=0,"",C36)</f>
        <v/>
      </c>
      <c r="H13" s="204" t="str">
        <f>IF(Settings!$K24=0,"",D36)</f>
        <v/>
      </c>
    </row>
    <row r="14" spans="5:8">
      <c r="E14" s="207" t="str">
        <f>IF(Settings!$K25=0,"",Settings!K25)</f>
        <v/>
      </c>
      <c r="F14" s="200" t="str">
        <f>IF(Settings!$K25=0,"",B37)</f>
        <v/>
      </c>
      <c r="G14" s="200" t="str">
        <f>IF(Settings!$K25=0,"",C37)</f>
        <v/>
      </c>
      <c r="H14" s="204" t="str">
        <f>IF(Settings!$K25=0,"",D37)</f>
        <v/>
      </c>
    </row>
    <row r="15" spans="5:8">
      <c r="E15" s="207" t="str">
        <f>IF(Settings!$K26=0,"",Settings!K26)</f>
        <v/>
      </c>
      <c r="F15" s="200" t="str">
        <f>IF(Settings!$K26=0,"",B38)</f>
        <v/>
      </c>
      <c r="G15" s="200" t="str">
        <f>IF(Settings!$K26=0,"",C38)</f>
        <v/>
      </c>
      <c r="H15" s="204" t="str">
        <f>IF(Settings!$K26=0,"",D38)</f>
        <v/>
      </c>
    </row>
    <row r="16" spans="5:8">
      <c r="E16" s="207" t="str">
        <f>IF(Settings!$K27=0,"",Settings!K27)</f>
        <v/>
      </c>
      <c r="F16" s="200" t="str">
        <f>IF(Settings!$K27=0,"",B39)</f>
        <v/>
      </c>
      <c r="G16" s="200" t="str">
        <f>IF(Settings!$K27=0,"",C39)</f>
        <v/>
      </c>
      <c r="H16" s="204" t="str">
        <f>IF(Settings!$K27=0,"",D39)</f>
        <v/>
      </c>
    </row>
    <row r="17" spans="1:8">
      <c r="E17" s="207" t="str">
        <f>IF(Settings!$K28=0,"",Settings!K28)</f>
        <v/>
      </c>
      <c r="F17" s="200" t="str">
        <f>IF(Settings!$K28=0,"",B40)</f>
        <v/>
      </c>
      <c r="G17" s="200" t="str">
        <f>IF(Settings!$K28=0,"",C40)</f>
        <v/>
      </c>
      <c r="H17" s="204" t="str">
        <f>IF(Settings!$K28=0,"",D40)</f>
        <v/>
      </c>
    </row>
    <row r="18" spans="1:8">
      <c r="E18" s="207" t="str">
        <f>IF(Settings!$K29=0,"",Settings!K29)</f>
        <v/>
      </c>
      <c r="F18" s="200" t="str">
        <f>IF(Settings!$K29=0,"",B41)</f>
        <v/>
      </c>
      <c r="G18" s="200" t="str">
        <f>IF(Settings!$K29=0,"",C41)</f>
        <v/>
      </c>
      <c r="H18" s="204" t="str">
        <f>IF(Settings!$K29=0,"",D41)</f>
        <v/>
      </c>
    </row>
    <row r="19" spans="1:8">
      <c r="E19" s="207" t="str">
        <f>IF(Settings!$K30=0,"",Settings!K30)</f>
        <v/>
      </c>
      <c r="F19" s="200" t="str">
        <f>IF(Settings!$K30=0,"",B42)</f>
        <v/>
      </c>
      <c r="G19" s="200" t="str">
        <f>IF(Settings!$K30=0,"",C42)</f>
        <v/>
      </c>
      <c r="H19" s="204" t="str">
        <f>IF(Settings!$K30=0,"",D42)</f>
        <v/>
      </c>
    </row>
    <row r="20" spans="1:8">
      <c r="E20" s="207" t="str">
        <f>IF(Settings!$K31=0,"",Settings!K31)</f>
        <v/>
      </c>
      <c r="F20" s="200" t="str">
        <f>IF(Settings!$K31=0,"",B43)</f>
        <v/>
      </c>
      <c r="G20" s="200" t="str">
        <f>IF(Settings!$K31=0,"",C43)</f>
        <v/>
      </c>
      <c r="H20" s="204" t="str">
        <f>IF(Settings!$K31=0,"",D43)</f>
        <v/>
      </c>
    </row>
    <row r="21" spans="1:8">
      <c r="A21" s="185" t="s">
        <v>185</v>
      </c>
      <c r="B21" t="s">
        <v>186</v>
      </c>
      <c r="E21" s="207" t="str">
        <f>IF(Settings!$K32=0,"",Settings!K32)</f>
        <v/>
      </c>
      <c r="F21" s="200" t="str">
        <f>IF(Settings!$K32=0,"",B44)</f>
        <v/>
      </c>
      <c r="G21" s="200" t="str">
        <f>IF(Settings!$K32=0,"",C44)</f>
        <v/>
      </c>
      <c r="H21" s="204" t="str">
        <f>IF(Settings!$K32=0,"",D44)</f>
        <v/>
      </c>
    </row>
    <row r="22" spans="1:8">
      <c r="A22" s="185" t="s">
        <v>187</v>
      </c>
      <c r="B22" t="s">
        <v>186</v>
      </c>
      <c r="E22" s="208" t="str">
        <f>IF(Settings!$K33=0,"",Settings!K33)</f>
        <v/>
      </c>
      <c r="F22" s="202" t="str">
        <f>IF(Settings!$K33=0,"",B45)</f>
        <v/>
      </c>
      <c r="G22" s="202" t="str">
        <f>IF(Settings!$K33=0,"",C45)</f>
        <v/>
      </c>
      <c r="H22" s="205" t="str">
        <f>IF(Settings!$K33=0,"",D45)</f>
        <v/>
      </c>
    </row>
    <row r="24" spans="1:8">
      <c r="B24" s="185" t="s">
        <v>182</v>
      </c>
    </row>
    <row r="25" spans="1:8">
      <c r="A25" s="185" t="s">
        <v>209</v>
      </c>
      <c r="B25">
        <v>2018</v>
      </c>
    </row>
    <row r="26" spans="1:8">
      <c r="A26" s="197" t="s">
        <v>189</v>
      </c>
      <c r="B26" s="190">
        <v>5</v>
      </c>
    </row>
    <row r="27" spans="1:8">
      <c r="A27" s="197" t="s">
        <v>190</v>
      </c>
      <c r="B27" s="190">
        <v>8</v>
      </c>
    </row>
    <row r="28" spans="1:8">
      <c r="A28" s="186" t="s">
        <v>191</v>
      </c>
      <c r="B28" s="190">
        <v>7</v>
      </c>
    </row>
    <row r="29" spans="1:8">
      <c r="A29" s="186" t="s">
        <v>192</v>
      </c>
      <c r="B29" s="190">
        <v>5</v>
      </c>
    </row>
    <row r="30" spans="1:8">
      <c r="A30" s="186" t="s">
        <v>193</v>
      </c>
      <c r="B30" s="190">
        <v>9</v>
      </c>
    </row>
    <row r="31" spans="1:8">
      <c r="A31" s="186" t="s">
        <v>194</v>
      </c>
      <c r="B31" s="190">
        <v>8</v>
      </c>
    </row>
    <row r="32" spans="1:8">
      <c r="A32" s="186" t="s">
        <v>195</v>
      </c>
      <c r="B32" s="190">
        <v>10</v>
      </c>
    </row>
    <row r="33" spans="1:2">
      <c r="A33" s="186" t="s">
        <v>196</v>
      </c>
      <c r="B33" s="190">
        <v>9</v>
      </c>
    </row>
    <row r="34" spans="1:2">
      <c r="A34" s="186" t="s">
        <v>197</v>
      </c>
      <c r="B34" s="190"/>
    </row>
    <row r="35" spans="1:2">
      <c r="A35" s="186" t="s">
        <v>198</v>
      </c>
      <c r="B35" s="190"/>
    </row>
    <row r="36" spans="1:2">
      <c r="A36" s="186" t="s">
        <v>199</v>
      </c>
      <c r="B36" s="190"/>
    </row>
    <row r="37" spans="1:2">
      <c r="A37" s="186" t="s">
        <v>200</v>
      </c>
      <c r="B37" s="190"/>
    </row>
    <row r="38" spans="1:2">
      <c r="A38" s="186" t="s">
        <v>201</v>
      </c>
      <c r="B38" s="190"/>
    </row>
    <row r="39" spans="1:2">
      <c r="A39" s="186" t="s">
        <v>202</v>
      </c>
      <c r="B39" s="190"/>
    </row>
    <row r="40" spans="1:2">
      <c r="A40" s="186" t="s">
        <v>203</v>
      </c>
      <c r="B40" s="190"/>
    </row>
    <row r="41" spans="1:2">
      <c r="A41" s="186" t="s">
        <v>204</v>
      </c>
      <c r="B41" s="190"/>
    </row>
    <row r="42" spans="1:2">
      <c r="A42" s="186" t="s">
        <v>205</v>
      </c>
      <c r="B42" s="190"/>
    </row>
    <row r="43" spans="1:2">
      <c r="A43" s="186" t="s">
        <v>206</v>
      </c>
      <c r="B43" s="190"/>
    </row>
    <row r="44" spans="1:2">
      <c r="A44" s="186" t="s">
        <v>207</v>
      </c>
      <c r="B44" s="190"/>
    </row>
    <row r="45" spans="1:2">
      <c r="A45" s="186" t="s">
        <v>208</v>
      </c>
      <c r="B45" s="190"/>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B48C1E-F70C-4652-9C10-1B6B2AD5697B}">
  <sheetPr codeName="Sheet20"/>
  <dimension ref="A2:G45"/>
  <sheetViews>
    <sheetView zoomScaleNormal="100" workbookViewId="0">
      <selection activeCell="E31" sqref="E31"/>
    </sheetView>
  </sheetViews>
  <sheetFormatPr defaultColWidth="16.42578125" defaultRowHeight="15"/>
  <cols>
    <col min="1" max="1" width="24.5703125" bestFit="1" customWidth="1"/>
    <col min="2" max="2" width="16.28515625" bestFit="1" customWidth="1"/>
    <col min="3" max="5" width="5" bestFit="1" customWidth="1"/>
    <col min="6" max="6" width="16.85546875" bestFit="1" customWidth="1"/>
  </cols>
  <sheetData>
    <row r="2" spans="5:7">
      <c r="E2" s="191"/>
      <c r="F2" t="str">
        <f>IF(OR(Settings!$M$6=Settings!$W$6,Settings!$M$6=Settings!$W$7),"Organization average","Company average")</f>
        <v>Company average</v>
      </c>
      <c r="G2" t="str">
        <f>Dashboard!$AF$27</f>
        <v>Traverso Madeleine</v>
      </c>
    </row>
    <row r="3" spans="5:7">
      <c r="E3" s="206" t="str">
        <f>IF(Settings!$K14=0,"",Settings!K14)</f>
        <v>Quality of Work</v>
      </c>
      <c r="F3" s="209">
        <f>IF(Settings!$K14=0,"",B26)</f>
        <v>5</v>
      </c>
      <c r="G3" s="199">
        <f>IF(F3="","",SUMIFS(TblDatabase[Competency1],ListEmployeeNamesInDatabase,$G$2,TblDatabase[Year],$B$25))</f>
        <v>0</v>
      </c>
    </row>
    <row r="4" spans="5:7">
      <c r="E4" s="207" t="str">
        <f>IF(Settings!$K15=0,"",Settings!K15)</f>
        <v>CaLL flow</v>
      </c>
      <c r="F4" s="210">
        <f>IF(Settings!$K15=0,"",B27)</f>
        <v>8</v>
      </c>
      <c r="G4" s="201">
        <f>IF(F4="","",SUMIFS(TblDatabase[Competency2],ListEmployeeNamesInDatabase,$G$2,TblDatabase[Year],$B$25))</f>
        <v>0</v>
      </c>
    </row>
    <row r="5" spans="5:7">
      <c r="E5" s="207" t="str">
        <f>IF(Settings!$K16=0,"",Settings!K16)</f>
        <v>Job Knowledge</v>
      </c>
      <c r="F5" s="210">
        <f>IF(Settings!$K16=0,"",B28)</f>
        <v>7</v>
      </c>
      <c r="G5" s="201">
        <f>IF(F5="","",SUMIFS(TblDatabase[Competency3],ListEmployeeNamesInDatabase,$G$2,TblDatabase[Year],$B$25))</f>
        <v>0</v>
      </c>
    </row>
    <row r="6" spans="5:7">
      <c r="E6" s="207" t="str">
        <f>IF(Settings!$K17=0,"",Settings!K17)</f>
        <v>Client Service</v>
      </c>
      <c r="F6" s="210">
        <f>IF(Settings!$K17=0,"",B29)</f>
        <v>5</v>
      </c>
      <c r="G6" s="201">
        <f>IF(F6="","",SUMIFS(TblDatabase[Competency4],ListEmployeeNamesInDatabase,$G$2,TblDatabase[Year],$B$25))</f>
        <v>0</v>
      </c>
    </row>
    <row r="7" spans="5:7">
      <c r="E7" s="207" t="str">
        <f>IF(Settings!$K18=0,"",Settings!K18)</f>
        <v>Teamwork</v>
      </c>
      <c r="F7" s="210">
        <f>IF(Settings!$K18=0,"",B30)</f>
        <v>9</v>
      </c>
      <c r="G7" s="201">
        <f>IF(F7="","",SUMIFS(TblDatabase[Competency5],ListEmployeeNamesInDatabase,$G$2,TblDatabase[Year],$B$25))</f>
        <v>0</v>
      </c>
    </row>
    <row r="8" spans="5:7">
      <c r="E8" s="207" t="str">
        <f>IF(Settings!$K19=0,"",Settings!K19)</f>
        <v>Safety</v>
      </c>
      <c r="F8" s="210">
        <f>IF(Settings!$K19=0,"",B31)</f>
        <v>8</v>
      </c>
      <c r="G8" s="201">
        <f>IF(F8="","",SUMIFS(TblDatabase[Competency6],ListEmployeeNamesInDatabase,$G$2,TblDatabase[Year],$B$25))</f>
        <v>0</v>
      </c>
    </row>
    <row r="9" spans="5:7">
      <c r="E9" s="207" t="str">
        <f>IF(Settings!$K20=0,"",Settings!K20)</f>
        <v>Reliability</v>
      </c>
      <c r="F9" s="210">
        <f>IF(Settings!$K20=0,"",B32)</f>
        <v>10</v>
      </c>
      <c r="G9" s="201">
        <f>IF(F9="","",SUMIFS(TblDatabase[Competency7],ListEmployeeNamesInDatabase,$G$2,TblDatabase[Year],$B$25))</f>
        <v>0</v>
      </c>
    </row>
    <row r="10" spans="5:7">
      <c r="E10" s="207" t="str">
        <f>IF(Settings!$K21=0,"",Settings!K21)</f>
        <v>Initiative/Adaptability</v>
      </c>
      <c r="F10" s="210">
        <f>IF(Settings!$K21=0,"",B33)</f>
        <v>9</v>
      </c>
      <c r="G10" s="201">
        <f>IF(F10="","",SUMIFS(TblDatabase[Competency8],ListEmployeeNamesInDatabase,$G$2,TblDatabase[Year],$B$25))</f>
        <v>0</v>
      </c>
    </row>
    <row r="11" spans="5:7">
      <c r="E11" s="207" t="str">
        <f>IF(Settings!$K22=0,"",Settings!K22)</f>
        <v/>
      </c>
      <c r="F11" s="210" t="str">
        <f>IF(Settings!$K22=0,"",B34)</f>
        <v/>
      </c>
      <c r="G11" s="201" t="str">
        <f>IF(F11="","",SUMIFS(TblDatabase[Competency9],ListEmployeeNamesInDatabase,$G$2,TblDatabase[Year],$B$25))</f>
        <v/>
      </c>
    </row>
    <row r="12" spans="5:7">
      <c r="E12" s="207" t="str">
        <f>IF(Settings!$K23=0,"",Settings!K23)</f>
        <v/>
      </c>
      <c r="F12" s="210" t="str">
        <f>IF(Settings!$K23=0,"",B35)</f>
        <v/>
      </c>
      <c r="G12" s="201" t="str">
        <f>IF(F12="","",SUMIFS(TblDatabase[Competency10],ListEmployeeNamesInDatabase,$G$2,TblDatabase[Year],$B$25))</f>
        <v/>
      </c>
    </row>
    <row r="13" spans="5:7">
      <c r="E13" s="207" t="str">
        <f>IF(Settings!$K24=0,"",Settings!K24)</f>
        <v/>
      </c>
      <c r="F13" s="210" t="str">
        <f>IF(Settings!$K24=0,"",B36)</f>
        <v/>
      </c>
      <c r="G13" s="201" t="str">
        <f>IF(F13="","",SUMIFS(TblDatabase[Competency11],ListEmployeeNamesInDatabase,$G$2,TblDatabase[Year],$B$25))</f>
        <v/>
      </c>
    </row>
    <row r="14" spans="5:7">
      <c r="E14" s="207" t="str">
        <f>IF(Settings!$K25=0,"",Settings!K25)</f>
        <v/>
      </c>
      <c r="F14" s="210" t="str">
        <f>IF(Settings!$K25=0,"",B37)</f>
        <v/>
      </c>
      <c r="G14" s="201" t="str">
        <f>IF(F14="","",SUMIFS(TblDatabase[Competency12],ListEmployeeNamesInDatabase,$G$2,TblDatabase[Year],$B$25))</f>
        <v/>
      </c>
    </row>
    <row r="15" spans="5:7">
      <c r="E15" s="207" t="str">
        <f>IF(Settings!$K26=0,"",Settings!K26)</f>
        <v/>
      </c>
      <c r="F15" s="210" t="str">
        <f>IF(Settings!$K26=0,"",B38)</f>
        <v/>
      </c>
      <c r="G15" s="201" t="str">
        <f>IF(F15="","",SUMIFS(TblDatabase[Competency13],ListEmployeeNamesInDatabase,$G$2,TblDatabase[Year],$B$25))</f>
        <v/>
      </c>
    </row>
    <row r="16" spans="5:7">
      <c r="E16" s="207" t="str">
        <f>IF(Settings!$K27=0,"",Settings!K27)</f>
        <v/>
      </c>
      <c r="F16" s="210" t="str">
        <f>IF(Settings!$K27=0,"",B39)</f>
        <v/>
      </c>
      <c r="G16" s="201" t="str">
        <f>IF(F16="","",SUMIFS(TblDatabase[Competency14],ListEmployeeNamesInDatabase,$G$2,TblDatabase[Year],$B$25))</f>
        <v/>
      </c>
    </row>
    <row r="17" spans="1:7">
      <c r="E17" s="207" t="str">
        <f>IF(Settings!$K28=0,"",Settings!K28)</f>
        <v/>
      </c>
      <c r="F17" s="210" t="str">
        <f>IF(Settings!$K28=0,"",B40)</f>
        <v/>
      </c>
      <c r="G17" s="201" t="str">
        <f>IF(F17="","",SUMIFS(TblDatabase[Competency15],ListEmployeeNamesInDatabase,$G$2,TblDatabase[Year],$B$25))</f>
        <v/>
      </c>
    </row>
    <row r="18" spans="1:7">
      <c r="E18" s="207" t="str">
        <f>IF(Settings!$K29=0,"",Settings!K29)</f>
        <v/>
      </c>
      <c r="F18" s="210" t="str">
        <f>IF(Settings!$K29=0,"",B41)</f>
        <v/>
      </c>
      <c r="G18" s="201" t="str">
        <f>IF(F18="","",SUMIFS(TblDatabase[Competency16],ListEmployeeNamesInDatabase,$G$2,TblDatabase[Year],$B$25))</f>
        <v/>
      </c>
    </row>
    <row r="19" spans="1:7">
      <c r="E19" s="207" t="str">
        <f>IF(Settings!$K30=0,"",Settings!K30)</f>
        <v/>
      </c>
      <c r="F19" s="210" t="str">
        <f>IF(Settings!$K30=0,"",B42)</f>
        <v/>
      </c>
      <c r="G19" s="201" t="str">
        <f>IF(F19="","",SUMIFS(TblDatabase[Competency17],ListEmployeeNamesInDatabase,$G$2,TblDatabase[Year],$B$25))</f>
        <v/>
      </c>
    </row>
    <row r="20" spans="1:7">
      <c r="E20" s="207" t="str">
        <f>IF(Settings!$K31=0,"",Settings!K31)</f>
        <v/>
      </c>
      <c r="F20" s="210" t="str">
        <f>IF(Settings!$K31=0,"",B43)</f>
        <v/>
      </c>
      <c r="G20" s="201" t="str">
        <f>IF(F20="","",SUMIFS(TblDatabase[Competency18],ListEmployeeNamesInDatabase,$G$2,TblDatabase[Year],$B$25))</f>
        <v/>
      </c>
    </row>
    <row r="21" spans="1:7">
      <c r="A21" s="185" t="s">
        <v>185</v>
      </c>
      <c r="B21" t="s">
        <v>186</v>
      </c>
      <c r="E21" s="207" t="str">
        <f>IF(Settings!$K32=0,"",Settings!K32)</f>
        <v/>
      </c>
      <c r="F21" s="210" t="str">
        <f>IF(Settings!$K32=0,"",B44)</f>
        <v/>
      </c>
      <c r="G21" s="201" t="str">
        <f>IF(F21="","",SUMIFS(TblDatabase[Competency19],ListEmployeeNamesInDatabase,$G$2,TblDatabase[Year],$B$25))</f>
        <v/>
      </c>
    </row>
    <row r="22" spans="1:7">
      <c r="A22" s="185" t="s">
        <v>188</v>
      </c>
      <c r="B22" t="s">
        <v>186</v>
      </c>
      <c r="E22" s="208" t="str">
        <f>IF(Settings!$K33=0,"",Settings!K33)</f>
        <v/>
      </c>
      <c r="F22" s="211" t="str">
        <f>IF(Settings!$K33=0,"",B45)</f>
        <v/>
      </c>
      <c r="G22" s="212" t="str">
        <f>IF(F22="","",SUMIFS(TblDatabase[Competency20],ListEmployeeNamesInDatabase,$G$2,TblDatabase[Year],$B$25))</f>
        <v/>
      </c>
    </row>
    <row r="24" spans="1:7">
      <c r="B24" s="185" t="s">
        <v>182</v>
      </c>
    </row>
    <row r="25" spans="1:7">
      <c r="A25" s="185" t="s">
        <v>209</v>
      </c>
      <c r="B25">
        <v>2018</v>
      </c>
    </row>
    <row r="26" spans="1:7">
      <c r="A26" s="197" t="s">
        <v>189</v>
      </c>
      <c r="B26" s="190">
        <v>5</v>
      </c>
    </row>
    <row r="27" spans="1:7">
      <c r="A27" s="197" t="s">
        <v>190</v>
      </c>
      <c r="B27" s="190">
        <v>8</v>
      </c>
    </row>
    <row r="28" spans="1:7">
      <c r="A28" s="186" t="s">
        <v>191</v>
      </c>
      <c r="B28" s="190">
        <v>7</v>
      </c>
    </row>
    <row r="29" spans="1:7">
      <c r="A29" s="186" t="s">
        <v>192</v>
      </c>
      <c r="B29" s="190">
        <v>5</v>
      </c>
    </row>
    <row r="30" spans="1:7">
      <c r="A30" s="186" t="s">
        <v>193</v>
      </c>
      <c r="B30" s="190">
        <v>9</v>
      </c>
    </row>
    <row r="31" spans="1:7">
      <c r="A31" s="186" t="s">
        <v>194</v>
      </c>
      <c r="B31" s="190">
        <v>8</v>
      </c>
    </row>
    <row r="32" spans="1:7">
      <c r="A32" s="186" t="s">
        <v>195</v>
      </c>
      <c r="B32" s="190">
        <v>10</v>
      </c>
    </row>
    <row r="33" spans="1:2">
      <c r="A33" s="186" t="s">
        <v>196</v>
      </c>
      <c r="B33" s="190">
        <v>9</v>
      </c>
    </row>
    <row r="34" spans="1:2">
      <c r="A34" s="186" t="s">
        <v>197</v>
      </c>
      <c r="B34" s="190"/>
    </row>
    <row r="35" spans="1:2">
      <c r="A35" s="186" t="s">
        <v>198</v>
      </c>
      <c r="B35" s="190"/>
    </row>
    <row r="36" spans="1:2">
      <c r="A36" s="186" t="s">
        <v>199</v>
      </c>
      <c r="B36" s="190"/>
    </row>
    <row r="37" spans="1:2">
      <c r="A37" s="186" t="s">
        <v>200</v>
      </c>
      <c r="B37" s="190"/>
    </row>
    <row r="38" spans="1:2">
      <c r="A38" s="186" t="s">
        <v>201</v>
      </c>
      <c r="B38" s="190"/>
    </row>
    <row r="39" spans="1:2">
      <c r="A39" s="186" t="s">
        <v>202</v>
      </c>
      <c r="B39" s="190"/>
    </row>
    <row r="40" spans="1:2">
      <c r="A40" s="186" t="s">
        <v>203</v>
      </c>
      <c r="B40" s="190"/>
    </row>
    <row r="41" spans="1:2">
      <c r="A41" s="186" t="s">
        <v>204</v>
      </c>
      <c r="B41" s="190"/>
    </row>
    <row r="42" spans="1:2">
      <c r="A42" s="186" t="s">
        <v>205</v>
      </c>
      <c r="B42" s="190"/>
    </row>
    <row r="43" spans="1:2">
      <c r="A43" s="186" t="s">
        <v>206</v>
      </c>
      <c r="B43" s="190"/>
    </row>
    <row r="44" spans="1:2">
      <c r="A44" s="186" t="s">
        <v>207</v>
      </c>
      <c r="B44" s="190"/>
    </row>
    <row r="45" spans="1:2">
      <c r="A45" s="186" t="s">
        <v>208</v>
      </c>
      <c r="B45" s="190"/>
    </row>
  </sheetData>
  <phoneticPr fontId="3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15</vt:i4>
      </vt:variant>
    </vt:vector>
  </HeadingPairs>
  <TitlesOfParts>
    <vt:vector size="21" baseType="lpstr">
      <vt:lpstr>Dashboard</vt:lpstr>
      <vt:lpstr>Overview</vt:lpstr>
      <vt:lpstr>Individual</vt:lpstr>
      <vt:lpstr>Settings</vt:lpstr>
      <vt:lpstr>Import</vt:lpstr>
      <vt:lpstr>from author</vt:lpstr>
      <vt:lpstr>DoesReviewExist</vt:lpstr>
      <vt:lpstr>GroupSelection</vt:lpstr>
      <vt:lpstr>ListCountIfVisible</vt:lpstr>
      <vt:lpstr>ListEmployeeID</vt:lpstr>
      <vt:lpstr>ListEmployeeNames</vt:lpstr>
      <vt:lpstr>ListEmployeeNamesInDatabase</vt:lpstr>
      <vt:lpstr>ListYearsInDatabase</vt:lpstr>
      <vt:lpstr>NumberOfCompetencies</vt:lpstr>
      <vt:lpstr>NumberOfEmployees</vt:lpstr>
      <vt:lpstr>NumberOfPastReviews</vt:lpstr>
      <vt:lpstr>NumberOfUniqueDepartments</vt:lpstr>
      <vt:lpstr>OldDoesReviewExist</vt:lpstr>
      <vt:lpstr>Dashboard!Print_Area</vt:lpstr>
      <vt:lpstr>Individual!Print_Area</vt:lpstr>
      <vt:lpstr>Overview!Print_Area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ziom</dc:creator>
  <cp:lastModifiedBy>Indama, Ghislain</cp:lastModifiedBy>
  <cp:lastPrinted>2021-12-10T15:26:31Z</cp:lastPrinted>
  <dcterms:created xsi:type="dcterms:W3CDTF">2006-09-16T00:00:00Z</dcterms:created>
  <dcterms:modified xsi:type="dcterms:W3CDTF">2021-12-12T08:50:11Z</dcterms:modified>
</cp:coreProperties>
</file>